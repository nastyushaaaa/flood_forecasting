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drawings/charts/chart5.xml" ContentType="application/vnd.openxmlformats-officedocument.drawingml.chart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drawings/charts/chart6.xml" ContentType="application/vnd.openxmlformats-officedocument.drawingml.chart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drawings/charts/chart7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214ed38ce048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7e8c20c3652a44fe"/>
    <x:sheet xmlns:r="http://schemas.openxmlformats.org/officeDocument/2006/relationships" name="Полином 2" sheetId="2" r:id="Rd67cf6dc6ea54859"/>
    <x:sheet xmlns:r="http://schemas.openxmlformats.org/officeDocument/2006/relationships" name="Полином 3" sheetId="3" r:id="R519572bc970a48e9"/>
    <x:sheet xmlns:r="http://schemas.openxmlformats.org/officeDocument/2006/relationships" name="Степенная" sheetId="4" r:id="Rdb042923f2624132"/>
    <x:sheet xmlns:r="http://schemas.openxmlformats.org/officeDocument/2006/relationships" name="Логарифмическая" sheetId="5" r:id="Rc6e446a250df4623"/>
    <x:sheet xmlns:r="http://schemas.openxmlformats.org/officeDocument/2006/relationships" name="Экспоненциальная" sheetId="6" r:id="R50e1017384f44b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.00"/>
    <x:numFmt numFmtId="201" formatCode="0"/>
    <x:numFmt numFmtId="202" formatCode="#,##0"/>
    <x:numFmt numFmtId="203" formatCode="0.000"/>
    <x:numFmt numFmtId="204" formatCode="yyyy-mm-dd"/>
    <x:numFmt numFmtId="205" formatCode="0.000000"/>
    <x:numFmt numFmtId="206" formatCode="0.0%"/>
    <x:numFmt numFmtId="207" formatCode="0.0000"/>
  </x:numFmts>
  <x:fonts count="3">
    <x:font>
      <x:sz val="11"/>
      <x:name val="Carlito"/>
    </x:font>
    <x:font>
      <x:sz val="11"/>
      <x:color rgb="FF000000"/>
      <x:name val="Calibri"/>
    </x:font>
    <x:font>
      <x:sz val="11"/>
      <x:color rgb="FF000000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  <x:xf numFmtId="204" fontId="1" fillId="0" borderId="1" xfId="0" applyNumberFormat="1" applyFont="1" applyFill="1" applyBorder="1" applyAlignment="1">
      <x:alignment vertical="center"/>
    </x:xf>
    <x:xf numFmtId="202" fontId="1" fillId="0" borderId="1" xfId="0" applyNumberFormat="1" applyFont="1" applyFill="1" applyBorder="1" applyAlignment="1">
      <x:alignment vertical="center"/>
    </x:xf>
    <x:xf numFmtId="203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horizontal="center" vertical="center" wrapText="1"/>
    </x:xf>
    <x:xf numFmtId="205" fontId="1" fillId="0" borderId="1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6" fontId="1" fillId="0" borderId="1" xfId="0" applyNumberFormat="1" applyFont="1" applyFill="1" applyBorder="1" applyAlignment="1">
      <x:alignment vertical="center"/>
    </x:xf>
    <x:xf numFmtId="207" fontId="1" fillId="0" borderId="1" xfId="0" applyNumberFormat="1" applyFont="1" applyFill="1" applyBorder="1" applyAlignment="1">
      <x:alignment vertical="center"/>
    </x:xf>
    <x:xf numFmtId="207" fontId="1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0" fontId="2" fillId="0" borderId="1" xfId="0" applyNumberFormat="1" applyFont="1" applyFill="1" applyBorder="1" applyAlignment="1">
      <x:alignment vertical="center"/>
    </x:xf>
    <x:xf numFmtId="200" fontId="2" fillId="0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789631ba244b80" /><Relationship Type="http://schemas.openxmlformats.org/officeDocument/2006/relationships/theme" Target="/xl/theme/theme1.xml" Id="R25c05ea24f934f1b" /><Relationship Type="http://schemas.openxmlformats.org/officeDocument/2006/relationships/sharedStrings" Target="/xl/sharedStrings.xml" Id="R8b639584e6564add" /><Relationship Type="http://schemas.openxmlformats.org/officeDocument/2006/relationships/worksheet" Target="/xl/worksheets/sheet1.xml" Id="R7e8c20c3652a44fe" /><Relationship Type="http://schemas.openxmlformats.org/officeDocument/2006/relationships/worksheet" Target="/xl/worksheets/sheet2.xml" Id="Rd67cf6dc6ea54859" /><Relationship Type="http://schemas.openxmlformats.org/officeDocument/2006/relationships/worksheet" Target="/xl/worksheets/sheet3.xml" Id="R519572bc970a48e9" /><Relationship Type="http://schemas.openxmlformats.org/officeDocument/2006/relationships/worksheet" Target="/xl/worksheets/sheet4.xml" Id="Rdb042923f2624132" /><Relationship Type="http://schemas.openxmlformats.org/officeDocument/2006/relationships/worksheet" Target="/xl/worksheets/sheet5.xml" Id="Rc6e446a250df4623" /><Relationship Type="http://schemas.openxmlformats.org/officeDocument/2006/relationships/worksheet" Target="/xl/worksheets/sheet6.xml" Id="R50e1017384f44b3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41d1181e66f4a02" /><Relationship Type="http://schemas.openxmlformats.org/officeDocument/2006/relationships/chart" Target="/xl/drawings/charts/chart2.xml" Id="R26d7be08ac5043c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ed3496c8f95b43c8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3d9dbf8074a94799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80b3ad99385e4edf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81c5ca849add4000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chart" Target="/xl/drawings/charts/chart7.xml" Id="R0b1b54298b244e5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00" b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Посуточный прогноз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00" b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Полином 2</c:v>
          </c:tx>
          <c:spPr>
            <a:ln xmlns:a="http://schemas.openxmlformats.org/drawingml/2006/main" w="1143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'Сводка'!$A$18:$A$47</c:f>
              <c:strCache>
                <c:ptCount val="0"/>
              </c:strCache>
            </c:strRef>
          </c:cat>
          <c:val>
            <c:numRef>
              <c:f>'Сводка'!$B$18:$B$47</c:f>
              <c:numCache>
                <c:formatCode>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Полином 3</c:v>
          </c:tx>
          <c:spPr>
            <a:ln xmlns:a="http://schemas.openxmlformats.org/drawingml/2006/main" w="14288">
              <a:solidFill>
                <a:srgbClr val="000000"/>
              </a:solidFill>
              <a:prstDash val="dash"/>
            </a:ln>
          </c:spPr>
          <c:marker>
            <c:symbol val="none"/>
          </c:marker>
          <c:cat>
            <c:strRef>
              <c:f>'Сводка'!$A$18:$A$47</c:f>
              <c:strCache>
                <c:ptCount val="0"/>
              </c:strCache>
            </c:strRef>
          </c:cat>
          <c:val>
            <c:numRef>
              <c:f>'Сводка'!$C$18:$C$47</c:f>
              <c:numCache>
                <c:formatCode>0.00</c:formatCode>
                <c:ptCount val="0"/>
              </c:numCache>
            </c:numRef>
          </c:val>
          <c:smooth val="0"/>
        </c:ser>
        <c:ser>
          <c:idx val="2"/>
          <c:order val="2"/>
          <c:tx>
            <c:v>Степенная</c:v>
          </c:tx>
          <c:spPr>
            <a:ln xmlns:a="http://schemas.openxmlformats.org/drawingml/2006/main" w="17145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'Сводка'!$A$18:$A$47</c:f>
              <c:strCache>
                <c:ptCount val="0"/>
              </c:strCache>
            </c:strRef>
          </c:cat>
          <c:val>
            <c:numRef>
              <c:f>'Сводка'!$D$18:$D$47</c:f>
              <c:numCache>
                <c:formatCode>0.00</c:formatCode>
                <c:ptCount val="0"/>
              </c:numCache>
            </c:numRef>
          </c:val>
          <c:smooth val="0"/>
        </c:ser>
        <c:ser>
          <c:idx val="3"/>
          <c:order val="3"/>
          <c:tx>
            <c:v>Логарифм.</c:v>
          </c:tx>
          <c:spPr>
            <a:ln xmlns:a="http://schemas.openxmlformats.org/drawingml/2006/main" w="11430">
              <a:solidFill>
                <a:srgbClr val="000000"/>
              </a:solidFill>
              <a:prstDash val="dash"/>
            </a:ln>
          </c:spPr>
          <c:marker>
            <c:symbol val="none"/>
          </c:marker>
          <c:cat>
            <c:strRef>
              <c:f>'Сводка'!$A$18:$A$47</c:f>
              <c:strCache>
                <c:ptCount val="0"/>
              </c:strCache>
            </c:strRef>
          </c:cat>
          <c:val>
            <c:numRef>
              <c:f>'Сводка'!$E$18:$E$47</c:f>
              <c:numCache>
                <c:formatCode>0.00</c:formatCode>
                <c:ptCount val="0"/>
              </c:numCache>
            </c:numRef>
          </c:val>
          <c:smooth val="0"/>
        </c:ser>
        <c:ser>
          <c:idx val="4"/>
          <c:order val="4"/>
          <c:tx>
            <c:v>Экспонента</c:v>
          </c:tx>
          <c:spPr>
            <a:ln xmlns:a="http://schemas.openxmlformats.org/drawingml/2006/main" w="14288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'Сводка'!$A$18:$A$47</c:f>
              <c:strCache>
                <c:ptCount val="0"/>
              </c:strCache>
            </c:strRef>
          </c:cat>
          <c:val>
            <c:numRef>
              <c:f>'Сводка'!$F$18:$F$47</c:f>
              <c:numCache>
                <c:formatCode>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yyyy-mm-dd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100" b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48672768"/>
        <c:auto val="1"/>
      </c:date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100" b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Уровень, см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100" b="0">
                  <a:solidFill>
                    <a:srgbClr val="000000"/>
                  </a:solidFill>
                  <a:latin typeface="Calibri"/>
                  <a:ea typeface="Calibri"/>
                  <a:cs typeface="Calibri"/>
                </a:defRPr>
              </a:pPr>
            </a:p>
          </c:txPr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100" b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00" b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00">
                <a:latin typeface="Calibri"/>
                <a:ea typeface="Calibri"/>
                <a:cs typeface="Calibri"/>
              </a:rPr>
              <a:t>Сезонная составляющая по месяцам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00">
              <a:latin typeface="Calibri"/>
              <a:ea typeface="Calibri"/>
              <a:cs typeface="Calibri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Полином 2</c:v>
          </c:tx>
          <c:spPr>
            <a:ln xmlns:a="http://schemas.openxmlformats.org/drawingml/2006/main" w="1905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'Сводка'!$H$56:$H$67</c:f>
              <c:strCache>
                <c:ptCount val="0"/>
              </c:strCache>
            </c:strRef>
          </c:cat>
          <c:val>
            <c:numRef>
              <c:f>'Сводка'!$I$56:$I$67</c:f>
              <c:numCache>
                <c:formatCode>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Полином 3</c:v>
          </c:tx>
          <c:spPr>
            <a:ln xmlns:a="http://schemas.openxmlformats.org/drawingml/2006/main" w="19050">
              <a:solidFill>
                <a:srgbClr val="245C9C"/>
              </a:solidFill>
              <a:prstDash val="solid"/>
            </a:ln>
          </c:spPr>
          <c:marker>
            <c:symbol val="none"/>
          </c:marker>
          <c:cat>
            <c:strRef>
              <c:f>'Сводка'!$H$56:$H$67</c:f>
              <c:strCache>
                <c:ptCount val="0"/>
              </c:strCache>
            </c:strRef>
          </c:cat>
          <c:val>
            <c:numRef>
              <c:f>'Сводка'!$J$56:$J$67</c:f>
              <c:numCache>
                <c:formatCode>0.00</c:formatCode>
                <c:ptCount val="0"/>
              </c:numCache>
            </c:numRef>
          </c:val>
          <c:smooth val="0"/>
        </c:ser>
        <c:ser>
          <c:idx val="2"/>
          <c:order val="2"/>
          <c:tx>
            <c:v>Степенная</c:v>
          </c:tx>
          <c:spPr>
            <a:ln xmlns:a="http://schemas.openxmlformats.org/drawingml/2006/main" w="19050">
              <a:solidFill>
                <a:srgbClr val="7C3F92"/>
              </a:solidFill>
              <a:prstDash val="solid"/>
            </a:ln>
          </c:spPr>
          <c:marker>
            <c:symbol val="none"/>
          </c:marker>
          <c:cat>
            <c:strRef>
              <c:f>'Сводка'!$H$56:$H$67</c:f>
              <c:strCache>
                <c:ptCount val="0"/>
              </c:strCache>
            </c:strRef>
          </c:cat>
          <c:val>
            <c:numRef>
              <c:f>'Сводка'!$K$56:$K$67</c:f>
              <c:numCache>
                <c:formatCode>0.00</c:formatCode>
                <c:ptCount val="0"/>
              </c:numCache>
            </c:numRef>
          </c:val>
          <c:smooth val="0"/>
        </c:ser>
        <c:ser>
          <c:idx val="3"/>
          <c:order val="3"/>
          <c:tx>
            <c:v>Логарифм.</c:v>
          </c:tx>
          <c:spPr>
            <a:ln xmlns:a="http://schemas.openxmlformats.org/drawingml/2006/main" w="19050">
              <a:solidFill>
                <a:srgbClr val="3F7A42"/>
              </a:solidFill>
              <a:prstDash val="solid"/>
            </a:ln>
          </c:spPr>
          <c:marker>
            <c:symbol val="none"/>
          </c:marker>
          <c:cat>
            <c:strRef>
              <c:f>'Сводка'!$H$56:$H$67</c:f>
              <c:strCache>
                <c:ptCount val="0"/>
              </c:strCache>
            </c:strRef>
          </c:cat>
          <c:val>
            <c:numRef>
              <c:f>'Сводка'!$L$56:$L$67</c:f>
              <c:numCache>
                <c:formatCode>0.00</c:formatCode>
                <c:ptCount val="0"/>
              </c:numCache>
            </c:numRef>
          </c:val>
          <c:smooth val="0"/>
        </c:ser>
        <c:ser>
          <c:idx val="4"/>
          <c:order val="4"/>
          <c:tx>
            <c:v>Экспонента</c:v>
          </c:tx>
          <c:spPr>
            <a:ln xmlns:a="http://schemas.openxmlformats.org/drawingml/2006/main" w="19050">
              <a:solidFill>
                <a:srgbClr val="B45E16"/>
              </a:solidFill>
              <a:prstDash val="solid"/>
            </a:ln>
          </c:spPr>
          <c:marker>
            <c:symbol val="none"/>
          </c:marker>
          <c:cat>
            <c:strRef>
              <c:f>'Сводка'!$H$56:$H$67</c:f>
              <c:strCache>
                <c:ptCount val="0"/>
              </c:strCache>
            </c:strRef>
          </c:cat>
          <c:val>
            <c:numRef>
              <c:f>'Сводка'!$M$56:$M$67</c:f>
              <c:numCache>
                <c:formatCode>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10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Сезонная поправка, см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10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0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00" b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Полином 2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00" b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Прогноз, см</c:v>
          </c:tx>
          <c:spPr>
            <a:ln xmlns:a="http://schemas.openxmlformats.org/drawingml/2006/main" w="1143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'Полином 2'!$A$19:$A$48</c:f>
              <c:strCache>
                <c:ptCount val="0"/>
              </c:strCache>
            </c:strRef>
          </c:cat>
          <c:val>
            <c:numRef>
              <c:f>'Полином 2'!$D$19:$D$48</c:f>
              <c:numCache>
                <c:formatCode>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Нижняя 95%</c:v>
          </c:tx>
          <c:spPr>
            <a:ln xmlns:a="http://schemas.openxmlformats.org/drawingml/2006/main" w="14288">
              <a:solidFill>
                <a:srgbClr val="000000"/>
              </a:solidFill>
              <a:prstDash val="dash"/>
            </a:ln>
          </c:spPr>
          <c:marker>
            <c:symbol val="none"/>
          </c:marker>
          <c:cat>
            <c:strRef>
              <c:f>'Полином 2'!$A$19:$A$48</c:f>
              <c:strCache>
                <c:ptCount val="0"/>
              </c:strCache>
            </c:strRef>
          </c:cat>
          <c:val>
            <c:numRef>
              <c:f>'Полином 2'!$F$19:$F$48</c:f>
              <c:numCache>
                <c:formatCode>0.00</c:formatCode>
                <c:ptCount val="0"/>
              </c:numCache>
            </c:numRef>
          </c:val>
          <c:smooth val="0"/>
        </c:ser>
        <c:ser>
          <c:idx val="2"/>
          <c:order val="2"/>
          <c:tx>
            <c:v>Верхняя 95%</c:v>
          </c:tx>
          <c:spPr>
            <a:ln xmlns:a="http://schemas.openxmlformats.org/drawingml/2006/main" w="17145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'Полином 2'!$A$19:$A$48</c:f>
              <c:strCache>
                <c:ptCount val="0"/>
              </c:strCache>
            </c:strRef>
          </c:cat>
          <c:val>
            <c:numRef>
              <c:f>'Полином 2'!$G$19:$G$48</c:f>
              <c:numCache>
                <c:formatCode>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yyyy-mm-dd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100" b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48672768"/>
        <c:auto val="1"/>
      </c:date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100" b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Уровень, см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100" b="0">
                  <a:solidFill>
                    <a:srgbClr val="000000"/>
                  </a:solidFill>
                  <a:latin typeface="Calibri"/>
                  <a:ea typeface="Calibri"/>
                  <a:cs typeface="Calibri"/>
                </a:defRPr>
              </a:pPr>
            </a:p>
          </c:txPr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100" b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00" b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00" b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Полином 3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00" b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Прогноз, см</c:v>
          </c:tx>
          <c:spPr>
            <a:ln xmlns:a="http://schemas.openxmlformats.org/drawingml/2006/main" w="1143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'Полином 3'!$A$19:$A$48</c:f>
              <c:strCache>
                <c:ptCount val="0"/>
              </c:strCache>
            </c:strRef>
          </c:cat>
          <c:val>
            <c:numRef>
              <c:f>'Полином 3'!$D$19:$D$48</c:f>
              <c:numCache>
                <c:formatCode>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Нижняя 95%</c:v>
          </c:tx>
          <c:spPr>
            <a:ln xmlns:a="http://schemas.openxmlformats.org/drawingml/2006/main" w="14288">
              <a:solidFill>
                <a:srgbClr val="000000"/>
              </a:solidFill>
              <a:prstDash val="dash"/>
            </a:ln>
          </c:spPr>
          <c:marker>
            <c:symbol val="none"/>
          </c:marker>
          <c:cat>
            <c:strRef>
              <c:f>'Полином 3'!$A$19:$A$48</c:f>
              <c:strCache>
                <c:ptCount val="0"/>
              </c:strCache>
            </c:strRef>
          </c:cat>
          <c:val>
            <c:numRef>
              <c:f>'Полином 3'!$F$19:$F$48</c:f>
              <c:numCache>
                <c:formatCode>0.00</c:formatCode>
                <c:ptCount val="0"/>
              </c:numCache>
            </c:numRef>
          </c:val>
          <c:smooth val="0"/>
        </c:ser>
        <c:ser>
          <c:idx val="2"/>
          <c:order val="2"/>
          <c:tx>
            <c:v>Верхняя 95%</c:v>
          </c:tx>
          <c:spPr>
            <a:ln xmlns:a="http://schemas.openxmlformats.org/drawingml/2006/main" w="17145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'Полином 3'!$A$19:$A$48</c:f>
              <c:strCache>
                <c:ptCount val="0"/>
              </c:strCache>
            </c:strRef>
          </c:cat>
          <c:val>
            <c:numRef>
              <c:f>'Полином 3'!$G$19:$G$48</c:f>
              <c:numCache>
                <c:formatCode>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yyyy-mm-dd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100" b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48672768"/>
        <c:auto val="1"/>
      </c:date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100" b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Уровень, см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100" b="0">
                  <a:solidFill>
                    <a:srgbClr val="000000"/>
                  </a:solidFill>
                  <a:latin typeface="Calibri"/>
                  <a:ea typeface="Calibri"/>
                  <a:cs typeface="Calibri"/>
                </a:defRPr>
              </a:pPr>
            </a:p>
          </c:txPr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100" b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00" b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00" b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Степенная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00" b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Прогноз, см</c:v>
          </c:tx>
          <c:spPr>
            <a:ln xmlns:a="http://schemas.openxmlformats.org/drawingml/2006/main" w="1143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'Степенная'!$A$19:$A$48</c:f>
              <c:strCache>
                <c:ptCount val="0"/>
              </c:strCache>
            </c:strRef>
          </c:cat>
          <c:val>
            <c:numRef>
              <c:f>'Степенная'!$D$19:$D$48</c:f>
              <c:numCache>
                <c:formatCode>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Нижняя 95%</c:v>
          </c:tx>
          <c:spPr>
            <a:ln xmlns:a="http://schemas.openxmlformats.org/drawingml/2006/main" w="14288">
              <a:solidFill>
                <a:srgbClr val="000000"/>
              </a:solidFill>
              <a:prstDash val="dash"/>
            </a:ln>
          </c:spPr>
          <c:marker>
            <c:symbol val="none"/>
          </c:marker>
          <c:cat>
            <c:strRef>
              <c:f>'Степенная'!$A$19:$A$48</c:f>
              <c:strCache>
                <c:ptCount val="0"/>
              </c:strCache>
            </c:strRef>
          </c:cat>
          <c:val>
            <c:numRef>
              <c:f>'Степенная'!$F$19:$F$48</c:f>
              <c:numCache>
                <c:formatCode>0.00</c:formatCode>
                <c:ptCount val="0"/>
              </c:numCache>
            </c:numRef>
          </c:val>
          <c:smooth val="0"/>
        </c:ser>
        <c:ser>
          <c:idx val="2"/>
          <c:order val="2"/>
          <c:tx>
            <c:v>Верхняя 95%</c:v>
          </c:tx>
          <c:spPr>
            <a:ln xmlns:a="http://schemas.openxmlformats.org/drawingml/2006/main" w="17145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'Степенная'!$A$19:$A$48</c:f>
              <c:strCache>
                <c:ptCount val="0"/>
              </c:strCache>
            </c:strRef>
          </c:cat>
          <c:val>
            <c:numRef>
              <c:f>'Степенная'!$G$19:$G$48</c:f>
              <c:numCache>
                <c:formatCode>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yyyy-mm-dd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100" b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48672768"/>
        <c:auto val="1"/>
      </c:date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100" b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Уровень, см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100" b="0">
                  <a:solidFill>
                    <a:srgbClr val="000000"/>
                  </a:solidFill>
                  <a:latin typeface="Calibri"/>
                  <a:ea typeface="Calibri"/>
                  <a:cs typeface="Calibri"/>
                </a:defRPr>
              </a:pPr>
            </a:p>
          </c:txPr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100" b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00" b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00" b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Логарифмическая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00" b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Прогноз, см</c:v>
          </c:tx>
          <c:spPr>
            <a:ln xmlns:a="http://schemas.openxmlformats.org/drawingml/2006/main" w="1143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'Логарифмическая'!$A$19:$A$48</c:f>
              <c:strCache>
                <c:ptCount val="0"/>
              </c:strCache>
            </c:strRef>
          </c:cat>
          <c:val>
            <c:numRef>
              <c:f>'Логарифмическая'!$D$19:$D$48</c:f>
              <c:numCache>
                <c:formatCode>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Нижняя 95%</c:v>
          </c:tx>
          <c:spPr>
            <a:ln xmlns:a="http://schemas.openxmlformats.org/drawingml/2006/main" w="14288">
              <a:solidFill>
                <a:srgbClr val="000000"/>
              </a:solidFill>
              <a:prstDash val="dash"/>
            </a:ln>
          </c:spPr>
          <c:marker>
            <c:symbol val="none"/>
          </c:marker>
          <c:cat>
            <c:strRef>
              <c:f>'Логарифмическая'!$A$19:$A$48</c:f>
              <c:strCache>
                <c:ptCount val="0"/>
              </c:strCache>
            </c:strRef>
          </c:cat>
          <c:val>
            <c:numRef>
              <c:f>'Логарифмическая'!$F$19:$F$48</c:f>
              <c:numCache>
                <c:formatCode>0.00</c:formatCode>
                <c:ptCount val="0"/>
              </c:numCache>
            </c:numRef>
          </c:val>
          <c:smooth val="0"/>
        </c:ser>
        <c:ser>
          <c:idx val="2"/>
          <c:order val="2"/>
          <c:tx>
            <c:v>Верхняя 95%</c:v>
          </c:tx>
          <c:spPr>
            <a:ln xmlns:a="http://schemas.openxmlformats.org/drawingml/2006/main" w="17145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'Логарифмическая'!$A$19:$A$48</c:f>
              <c:strCache>
                <c:ptCount val="0"/>
              </c:strCache>
            </c:strRef>
          </c:cat>
          <c:val>
            <c:numRef>
              <c:f>'Логарифмическая'!$G$19:$G$48</c:f>
              <c:numCache>
                <c:formatCode>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yyyy-mm-dd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100" b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48672768"/>
        <c:auto val="1"/>
      </c:date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100" b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Уровень, см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100" b="0">
                  <a:solidFill>
                    <a:srgbClr val="000000"/>
                  </a:solidFill>
                  <a:latin typeface="Calibri"/>
                  <a:ea typeface="Calibri"/>
                  <a:cs typeface="Calibri"/>
                </a:defRPr>
              </a:pPr>
            </a:p>
          </c:txPr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100" b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00" b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00" b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Экспоненциальная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00" b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Прогноз, см</c:v>
          </c:tx>
          <c:spPr>
            <a:ln xmlns:a="http://schemas.openxmlformats.org/drawingml/2006/main" w="1143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'Экспоненциальная'!$A$19:$A$48</c:f>
              <c:strCache>
                <c:ptCount val="0"/>
              </c:strCache>
            </c:strRef>
          </c:cat>
          <c:val>
            <c:numRef>
              <c:f>'Экспоненциальная'!$D$19:$D$48</c:f>
              <c:numCache>
                <c:formatCode>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Нижняя 95%</c:v>
          </c:tx>
          <c:spPr>
            <a:ln xmlns:a="http://schemas.openxmlformats.org/drawingml/2006/main" w="14288">
              <a:solidFill>
                <a:srgbClr val="000000"/>
              </a:solidFill>
              <a:prstDash val="dash"/>
            </a:ln>
          </c:spPr>
          <c:marker>
            <c:symbol val="none"/>
          </c:marker>
          <c:cat>
            <c:strRef>
              <c:f>'Экспоненциальная'!$A$19:$A$48</c:f>
              <c:strCache>
                <c:ptCount val="0"/>
              </c:strCache>
            </c:strRef>
          </c:cat>
          <c:val>
            <c:numRef>
              <c:f>'Экспоненциальная'!$F$19:$F$48</c:f>
              <c:numCache>
                <c:formatCode>0.00</c:formatCode>
                <c:ptCount val="0"/>
              </c:numCache>
            </c:numRef>
          </c:val>
          <c:smooth val="0"/>
        </c:ser>
        <c:ser>
          <c:idx val="2"/>
          <c:order val="2"/>
          <c:tx>
            <c:v>Верхняя 95%</c:v>
          </c:tx>
          <c:spPr>
            <a:ln xmlns:a="http://schemas.openxmlformats.org/drawingml/2006/main" w="17145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'Экспоненциальная'!$A$19:$A$48</c:f>
              <c:strCache>
                <c:ptCount val="0"/>
              </c:strCache>
            </c:strRef>
          </c:cat>
          <c:val>
            <c:numRef>
              <c:f>'Экспоненциальная'!$G$19:$G$48</c:f>
              <c:numCache>
                <c:formatCode>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yyyy-mm-dd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100" b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48672768"/>
        <c:auto val="1"/>
      </c:date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100" b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Уровень, см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100" b="0">
                  <a:solidFill>
                    <a:srgbClr val="000000"/>
                  </a:solidFill>
                  <a:latin typeface="Calibri"/>
                  <a:ea typeface="Calibri"/>
                  <a:cs typeface="Calibri"/>
                </a:defRPr>
              </a:pPr>
            </a:p>
          </c:txPr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100" b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00" b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11</xdr:row>
      <xdr:rowOff>0</xdr:rowOff>
    </xdr:from>
    <xdr:to>
      <xdr:col>15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41d1181e66f4a02"/>
        </a:graphicData>
      </a:graphic>
    </xdr:graphicFrame>
    <xdr:clientData/>
  </xdr:twoCellAnchor>
  <xdr:twoCellAnchor>
    <xdr:from>
      <xdr:col>7</xdr:col>
      <xdr:colOff>0</xdr:colOff>
      <xdr:row>29</xdr:row>
      <xdr:rowOff>0</xdr:rowOff>
    </xdr:from>
    <xdr:to>
      <xdr:col>17</xdr:col>
      <xdr:colOff>0</xdr:colOff>
      <xdr:row>52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6d7be08ac5043c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9</xdr:col>
      <xdr:colOff>0</xdr:colOff>
      <xdr:row>0</xdr:row>
      <xdr:rowOff>0</xdr:rowOff>
    </xdr:from>
    <xdr:to>
      <xdr:col>17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d3496c8f95b43c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9</xdr:col>
      <xdr:colOff>0</xdr:colOff>
      <xdr:row>0</xdr:row>
      <xdr:rowOff>0</xdr:rowOff>
    </xdr:from>
    <xdr:to>
      <xdr:col>17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d9dbf8074a94799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9</xdr:col>
      <xdr:colOff>0</xdr:colOff>
      <xdr:row>0</xdr:row>
      <xdr:rowOff>0</xdr:rowOff>
    </xdr:from>
    <xdr:to>
      <xdr:col>17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0b3ad99385e4edf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9</xdr:col>
      <xdr:colOff>0</xdr:colOff>
      <xdr:row>0</xdr:row>
      <xdr:rowOff>0</xdr:rowOff>
    </xdr:from>
    <xdr:to>
      <xdr:col>17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1c5ca849add4000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>
  <xdr:twoCellAnchor>
    <xdr:from>
      <xdr:col>9</xdr:col>
      <xdr:colOff>0</xdr:colOff>
      <xdr:row>0</xdr:row>
      <xdr:rowOff>0</xdr:rowOff>
    </xdr:from>
    <xdr:to>
      <xdr:col>17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b1b54298b244e5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ad9210261f447c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c8906ba9d1c247c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b1ea3b90595443b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904307f71e7745f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5.xml" Id="Rfa1e1a032e724fa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6.xml" Id="R09506159b9e54b12" /></Relationships>
</file>

<file path=xl/worksheets/sheet1.xml><?xml version="1.0" encoding="utf-8"?>
<x:worksheet xmlns:x="http://schemas.openxmlformats.org/spreadsheetml/2006/main">
  <x:sheetPr>
    <x:tabColor rgb="FFFFFFFF"/>
  </x:sheetPr>
  <x:sheetViews>
    <x:sheetView showGridLines="1" workbookViewId="0">
      <x:pane ySplit="2" topLeftCell="A3" activePane="bottomLeft" state="frozen"/>
    </x:sheetView>
  </x:sheetViews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2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</x:cols>
  <x:sheetData>
    <x:row r="1" ht="15" customHeight="1">
      <x:c r="A1" s="3" t="str">
        <x:v>Уровень воды — сезонность по месяцам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 t="str">
        <x:v>amur_khabarovsk_clean_2002-2026.csv</x:v>
      </x:c>
      <x:c r="S1" s="3"/>
      <x:c r="T1" s="3"/>
    </x:row>
    <x:row r="2" ht="30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14" t="str">
        <x:v>Дата</x:v>
      </x:c>
      <x:c r="S2" s="14" t="str">
        <x:v>Уровень, см</x:v>
      </x:c>
      <x:c r="T2" s="14" t="str">
        <x:v>Флаг заполнения</x:v>
      </x:c>
    </x:row>
    <x:row r="3" ht="30" customHeight="1">
      <x:c r="A3" s="8" t="str">
        <x:v>Горизонт, дней</x:v>
      </x:c>
      <x:c r="B3" s="9" t="n">
        <x:v>30</x:v>
      </x:c>
      <x:c r="C3" s="3"/>
      <x:c r="D3" s="15" t="str">
        <x:v>Модель</x:v>
      </x:c>
      <x:c r="E3" s="15" t="str">
        <x:v>R² обучения</x:v>
      </x:c>
      <x:c r="F3" s="15" t="str">
        <x:v>MAE, см</x:v>
      </x:c>
      <x:c r="G3" s="15" t="str">
        <x:v>S (RMSE), см</x:v>
      </x:c>
      <x:c r="H3" s="15" t="str">
        <x:v>NSE</x:v>
      </x:c>
      <x:c r="I3" s="15" t="str">
        <x:v>S/σΔ</x:v>
      </x:c>
      <x:c r="J3" s="15" t="str">
        <x:v>P%</x:v>
      </x:c>
      <x:c r="K3" s="15" t="str">
        <x:v>σΔ, см</x:v>
      </x:c>
      <x:c r="L3" s="3"/>
      <x:c r="M3" s="3"/>
      <x:c r="N3" s="3"/>
      <x:c r="O3" s="3"/>
      <x:c r="P3" s="3"/>
      <x:c r="Q3" s="3"/>
      <x:c r="R3" s="7" t="n">
        <x:v>45841</x:v>
      </x:c>
      <x:c r="S3" s="3" t="n">
        <x:v>213</x:v>
      </x:c>
      <x:c r="T3" s="4" t="n">
        <x:v>0</x:v>
      </x:c>
    </x:row>
    <x:row r="4" ht="15" customHeight="1">
      <x:c r="A4" s="8" t="str">
        <x:v>Данные до</x:v>
      </x:c>
      <x:c r="B4" s="10" t="n">
        <x:v>46235</x:v>
      </x:c>
      <x:c r="C4" s="3"/>
      <x:c r="D4" s="8" t="str">
        <x:v>Полином 2</x:v>
      </x:c>
      <x:c r="E4" s="12" t="n">
        <x:f>'Полином 2'!G4</x:f>
        <x:v>0.6011431731630837</x:v>
      </x:c>
      <x:c r="F4" s="8" t="n">
        <x:f>'Полином 2'!G5</x:f>
        <x:v>55.13553752884059</x:v>
      </x:c>
      <x:c r="G4" s="8" t="n">
        <x:f>'Полином 2'!G6</x:f>
        <x:v>68.31911419413437</x:v>
      </x:c>
      <x:c r="H4" s="12" t="n">
        <x:f>'Полином 2'!G7</x:f>
        <x:v>0.7360233427506455</x:v>
      </x:c>
      <x:c r="I4" s="12" t="n">
        <x:f>'Полином 2'!G8</x:f>
        <x:v>6.242230212237948</x:v>
      </x:c>
      <x:c r="J4" s="18" t="n">
        <x:f>'Полином 2'!G9</x:f>
        <x:v>0.07323943661971831</x:v>
      </x:c>
      <x:c r="K4" s="8" t="n">
        <x:f>'Полином 2'!G10</x:f>
        <x:v>10.944664306067107</x:v>
      </x:c>
      <x:c r="L4" s="3"/>
      <x:c r="M4" s="3"/>
      <x:c r="N4" s="3"/>
      <x:c r="O4" s="3"/>
      <x:c r="P4" s="3"/>
      <x:c r="Q4" s="3"/>
      <x:c r="R4" s="7" t="n">
        <x:v>45842</x:v>
      </x:c>
      <x:c r="S4" s="3" t="n">
        <x:v>201</x:v>
      </x:c>
      <x:c r="T4" s="4" t="n">
        <x:v>0</x:v>
      </x:c>
    </x:row>
    <x:row r="5" ht="15" customHeight="1">
      <x:c r="A5" s="8" t="str">
        <x:v>Прогноз с</x:v>
      </x:c>
      <x:c r="B5" s="10" t="n">
        <x:f>B4+1</x:f>
        <x:v>46236</x:v>
      </x:c>
      <x:c r="C5" s="3"/>
      <x:c r="D5" s="8" t="str">
        <x:v>Полином 3</x:v>
      </x:c>
      <x:c r="E5" s="12" t="n">
        <x:f>'Полином 3'!G4</x:f>
        <x:v>0.60227003680081</x:v>
      </x:c>
      <x:c r="F5" s="8" t="n">
        <x:f>'Полином 3'!G5</x:f>
        <x:v>47.22573907990182</x:v>
      </x:c>
      <x:c r="G5" s="8" t="n">
        <x:f>'Полином 3'!G6</x:f>
        <x:v>63.16533633150227</x:v>
      </x:c>
      <x:c r="H5" s="12" t="n">
        <x:f>'Полином 3'!G7</x:f>
        <x:v>0.774348254459224</x:v>
      </x:c>
      <x:c r="I5" s="12" t="n">
        <x:f>'Полином 3'!G8</x:f>
        <x:v>5.771336110919999</x:v>
      </x:c>
      <x:c r="J5" s="18" t="n">
        <x:f>'Полином 3'!G9</x:f>
        <x:v>0.17746478873239438</x:v>
      </x:c>
      <x:c r="K5" s="8" t="n">
        <x:f>'Полином 3'!G10</x:f>
        <x:v>10.944664306067107</x:v>
      </x:c>
      <x:c r="L5" s="3"/>
      <x:c r="M5" s="3"/>
      <x:c r="N5" s="3"/>
      <x:c r="O5" s="3"/>
      <x:c r="P5" s="3"/>
      <x:c r="Q5" s="3"/>
      <x:c r="R5" s="7" t="n">
        <x:v>45843</x:v>
      </x:c>
      <x:c r="S5" s="3" t="n">
        <x:v>190</x:v>
      </x:c>
      <x:c r="T5" s="4" t="n">
        <x:v>0</x:v>
      </x:c>
    </x:row>
    <x:row r="6" ht="15" customHeight="1">
      <x:c r="A6" s="8" t="str">
        <x:v>n обучения</x:v>
      </x:c>
      <x:c r="B6" s="11" t="n">
        <x:v>8595</x:v>
      </x:c>
      <x:c r="C6" s="3"/>
      <x:c r="D6" s="8" t="str">
        <x:v>Степенная</x:v>
      </x:c>
      <x:c r="E6" s="12" t="n">
        <x:f>'Степенная'!G4</x:f>
        <x:v>0.5836477326108035</x:v>
      </x:c>
      <x:c r="F6" s="8" t="n">
        <x:f>'Степенная'!G5</x:f>
        <x:v>81.4488361343349</x:v>
      </x:c>
      <x:c r="G6" s="8" t="n">
        <x:f>'Степенная'!G6</x:f>
        <x:v>89.78817625397453</x:v>
      </x:c>
      <x:c r="H6" s="12" t="n">
        <x:f>'Степенная'!G7</x:f>
        <x:v>0.5440477403893776</x:v>
      </x:c>
      <x:c r="I6" s="12" t="n">
        <x:f>'Степенная'!G8</x:f>
        <x:v>8.203830994085493</x:v>
      </x:c>
      <x:c r="J6" s="18" t="n">
        <x:f>'Степенная'!G9</x:f>
        <x:v>0.011267605633802818</x:v>
      </x:c>
      <x:c r="K6" s="8" t="n">
        <x:f>'Степенная'!G10</x:f>
        <x:v>10.944664306067107</x:v>
      </x:c>
      <x:c r="L6" s="3"/>
      <x:c r="M6" s="3"/>
      <x:c r="N6" s="3"/>
      <x:c r="O6" s="3"/>
      <x:c r="P6" s="3"/>
      <x:c r="Q6" s="3"/>
      <x:c r="R6" s="7" t="n">
        <x:v>45844</x:v>
      </x:c>
      <x:c r="S6" s="3" t="n">
        <x:v>180</x:v>
      </x:c>
      <x:c r="T6" s="4" t="n">
        <x:v>0</x:v>
      </x:c>
    </x:row>
    <x:row r="7" ht="15" customHeight="1">
      <x:c r="A7" s="8" t="str">
        <x:v>Тест с</x:v>
      </x:c>
      <x:c r="B7" s="10" t="n">
        <x:v>45871</x:v>
      </x:c>
      <x:c r="C7" s="3"/>
      <x:c r="D7" s="8" t="str">
        <x:v>Логарифмическая</x:v>
      </x:c>
      <x:c r="E7" s="12" t="n">
        <x:f>'Логарифмическая'!G4</x:f>
        <x:v>0.5896826038145433</x:v>
      </x:c>
      <x:c r="F7" s="8" t="n">
        <x:f>'Логарифмическая'!G5</x:f>
        <x:v>56.81965053151343</x:v>
      </x:c>
      <x:c r="G7" s="8" t="n">
        <x:f>'Логарифмическая'!G6</x:f>
        <x:v>68.55933452362943</x:v>
      </x:c>
      <x:c r="H7" s="12" t="n">
        <x:f>'Логарифмическая'!G7</x:f>
        <x:v>0.734163715488092</x:v>
      </x:c>
      <x:c r="I7" s="12" t="n">
        <x:f>'Логарифмическая'!G8</x:f>
        <x:v>6.264178836953819</x:v>
      </x:c>
      <x:c r="J7" s="18" t="n">
        <x:f>'Логарифмическая'!G9</x:f>
        <x:v>0.059154929577464786</x:v>
      </x:c>
      <x:c r="K7" s="8" t="n">
        <x:f>'Логарифмическая'!G10</x:f>
        <x:v>10.944664306067107</x:v>
      </x:c>
      <x:c r="L7" s="3"/>
      <x:c r="M7" s="3"/>
      <x:c r="N7" s="3"/>
      <x:c r="O7" s="3"/>
      <x:c r="P7" s="3"/>
      <x:c r="Q7" s="3"/>
      <x:c r="R7" s="7" t="n">
        <x:v>45845</x:v>
      </x:c>
      <x:c r="S7" s="3" t="n">
        <x:v>170</x:v>
      </x:c>
      <x:c r="T7" s="4" t="n">
        <x:v>0</x:v>
      </x:c>
    </x:row>
    <x:row r="8" ht="15" customHeight="1">
      <x:c r="A8" s="8" t="str">
        <x:v>Тест по</x:v>
      </x:c>
      <x:c r="B8" s="10" t="n">
        <x:v>46235</x:v>
      </x:c>
      <x:c r="C8" s="3"/>
      <x:c r="D8" s="8" t="str">
        <x:v>Экспоненциальная</x:v>
      </x:c>
      <x:c r="E8" s="12" t="n">
        <x:f>'Экспоненциальная'!G4</x:f>
        <x:v>0.5653986090851157</x:v>
      </x:c>
      <x:c r="F8" s="8" t="n">
        <x:f>'Экспоненциальная'!G5</x:f>
        <x:v>93.01275464007968</x:v>
      </x:c>
      <x:c r="G8" s="8" t="n">
        <x:f>'Экспоненциальная'!G6</x:f>
        <x:v>100.81652702456745</x:v>
      </x:c>
      <x:c r="H8" s="12" t="n">
        <x:f>'Экспоненциальная'!G7</x:f>
        <x:v>0.42516323498190756</x:v>
      </x:c>
      <x:c r="I8" s="12" t="n">
        <x:f>'Экспоненциальная'!G8</x:f>
        <x:v>9.211477319471593</x:v>
      </x:c>
      <x:c r="J8" s="18" t="n">
        <x:f>'Экспоненциальная'!G9</x:f>
        <x:v>0.005633802816901409</x:v>
      </x:c>
      <x:c r="K8" s="8" t="n">
        <x:f>'Экспоненциальная'!G10</x:f>
        <x:v>10.944664306067107</x:v>
      </x:c>
      <x:c r="L8" s="3"/>
      <x:c r="M8" s="3"/>
      <x:c r="N8" s="3"/>
      <x:c r="O8" s="3"/>
      <x:c r="P8" s="3"/>
      <x:c r="Q8" s="3"/>
      <x:c r="R8" s="7" t="n">
        <x:v>45846</x:v>
      </x:c>
      <x:c r="S8" s="3" t="n">
        <x:v>165</x:v>
      </x:c>
      <x:c r="T8" s="4" t="n">
        <x:v>0</x:v>
      </x:c>
    </x:row>
    <x:row r="9" ht="15" customHeight="1">
      <x:c r="A9" s="8" t="str">
        <x:v>Единица уровня</x:v>
      </x:c>
      <x:c r="B9" s="8" t="str">
        <x:v>см</x:v>
      </x:c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7" t="n">
        <x:v>45847</x:v>
      </x:c>
      <x:c r="S9" s="3" t="n">
        <x:v>164</x:v>
      </x:c>
      <x:c r="T9" s="4" t="n">
        <x:v>0</x:v>
      </x:c>
    </x:row>
    <x:row r="10" ht="15" customHeight="1">
      <x:c r="A10" s="8" t="str">
        <x:v>n проверки</x:v>
      </x:c>
      <x:c r="B10" s="9" t="n">
        <x:f>'Полином 2'!G11</x:f>
        <x:v>355</x:v>
      </x:c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7" t="n">
        <x:v>45848</x:v>
      </x:c>
      <x:c r="S10" s="3" t="n">
        <x:v>164</x:v>
      </x:c>
      <x:c r="T10" s="4" t="n">
        <x:v>0</x:v>
      </x:c>
    </x:row>
    <x:row r="11" ht="15" customHeight="1">
      <x:c r="A11" s="8" t="str">
        <x:v>Оценка, суток</x:v>
      </x:c>
      <x:c r="B11" s="9" t="n">
        <x:v>1</x:v>
      </x:c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7" t="n">
        <x:v>45849</x:v>
      </x:c>
      <x:c r="S11" s="3" t="n">
        <x:v>167</x:v>
      </x:c>
      <x:c r="T11" s="4" t="n">
        <x:v>0</x:v>
      </x:c>
    </x:row>
    <x:row r="12" ht="15" customHeight="1">
      <x:c r="A12" s="8" t="str">
        <x:v>S/σΔ: хорошо</x:v>
      </x:c>
      <x:c r="B12" s="8" t="n">
        <x:v>0.5</x:v>
      </x:c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7" t="n">
        <x:v>45850</x:v>
      </x:c>
      <x:c r="S12" s="3" t="n">
        <x:v>170</x:v>
      </x:c>
      <x:c r="T12" s="4" t="n">
        <x:v>0</x:v>
      </x:c>
    </x:row>
    <x:row r="13" ht="15" customHeight="1">
      <x:c r="A13" s="8" t="str">
        <x:v>S/σΔ: удовл.</x:v>
      </x:c>
      <x:c r="B13" s="8" t="n">
        <x:v>0.8</x:v>
      </x:c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7" t="n">
        <x:v>45851</x:v>
      </x:c>
      <x:c r="S13" s="3" t="n">
        <x:v>178</x:v>
      </x:c>
      <x:c r="T13" s="4" t="n">
        <x:v>0</x:v>
      </x:c>
    </x:row>
    <x:row r="14" ht="15" customHeight="1">
      <x:c r="A14" s="8" t="str">
        <x:v>Коэф. допуска</x:v>
      </x:c>
      <x:c r="B14" s="12" t="n">
        <x:v>0.674</x:v>
      </x:c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7" t="n">
        <x:v>45852</x:v>
      </x:c>
      <x:c r="S14" s="3" t="n">
        <x:v>185</x:v>
      </x:c>
      <x:c r="T14" s="4" t="n">
        <x:v>0</x:v>
      </x:c>
    </x:row>
    <x:row r="15" ht="15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7" t="n">
        <x:v>45853</x:v>
      </x:c>
      <x:c r="S15" s="3" t="n">
        <x:v>189</x:v>
      </x:c>
      <x:c r="T15" s="4" t="n">
        <x:v>0</x:v>
      </x:c>
    </x:row>
    <x:row r="16" ht="15" customHeight="1">
      <x:c r="A16" s="3" t="str">
        <x:v>Прогноз</x:v>
      </x:c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7" t="n">
        <x:v>45854</x:v>
      </x:c>
      <x:c r="S16" s="3" t="n">
        <x:v>192</x:v>
      </x:c>
      <x:c r="T16" s="4" t="n">
        <x:v>0</x:v>
      </x:c>
    </x:row>
    <x:row r="17" ht="30" customHeight="1">
      <x:c r="A17" s="15" t="str">
        <x:v>Дата</x:v>
      </x:c>
      <x:c r="B17" s="15" t="str">
        <x:v>Полином 2</x:v>
      </x:c>
      <x:c r="C17" s="15" t="str">
        <x:v>Полином 3</x:v>
      </x:c>
      <x:c r="D17" s="15" t="str">
        <x:v>Степенная</x:v>
      </x:c>
      <x:c r="E17" s="15" t="str">
        <x:v>Логарифм.</x:v>
      </x:c>
      <x:c r="F17" s="15" t="str">
        <x:v>Экспонента</x:v>
      </x:c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7" t="n">
        <x:v>45855</x:v>
      </x:c>
      <x:c r="S17" s="3" t="n">
        <x:v>199</x:v>
      </x:c>
      <x:c r="T17" s="4" t="n">
        <x:v>0</x:v>
      </x:c>
    </x:row>
    <x:row r="18" ht="15" customHeight="1">
      <x:c r="A18" s="10" t="n">
        <x:f>IF(1&lt;=$B$3,$B$4+1,"")</x:f>
        <x:v>46236</x:v>
      </x:c>
      <x:c r="B18" s="8" t="n">
        <x:f>IF($A18="","",'Полином 2'!D19)</x:f>
        <x:v>317.3629526204652</x:v>
      </x:c>
      <x:c r="C18" s="8" t="n">
        <x:f>IF($A18="","",'Полином 3'!D19)</x:f>
        <x:v>302.07228327234435</x:v>
      </x:c>
      <x:c r="D18" s="8" t="n">
        <x:f>IF($A18="","",'Степенная'!D19)</x:f>
        <x:v>352.534826782374</x:v>
      </x:c>
      <x:c r="E18" s="8" t="n">
        <x:f>IF($A18="","",'Логарифмическая'!D19)</x:f>
        <x:v>326.3059604977349</x:v>
      </x:c>
      <x:c r="F18" s="8" t="n">
        <x:f>IF($A18="","",'Экспоненциальная'!D19)</x:f>
        <x:v>363.88214453604036</x:v>
      </x:c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7" t="n">
        <x:v>45856</x:v>
      </x:c>
      <x:c r="S18" s="3" t="n">
        <x:v>202</x:v>
      </x:c>
      <x:c r="T18" s="4" t="n">
        <x:v>0</x:v>
      </x:c>
    </x:row>
    <x:row r="19" ht="15" customHeight="1">
      <x:c r="A19" s="10" t="n">
        <x:f>IF(2&lt;=$B$3,$B$4+2,"")</x:f>
        <x:v>46237</x:v>
      </x:c>
      <x:c r="B19" s="8" t="n">
        <x:f>IF($A19="","",'Полином 2'!D20)</x:f>
        <x:v>317.35177080212964</x:v>
      </x:c>
      <x:c r="C19" s="8" t="n">
        <x:f>IF($A19="","",'Полином 3'!D20)</x:f>
        <x:v>302.0407810481026</x:v>
      </x:c>
      <x:c r="D19" s="8" t="n">
        <x:f>IF($A19="","",'Степенная'!D20)</x:f>
        <x:v>352.55018426682363</x:v>
      </x:c>
      <x:c r="E19" s="8" t="n">
        <x:f>IF($A19="","",'Логарифмическая'!D20)</x:f>
        <x:v>326.3115300031604</x:v>
      </x:c>
      <x:c r="F19" s="8" t="n">
        <x:f>IF($A19="","",'Экспоненциальная'!D20)</x:f>
        <x:v>363.9130189265935</x:v>
      </x:c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7" t="n">
        <x:v>45857</x:v>
      </x:c>
      <x:c r="S19" s="3" t="n">
        <x:v>227</x:v>
      </x:c>
      <x:c r="T19" s="4" t="n">
        <x:v>0</x:v>
      </x:c>
    </x:row>
    <x:row r="20" ht="15" customHeight="1">
      <x:c r="A20" s="10" t="n">
        <x:f>IF(3&lt;=$B$3,$B$4+3,"")</x:f>
        <x:v>46238</x:v>
      </x:c>
      <x:c r="B20" s="8" t="n">
        <x:f>IF($A20="","",'Полином 2'!D21)</x:f>
        <x:v>317.34058225894387</x:v>
      </x:c>
      <x:c r="C20" s="8" t="n">
        <x:f>IF($A20="","",'Полином 3'!D21)</x:f>
        <x:v>302.00926077726</x:v>
      </x:c>
      <x:c r="D20" s="8" t="n">
        <x:f>IF($A20="","",'Степенная'!D21)</x:f>
        <x:v>352.5655417272783</x:v>
      </x:c>
      <x:c r="E20" s="8" t="n">
        <x:f>IF($A20="","",'Логарифмическая'!D21)</x:f>
        <x:v>326.3170988884773</x:v>
      </x:c>
      <x:c r="F20" s="8" t="n">
        <x:f>IF($A20="","",'Экспоненциальная'!D21)</x:f>
        <x:v>363.94389963719163</x:v>
      </x:c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7" t="n">
        <x:v>45858</x:v>
      </x:c>
      <x:c r="S20" s="3" t="n">
        <x:v>236</x:v>
      </x:c>
      <x:c r="T20" s="4" t="n">
        <x:v>0</x:v>
      </x:c>
    </x:row>
    <x:row r="21" ht="15" customHeight="1">
      <x:c r="A21" s="10" t="n">
        <x:f>IF(4&lt;=$B$3,$B$4+4,"")</x:f>
        <x:v>46239</x:v>
      </x:c>
      <x:c r="B21" s="8" t="n">
        <x:f>IF($A21="","",'Полином 2'!D22)</x:f>
        <x:v>317.3293869909078</x:v>
      </x:c>
      <x:c r="C21" s="8" t="n">
        <x:f>IF($A21="","",'Полином 3'!D22)</x:f>
        <x:v>301.97772245729607</x:v>
      </x:c>
      <x:c r="D21" s="8" t="n">
        <x:f>IF($A21="","",'Степенная'!D22)</x:f>
        <x:v>352.58089916374075</x:v>
      </x:c>
      <x:c r="E21" s="8" t="n">
        <x:f>IF($A21="","",'Логарифмическая'!D22)</x:f>
        <x:v>326.3226671538237</x:v>
      </x:c>
      <x:c r="F21" s="8" t="n">
        <x:f>IF($A21="","",'Экспоненциальная'!D22)</x:f>
        <x:v>363.97478666912855</x:v>
      </x:c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7" t="n">
        <x:v>45859</x:v>
      </x:c>
      <x:c r="S21" s="3" t="n">
        <x:v>233</x:v>
      </x:c>
      <x:c r="T21" s="4" t="n">
        <x:v>0</x:v>
      </x:c>
    </x:row>
    <x:row r="22" ht="15" customHeight="1">
      <x:c r="A22" s="10" t="n">
        <x:f>IF(5&lt;=$B$3,$B$4+5,"")</x:f>
        <x:v>46240</x:v>
      </x:c>
      <x:c r="B22" s="8" t="n">
        <x:f>IF($A22="","",'Полином 2'!D23)</x:f>
        <x:v>317.3181849980214</x:v>
      </x:c>
      <x:c r="C22" s="8" t="n">
        <x:f>IF($A22="","",'Полином 3'!D23)</x:f>
        <x:v>301.94616608569004</x:v>
      </x:c>
      <x:c r="D22" s="8" t="n">
        <x:f>IF($A22="","",'Степенная'!D23)</x:f>
        <x:v>352.5962565762136</x:v>
      </x:c>
      <x:c r="E22" s="8" t="n">
        <x:f>IF($A22="","",'Логарифмическая'!D23)</x:f>
        <x:v>326.3282347993376</x:v>
      </x:c>
      <x:c r="F22" s="8" t="n">
        <x:f>IF($A22="","",'Экспоненциальная'!D23)</x:f>
        <x:v>364.0056800236981</x:v>
      </x:c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7" t="n">
        <x:v>45860</x:v>
      </x:c>
      <x:c r="S22" s="3" t="n">
        <x:v>223</x:v>
      </x:c>
      <x:c r="T22" s="4" t="n">
        <x:v>0</x:v>
      </x:c>
    </x:row>
    <x:row r="23" ht="15" customHeight="1">
      <x:c r="A23" s="10" t="n">
        <x:f>IF(6&lt;=$B$3,$B$4+6,"")</x:f>
        <x:v>46241</x:v>
      </x:c>
      <x:c r="B23" s="8" t="n">
        <x:f>IF($A23="","",'Полином 2'!D24)</x:f>
        <x:v>317.30697628028474</x:v>
      </x:c>
      <x:c r="C23" s="8" t="n">
        <x:f>IF($A23="","",'Полином 3'!D24)</x:f>
        <x:v>301.91459165992137</x:v>
      </x:c>
      <x:c r="D23" s="8" t="n">
        <x:f>IF($A23="","",'Степенная'!D24)</x:f>
        <x:v>352.6116139646997</x:v>
      </x:c>
      <x:c r="E23" s="8" t="n">
        <x:f>IF($A23="","",'Логарифмическая'!D24)</x:f>
        <x:v>326.33380182515697</x:v>
      </x:c>
      <x:c r="F23" s="8" t="n">
        <x:f>IF($A23="","",'Экспоненциальная'!D24)</x:f>
        <x:v>364.0365797021946</x:v>
      </x:c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7" t="n">
        <x:v>45861</x:v>
      </x:c>
      <x:c r="S23" s="3" t="n">
        <x:v>205</x:v>
      </x:c>
      <x:c r="T23" s="4" t="n">
        <x:v>0</x:v>
      </x:c>
    </x:row>
    <x:row r="24" ht="15" customHeight="1">
      <x:c r="A24" s="10" t="n">
        <x:f>IF(7&lt;=$B$3,$B$4+7,"")</x:f>
        <x:v>46242</x:v>
      </x:c>
      <x:c r="B24" s="8" t="n">
        <x:f>IF($A24="","",'Полином 2'!D25)</x:f>
        <x:v>317.2957608376978</x:v>
      </x:c>
      <x:c r="C24" s="8" t="n">
        <x:f>IF($A24="","",'Полином 3'!D25)</x:f>
        <x:v>301.8829991774695</x:v>
      </x:c>
      <x:c r="D24" s="8" t="n">
        <x:f>IF($A24="","",'Степенная'!D25)</x:f>
        <x:v>352.62697132920164</x:v>
      </x:c>
      <x:c r="E24" s="8" t="n">
        <x:f>IF($A24="","",'Логарифмическая'!D25)</x:f>
        <x:v>326.3393682314197</x:v>
      </x:c>
      <x:c r="F24" s="8" t="n">
        <x:f>IF($A24="","",'Экспоненциальная'!D25)</x:f>
        <x:v>364.06748570591265</x:v>
      </x:c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7" t="n">
        <x:v>45862</x:v>
      </x:c>
      <x:c r="S24" s="3" t="n">
        <x:v>193</x:v>
      </x:c>
      <x:c r="T24" s="4" t="n">
        <x:v>0</x:v>
      </x:c>
    </x:row>
    <x:row r="25" ht="15" customHeight="1">
      <x:c r="A25" s="10" t="n">
        <x:f>IF(8&lt;=$B$3,$B$4+8,"")</x:f>
        <x:v>46243</x:v>
      </x:c>
      <x:c r="B25" s="8" t="n">
        <x:f>IF($A25="","",'Полином 2'!D26)</x:f>
        <x:v>317.28453867026064</x:v>
      </x:c>
      <x:c r="C25" s="8" t="n">
        <x:f>IF($A25="","",'Полином 3'!D26)</x:f>
        <x:v>301.8513886358138</x:v>
      </x:c>
      <x:c r="D25" s="8" t="n">
        <x:f>IF($A25="","",'Степенная'!D26)</x:f>
        <x:v>352.6423286697222</x:v>
      </x:c>
      <x:c r="E25" s="8" t="n">
        <x:f>IF($A25="","",'Логарифмическая'!D26)</x:f>
        <x:v>326.34493401826376</x:v>
      </x:c>
      <x:c r="F25" s="8" t="n">
        <x:f>IF($A25="","",'Экспоненциальная'!D26)</x:f>
        <x:v>364.09839803614693</x:v>
      </x:c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7" t="n">
        <x:v>45863</x:v>
      </x:c>
      <x:c r="S25" s="3" t="n">
        <x:v>179</x:v>
      </x:c>
      <x:c r="T25" s="4" t="n">
        <x:v>0</x:v>
      </x:c>
    </x:row>
    <x:row r="26" ht="15" customHeight="1">
      <x:c r="A26" s="10" t="n">
        <x:f>IF(9&lt;=$B$3,$B$4+9,"")</x:f>
        <x:v>46244</x:v>
      </x:c>
      <x:c r="B26" s="8" t="n">
        <x:f>IF($A26="","",'Полином 2'!D27)</x:f>
        <x:v>317.2733097779731</x:v>
      </x:c>
      <x:c r="C26" s="8" t="n">
        <x:f>IF($A26="","",'Полином 3'!D27)</x:f>
        <x:v>301.8197600324336</x:v>
      </x:c>
      <x:c r="D26" s="8" t="n">
        <x:f>IF($A26="","",'Степенная'!D27)</x:f>
        <x:v>352.657685986264</x:v>
      </x:c>
      <x:c r="E26" s="8" t="n">
        <x:f>IF($A26="","",'Логарифмическая'!D27)</x:f>
        <x:v>326.35049918582695</x:v>
      </x:c>
      <x:c r="F26" s="8" t="n">
        <x:f>IF($A26="","",'Экспоненциальная'!D27)</x:f>
        <x:v>364.1293166941924</x:v>
      </x:c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7" t="n">
        <x:v>45864</x:v>
      </x:c>
      <x:c r="S26" s="3" t="n">
        <x:v>172</x:v>
      </x:c>
      <x:c r="T26" s="4" t="n">
        <x:v>0</x:v>
      </x:c>
    </x:row>
    <x:row r="27" ht="15" customHeight="1">
      <x:c r="A27" s="10" t="n">
        <x:f>IF(10&lt;=$B$3,$B$4+10,"")</x:f>
        <x:v>46245</x:v>
      </x:c>
      <x:c r="B27" s="8" t="n">
        <x:f>IF($A27="","",'Полином 2'!D28)</x:f>
        <x:v>317.2620741608353</x:v>
      </x:c>
      <x:c r="C27" s="8" t="n">
        <x:f>IF($A27="","",'Полином 3'!D28)</x:f>
        <x:v>301.78811336480834</x:v>
      </x:c>
      <x:c r="D27" s="8" t="n">
        <x:f>IF($A27="","",'Степенная'!D28)</x:f>
        <x:v>352.6730432788298</x:v>
      </x:c>
      <x:c r="E27" s="8" t="n">
        <x:f>IF($A27="","",'Логарифмическая'!D28)</x:f>
        <x:v>326.356063734247</x:v>
      </x:c>
      <x:c r="F27" s="8" t="n">
        <x:f>IF($A27="","",'Экспоненциальная'!D28)</x:f>
        <x:v>364.1602416813447</x:v>
      </x:c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7" t="n">
        <x:v>45865</x:v>
      </x:c>
      <x:c r="S27" s="3" t="n">
        <x:v>168</x:v>
      </x:c>
      <x:c r="T27" s="4" t="n">
        <x:v>0</x:v>
      </x:c>
    </x:row>
    <x:row r="28" ht="15" customHeight="1">
      <x:c r="A28" s="10" t="n">
        <x:f>IF(11&lt;=$B$3,$B$4+11,"")</x:f>
        <x:v>46246</x:v>
      </x:c>
      <x:c r="B28" s="8" t="n">
        <x:f>IF($A28="","",'Полином 2'!D29)</x:f>
        <x:v>317.25083181884725</x:v>
      </x:c>
      <x:c r="C28" s="8" t="n">
        <x:f>IF($A28="","",'Полином 3'!D29)</x:f>
        <x:v>301.75644863041737</x:v>
      </x:c>
      <x:c r="D28" s="8" t="n">
        <x:f>IF($A28="","",'Степенная'!D29)</x:f>
        <x:v>352.68840054742236</x:v>
      </x:c>
      <x:c r="E28" s="8" t="n">
        <x:f>IF($A28="","",'Логарифмическая'!D29)</x:f>
        <x:v>326.3616276636618</x:v>
      </x:c>
      <x:c r="F28" s="8" t="n">
        <x:f>IF($A28="","",'Экспоненциальная'!D29)</x:f>
        <x:v>364.1911729988991</x:v>
      </x:c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7" t="n">
        <x:v>45866</x:v>
      </x:c>
      <x:c r="S28" s="3" t="n">
        <x:v>166</x:v>
      </x:c>
      <x:c r="T28" s="4" t="n">
        <x:v>0</x:v>
      </x:c>
    </x:row>
    <x:row r="29" ht="15" customHeight="1">
      <x:c r="A29" s="10" t="n">
        <x:f>IF(12&lt;=$B$3,$B$4+12,"")</x:f>
        <x:v>46247</x:v>
      </x:c>
      <x:c r="B29" s="8" t="n">
        <x:f>IF($A29="","",'Полином 2'!D30)</x:f>
        <x:v>317.2395827520089</x:v>
      </x:c>
      <x:c r="C29" s="8" t="n">
        <x:f>IF($A29="","",'Полином 3'!D30)</x:f>
        <x:v>301.72476582674017</x:v>
      </x:c>
      <x:c r="D29" s="8" t="n">
        <x:f>IF($A29="","",'Степенная'!D30)</x:f>
        <x:v>352.70375779204426</x:v>
      </x:c>
      <x:c r="E29" s="8" t="n">
        <x:f>IF($A29="","",'Логарифмическая'!D30)</x:f>
        <x:v>326.3671909742089</x:v>
      </x:c>
      <x:c r="F29" s="8" t="n">
        <x:f>IF($A29="","",'Экспоненциальная'!D30)</x:f>
        <x:v>364.22211064815156</x:v>
      </x:c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7" t="n">
        <x:v>45867</x:v>
      </x:c>
      <x:c r="S29" s="3" t="n">
        <x:v>167</x:v>
      </x:c>
      <x:c r="T29" s="4" t="n">
        <x:v>0</x:v>
      </x:c>
    </x:row>
    <x:row r="30" ht="15" customHeight="1">
      <x:c r="A30" s="10" t="n">
        <x:f>IF(13&lt;=$B$3,$B$4+13,"")</x:f>
        <x:v>46248</x:v>
      </x:c>
      <x:c r="B30" s="8" t="n">
        <x:f>IF($A30="","",'Полином 2'!D31)</x:f>
        <x:v>317.22832696032026</x:v>
      </x:c>
      <x:c r="C30" s="8" t="n">
        <x:f>IF($A30="","",'Полином 3'!D31)</x:f>
        <x:v>301.69306495125596</x:v>
      </x:c>
      <x:c r="D30" s="8" t="n">
        <x:f>IF($A30="","",'Степенная'!D31)</x:f>
        <x:v>352.71911501269835</x:v>
      </x:c>
      <x:c r="E30" s="8" t="n">
        <x:f>IF($A30="","",'Логарифмическая'!D31)</x:f>
        <x:v>326.37275366602603</x:v>
      </x:c>
      <x:c r="F30" s="8" t="n">
        <x:f>IF($A30="","",'Экспоненциальная'!D31)</x:f>
        <x:v>364.2530546303982</x:v>
      </x:c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7" t="n">
        <x:v>45868</x:v>
      </x:c>
      <x:c r="S30" s="3" t="n">
        <x:v>175</x:v>
      </x:c>
      <x:c r="T30" s="4" t="n">
        <x:v>0</x:v>
      </x:c>
    </x:row>
    <x:row r="31" ht="15" customHeight="1">
      <x:c r="A31" s="10" t="n">
        <x:f>IF(14&lt;=$B$3,$B$4+14,"")</x:f>
        <x:v>46249</x:v>
      </x:c>
      <x:c r="B31" s="8" t="n">
        <x:f>IF($A31="","",'Полином 2'!D32)</x:f>
        <x:v>317.2170644437813</x:v>
      </x:c>
      <x:c r="C31" s="8" t="n">
        <x:f>IF($A31="","",'Полином 3'!D32)</x:f>
        <x:v>301.66134600144426</x:v>
      </x:c>
      <x:c r="D31" s="8" t="n">
        <x:f>IF($A31="","",'Степенная'!D32)</x:f>
        <x:v>352.73447220938715</x:v>
      </x:c>
      <x:c r="E31" s="8" t="n">
        <x:f>IF($A31="","",'Логарифмическая'!D32)</x:f>
        <x:v>326.3783157392508</x:v>
      </x:c>
      <x:c r="F31" s="8" t="n">
        <x:f>IF($A31="","",'Экспоненциальная'!D32)</x:f>
        <x:v>364.2840049469353</x:v>
      </x:c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7" t="n">
        <x:v>45869</x:v>
      </x:c>
      <x:c r="S31" s="3" t="n">
        <x:v>183</x:v>
      </x:c>
      <x:c r="T31" s="4" t="n">
        <x:v>0</x:v>
      </x:c>
    </x:row>
    <x:row r="32" ht="15" customHeight="1">
      <x:c r="A32" s="10" t="n">
        <x:f>IF(15&lt;=$B$3,$B$4+15,"")</x:f>
        <x:v>46250</x:v>
      </x:c>
      <x:c r="B32" s="8" t="n">
        <x:f>IF($A32="","",'Полином 2'!D33)</x:f>
        <x:v>317.2057952023921</x:v>
      </x:c>
      <x:c r="C32" s="8" t="n">
        <x:f>IF($A32="","",'Полином 3'!D33)</x:f>
        <x:v>301.62960897478445</x:v>
      </x:c>
      <x:c r="D32" s="8" t="n">
        <x:f>IF($A32="","",'Степенная'!D33)</x:f>
        <x:v>352.74982938211355</x:v>
      </x:c>
      <x:c r="E32" s="8" t="n">
        <x:f>IF($A32="","",'Логарифмическая'!D33)</x:f>
        <x:v>326.38387719402084</x:v>
      </x:c>
      <x:c r="F32" s="8" t="n">
        <x:f>IF($A32="","",'Экспоненциальная'!D33)</x:f>
        <x:v>364.31496159905953</x:v>
      </x:c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7" t="n">
        <x:v>45870</x:v>
      </x:c>
      <x:c r="S32" s="3" t="n">
        <x:v>193</x:v>
      </x:c>
      <x:c r="T32" s="4" t="n">
        <x:v>0</x:v>
      </x:c>
    </x:row>
    <x:row r="33" ht="15" customHeight="1">
      <x:c r="A33" s="10" t="n">
        <x:f>IF(16&lt;=$B$3,$B$4+16,"")</x:f>
        <x:v>46251</x:v>
      </x:c>
      <x:c r="B33" s="8" t="n">
        <x:f>IF($A33="","",'Полином 2'!D34)</x:f>
        <x:v>317.1945192361526</x:v>
      </x:c>
      <x:c r="C33" s="8" t="n">
        <x:f>IF($A33="","",'Полином 3'!D34)</x:f>
        <x:v>301.5978538687558</x:v>
      </x:c>
      <x:c r="D33" s="8" t="n">
        <x:f>IF($A33="","",'Степенная'!D34)</x:f>
        <x:v>352.7651865308801</x:v>
      </x:c>
      <x:c r="E33" s="8" t="n">
        <x:f>IF($A33="","",'Логарифмическая'!D34)</x:f>
        <x:v>326.3894380304735</x:v>
      </x:c>
      <x:c r="F33" s="8" t="n">
        <x:f>IF($A33="","",'Экспоненциальная'!D34)</x:f>
        <x:v>364.34592458806793</x:v>
      </x:c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7" t="n">
        <x:v>45871</x:v>
      </x:c>
      <x:c r="S33" s="3" t="n">
        <x:v>211</x:v>
      </x:c>
      <x:c r="T33" s="4" t="n">
        <x:v>0</x:v>
      </x:c>
    </x:row>
    <x:row r="34" ht="15" customHeight="1">
      <x:c r="A34" s="10" t="n">
        <x:f>IF(17&lt;=$B$3,$B$4+17,"")</x:f>
        <x:v>46252</x:v>
      </x:c>
      <x:c r="B34" s="8" t="n">
        <x:f>IF($A34="","",'Полином 2'!D35)</x:f>
        <x:v>317.1832365450628</x:v>
      </x:c>
      <x:c r="C34" s="8" t="n">
        <x:f>IF($A34="","",'Полином 3'!D35)</x:f>
        <x:v>301.5660806808379</x:v>
      </x:c>
      <x:c r="D34" s="8" t="n">
        <x:f>IF($A34="","",'Степенная'!D35)</x:f>
        <x:v>352.7805436556896</x:v>
      </x:c>
      <x:c r="E34" s="8" t="n">
        <x:f>IF($A34="","",'Логарифмическая'!D35)</x:f>
        <x:v>326.39499824874645</x:v>
      </x:c>
      <x:c r="F34" s="8" t="n">
        <x:f>IF($A34="","",'Экспоненциальная'!D35)</x:f>
        <x:v>364.3768939152576</x:v>
      </x:c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7" t="n">
        <x:v>45872</x:v>
      </x:c>
      <x:c r="S34" s="3" t="n">
        <x:v>229</x:v>
      </x:c>
      <x:c r="T34" s="4" t="n">
        <x:v>0</x:v>
      </x:c>
    </x:row>
    <x:row r="35" ht="15" customHeight="1">
      <x:c r="A35" s="10" t="n">
        <x:f>IF(18&lt;=$B$3,$B$4+18,"")</x:f>
        <x:v>46253</x:v>
      </x:c>
      <x:c r="B35" s="8" t="n">
        <x:f>IF($A35="","",'Полином 2'!D36)</x:f>
        <x:v>317.1719471291227</x:v>
      </x:c>
      <x:c r="C35" s="8" t="n">
        <x:f>IF($A35="","",'Полином 3'!D36)</x:f>
        <x:v>301.53428940850995</x:v>
      </x:c>
      <x:c r="D35" s="8" t="n">
        <x:f>IF($A35="","",'Степенная'!D36)</x:f>
        <x:v>352.7959007565447</x:v>
      </x:c>
      <x:c r="E35" s="8" t="n">
        <x:f>IF($A35="","",'Логарифмическая'!D36)</x:f>
        <x:v>326.400557848977</x:v>
      </x:c>
      <x:c r="F35" s="8" t="n">
        <x:f>IF($A35="","",'Экспоненциальная'!D36)</x:f>
        <x:v>364.407869581926</x:v>
      </x:c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7" t="n">
        <x:v>45873</x:v>
      </x:c>
      <x:c r="S35" s="3" t="n">
        <x:v>243</x:v>
      </x:c>
      <x:c r="T35" s="4" t="n">
        <x:v>0</x:v>
      </x:c>
    </x:row>
    <x:row r="36" ht="15" customHeight="1">
      <x:c r="A36" s="10" t="n">
        <x:f>IF(19&lt;=$B$3,$B$4+19,"")</x:f>
        <x:v>46254</x:v>
      </x:c>
      <x:c r="B36" s="8" t="n">
        <x:f>IF($A36="","",'Полином 2'!D37)</x:f>
        <x:v>317.16065098833235</x:v>
      </x:c>
      <x:c r="C36" s="8" t="n">
        <x:f>IF($A36="","",'Полином 3'!D37)</x:f>
        <x:v>301.5024800492514</x:v>
      </x:c>
      <x:c r="D36" s="8" t="n">
        <x:f>IF($A36="","",'Степенная'!D37)</x:f>
        <x:v>352.81125783344817</x:v>
      </x:c>
      <x:c r="E36" s="8" t="n">
        <x:f>IF($A36="","",'Логарифмическая'!D37)</x:f>
        <x:v>326.4061168313025</x:v>
      </x:c>
      <x:c r="F36" s="8" t="n">
        <x:f>IF($A36="","",'Экспоненциальная'!D37)</x:f>
        <x:v>364.43885158937064</x:v>
      </x:c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7" t="n">
        <x:v>45874</x:v>
      </x:c>
      <x:c r="S36" s="3" t="n">
        <x:v>249</x:v>
      </x:c>
      <x:c r="T36" s="4" t="n">
        <x:v>0</x:v>
      </x:c>
    </x:row>
    <x:row r="37" ht="15" customHeight="1">
      <x:c r="A37" s="10" t="n">
        <x:f>IF(20&lt;=$B$3,$B$4+20,"")</x:f>
        <x:v>46255</x:v>
      </x:c>
      <x:c r="B37" s="8" t="n">
        <x:f>IF($A37="","",'Полином 2'!D38)</x:f>
        <x:v>317.1493481226917</x:v>
      </x:c>
      <x:c r="C37" s="8" t="n">
        <x:f>IF($A37="","",'Полином 3'!D38)</x:f>
        <x:v>301.4706526005417</x:v>
      </x:c>
      <x:c r="D37" s="8" t="n">
        <x:f>IF($A37="","",'Степенная'!D38)</x:f>
        <x:v>352.82661488640264</x:v>
      </x:c>
      <x:c r="E37" s="8" t="n">
        <x:f>IF($A37="","",'Логарифмическая'!D38)</x:f>
        <x:v>326.4116751958603</x:v>
      </x:c>
      <x:c r="F37" s="8" t="n">
        <x:f>IF($A37="","",'Экспоненциальная'!D38)</x:f>
        <x:v>364.4698399388898</x:v>
      </x:c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7" t="n">
        <x:v>45875</x:v>
      </x:c>
      <x:c r="S37" s="3" t="n">
        <x:v>253</x:v>
      </x:c>
      <x:c r="T37" s="4" t="n">
        <x:v>0</x:v>
      </x:c>
    </x:row>
    <x:row r="38" ht="15" customHeight="1">
      <x:c r="A38" s="10" t="n">
        <x:f>IF(21&lt;=$B$3,$B$4+21,"")</x:f>
        <x:v>46256</x:v>
      </x:c>
      <x:c r="B38" s="8" t="n">
        <x:f>IF($A38="","",'Полином 2'!D39)</x:f>
        <x:v>317.13803853220077</x:v>
      </x:c>
      <x:c r="C38" s="8" t="n">
        <x:f>IF($A38="","",'Полином 3'!D39)</x:f>
        <x:v>301.4388070598602</x:v>
      </x:c>
      <x:c r="D38" s="8" t="n">
        <x:f>IF($A38="","",'Степенная'!D39)</x:f>
        <x:v>352.8419719154108</x:v>
      </x:c>
      <x:c r="E38" s="8" t="n">
        <x:f>IF($A38="","",'Логарифмическая'!D39)</x:f>
        <x:v>326.4172329427878</x:v>
      </x:c>
      <x:c r="F38" s="8" t="n">
        <x:f>IF($A38="","",'Экспоненциальная'!D39)</x:f>
        <x:v>364.5008346317815</x:v>
      </x:c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7" t="n">
        <x:v>45876</x:v>
      </x:c>
      <x:c r="S38" s="3" t="n">
        <x:v>259</x:v>
      </x:c>
      <x:c r="T38" s="4" t="n">
        <x:v>0</x:v>
      </x:c>
    </x:row>
    <x:row r="39" ht="15" customHeight="1">
      <x:c r="A39" s="10" t="n">
        <x:f>IF(22&lt;=$B$3,$B$4+22,"")</x:f>
        <x:v>46257</x:v>
      </x:c>
      <x:c r="B39" s="8" t="n">
        <x:f>IF($A39="","",'Полином 2'!D40)</x:f>
        <x:v>317.12672221685955</x:v>
      </x:c>
      <x:c r="C39" s="8" t="n">
        <x:f>IF($A39="","",'Полином 3'!D40)</x:f>
        <x:v>301.4069434246862</x:v>
      </x:c>
      <x:c r="D39" s="8" t="n">
        <x:f>IF($A39="","",'Степенная'!D40)</x:f>
        <x:v>352.85732892047537</x:v>
      </x:c>
      <x:c r="E39" s="8" t="n">
        <x:f>IF($A39="","",'Логарифмическая'!D40)</x:f>
        <x:v>326.42279007222214</x:v>
      </x:c>
      <x:c r="F39" s="8" t="n">
        <x:f>IF($A39="","",'Экспоненциальная'!D40)</x:f>
        <x:v>364.5318356693443</x:v>
      </x:c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7" t="n">
        <x:v>45877</x:v>
      </x:c>
      <x:c r="S39" s="3" t="n">
        <x:v>265</x:v>
      </x:c>
      <x:c r="T39" s="4" t="n">
        <x:v>0</x:v>
      </x:c>
    </x:row>
    <x:row r="40" ht="15" customHeight="1">
      <x:c r="A40" s="10" t="n">
        <x:f>IF(23&lt;=$B$3,$B$4+23,"")</x:f>
        <x:v>46258</x:v>
      </x:c>
      <x:c r="B40" s="8" t="n">
        <x:f>IF($A40="","",'Полином 2'!D41)</x:f>
        <x:v>317.1153991766681</x:v>
      </x:c>
      <x:c r="C40" s="8" t="n">
        <x:f>IF($A40="","",'Полином 3'!D41)</x:f>
        <x:v>301.3750616924992</x:v>
      </x:c>
      <x:c r="D40" s="8" t="n">
        <x:f>IF($A40="","",'Степенная'!D41)</x:f>
        <x:v>352.8726859015991</x:v>
      </x:c>
      <x:c r="E40" s="8" t="n">
        <x:f>IF($A40="","",'Логарифмическая'!D41)</x:f>
        <x:v>326.4283465843005</x:v>
      </x:c>
      <x:c r="F40" s="8" t="n">
        <x:f>IF($A40="","",'Экспоненциальная'!D41)</x:f>
        <x:v>364.56284305287693</x:v>
      </x:c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7" t="n">
        <x:v>45878</x:v>
      </x:c>
      <x:c r="S40" s="3" t="n">
        <x:v>276</x:v>
      </x:c>
      <x:c r="T40" s="4" t="n">
        <x:v>0</x:v>
      </x:c>
    </x:row>
    <x:row r="41" ht="15" customHeight="1">
      <x:c r="A41" s="10" t="n">
        <x:f>IF(24&lt;=$B$3,$B$4+24,"")</x:f>
        <x:v>46259</x:v>
      </x:c>
      <x:c r="B41" s="8" t="n">
        <x:f>IF($A41="","",'Полином 2'!D42)</x:f>
        <x:v>317.1040694116263</x:v>
      </x:c>
      <x:c r="C41" s="8" t="n">
        <x:f>IF($A41="","",'Полином 3'!D42)</x:f>
        <x:v>301.34316186077854</x:v>
      </x:c>
      <x:c r="D41" s="8" t="n">
        <x:f>IF($A41="","",'Степенная'!D42)</x:f>
        <x:v>352.88804285878456</x:v>
      </x:c>
      <x:c r="E41" s="8" t="n">
        <x:f>IF($A41="","",'Логарифмическая'!D42)</x:f>
        <x:v>326.43390247916017</x:v>
      </x:c>
      <x:c r="F41" s="8" t="n">
        <x:f>IF($A41="","",'Экспоненциальная'!D42)</x:f>
        <x:v>364.59385678367846</x:v>
      </x:c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7" t="n">
        <x:v>45879</x:v>
      </x:c>
      <x:c r="S41" s="3" t="n">
        <x:v>290</x:v>
      </x:c>
      <x:c r="T41" s="4" t="n">
        <x:v>0</x:v>
      </x:c>
    </x:row>
    <x:row r="42" ht="15" customHeight="1">
      <x:c r="A42" s="10" t="n">
        <x:f>IF(25&lt;=$B$3,$B$4+25,"")</x:f>
        <x:v>46260</x:v>
      </x:c>
      <x:c r="B42" s="8" t="n">
        <x:f>IF($A42="","",'Полином 2'!D43)</x:f>
        <x:v>317.09273292173424</x:v>
      </x:c>
      <x:c r="C42" s="8" t="n">
        <x:f>IF($A42="","",'Полином 3'!D43)</x:f>
        <x:v>301.3112439270036</x:v>
      </x:c>
      <x:c r="D42" s="8" t="n">
        <x:f>IF($A42="","",'Степенная'!D43)</x:f>
        <x:v>352.9033997920346</x:v>
      </x:c>
      <x:c r="E42" s="8" t="n">
        <x:f>IF($A42="","",'Логарифмическая'!D43)</x:f>
        <x:v>326.4394577569381</x:v>
      </x:c>
      <x:c r="F42" s="8" t="n">
        <x:f>IF($A42="","",'Экспоненциальная'!D43)</x:f>
        <x:v>364.62487686304826</x:v>
      </x:c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7" t="n">
        <x:v>45880</x:v>
      </x:c>
      <x:c r="S42" s="3" t="n">
        <x:v>303</x:v>
      </x:c>
      <x:c r="T42" s="4" t="n">
        <x:v>0</x:v>
      </x:c>
    </x:row>
    <x:row r="43" ht="15" customHeight="1">
      <x:c r="A43" s="10" t="n">
        <x:f>IF(26&lt;=$B$3,$B$4+26,"")</x:f>
        <x:v>46261</x:v>
      </x:c>
      <x:c r="B43" s="8" t="n">
        <x:f>IF($A43="","",'Полином 2'!D44)</x:f>
        <x:v>317.0813897069919</x:v>
      </x:c>
      <x:c r="C43" s="8" t="n">
        <x:f>IF($A43="","",'Полином 3'!D44)</x:f>
        <x:v>301.2793078886539</x:v>
      </x:c>
      <x:c r="D43" s="8" t="n">
        <x:f>IF($A43="","",'Степенная'!D44)</x:f>
        <x:v>352.9187567013518</x:v>
      </x:c>
      <x:c r="E43" s="8" t="n">
        <x:f>IF($A43="","",'Логарифмическая'!D44)</x:f>
        <x:v>326.4450124177714</x:v>
      </x:c>
      <x:c r="F43" s="8" t="n">
        <x:f>IF($A43="","",'Экспоненциальная'!D44)</x:f>
        <x:v>364.65590329228576</x:v>
      </x:c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7" t="n">
        <x:v>45881</x:v>
      </x:c>
      <x:c r="S43" s="3" t="n">
        <x:v>315</x:v>
      </x:c>
      <x:c r="T43" s="4" t="n">
        <x:v>0</x:v>
      </x:c>
    </x:row>
    <x:row r="44" ht="15" customHeight="1">
      <x:c r="A44" s="10" t="n">
        <x:f>IF(27&lt;=$B$3,$B$4+27,"")</x:f>
        <x:v>46262</x:v>
      </x:c>
      <x:c r="B44" s="8" t="n">
        <x:f>IF($A44="","",'Полином 2'!D45)</x:f>
        <x:v>317.07003976739924</x:v>
      </x:c>
      <x:c r="C44" s="8" t="n">
        <x:f>IF($A44="","",'Полином 3'!D45)</x:f>
        <x:v>301.2473537432085</x:v>
      </x:c>
      <x:c r="D44" s="8" t="n">
        <x:f>IF($A44="","",'Степенная'!D45)</x:f>
        <x:v>352.9341135867389</x:v>
      </x:c>
      <x:c r="E44" s="8" t="n">
        <x:f>IF($A44="","",'Логарифмическая'!D45)</x:f>
        <x:v>326.45056646179717</x:v>
      </x:c>
      <x:c r="F44" s="8" t="n">
        <x:f>IF($A44="","",'Экспоненциальная'!D45)</x:f>
        <x:v>364.68693607269086</x:v>
      </x:c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7" t="n">
        <x:v>45882</x:v>
      </x:c>
      <x:c r="S44" s="3" t="n">
        <x:v>323</x:v>
      </x:c>
      <x:c r="T44" s="4" t="n">
        <x:v>0</x:v>
      </x:c>
    </x:row>
    <x:row r="45" ht="15" customHeight="1">
      <x:c r="A45" s="10" t="n">
        <x:f>IF(28&lt;=$B$3,$B$4+28,"")</x:f>
        <x:v>46263</x:v>
      </x:c>
      <x:c r="B45" s="8" t="n">
        <x:f>IF($A45="","",'Полином 2'!D46)</x:f>
        <x:v>317.0586831029563</x:v>
      </x:c>
      <x:c r="C45" s="8" t="n">
        <x:f>IF($A45="","",'Полином 3'!D46)</x:f>
        <x:v>301.21538148814716</x:v>
      </x:c>
      <x:c r="D45" s="8" t="n">
        <x:f>IF($A45="","",'Степенная'!D46)</x:f>
        <x:v>352.94947044819855</x:v>
      </x:c>
      <x:c r="E45" s="8" t="n">
        <x:f>IF($A45="","",'Логарифмическая'!D46)</x:f>
        <x:v>326.45611988915226</x:v>
      </x:c>
      <x:c r="F45" s="8" t="n">
        <x:f>IF($A45="","",'Экспоненциальная'!D46)</x:f>
        <x:v>364.71797520556356</x:v>
      </x:c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7" t="n">
        <x:v>45883</x:v>
      </x:c>
      <x:c r="S45" s="3" t="n">
        <x:v>327</x:v>
      </x:c>
      <x:c r="T45" s="4" t="n">
        <x:v>0</x:v>
      </x:c>
    </x:row>
    <x:row r="46" ht="15" customHeight="1">
      <x:c r="A46" s="10" t="n">
        <x:f>IF(29&lt;=$B$3,$B$4+29,"")</x:f>
        <x:v>46264</x:v>
      </x:c>
      <x:c r="B46" s="8" t="n">
        <x:f>IF($A46="","",'Полином 2'!D47)</x:f>
        <x:v>317.0473197136631</x:v>
      </x:c>
      <x:c r="C46" s="8" t="n">
        <x:f>IF($A46="","",'Полином 3'!D47)</x:f>
        <x:v>301.183391120949</x:v>
      </x:c>
      <x:c r="D46" s="8" t="n">
        <x:f>IF($A46="","",'Степенная'!D47)</x:f>
        <x:v>352.9648272857335</x:v>
      </x:c>
      <x:c r="E46" s="8" t="n">
        <x:f>IF($A46="","",'Логарифмическая'!D47)</x:f>
        <x:v>326.46167269997363</x:v>
      </x:c>
      <x:c r="F46" s="8" t="n">
        <x:f>IF($A46="","",'Экспоненциальная'!D47)</x:f>
        <x:v>364.74902069220434</x:v>
      </x:c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7" t="n">
        <x:v>45884</x:v>
      </x:c>
      <x:c r="S46" s="3" t="n">
        <x:v>329</x:v>
      </x:c>
      <x:c r="T46" s="4" t="n">
        <x:v>0</x:v>
      </x:c>
    </x:row>
    <x:row r="47" ht="15" customHeight="1">
      <x:c r="A47" s="10" t="n">
        <x:f>IF(30&lt;=$B$3,$B$4+30,"")</x:f>
        <x:v>46265</x:v>
      </x:c>
      <x:c r="B47" s="8" t="n">
        <x:f>IF($A47="","",'Полином 2'!D48)</x:f>
        <x:v>317.0359495995196</x:v>
      </x:c>
      <x:c r="C47" s="8" t="n">
        <x:f>IF($A47="","",'Полином 3'!D48)</x:f>
        <x:v>301.1513826390936</x:v>
      </x:c>
      <x:c r="D47" s="8" t="n">
        <x:f>IF($A47="","",'Степенная'!D48)</x:f>
        <x:v>352.9801840993465</x:v>
      </x:c>
      <x:c r="E47" s="8" t="n">
        <x:f>IF($A47="","",'Логарифмическая'!D48)</x:f>
        <x:v>326.46722489439827</x:v>
      </x:c>
      <x:c r="F47" s="8" t="n">
        <x:f>IF($A47="","",'Экспоненциальная'!D48)</x:f>
        <x:v>364.7800725339139</x:v>
      </x:c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7" t="n">
        <x:v>45885</x:v>
      </x:c>
      <x:c r="S47" s="3" t="n">
        <x:v>329</x:v>
      </x:c>
      <x:c r="T47" s="4" t="n">
        <x:v>0</x:v>
      </x:c>
    </x:row>
    <x:row r="48" ht="15" customHeight="1">
      <x:c r="A48" s="7" t="str">
        <x:f>IF(31&lt;=$B$3,$B$4+31,"")</x:f>
      </x:c>
      <x:c r="B48" s="3" t="str">
        <x:f>IF($A48="","",'Полином 2'!D49)</x:f>
      </x:c>
      <x:c r="C48" s="3" t="str">
        <x:f>IF($A48="","",'Полином 3'!D49)</x:f>
      </x:c>
      <x:c r="D48" s="3" t="str">
        <x:f>IF($A48="","",'Степенная'!D49)</x:f>
      </x:c>
      <x:c r="E48" s="3" t="str">
        <x:f>IF($A48="","",'Логарифмическая'!D49)</x:f>
      </x:c>
      <x:c r="F48" s="3" t="str">
        <x:f>IF($A48="","",'Экспоненциальная'!D49)</x:f>
      </x:c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7" t="n">
        <x:v>45886</x:v>
      </x:c>
      <x:c r="S48" s="3" t="n">
        <x:v>325</x:v>
      </x:c>
      <x:c r="T48" s="4" t="n">
        <x:v>0</x:v>
      </x:c>
    </x:row>
    <x:row r="49" ht="15" customHeight="1">
      <x:c r="A49" s="7" t="str">
        <x:f>IF(32&lt;=$B$3,$B$4+32,"")</x:f>
      </x:c>
      <x:c r="B49" s="3" t="str">
        <x:f>IF($A49="","",'Полином 2'!D50)</x:f>
      </x:c>
      <x:c r="C49" s="3" t="str">
        <x:f>IF($A49="","",'Полином 3'!D50)</x:f>
      </x:c>
      <x:c r="D49" s="3" t="str">
        <x:f>IF($A49="","",'Степенная'!D50)</x:f>
      </x:c>
      <x:c r="E49" s="3" t="str">
        <x:f>IF($A49="","",'Логарифмическая'!D50)</x:f>
      </x:c>
      <x:c r="F49" s="3" t="str">
        <x:f>IF($A49="","",'Экспоненциальная'!D50)</x:f>
      </x:c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7" t="n">
        <x:v>45887</x:v>
      </x:c>
      <x:c r="S49" s="3" t="n">
        <x:v>320</x:v>
      </x:c>
      <x:c r="T49" s="4" t="n">
        <x:v>0</x:v>
      </x:c>
    </x:row>
    <x:row r="50" ht="15" customHeight="1">
      <x:c r="A50" s="7" t="str">
        <x:f>IF(33&lt;=$B$3,$B$4+33,"")</x:f>
      </x:c>
      <x:c r="B50" s="3" t="str">
        <x:f>IF($A50="","",'Полином 2'!D51)</x:f>
      </x:c>
      <x:c r="C50" s="3" t="str">
        <x:f>IF($A50="","",'Полином 3'!D51)</x:f>
      </x:c>
      <x:c r="D50" s="3" t="str">
        <x:f>IF($A50="","",'Степенная'!D51)</x:f>
      </x:c>
      <x:c r="E50" s="3" t="str">
        <x:f>IF($A50="","",'Логарифмическая'!D51)</x:f>
      </x:c>
      <x:c r="F50" s="3" t="str">
        <x:f>IF($A50="","",'Экспоненциальная'!D51)</x:f>
      </x:c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7" t="n">
        <x:v>45888</x:v>
      </x:c>
      <x:c r="S50" s="3" t="n">
        <x:v>309</x:v>
      </x:c>
      <x:c r="T50" s="4" t="n">
        <x:v>0</x:v>
      </x:c>
    </x:row>
    <x:row r="51" ht="15" customHeight="1">
      <x:c r="A51" s="7" t="str">
        <x:f>IF(34&lt;=$B$3,$B$4+34,"")</x:f>
      </x:c>
      <x:c r="B51" s="3" t="str">
        <x:f>IF($A51="","",'Полином 2'!D52)</x:f>
      </x:c>
      <x:c r="C51" s="3" t="str">
        <x:f>IF($A51="","",'Полином 3'!D52)</x:f>
      </x:c>
      <x:c r="D51" s="3" t="str">
        <x:f>IF($A51="","",'Степенная'!D52)</x:f>
      </x:c>
      <x:c r="E51" s="3" t="str">
        <x:f>IF($A51="","",'Логарифмическая'!D52)</x:f>
      </x:c>
      <x:c r="F51" s="3" t="str">
        <x:f>IF($A51="","",'Экспоненциальная'!D52)</x:f>
      </x:c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7" t="n">
        <x:v>45889</x:v>
      </x:c>
      <x:c r="S51" s="3" t="n">
        <x:v>296</x:v>
      </x:c>
      <x:c r="T51" s="4" t="n">
        <x:v>0</x:v>
      </x:c>
    </x:row>
    <x:row r="52" ht="15" customHeight="1">
      <x:c r="A52" s="7" t="str">
        <x:f>IF(35&lt;=$B$3,$B$4+35,"")</x:f>
      </x:c>
      <x:c r="B52" s="3" t="str">
        <x:f>IF($A52="","",'Полином 2'!D53)</x:f>
      </x:c>
      <x:c r="C52" s="3" t="str">
        <x:f>IF($A52="","",'Полином 3'!D53)</x:f>
      </x:c>
      <x:c r="D52" s="3" t="str">
        <x:f>IF($A52="","",'Степенная'!D53)</x:f>
      </x:c>
      <x:c r="E52" s="3" t="str">
        <x:f>IF($A52="","",'Логарифмическая'!D53)</x:f>
      </x:c>
      <x:c r="F52" s="3" t="str">
        <x:f>IF($A52="","",'Экспоненциальная'!D53)</x:f>
      </x:c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7" t="n">
        <x:v>45890</x:v>
      </x:c>
      <x:c r="S52" s="3" t="n">
        <x:v>282</x:v>
      </x:c>
      <x:c r="T52" s="4" t="n">
        <x:v>0</x:v>
      </x:c>
    </x:row>
    <x:row r="53" ht="15" customHeight="1">
      <x:c r="A53" s="7" t="str">
        <x:f>IF(36&lt;=$B$3,$B$4+36,"")</x:f>
      </x:c>
      <x:c r="B53" s="3" t="str">
        <x:f>IF($A53="","",'Полином 2'!D54)</x:f>
      </x:c>
      <x:c r="C53" s="3" t="str">
        <x:f>IF($A53="","",'Полином 3'!D54)</x:f>
      </x:c>
      <x:c r="D53" s="3" t="str">
        <x:f>IF($A53="","",'Степенная'!D54)</x:f>
      </x:c>
      <x:c r="E53" s="3" t="str">
        <x:f>IF($A53="","",'Логарифмическая'!D54)</x:f>
      </x:c>
      <x:c r="F53" s="3" t="str">
        <x:f>IF($A53="","",'Экспоненциальная'!D54)</x:f>
      </x:c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7" t="n">
        <x:v>45891</x:v>
      </x:c>
      <x:c r="S53" s="3" t="n">
        <x:v>270</x:v>
      </x:c>
      <x:c r="T53" s="4" t="n">
        <x:v>0</x:v>
      </x:c>
    </x:row>
    <x:row r="54" ht="15" customHeight="1">
      <x:c r="A54" s="7" t="str">
        <x:f>IF(37&lt;=$B$3,$B$4+37,"")</x:f>
      </x:c>
      <x:c r="B54" s="3" t="str">
        <x:f>IF($A54="","",'Полином 2'!D55)</x:f>
      </x:c>
      <x:c r="C54" s="3" t="str">
        <x:f>IF($A54="","",'Полином 3'!D55)</x:f>
      </x:c>
      <x:c r="D54" s="3" t="str">
        <x:f>IF($A54="","",'Степенная'!D55)</x:f>
      </x:c>
      <x:c r="E54" s="3" t="str">
        <x:f>IF($A54="","",'Логарифмическая'!D55)</x:f>
      </x:c>
      <x:c r="F54" s="3" t="str">
        <x:f>IF($A54="","",'Экспоненциальная'!D55)</x:f>
      </x:c>
      <x:c r="G54" s="3"/>
      <x:c r="H54" s="21" t="str">
        <x:v>Сезонные поправки, см</x:v>
      </x:c>
      <x:c r="I54" s="21"/>
      <x:c r="J54" s="21"/>
      <x:c r="K54" s="21"/>
      <x:c r="L54" s="21"/>
      <x:c r="M54" s="21"/>
      <x:c r="N54" s="3"/>
      <x:c r="O54" s="3"/>
      <x:c r="P54" s="3"/>
      <x:c r="Q54" s="3"/>
      <x:c r="R54" s="7" t="n">
        <x:v>45892</x:v>
      </x:c>
      <x:c r="S54" s="3" t="n">
        <x:v>255</x:v>
      </x:c>
      <x:c r="T54" s="4" t="n">
        <x:v>0</x:v>
      </x:c>
    </x:row>
    <x:row r="55" ht="15" customHeight="1">
      <x:c r="A55" s="7" t="str">
        <x:f>IF(38&lt;=$B$3,$B$4+38,"")</x:f>
      </x:c>
      <x:c r="B55" s="3" t="str">
        <x:f>IF($A55="","",'Полином 2'!D56)</x:f>
      </x:c>
      <x:c r="C55" s="3" t="str">
        <x:f>IF($A55="","",'Полином 3'!D56)</x:f>
      </x:c>
      <x:c r="D55" s="3" t="str">
        <x:f>IF($A55="","",'Степенная'!D56)</x:f>
      </x:c>
      <x:c r="E55" s="3" t="str">
        <x:f>IF($A55="","",'Логарифмическая'!D56)</x:f>
      </x:c>
      <x:c r="F55" s="3" t="str">
        <x:f>IF($A55="","",'Экспоненциальная'!D56)</x:f>
      </x:c>
      <x:c r="G55" s="3"/>
      <x:c r="H55" s="23" t="str">
        <x:v>Месяц</x:v>
      </x:c>
      <x:c r="I55" s="23" t="str">
        <x:v>Полином 2</x:v>
      </x:c>
      <x:c r="J55" s="23" t="str">
        <x:v>Полином 3</x:v>
      </x:c>
      <x:c r="K55" s="23" t="str">
        <x:v>Степенная</x:v>
      </x:c>
      <x:c r="L55" s="23" t="str">
        <x:v>Логарифм.</x:v>
      </x:c>
      <x:c r="M55" s="23" t="str">
        <x:v>Экспонента</x:v>
      </x:c>
      <x:c r="N55" s="3"/>
      <x:c r="O55" s="3"/>
      <x:c r="P55" s="3"/>
      <x:c r="Q55" s="3"/>
      <x:c r="R55" s="7" t="n">
        <x:v>45893</x:v>
      </x:c>
      <x:c r="S55" s="3" t="n">
        <x:v>245</x:v>
      </x:c>
      <x:c r="T55" s="4" t="n">
        <x:v>0</x:v>
      </x:c>
    </x:row>
    <x:row r="56" ht="15" customHeight="1">
      <x:c r="A56" s="7" t="str">
        <x:f>IF(39&lt;=$B$3,$B$4+39,"")</x:f>
      </x:c>
      <x:c r="B56" s="3" t="str">
        <x:f>IF($A56="","",'Полином 2'!D57)</x:f>
      </x:c>
      <x:c r="C56" s="3" t="str">
        <x:f>IF($A56="","",'Полином 3'!D57)</x:f>
      </x:c>
      <x:c r="D56" s="3" t="str">
        <x:f>IF($A56="","",'Степенная'!D57)</x:f>
      </x:c>
      <x:c r="E56" s="3" t="str">
        <x:f>IF($A56="","",'Логарифмическая'!D57)</x:f>
      </x:c>
      <x:c r="F56" s="3" t="str">
        <x:f>IF($A56="","",'Экспоненциальная'!D57)</x:f>
      </x:c>
      <x:c r="G56" s="3"/>
      <x:c r="H56" s="22" t="str">
        <x:v>Янв</x:v>
      </x:c>
      <x:c r="I56" s="22" t="n">
        <x:f>'Полином 2'!E4</x:f>
        <x:v>-94.2846682402831</x:v>
      </x:c>
      <x:c r="J56" s="22" t="n">
        <x:f>'Полином 3'!E4</x:f>
        <x:v>-94.34959257350906</x:v>
      </x:c>
      <x:c r="K56" s="22" t="n">
        <x:f>'Степенная'!E4</x:f>
        <x:v>-95.65673281601853</x:v>
      </x:c>
      <x:c r="L56" s="22" t="n">
        <x:f>'Логарифмическая'!E4</x:f>
        <x:v>-90.27692469869508</x:v>
      </x:c>
      <x:c r="M56" s="22" t="n">
        <x:f>'Экспоненциальная'!E4</x:f>
        <x:v>-96.69166671112922</x:v>
      </x:c>
      <x:c r="N56" s="3"/>
      <x:c r="O56" s="3"/>
      <x:c r="P56" s="3"/>
      <x:c r="Q56" s="3"/>
      <x:c r="R56" s="7" t="n">
        <x:v>45894</x:v>
      </x:c>
      <x:c r="S56" s="3" t="n">
        <x:v>235</x:v>
      </x:c>
      <x:c r="T56" s="4" t="n">
        <x:v>0</x:v>
      </x:c>
    </x:row>
    <x:row r="57" ht="15" customHeight="1">
      <x:c r="A57" s="7" t="str">
        <x:f>IF(40&lt;=$B$3,$B$4+40,"")</x:f>
      </x:c>
      <x:c r="B57" s="3" t="str">
        <x:f>IF($A57="","",'Полином 2'!D58)</x:f>
      </x:c>
      <x:c r="C57" s="3" t="str">
        <x:f>IF($A57="","",'Полином 3'!D58)</x:f>
      </x:c>
      <x:c r="D57" s="3" t="str">
        <x:f>IF($A57="","",'Степенная'!D58)</x:f>
      </x:c>
      <x:c r="E57" s="3" t="str">
        <x:f>IF($A57="","",'Логарифмическая'!D58)</x:f>
      </x:c>
      <x:c r="F57" s="3" t="str">
        <x:f>IF($A57="","",'Экспоненциальная'!D58)</x:f>
      </x:c>
      <x:c r="G57" s="3"/>
      <x:c r="H57" s="22" t="str">
        <x:v>Фев</x:v>
      </x:c>
      <x:c r="I57" s="22" t="n">
        <x:f>'Полином 2'!E5</x:f>
        <x:v>-144.38776738676495</x:v>
      </x:c>
      <x:c r="J57" s="22" t="n">
        <x:f>'Полином 3'!E5</x:f>
        <x:v>-144.40924068595777</x:v>
      </x:c>
      <x:c r="K57" s="22" t="n">
        <x:f>'Степенная'!E5</x:f>
        <x:v>-145.1036730434439</x:v>
      </x:c>
      <x:c r="L57" s="22" t="n">
        <x:f>'Логарифмическая'!E5</x:f>
        <x:v>-143.07988151024045</x:v>
      </x:c>
      <x:c r="M57" s="22" t="n">
        <x:f>'Экспоненциальная'!E5</x:f>
        <x:v>-146.15862454104317</x:v>
      </x:c>
      <x:c r="N57" s="3"/>
      <x:c r="O57" s="3"/>
      <x:c r="P57" s="3"/>
      <x:c r="Q57" s="3"/>
      <x:c r="R57" s="7" t="n">
        <x:v>45895</x:v>
      </x:c>
      <x:c r="S57" s="3" t="n">
        <x:v>227</x:v>
      </x:c>
      <x:c r="T57" s="4" t="n">
        <x:v>0</x:v>
      </x:c>
    </x:row>
    <x:row r="58" ht="15" customHeight="1">
      <x:c r="A58" s="7" t="str">
        <x:f>IF(41&lt;=$B$3,$B$4+41,"")</x:f>
      </x:c>
      <x:c r="B58" s="3" t="str">
        <x:f>IF($A58="","",'Полином 2'!D59)</x:f>
      </x:c>
      <x:c r="C58" s="3" t="str">
        <x:f>IF($A58="","",'Полином 3'!D59)</x:f>
      </x:c>
      <x:c r="D58" s="3" t="str">
        <x:f>IF($A58="","",'Степенная'!D59)</x:f>
      </x:c>
      <x:c r="E58" s="3" t="str">
        <x:f>IF($A58="","",'Логарифмическая'!D59)</x:f>
      </x:c>
      <x:c r="F58" s="3" t="str">
        <x:f>IF($A58="","",'Экспоненциальная'!D59)</x:f>
      </x:c>
      <x:c r="G58" s="3"/>
      <x:c r="H58" s="22" t="str">
        <x:v>Мар</x:v>
      </x:c>
      <x:c r="I58" s="22" t="n">
        <x:f>'Полином 2'!E6</x:f>
        <x:v>-156.94889579355603</x:v>
      </x:c>
      <x:c r="J58" s="22" t="n">
        <x:f>'Полином 3'!E6</x:f>
        <x:v>-156.99523443789505</x:v>
      </x:c>
      <x:c r="K58" s="22" t="n">
        <x:f>'Степенная'!E6</x:f>
        <x:v>-158.03352874461464</x:v>
      </x:c>
      <x:c r="L58" s="22" t="n">
        <x:f>'Логарифмическая'!E6</x:f>
        <x:v>-156.27508577089867</x:v>
      </x:c>
      <x:c r="M58" s="22" t="n">
        <x:f>'Экспоненциальная'!E6</x:f>
        <x:v>-158.54702476873382</x:v>
      </x:c>
      <x:c r="N58" s="3"/>
      <x:c r="O58" s="3"/>
      <x:c r="P58" s="3"/>
      <x:c r="Q58" s="3"/>
      <x:c r="R58" s="7" t="n">
        <x:v>45896</x:v>
      </x:c>
      <x:c r="S58" s="3" t="n">
        <x:v>226</x:v>
      </x:c>
      <x:c r="T58" s="4" t="n">
        <x:v>0</x:v>
      </x:c>
    </x:row>
    <x:row r="59" ht="15" customHeight="1">
      <x:c r="A59" s="7" t="str">
        <x:f>IF(42&lt;=$B$3,$B$4+42,"")</x:f>
      </x:c>
      <x:c r="B59" s="3" t="str">
        <x:f>IF($A59="","",'Полином 2'!D60)</x:f>
      </x:c>
      <x:c r="C59" s="3" t="str">
        <x:f>IF($A59="","",'Полином 3'!D60)</x:f>
      </x:c>
      <x:c r="D59" s="3" t="str">
        <x:f>IF($A59="","",'Степенная'!D60)</x:f>
      </x:c>
      <x:c r="E59" s="3" t="str">
        <x:f>IF($A59="","",'Логарифмическая'!D60)</x:f>
      </x:c>
      <x:c r="F59" s="3" t="str">
        <x:f>IF($A59="","",'Экспоненциальная'!D60)</x:f>
      </x:c>
      <x:c r="G59" s="3"/>
      <x:c r="H59" s="22" t="str">
        <x:v>Апр</x:v>
      </x:c>
      <x:c r="I59" s="22" t="n">
        <x:f>'Полином 2'!E7</x:f>
        <x:v>-41.891393188411335</x:v>
      </x:c>
      <x:c r="J59" s="22" t="n">
        <x:f>'Полином 3'!E7</x:f>
        <x:v>-41.972801388278796</x:v>
      </x:c>
      <x:c r="K59" s="22" t="n">
        <x:f>'Степенная'!E7</x:f>
        <x:v>-43.02074501681622</x:v>
      </x:c>
      <x:c r="L59" s="22" t="n">
        <x:f>'Логарифмическая'!E7</x:f>
        <x:v>-41.65735441114265</x:v>
      </x:c>
      <x:c r="M59" s="22" t="n">
        <x:f>'Экспоненциальная'!E7</x:f>
        <x:v>-43.321394535213784</x:v>
      </x:c>
      <x:c r="N59" s="3"/>
      <x:c r="O59" s="3"/>
      <x:c r="P59" s="3"/>
      <x:c r="Q59" s="3"/>
      <x:c r="R59" s="7" t="n">
        <x:v>45897</x:v>
      </x:c>
      <x:c r="S59" s="3" t="n">
        <x:v>229</x:v>
      </x:c>
      <x:c r="T59" s="4" t="n">
        <x:v>0</x:v>
      </x:c>
    </x:row>
    <x:row r="60" ht="15" customHeight="1">
      <x:c r="A60" s="7" t="str">
        <x:f>IF(43&lt;=$B$3,$B$4+43,"")</x:f>
      </x:c>
      <x:c r="B60" s="3" t="str">
        <x:f>IF($A60="","",'Полином 2'!D61)</x:f>
      </x:c>
      <x:c r="C60" s="3" t="str">
        <x:f>IF($A60="","",'Полином 3'!D61)</x:f>
      </x:c>
      <x:c r="D60" s="3" t="str">
        <x:f>IF($A60="","",'Степенная'!D61)</x:f>
      </x:c>
      <x:c r="E60" s="3" t="str">
        <x:f>IF($A60="","",'Логарифмическая'!D61)</x:f>
      </x:c>
      <x:c r="F60" s="3" t="str">
        <x:f>IF($A60="","",'Экспоненциальная'!D61)</x:f>
      </x:c>
      <x:c r="G60" s="3"/>
      <x:c r="H60" s="22" t="str">
        <x:v>Май</x:v>
      </x:c>
      <x:c r="I60" s="22" t="n">
        <x:f>'Полином 2'!E8</x:f>
        <x:v>51.73139409278523</x:v>
      </x:c>
      <x:c r="J60" s="22" t="n">
        <x:f>'Полином 3'!E8</x:f>
        <x:v>51.73255016722154</x:v>
      </x:c>
      <x:c r="K60" s="22" t="n">
        <x:f>'Степенная'!E8</x:f>
        <x:v>51.24093312990295</x:v>
      </x:c>
      <x:c r="L60" s="22" t="n">
        <x:f>'Логарифмическая'!E8</x:f>
        <x:v>52.10417693645739</x:v>
      </x:c>
      <x:c r="M60" s="22" t="n">
        <x:f>'Экспоненциальная'!E8</x:f>
        <x:v>51.34709654147916</x:v>
      </x:c>
      <x:c r="N60" s="3"/>
      <x:c r="O60" s="3"/>
      <x:c r="P60" s="3"/>
      <x:c r="Q60" s="3"/>
      <x:c r="R60" s="7" t="n">
        <x:v>45898</x:v>
      </x:c>
      <x:c r="S60" s="3" t="n">
        <x:v>233</x:v>
      </x:c>
      <x:c r="T60" s="4" t="n">
        <x:v>0</x:v>
      </x:c>
    </x:row>
    <x:row r="61" ht="15" customHeight="1">
      <x:c r="A61" s="7" t="str">
        <x:f>IF(44&lt;=$B$3,$B$4+44,"")</x:f>
      </x:c>
      <x:c r="B61" s="3" t="str">
        <x:f>IF($A61="","",'Полином 2'!D62)</x:f>
      </x:c>
      <x:c r="C61" s="3" t="str">
        <x:f>IF($A61="","",'Полином 3'!D62)</x:f>
      </x:c>
      <x:c r="D61" s="3" t="str">
        <x:f>IF($A61="","",'Степенная'!D62)</x:f>
      </x:c>
      <x:c r="E61" s="3" t="str">
        <x:f>IF($A61="","",'Логарифмическая'!D62)</x:f>
      </x:c>
      <x:c r="F61" s="3" t="str">
        <x:f>IF($A61="","",'Экспоненциальная'!D62)</x:f>
      </x:c>
      <x:c r="G61" s="3"/>
      <x:c r="H61" s="22" t="str">
        <x:v>Июн</x:v>
      </x:c>
      <x:c r="I61" s="22" t="n">
        <x:f>'Полином 2'!E9</x:f>
        <x:v>75.02228158709866</x:v>
      </x:c>
      <x:c r="J61" s="22" t="n">
        <x:f>'Полином 3'!E9</x:f>
        <x:v>75.20851252050778</x:v>
      </x:c>
      <x:c r="K61" s="22" t="n">
        <x:f>'Степенная'!E9</x:f>
        <x:v>75.28328753270424</x:v>
      </x:c>
      <x:c r="L61" s="22" t="n">
        <x:f>'Логарифмическая'!E9</x:f>
        <x:v>75.13811754570348</x:v>
      </x:c>
      <x:c r="M61" s="22" t="n">
        <x:f>'Экспоненциальная'!E9</x:f>
        <x:v>75.56771104503662</x:v>
      </x:c>
      <x:c r="N61" s="3"/>
      <x:c r="O61" s="3"/>
      <x:c r="P61" s="3"/>
      <x:c r="Q61" s="3"/>
      <x:c r="R61" s="7" t="n">
        <x:v>45899</x:v>
      </x:c>
      <x:c r="S61" s="3" t="n">
        <x:v>238</x:v>
      </x:c>
      <x:c r="T61" s="4" t="n">
        <x:v>0</x:v>
      </x:c>
    </x:row>
    <x:row r="62" ht="15" customHeight="1">
      <x:c r="A62" s="7" t="str">
        <x:f>IF(45&lt;=$B$3,$B$4+45,"")</x:f>
      </x:c>
      <x:c r="B62" s="3" t="str">
        <x:f>IF($A62="","",'Полином 2'!D63)</x:f>
      </x:c>
      <x:c r="C62" s="3" t="str">
        <x:f>IF($A62="","",'Полином 3'!D63)</x:f>
      </x:c>
      <x:c r="D62" s="3" t="str">
        <x:f>IF($A62="","",'Степенная'!D63)</x:f>
      </x:c>
      <x:c r="E62" s="3" t="str">
        <x:f>IF($A62="","",'Логарифмическая'!D63)</x:f>
      </x:c>
      <x:c r="F62" s="3" t="str">
        <x:f>IF($A62="","",'Экспоненциальная'!D63)</x:f>
      </x:c>
      <x:c r="G62" s="3"/>
      <x:c r="H62" s="22" t="str">
        <x:v>Июл</x:v>
      </x:c>
      <x:c r="I62" s="22" t="n">
        <x:f>'Полином 2'!E10</x:f>
        <x:v>111.37260378858507</x:v>
      </x:c>
      <x:c r="J62" s="22" t="n">
        <x:f>'Полином 3'!E10</x:f>
        <x:v>111.75712493446845</x:v>
      </x:c>
      <x:c r="K62" s="22" t="n">
        <x:f>'Степенная'!E10</x:f>
        <x:v>111.29315187735922</x:v>
      </x:c>
      <x:c r="L62" s="22" t="n">
        <x:f>'Логарифмическая'!E10</x:f>
        <x:v>110.45804118262606</x:v>
      </x:c>
      <x:c r="M62" s="22" t="n">
        <x:f>'Экспоненциальная'!E10</x:f>
        <x:v>111.57922208805566</x:v>
      </x:c>
      <x:c r="N62" s="3"/>
      <x:c r="O62" s="3"/>
      <x:c r="P62" s="3"/>
      <x:c r="Q62" s="3"/>
      <x:c r="R62" s="7" t="n">
        <x:v>45900</x:v>
      </x:c>
      <x:c r="S62" s="3" t="n">
        <x:v>238</x:v>
      </x:c>
      <x:c r="T62" s="4" t="n">
        <x:v>0</x:v>
      </x:c>
    </x:row>
    <x:row r="63" ht="15" customHeight="1">
      <x:c r="A63" s="7" t="str">
        <x:f>IF(46&lt;=$B$3,$B$4+46,"")</x:f>
      </x:c>
      <x:c r="B63" s="3" t="str">
        <x:f>IF($A63="","",'Полином 2'!D64)</x:f>
      </x:c>
      <x:c r="C63" s="3" t="str">
        <x:f>IF($A63="","",'Полином 3'!D64)</x:f>
      </x:c>
      <x:c r="D63" s="3" t="str">
        <x:f>IF($A63="","",'Степенная'!D64)</x:f>
      </x:c>
      <x:c r="E63" s="3" t="str">
        <x:f>IF($A63="","",'Логарифмическая'!D64)</x:f>
      </x:c>
      <x:c r="F63" s="3" t="str">
        <x:f>IF($A63="","",'Экспоненциальная'!D64)</x:f>
      </x:c>
      <x:c r="G63" s="3"/>
      <x:c r="H63" s="22" t="str">
        <x:v>Авг</x:v>
      </x:c>
      <x:c r="I63" s="22" t="n">
        <x:f>'Полином 2'!E11</x:f>
        <x:v>212.2710958692571</x:v>
      </x:c>
      <x:c r="J63" s="22" t="n">
        <x:f>'Полином 3'!E11</x:f>
        <x:v>212.01663169403295</x:v>
      </x:c>
      <x:c r="K63" s="22" t="n">
        <x:f>'Степенная'!E11</x:f>
        <x:v>212.66178634819624</x:v>
      </x:c>
      <x:c r="L63" s="22" t="n">
        <x:f>'Логарифмическая'!E11</x:f>
        <x:v>211.49831552999223</x:v>
      </x:c>
      <x:c r="M63" s="22" t="n">
        <x:f>'Экспоненциальная'!E11</x:f>
        <x:v>213.05600418374158</x:v>
      </x:c>
      <x:c r="N63" s="3"/>
      <x:c r="O63" s="3"/>
      <x:c r="P63" s="3"/>
      <x:c r="Q63" s="3"/>
      <x:c r="R63" s="7" t="n">
        <x:v>45901</x:v>
      </x:c>
      <x:c r="S63" s="3" t="n">
        <x:v>238</x:v>
      </x:c>
      <x:c r="T63" s="4" t="n">
        <x:v>0</x:v>
      </x:c>
    </x:row>
    <x:row r="64" ht="15" customHeight="1">
      <x:c r="A64" s="7" t="str">
        <x:f>IF(47&lt;=$B$3,$B$4+47,"")</x:f>
      </x:c>
      <x:c r="B64" s="3" t="str">
        <x:f>IF($A64="","",'Полином 2'!D65)</x:f>
      </x:c>
      <x:c r="C64" s="3" t="str">
        <x:f>IF($A64="","",'Полином 3'!D65)</x:f>
      </x:c>
      <x:c r="D64" s="3" t="str">
        <x:f>IF($A64="","",'Степенная'!D65)</x:f>
      </x:c>
      <x:c r="E64" s="3" t="str">
        <x:f>IF($A64="","",'Логарифмическая'!D65)</x:f>
      </x:c>
      <x:c r="F64" s="3" t="str">
        <x:f>IF($A64="","",'Экспоненциальная'!D65)</x:f>
      </x:c>
      <x:c r="G64" s="3"/>
      <x:c r="H64" s="22" t="str">
        <x:v>Сен</x:v>
      </x:c>
      <x:c r="I64" s="22" t="n">
        <x:f>'Полином 2'!E12</x:f>
        <x:v>172.53391903800696</x:v>
      </x:c>
      <x:c r="J64" s="22" t="n">
        <x:f>'Полином 3'!E12</x:f>
        <x:v>172.34183009572214</x:v>
      </x:c>
      <x:c r="K64" s="22" t="n">
        <x:f>'Степенная'!E12</x:f>
        <x:v>173.3100607401666</x:v>
      </x:c>
      <x:c r="L64" s="22" t="n">
        <x:f>'Логарифмическая'!E12</x:f>
        <x:v>171.62644492698996</x:v>
      </x:c>
      <x:c r="M64" s="22" t="n">
        <x:f>'Экспоненциальная'!E12</x:f>
        <x:v>173.75408917927513</x:v>
      </x:c>
      <x:c r="N64" s="3"/>
      <x:c r="O64" s="3"/>
      <x:c r="P64" s="3"/>
      <x:c r="Q64" s="3"/>
      <x:c r="R64" s="7" t="n">
        <x:v>45902</x:v>
      </x:c>
      <x:c r="S64" s="3" t="n">
        <x:v>233</x:v>
      </x:c>
      <x:c r="T64" s="4" t="n">
        <x:v>0</x:v>
      </x:c>
    </x:row>
    <x:row r="65" ht="15" customHeight="1">
      <x:c r="A65" s="7" t="str">
        <x:f>IF(48&lt;=$B$3,$B$4+48,"")</x:f>
      </x:c>
      <x:c r="B65" s="3" t="str">
        <x:f>IF($A65="","",'Полином 2'!D66)</x:f>
      </x:c>
      <x:c r="C65" s="3" t="str">
        <x:f>IF($A65="","",'Полином 3'!D66)</x:f>
      </x:c>
      <x:c r="D65" s="3" t="str">
        <x:f>IF($A65="","",'Степенная'!D66)</x:f>
      </x:c>
      <x:c r="E65" s="3" t="str">
        <x:f>IF($A65="","",'Логарифмическая'!D66)</x:f>
      </x:c>
      <x:c r="F65" s="3" t="str">
        <x:f>IF($A65="","",'Экспоненциальная'!D66)</x:f>
      </x:c>
      <x:c r="G65" s="3"/>
      <x:c r="H65" s="22" t="str">
        <x:v>Окт</x:v>
      </x:c>
      <x:c r="I65" s="22" t="n">
        <x:f>'Полином 2'!E13</x:f>
        <x:v>19.62902993316986</x:v>
      </x:c>
      <x:c r="J65" s="22" t="n">
        <x:f>'Полином 3'!E13</x:f>
        <x:v>19.52716661800942</x:v>
      </x:c>
      <x:c r="K65" s="22" t="n">
        <x:f>'Степенная'!E13</x:f>
        <x:v>20.292449660995217</x:v>
      </x:c>
      <x:c r="L65" s="22" t="n">
        <x:f>'Логарифмическая'!E13</x:f>
        <x:v>18.527009746046254</x:v>
      </x:c>
      <x:c r="M65" s="22" t="n">
        <x:f>'Экспоненциальная'!E13</x:f>
        <x:v>20.811176600618907</x:v>
      </x:c>
      <x:c r="N65" s="3"/>
      <x:c r="O65" s="3"/>
      <x:c r="P65" s="3"/>
      <x:c r="Q65" s="3"/>
      <x:c r="R65" s="7" t="n">
        <x:v>45903</x:v>
      </x:c>
      <x:c r="S65" s="3" t="n">
        <x:v>228</x:v>
      </x:c>
      <x:c r="T65" s="4" t="n">
        <x:v>0</x:v>
      </x:c>
    </x:row>
    <x:row r="66" ht="15" customHeight="1">
      <x:c r="A66" s="7" t="str">
        <x:f>IF(49&lt;=$B$3,$B$4+49,"")</x:f>
      </x:c>
      <x:c r="B66" s="3" t="str">
        <x:f>IF($A66="","",'Полином 2'!D67)</x:f>
      </x:c>
      <x:c r="C66" s="3" t="str">
        <x:f>IF($A66="","",'Полином 3'!D67)</x:f>
      </x:c>
      <x:c r="D66" s="3" t="str">
        <x:f>IF($A66="","",'Степенная'!D67)</x:f>
      </x:c>
      <x:c r="E66" s="3" t="str">
        <x:f>IF($A66="","",'Логарифмическая'!D67)</x:f>
      </x:c>
      <x:c r="F66" s="3" t="str">
        <x:f>IF($A66="","",'Экспоненциальная'!D67)</x:f>
      </x:c>
      <x:c r="G66" s="3"/>
      <x:c r="H66" s="22" t="str">
        <x:v>Ноя</x:v>
      </x:c>
      <x:c r="I66" s="22" t="n">
        <x:f>'Полином 2'!E14</x:f>
        <x:v>-120.63557096196483</x:v>
      </x:c>
      <x:c r="J66" s="22" t="n">
        <x:f>'Полином 3'!E14</x:f>
        <x:v>-120.66168549034597</x:v>
      </x:c>
      <x:c r="K66" s="22" t="n">
        <x:f>'Степенная'!E14</x:f>
        <x:v>-119.65882060433043</x:v>
      </x:c>
      <x:c r="L66" s="22" t="n">
        <x:f>'Логарифмическая'!E14</x:f>
        <x:v>-121.8654012535912</x:v>
      </x:c>
      <x:c r="M66" s="22" t="n">
        <x:f>'Экспоненциальная'!E14</x:f>
        <x:v>-119.129439804469</x:v>
      </x:c>
      <x:c r="N66" s="3"/>
      <x:c r="O66" s="3"/>
      <x:c r="P66" s="3"/>
      <x:c r="Q66" s="3"/>
      <x:c r="R66" s="7" t="n">
        <x:v>45904</x:v>
      </x:c>
      <x:c r="S66" s="3" t="n">
        <x:v>226</x:v>
      </x:c>
      <x:c r="T66" s="4" t="n">
        <x:v>0</x:v>
      </x:c>
    </x:row>
    <x:row r="67" ht="15" customHeight="1">
      <x:c r="A67" s="7" t="str">
        <x:f>IF(50&lt;=$B$3,$B$4+50,"")</x:f>
      </x:c>
      <x:c r="B67" s="3" t="str">
        <x:f>IF($A67="","",'Полином 2'!D68)</x:f>
      </x:c>
      <x:c r="C67" s="3" t="str">
        <x:f>IF($A67="","",'Полином 3'!D68)</x:f>
      </x:c>
      <x:c r="D67" s="3" t="str">
        <x:f>IF($A67="","",'Степенная'!D68)</x:f>
      </x:c>
      <x:c r="E67" s="3" t="str">
        <x:f>IF($A67="","",'Логарифмическая'!D68)</x:f>
      </x:c>
      <x:c r="F67" s="3" t="str">
        <x:f>IF($A67="","",'Экспоненциальная'!D68)</x:f>
      </x:c>
      <x:c r="G67" s="3"/>
      <x:c r="H67" s="22" t="str">
        <x:v>Дек</x:v>
      </x:c>
      <x:c r="I67" s="22" t="n">
        <x:f>'Полином 2'!E15</x:f>
        <x:v>-84.41202873792254</x:v>
      </x:c>
      <x:c r="J67" s="22" t="n">
        <x:f>'Полином 3'!E15</x:f>
        <x:v>-84.19526145397563</x:v>
      </x:c>
      <x:c r="K67" s="22" t="n">
        <x:f>'Степенная'!E15</x:f>
        <x:v>-82.60816906410072</x:v>
      </x:c>
      <x:c r="L67" s="22" t="n">
        <x:f>'Логарифмическая'!E15</x:f>
        <x:v>-86.1974582232473</x:v>
      </x:c>
      <x:c r="M67" s="22" t="n">
        <x:f>'Экспоненциальная'!E15</x:f>
        <x:v>-82.26714927761805</x:v>
      </x:c>
      <x:c r="N67" s="3"/>
      <x:c r="O67" s="3"/>
      <x:c r="P67" s="3"/>
      <x:c r="Q67" s="3"/>
      <x:c r="R67" s="7" t="n">
        <x:v>45905</x:v>
      </x:c>
      <x:c r="S67" s="3" t="n">
        <x:v>226</x:v>
      </x:c>
      <x:c r="T67" s="4" t="n">
        <x:v>0</x:v>
      </x:c>
    </x:row>
    <x:row r="68" ht="15" customHeight="1">
      <x:c r="A68" s="7" t="str">
        <x:f>IF(51&lt;=$B$3,$B$4+51,"")</x:f>
      </x:c>
      <x:c r="B68" s="3" t="str">
        <x:f>IF($A68="","",'Полином 2'!D69)</x:f>
      </x:c>
      <x:c r="C68" s="3" t="str">
        <x:f>IF($A68="","",'Полином 3'!D69)</x:f>
      </x:c>
      <x:c r="D68" s="3" t="str">
        <x:f>IF($A68="","",'Степенная'!D69)</x:f>
      </x:c>
      <x:c r="E68" s="3" t="str">
        <x:f>IF($A68="","",'Логарифмическая'!D69)</x:f>
      </x:c>
      <x:c r="F68" s="3" t="str">
        <x:f>IF($A68="","",'Экспоненциальная'!D69)</x:f>
      </x:c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7" t="n">
        <x:v>45906</x:v>
      </x:c>
      <x:c r="S68" s="3" t="n">
        <x:v>226</x:v>
      </x:c>
      <x:c r="T68" s="4" t="n">
        <x:v>0</x:v>
      </x:c>
    </x:row>
    <x:row r="69" ht="15" customHeight="1">
      <x:c r="A69" s="7" t="str">
        <x:f>IF(52&lt;=$B$3,$B$4+52,"")</x:f>
      </x:c>
      <x:c r="B69" s="3" t="str">
        <x:f>IF($A69="","",'Полином 2'!D70)</x:f>
      </x:c>
      <x:c r="C69" s="3" t="str">
        <x:f>IF($A69="","",'Полином 3'!D70)</x:f>
      </x:c>
      <x:c r="D69" s="3" t="str">
        <x:f>IF($A69="","",'Степенная'!D70)</x:f>
      </x:c>
      <x:c r="E69" s="3" t="str">
        <x:f>IF($A69="","",'Логарифмическая'!D70)</x:f>
      </x:c>
      <x:c r="F69" s="3" t="str">
        <x:f>IF($A69="","",'Экспоненциальная'!D70)</x:f>
      </x:c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7" t="n">
        <x:v>45907</x:v>
      </x:c>
      <x:c r="S69" s="3" t="n">
        <x:v>226</x:v>
      </x:c>
      <x:c r="T69" s="4" t="n">
        <x:v>0</x:v>
      </x:c>
    </x:row>
    <x:row r="70" ht="15" customHeight="1">
      <x:c r="A70" s="7" t="str">
        <x:f>IF(53&lt;=$B$3,$B$4+53,"")</x:f>
      </x:c>
      <x:c r="B70" s="3" t="str">
        <x:f>IF($A70="","",'Полином 2'!D71)</x:f>
      </x:c>
      <x:c r="C70" s="3" t="str">
        <x:f>IF($A70="","",'Полином 3'!D71)</x:f>
      </x:c>
      <x:c r="D70" s="3" t="str">
        <x:f>IF($A70="","",'Степенная'!D71)</x:f>
      </x:c>
      <x:c r="E70" s="3" t="str">
        <x:f>IF($A70="","",'Логарифмическая'!D71)</x:f>
      </x:c>
      <x:c r="F70" s="3" t="str">
        <x:f>IF($A70="","",'Экспоненциальная'!D71)</x:f>
      </x:c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  <x:c r="R70" s="7" t="n">
        <x:v>45908</x:v>
      </x:c>
      <x:c r="S70" s="3" t="n">
        <x:v>222</x:v>
      </x:c>
      <x:c r="T70" s="4" t="n">
        <x:v>0</x:v>
      </x:c>
    </x:row>
    <x:row r="71" ht="15" customHeight="1">
      <x:c r="A71" s="7" t="str">
        <x:f>IF(54&lt;=$B$3,$B$4+54,"")</x:f>
      </x:c>
      <x:c r="B71" s="3" t="str">
        <x:f>IF($A71="","",'Полином 2'!D72)</x:f>
      </x:c>
      <x:c r="C71" s="3" t="str">
        <x:f>IF($A71="","",'Полином 3'!D72)</x:f>
      </x:c>
      <x:c r="D71" s="3" t="str">
        <x:f>IF($A71="","",'Степенная'!D72)</x:f>
      </x:c>
      <x:c r="E71" s="3" t="str">
        <x:f>IF($A71="","",'Логарифмическая'!D72)</x:f>
      </x:c>
      <x:c r="F71" s="3" t="str">
        <x:f>IF($A71="","",'Экспоненциальная'!D72)</x:f>
      </x:c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  <x:c r="R71" s="7" t="n">
        <x:v>45909</x:v>
      </x:c>
      <x:c r="S71" s="3" t="n">
        <x:v>218</x:v>
      </x:c>
      <x:c r="T71" s="4" t="n">
        <x:v>0</x:v>
      </x:c>
    </x:row>
    <x:row r="72" ht="15" customHeight="1">
      <x:c r="A72" s="7" t="str">
        <x:f>IF(55&lt;=$B$3,$B$4+55,"")</x:f>
      </x:c>
      <x:c r="B72" s="3" t="str">
        <x:f>IF($A72="","",'Полином 2'!D73)</x:f>
      </x:c>
      <x:c r="C72" s="3" t="str">
        <x:f>IF($A72="","",'Полином 3'!D73)</x:f>
      </x:c>
      <x:c r="D72" s="3" t="str">
        <x:f>IF($A72="","",'Степенная'!D73)</x:f>
      </x:c>
      <x:c r="E72" s="3" t="str">
        <x:f>IF($A72="","",'Логарифмическая'!D73)</x:f>
      </x:c>
      <x:c r="F72" s="3" t="str">
        <x:f>IF($A72="","",'Экспоненциальная'!D73)</x:f>
      </x:c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  <x:c r="R72" s="7" t="n">
        <x:v>45910</x:v>
      </x:c>
      <x:c r="S72" s="3" t="n">
        <x:v>209</x:v>
      </x:c>
      <x:c r="T72" s="4" t="n">
        <x:v>0</x:v>
      </x:c>
    </x:row>
    <x:row r="73" ht="15" customHeight="1">
      <x:c r="A73" s="7" t="str">
        <x:f>IF(56&lt;=$B$3,$B$4+56,"")</x:f>
      </x:c>
      <x:c r="B73" s="3" t="str">
        <x:f>IF($A73="","",'Полином 2'!D74)</x:f>
      </x:c>
      <x:c r="C73" s="3" t="str">
        <x:f>IF($A73="","",'Полином 3'!D74)</x:f>
      </x:c>
      <x:c r="D73" s="3" t="str">
        <x:f>IF($A73="","",'Степенная'!D74)</x:f>
      </x:c>
      <x:c r="E73" s="3" t="str">
        <x:f>IF($A73="","",'Логарифмическая'!D74)</x:f>
      </x:c>
      <x:c r="F73" s="3" t="str">
        <x:f>IF($A73="","",'Экспоненциальная'!D74)</x:f>
      </x:c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  <x:c r="R73" s="7" t="n">
        <x:v>45911</x:v>
      </x:c>
      <x:c r="S73" s="3" t="n">
        <x:v>207</x:v>
      </x:c>
      <x:c r="T73" s="4" t="n">
        <x:v>0</x:v>
      </x:c>
    </x:row>
    <x:row r="74" ht="15" customHeight="1">
      <x:c r="A74" s="7" t="str">
        <x:f>IF(57&lt;=$B$3,$B$4+57,"")</x:f>
      </x:c>
      <x:c r="B74" s="3" t="str">
        <x:f>IF($A74="","",'Полином 2'!D75)</x:f>
      </x:c>
      <x:c r="C74" s="3" t="str">
        <x:f>IF($A74="","",'Полином 3'!D75)</x:f>
      </x:c>
      <x:c r="D74" s="3" t="str">
        <x:f>IF($A74="","",'Степенная'!D75)</x:f>
      </x:c>
      <x:c r="E74" s="3" t="str">
        <x:f>IF($A74="","",'Логарифмическая'!D75)</x:f>
      </x:c>
      <x:c r="F74" s="3" t="str">
        <x:f>IF($A74="","",'Экспоненциальная'!D75)</x:f>
      </x:c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  <x:c r="R74" s="7" t="n">
        <x:v>45912</x:v>
      </x:c>
      <x:c r="S74" s="3" t="n">
        <x:v>204</x:v>
      </x:c>
      <x:c r="T74" s="4" t="n">
        <x:v>0</x:v>
      </x:c>
    </x:row>
    <x:row r="75" ht="15" customHeight="1">
      <x:c r="A75" s="7" t="str">
        <x:f>IF(58&lt;=$B$3,$B$4+58,"")</x:f>
      </x:c>
      <x:c r="B75" s="3" t="str">
        <x:f>IF($A75="","",'Полином 2'!D76)</x:f>
      </x:c>
      <x:c r="C75" s="3" t="str">
        <x:f>IF($A75="","",'Полином 3'!D76)</x:f>
      </x:c>
      <x:c r="D75" s="3" t="str">
        <x:f>IF($A75="","",'Степенная'!D76)</x:f>
      </x:c>
      <x:c r="E75" s="3" t="str">
        <x:f>IF($A75="","",'Логарифмическая'!D76)</x:f>
      </x:c>
      <x:c r="F75" s="3" t="str">
        <x:f>IF($A75="","",'Экспоненциальная'!D76)</x:f>
      </x:c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  <x:c r="R75" s="7" t="n">
        <x:v>45913</x:v>
      </x:c>
      <x:c r="S75" s="3" t="n">
        <x:v>201</x:v>
      </x:c>
      <x:c r="T75" s="4" t="n">
        <x:v>0</x:v>
      </x:c>
    </x:row>
    <x:row r="76" ht="15" customHeight="1">
      <x:c r="A76" s="7" t="str">
        <x:f>IF(59&lt;=$B$3,$B$4+59,"")</x:f>
      </x:c>
      <x:c r="B76" s="3" t="str">
        <x:f>IF($A76="","",'Полином 2'!D77)</x:f>
      </x:c>
      <x:c r="C76" s="3" t="str">
        <x:f>IF($A76="","",'Полином 3'!D77)</x:f>
      </x:c>
      <x:c r="D76" s="3" t="str">
        <x:f>IF($A76="","",'Степенная'!D77)</x:f>
      </x:c>
      <x:c r="E76" s="3" t="str">
        <x:f>IF($A76="","",'Логарифмическая'!D77)</x:f>
      </x:c>
      <x:c r="F76" s="3" t="str">
        <x:f>IF($A76="","",'Экспоненциальная'!D77)</x:f>
      </x:c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  <x:c r="R76" s="7" t="n">
        <x:v>45914</x:v>
      </x:c>
      <x:c r="S76" s="3" t="n">
        <x:v>202</x:v>
      </x:c>
      <x:c r="T76" s="4" t="n">
        <x:v>0</x:v>
      </x:c>
    </x:row>
    <x:row r="77" ht="15" customHeight="1">
      <x:c r="A77" s="7" t="str">
        <x:f>IF(60&lt;=$B$3,$B$4+60,"")</x:f>
      </x:c>
      <x:c r="B77" s="3" t="str">
        <x:f>IF($A77="","",'Полином 2'!D78)</x:f>
      </x:c>
      <x:c r="C77" s="3" t="str">
        <x:f>IF($A77="","",'Полином 3'!D78)</x:f>
      </x:c>
      <x:c r="D77" s="3" t="str">
        <x:f>IF($A77="","",'Степенная'!D78)</x:f>
      </x:c>
      <x:c r="E77" s="3" t="str">
        <x:f>IF($A77="","",'Логарифмическая'!D78)</x:f>
      </x:c>
      <x:c r="F77" s="3" t="str">
        <x:f>IF($A77="","",'Экспоненциальная'!D78)</x:f>
      </x:c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7" t="n">
        <x:v>45915</x:v>
      </x:c>
      <x:c r="S77" s="3" t="n">
        <x:v>204</x:v>
      </x:c>
      <x:c r="T77" s="4" t="n">
        <x:v>0</x:v>
      </x:c>
    </x:row>
    <x:row r="78" ht="15" customHeight="1">
      <x:c r="A78" s="7" t="str">
        <x:f>IF(61&lt;=$B$3,$B$4+61,"")</x:f>
      </x:c>
      <x:c r="B78" s="3" t="str">
        <x:f>IF($A78="","",'Полином 2'!D79)</x:f>
      </x:c>
      <x:c r="C78" s="3" t="str">
        <x:f>IF($A78="","",'Полином 3'!D79)</x:f>
      </x:c>
      <x:c r="D78" s="3" t="str">
        <x:f>IF($A78="","",'Степенная'!D79)</x:f>
      </x:c>
      <x:c r="E78" s="3" t="str">
        <x:f>IF($A78="","",'Логарифмическая'!D79)</x:f>
      </x:c>
      <x:c r="F78" s="3" t="str">
        <x:f>IF($A78="","",'Экспоненциальная'!D79)</x:f>
      </x:c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7" t="n">
        <x:v>45916</x:v>
      </x:c>
      <x:c r="S78" s="3" t="n">
        <x:v>213</x:v>
      </x:c>
      <x:c r="T78" s="4" t="n">
        <x:v>0</x:v>
      </x:c>
    </x:row>
    <x:row r="79" ht="15" customHeight="1">
      <x:c r="A79" s="7" t="str">
        <x:f>IF(62&lt;=$B$3,$B$4+62,"")</x:f>
      </x:c>
      <x:c r="B79" s="3" t="str">
        <x:f>IF($A79="","",'Полином 2'!D80)</x:f>
      </x:c>
      <x:c r="C79" s="3" t="str">
        <x:f>IF($A79="","",'Полином 3'!D80)</x:f>
      </x:c>
      <x:c r="D79" s="3" t="str">
        <x:f>IF($A79="","",'Степенная'!D80)</x:f>
      </x:c>
      <x:c r="E79" s="3" t="str">
        <x:f>IF($A79="","",'Логарифмическая'!D80)</x:f>
      </x:c>
      <x:c r="F79" s="3" t="str">
        <x:f>IF($A79="","",'Экспоненциальная'!D80)</x:f>
      </x:c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  <x:c r="R79" s="7" t="n">
        <x:v>45917</x:v>
      </x:c>
      <x:c r="S79" s="3" t="n">
        <x:v>219</x:v>
      </x:c>
      <x:c r="T79" s="4" t="n">
        <x:v>0</x:v>
      </x:c>
    </x:row>
    <x:row r="80" ht="15" customHeight="1">
      <x:c r="A80" s="7" t="str">
        <x:f>IF(63&lt;=$B$3,$B$4+63,"")</x:f>
      </x:c>
      <x:c r="B80" s="3" t="str">
        <x:f>IF($A80="","",'Полином 2'!D81)</x:f>
      </x:c>
      <x:c r="C80" s="3" t="str">
        <x:f>IF($A80="","",'Полином 3'!D81)</x:f>
      </x:c>
      <x:c r="D80" s="3" t="str">
        <x:f>IF($A80="","",'Степенная'!D81)</x:f>
      </x:c>
      <x:c r="E80" s="3" t="str">
        <x:f>IF($A80="","",'Логарифмическая'!D81)</x:f>
      </x:c>
      <x:c r="F80" s="3" t="str">
        <x:f>IF($A80="","",'Экспоненциальная'!D81)</x:f>
      </x:c>
      <x:c r="G80" s="3"/>
      <x:c r="H80" s="3"/>
      <x:c r="I80" s="3"/>
      <x:c r="J80" s="3"/>
      <x:c r="K80" s="3"/>
      <x:c r="L80" s="3"/>
      <x:c r="M80" s="3"/>
      <x:c r="N80" s="3"/>
      <x:c r="O80" s="3"/>
      <x:c r="P80" s="3"/>
      <x:c r="Q80" s="3"/>
      <x:c r="R80" s="7" t="n">
        <x:v>45918</x:v>
      </x:c>
      <x:c r="S80" s="3" t="n">
        <x:v>227</x:v>
      </x:c>
      <x:c r="T80" s="4" t="n">
        <x:v>0</x:v>
      </x:c>
    </x:row>
    <x:row r="81" ht="15" customHeight="1">
      <x:c r="A81" s="7" t="str">
        <x:f>IF(64&lt;=$B$3,$B$4+64,"")</x:f>
      </x:c>
      <x:c r="B81" s="3" t="str">
        <x:f>IF($A81="","",'Полином 2'!D82)</x:f>
      </x:c>
      <x:c r="C81" s="3" t="str">
        <x:f>IF($A81="","",'Полином 3'!D82)</x:f>
      </x:c>
      <x:c r="D81" s="3" t="str">
        <x:f>IF($A81="","",'Степенная'!D82)</x:f>
      </x:c>
      <x:c r="E81" s="3" t="str">
        <x:f>IF($A81="","",'Логарифмическая'!D82)</x:f>
      </x:c>
      <x:c r="F81" s="3" t="str">
        <x:f>IF($A81="","",'Экспоненциальная'!D82)</x:f>
      </x:c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7" t="n">
        <x:v>45919</x:v>
      </x:c>
      <x:c r="S81" s="3" t="n">
        <x:v>241</x:v>
      </x:c>
      <x:c r="T81" s="4" t="n">
        <x:v>0</x:v>
      </x:c>
    </x:row>
    <x:row r="82" ht="15" customHeight="1">
      <x:c r="A82" s="7" t="str">
        <x:f>IF(65&lt;=$B$3,$B$4+65,"")</x:f>
      </x:c>
      <x:c r="B82" s="3" t="str">
        <x:f>IF($A82="","",'Полином 2'!D83)</x:f>
      </x:c>
      <x:c r="C82" s="3" t="str">
        <x:f>IF($A82="","",'Полином 3'!D83)</x:f>
      </x:c>
      <x:c r="D82" s="3" t="str">
        <x:f>IF($A82="","",'Степенная'!D83)</x:f>
      </x:c>
      <x:c r="E82" s="3" t="str">
        <x:f>IF($A82="","",'Логарифмическая'!D83)</x:f>
      </x:c>
      <x:c r="F82" s="3" t="str">
        <x:f>IF($A82="","",'Экспоненциальная'!D83)</x:f>
      </x:c>
      <x:c r="G82" s="3"/>
      <x:c r="H82" s="3"/>
      <x:c r="I82" s="3"/>
      <x:c r="J82" s="3"/>
      <x:c r="K82" s="3"/>
      <x:c r="L82" s="3"/>
      <x:c r="M82" s="3"/>
      <x:c r="N82" s="3"/>
      <x:c r="O82" s="3"/>
      <x:c r="P82" s="3"/>
      <x:c r="Q82" s="3"/>
      <x:c r="R82" s="7" t="n">
        <x:v>45920</x:v>
      </x:c>
      <x:c r="S82" s="3" t="n">
        <x:v>249</x:v>
      </x:c>
      <x:c r="T82" s="4" t="n">
        <x:v>0</x:v>
      </x:c>
    </x:row>
    <x:row r="83" ht="15" customHeight="1">
      <x:c r="A83" s="7" t="str">
        <x:f>IF(66&lt;=$B$3,$B$4+66,"")</x:f>
      </x:c>
      <x:c r="B83" s="3" t="str">
        <x:f>IF($A83="","",'Полином 2'!D84)</x:f>
      </x:c>
      <x:c r="C83" s="3" t="str">
        <x:f>IF($A83="","",'Полином 3'!D84)</x:f>
      </x:c>
      <x:c r="D83" s="3" t="str">
        <x:f>IF($A83="","",'Степенная'!D84)</x:f>
      </x:c>
      <x:c r="E83" s="3" t="str">
        <x:f>IF($A83="","",'Логарифмическая'!D84)</x:f>
      </x:c>
      <x:c r="F83" s="3" t="str">
        <x:f>IF($A83="","",'Экспоненциальная'!D84)</x:f>
      </x:c>
      <x:c r="G83" s="3"/>
      <x:c r="H83" s="3"/>
      <x:c r="I83" s="3"/>
      <x:c r="J83" s="3"/>
      <x:c r="K83" s="3"/>
      <x:c r="L83" s="3"/>
      <x:c r="M83" s="3"/>
      <x:c r="N83" s="3"/>
      <x:c r="O83" s="3"/>
      <x:c r="P83" s="3"/>
      <x:c r="Q83" s="3"/>
      <x:c r="R83" s="7" t="n">
        <x:v>45921</x:v>
      </x:c>
      <x:c r="S83" s="3" t="n">
        <x:v>260</x:v>
      </x:c>
      <x:c r="T83" s="4" t="n">
        <x:v>0</x:v>
      </x:c>
    </x:row>
    <x:row r="84" ht="15" customHeight="1">
      <x:c r="A84" s="7" t="str">
        <x:f>IF(67&lt;=$B$3,$B$4+67,"")</x:f>
      </x:c>
      <x:c r="B84" s="3" t="str">
        <x:f>IF($A84="","",'Полином 2'!D85)</x:f>
      </x:c>
      <x:c r="C84" s="3" t="str">
        <x:f>IF($A84="","",'Полином 3'!D85)</x:f>
      </x:c>
      <x:c r="D84" s="3" t="str">
        <x:f>IF($A84="","",'Степенная'!D85)</x:f>
      </x:c>
      <x:c r="E84" s="3" t="str">
        <x:f>IF($A84="","",'Логарифмическая'!D85)</x:f>
      </x:c>
      <x:c r="F84" s="3" t="str">
        <x:f>IF($A84="","",'Экспоненциальная'!D85)</x:f>
      </x:c>
      <x:c r="G84" s="3"/>
      <x:c r="H84" s="3"/>
      <x:c r="I84" s="3"/>
      <x:c r="J84" s="3"/>
      <x:c r="K84" s="3"/>
      <x:c r="L84" s="3"/>
      <x:c r="M84" s="3"/>
      <x:c r="N84" s="3"/>
      <x:c r="O84" s="3"/>
      <x:c r="P84" s="3"/>
      <x:c r="Q84" s="3"/>
      <x:c r="R84" s="7" t="n">
        <x:v>45922</x:v>
      </x:c>
      <x:c r="S84" s="3" t="n">
        <x:v>272</x:v>
      </x:c>
      <x:c r="T84" s="4" t="n">
        <x:v>0</x:v>
      </x:c>
    </x:row>
    <x:row r="85" ht="15" customHeight="1">
      <x:c r="A85" s="7" t="str">
        <x:f>IF(68&lt;=$B$3,$B$4+68,"")</x:f>
      </x:c>
      <x:c r="B85" s="3" t="str">
        <x:f>IF($A85="","",'Полином 2'!D86)</x:f>
      </x:c>
      <x:c r="C85" s="3" t="str">
        <x:f>IF($A85="","",'Полином 3'!D86)</x:f>
      </x:c>
      <x:c r="D85" s="3" t="str">
        <x:f>IF($A85="","",'Степенная'!D86)</x:f>
      </x:c>
      <x:c r="E85" s="3" t="str">
        <x:f>IF($A85="","",'Логарифмическая'!D86)</x:f>
      </x:c>
      <x:c r="F85" s="3" t="str">
        <x:f>IF($A85="","",'Экспоненциальная'!D86)</x:f>
      </x:c>
      <x:c r="G85" s="3"/>
      <x:c r="H85" s="3"/>
      <x:c r="I85" s="3"/>
      <x:c r="J85" s="3"/>
      <x:c r="K85" s="3"/>
      <x:c r="L85" s="3"/>
      <x:c r="M85" s="3"/>
      <x:c r="N85" s="3"/>
      <x:c r="O85" s="3"/>
      <x:c r="P85" s="3"/>
      <x:c r="Q85" s="3"/>
      <x:c r="R85" s="7" t="n">
        <x:v>45923</x:v>
      </x:c>
      <x:c r="S85" s="3" t="n">
        <x:v>279</x:v>
      </x:c>
      <x:c r="T85" s="4" t="n">
        <x:v>0</x:v>
      </x:c>
    </x:row>
    <x:row r="86" ht="15" customHeight="1">
      <x:c r="A86" s="7" t="str">
        <x:f>IF(69&lt;=$B$3,$B$4+69,"")</x:f>
      </x:c>
      <x:c r="B86" s="3" t="str">
        <x:f>IF($A86="","",'Полином 2'!D87)</x:f>
      </x:c>
      <x:c r="C86" s="3" t="str">
        <x:f>IF($A86="","",'Полином 3'!D87)</x:f>
      </x:c>
      <x:c r="D86" s="3" t="str">
        <x:f>IF($A86="","",'Степенная'!D87)</x:f>
      </x:c>
      <x:c r="E86" s="3" t="str">
        <x:f>IF($A86="","",'Логарифмическая'!D87)</x:f>
      </x:c>
      <x:c r="F86" s="3" t="str">
        <x:f>IF($A86="","",'Экспоненциальная'!D87)</x:f>
      </x:c>
      <x:c r="G86" s="3"/>
      <x:c r="H86" s="3"/>
      <x:c r="I86" s="3"/>
      <x:c r="J86" s="3"/>
      <x:c r="K86" s="3"/>
      <x:c r="L86" s="3"/>
      <x:c r="M86" s="3"/>
      <x:c r="N86" s="3"/>
      <x:c r="O86" s="3"/>
      <x:c r="P86" s="3"/>
      <x:c r="Q86" s="3"/>
      <x:c r="R86" s="7" t="n">
        <x:v>45924</x:v>
      </x:c>
      <x:c r="S86" s="3" t="n">
        <x:v>284</x:v>
      </x:c>
      <x:c r="T86" s="4" t="n">
        <x:v>0</x:v>
      </x:c>
    </x:row>
    <x:row r="87" ht="15" customHeight="1">
      <x:c r="A87" s="7" t="str">
        <x:f>IF(70&lt;=$B$3,$B$4+70,"")</x:f>
      </x:c>
      <x:c r="B87" s="3" t="str">
        <x:f>IF($A87="","",'Полином 2'!D88)</x:f>
      </x:c>
      <x:c r="C87" s="3" t="str">
        <x:f>IF($A87="","",'Полином 3'!D88)</x:f>
      </x:c>
      <x:c r="D87" s="3" t="str">
        <x:f>IF($A87="","",'Степенная'!D88)</x:f>
      </x:c>
      <x:c r="E87" s="3" t="str">
        <x:f>IF($A87="","",'Логарифмическая'!D88)</x:f>
      </x:c>
      <x:c r="F87" s="3" t="str">
        <x:f>IF($A87="","",'Экспоненциальная'!D88)</x:f>
      </x:c>
      <x:c r="G87" s="3"/>
      <x:c r="H87" s="3"/>
      <x:c r="I87" s="3"/>
      <x:c r="J87" s="3"/>
      <x:c r="K87" s="3"/>
      <x:c r="L87" s="3"/>
      <x:c r="M87" s="3"/>
      <x:c r="N87" s="3"/>
      <x:c r="O87" s="3"/>
      <x:c r="P87" s="3"/>
      <x:c r="Q87" s="3"/>
      <x:c r="R87" s="7" t="n">
        <x:v>45925</x:v>
      </x:c>
      <x:c r="S87" s="3" t="n">
        <x:v>288</x:v>
      </x:c>
      <x:c r="T87" s="4" t="n">
        <x:v>0</x:v>
      </x:c>
    </x:row>
    <x:row r="88" ht="15" customHeight="1">
      <x:c r="A88" s="7" t="str">
        <x:f>IF(71&lt;=$B$3,$B$4+71,"")</x:f>
      </x:c>
      <x:c r="B88" s="3" t="str">
        <x:f>IF($A88="","",'Полином 2'!D89)</x:f>
      </x:c>
      <x:c r="C88" s="3" t="str">
        <x:f>IF($A88="","",'Полином 3'!D89)</x:f>
      </x:c>
      <x:c r="D88" s="3" t="str">
        <x:f>IF($A88="","",'Степенная'!D89)</x:f>
      </x:c>
      <x:c r="E88" s="3" t="str">
        <x:f>IF($A88="","",'Логарифмическая'!D89)</x:f>
      </x:c>
      <x:c r="F88" s="3" t="str">
        <x:f>IF($A88="","",'Экспоненциальная'!D89)</x:f>
      </x:c>
      <x:c r="G88" s="3"/>
      <x:c r="H88" s="3"/>
      <x:c r="I88" s="3"/>
      <x:c r="J88" s="3"/>
      <x:c r="K88" s="3"/>
      <x:c r="L88" s="3"/>
      <x:c r="M88" s="3"/>
      <x:c r="N88" s="3"/>
      <x:c r="O88" s="3"/>
      <x:c r="P88" s="3"/>
      <x:c r="Q88" s="3"/>
      <x:c r="R88" s="7" t="n">
        <x:v>45926</x:v>
      </x:c>
      <x:c r="S88" s="3" t="n">
        <x:v>290</x:v>
      </x:c>
      <x:c r="T88" s="4" t="n">
        <x:v>0</x:v>
      </x:c>
    </x:row>
    <x:row r="89" ht="15" customHeight="1">
      <x:c r="A89" s="7" t="str">
        <x:f>IF(72&lt;=$B$3,$B$4+72,"")</x:f>
      </x:c>
      <x:c r="B89" s="3" t="str">
        <x:f>IF($A89="","",'Полином 2'!D90)</x:f>
      </x:c>
      <x:c r="C89" s="3" t="str">
        <x:f>IF($A89="","",'Полином 3'!D90)</x:f>
      </x:c>
      <x:c r="D89" s="3" t="str">
        <x:f>IF($A89="","",'Степенная'!D90)</x:f>
      </x:c>
      <x:c r="E89" s="3" t="str">
        <x:f>IF($A89="","",'Логарифмическая'!D90)</x:f>
      </x:c>
      <x:c r="F89" s="3" t="str">
        <x:f>IF($A89="","",'Экспоненциальная'!D90)</x:f>
      </x:c>
      <x:c r="G89" s="3"/>
      <x:c r="H89" s="3"/>
      <x:c r="I89" s="3"/>
      <x:c r="J89" s="3"/>
      <x:c r="K89" s="3"/>
      <x:c r="L89" s="3"/>
      <x:c r="M89" s="3"/>
      <x:c r="N89" s="3"/>
      <x:c r="O89" s="3"/>
      <x:c r="P89" s="3"/>
      <x:c r="Q89" s="3"/>
      <x:c r="R89" s="7" t="n">
        <x:v>45927</x:v>
      </x:c>
      <x:c r="S89" s="3" t="n">
        <x:v>291</x:v>
      </x:c>
      <x:c r="T89" s="4" t="n">
        <x:v>0</x:v>
      </x:c>
    </x:row>
    <x:row r="90" ht="15" customHeight="1">
      <x:c r="A90" s="7" t="str">
        <x:f>IF(73&lt;=$B$3,$B$4+73,"")</x:f>
      </x:c>
      <x:c r="B90" s="3" t="str">
        <x:f>IF($A90="","",'Полином 2'!D91)</x:f>
      </x:c>
      <x:c r="C90" s="3" t="str">
        <x:f>IF($A90="","",'Полином 3'!D91)</x:f>
      </x:c>
      <x:c r="D90" s="3" t="str">
        <x:f>IF($A90="","",'Степенная'!D91)</x:f>
      </x:c>
      <x:c r="E90" s="3" t="str">
        <x:f>IF($A90="","",'Логарифмическая'!D91)</x:f>
      </x:c>
      <x:c r="F90" s="3" t="str">
        <x:f>IF($A90="","",'Экспоненциальная'!D91)</x:f>
      </x:c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7" t="n">
        <x:v>45928</x:v>
      </x:c>
      <x:c r="S90" s="3" t="n">
        <x:v>290</x:v>
      </x:c>
      <x:c r="T90" s="4" t="n">
        <x:v>0</x:v>
      </x:c>
    </x:row>
    <x:row r="91" ht="15" customHeight="1">
      <x:c r="A91" s="7" t="str">
        <x:f>IF(74&lt;=$B$3,$B$4+74,"")</x:f>
      </x:c>
      <x:c r="B91" s="3" t="str">
        <x:f>IF($A91="","",'Полином 2'!D92)</x:f>
      </x:c>
      <x:c r="C91" s="3" t="str">
        <x:f>IF($A91="","",'Полином 3'!D92)</x:f>
      </x:c>
      <x:c r="D91" s="3" t="str">
        <x:f>IF($A91="","",'Степенная'!D92)</x:f>
      </x:c>
      <x:c r="E91" s="3" t="str">
        <x:f>IF($A91="","",'Логарифмическая'!D92)</x:f>
      </x:c>
      <x:c r="F91" s="3" t="str">
        <x:f>IF($A91="","",'Экспоненциальная'!D92)</x:f>
      </x:c>
      <x:c r="G91" s="3"/>
      <x:c r="H91" s="3"/>
      <x:c r="I91" s="3"/>
      <x:c r="J91" s="3"/>
      <x:c r="K91" s="3"/>
      <x:c r="L91" s="3"/>
      <x:c r="M91" s="3"/>
      <x:c r="N91" s="3"/>
      <x:c r="O91" s="3"/>
      <x:c r="P91" s="3"/>
      <x:c r="Q91" s="3"/>
      <x:c r="R91" s="7" t="n">
        <x:v>45929</x:v>
      </x:c>
      <x:c r="S91" s="3" t="n">
        <x:v>290</x:v>
      </x:c>
      <x:c r="T91" s="4" t="n">
        <x:v>0</x:v>
      </x:c>
    </x:row>
    <x:row r="92" ht="15" customHeight="1">
      <x:c r="A92" s="7" t="str">
        <x:f>IF(75&lt;=$B$3,$B$4+75,"")</x:f>
      </x:c>
      <x:c r="B92" s="3" t="str">
        <x:f>IF($A92="","",'Полином 2'!D93)</x:f>
      </x:c>
      <x:c r="C92" s="3" t="str">
        <x:f>IF($A92="","",'Полином 3'!D93)</x:f>
      </x:c>
      <x:c r="D92" s="3" t="str">
        <x:f>IF($A92="","",'Степенная'!D93)</x:f>
      </x:c>
      <x:c r="E92" s="3" t="str">
        <x:f>IF($A92="","",'Логарифмическая'!D93)</x:f>
      </x:c>
      <x:c r="F92" s="3" t="str">
        <x:f>IF($A92="","",'Экспоненциальная'!D93)</x:f>
      </x:c>
      <x:c r="G92" s="3"/>
      <x:c r="H92" s="3"/>
      <x:c r="I92" s="3"/>
      <x:c r="J92" s="3"/>
      <x:c r="K92" s="3"/>
      <x:c r="L92" s="3"/>
      <x:c r="M92" s="3"/>
      <x:c r="N92" s="3"/>
      <x:c r="O92" s="3"/>
      <x:c r="P92" s="3"/>
      <x:c r="Q92" s="3"/>
      <x:c r="R92" s="7" t="n">
        <x:v>45930</x:v>
      </x:c>
      <x:c r="S92" s="3" t="n">
        <x:v>293</x:v>
      </x:c>
      <x:c r="T92" s="4" t="n">
        <x:v>0</x:v>
      </x:c>
    </x:row>
    <x:row r="93" ht="15" customHeight="1">
      <x:c r="A93" s="7" t="str">
        <x:f>IF(76&lt;=$B$3,$B$4+76,"")</x:f>
      </x:c>
      <x:c r="B93" s="3" t="str">
        <x:f>IF($A93="","",'Полином 2'!D94)</x:f>
      </x:c>
      <x:c r="C93" s="3" t="str">
        <x:f>IF($A93="","",'Полином 3'!D94)</x:f>
      </x:c>
      <x:c r="D93" s="3" t="str">
        <x:f>IF($A93="","",'Степенная'!D94)</x:f>
      </x:c>
      <x:c r="E93" s="3" t="str">
        <x:f>IF($A93="","",'Логарифмическая'!D94)</x:f>
      </x:c>
      <x:c r="F93" s="3" t="str">
        <x:f>IF($A93="","",'Экспоненциальная'!D94)</x:f>
      </x:c>
      <x:c r="G93" s="3"/>
      <x:c r="H93" s="3"/>
      <x:c r="I93" s="3"/>
      <x:c r="J93" s="3"/>
      <x:c r="K93" s="3"/>
      <x:c r="L93" s="3"/>
      <x:c r="M93" s="3"/>
      <x:c r="N93" s="3"/>
      <x:c r="O93" s="3"/>
      <x:c r="P93" s="3"/>
      <x:c r="Q93" s="3"/>
      <x:c r="R93" s="7" t="n">
        <x:v>45931</x:v>
      </x:c>
      <x:c r="S93" s="3" t="n">
        <x:v>292</x:v>
      </x:c>
      <x:c r="T93" s="4" t="n">
        <x:v>0</x:v>
      </x:c>
    </x:row>
    <x:row r="94" ht="15" customHeight="1">
      <x:c r="A94" s="7" t="str">
        <x:f>IF(77&lt;=$B$3,$B$4+77,"")</x:f>
      </x:c>
      <x:c r="B94" s="3" t="str">
        <x:f>IF($A94="","",'Полином 2'!D95)</x:f>
      </x:c>
      <x:c r="C94" s="3" t="str">
        <x:f>IF($A94="","",'Полином 3'!D95)</x:f>
      </x:c>
      <x:c r="D94" s="3" t="str">
        <x:f>IF($A94="","",'Степенная'!D95)</x:f>
      </x:c>
      <x:c r="E94" s="3" t="str">
        <x:f>IF($A94="","",'Логарифмическая'!D95)</x:f>
      </x:c>
      <x:c r="F94" s="3" t="str">
        <x:f>IF($A94="","",'Экспоненциальная'!D95)</x:f>
      </x:c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7" t="n">
        <x:v>45932</x:v>
      </x:c>
      <x:c r="S94" s="3" t="n">
        <x:v>284</x:v>
      </x:c>
      <x:c r="T94" s="4" t="n">
        <x:v>0</x:v>
      </x:c>
    </x:row>
    <x:row r="95" ht="15" customHeight="1">
      <x:c r="A95" s="7" t="str">
        <x:f>IF(78&lt;=$B$3,$B$4+78,"")</x:f>
      </x:c>
      <x:c r="B95" s="3" t="str">
        <x:f>IF($A95="","",'Полином 2'!D96)</x:f>
      </x:c>
      <x:c r="C95" s="3" t="str">
        <x:f>IF($A95="","",'Полином 3'!D96)</x:f>
      </x:c>
      <x:c r="D95" s="3" t="str">
        <x:f>IF($A95="","",'Степенная'!D96)</x:f>
      </x:c>
      <x:c r="E95" s="3" t="str">
        <x:f>IF($A95="","",'Логарифмическая'!D96)</x:f>
      </x:c>
      <x:c r="F95" s="3" t="str">
        <x:f>IF($A95="","",'Экспоненциальная'!D96)</x:f>
      </x:c>
      <x:c r="G95" s="3"/>
      <x:c r="H95" s="3"/>
      <x:c r="I95" s="3"/>
      <x:c r="J95" s="3"/>
      <x:c r="K95" s="3"/>
      <x:c r="L95" s="3"/>
      <x:c r="M95" s="3"/>
      <x:c r="N95" s="3"/>
      <x:c r="O95" s="3"/>
      <x:c r="P95" s="3"/>
      <x:c r="Q95" s="3"/>
      <x:c r="R95" s="7" t="n">
        <x:v>45933</x:v>
      </x:c>
      <x:c r="S95" s="3" t="n">
        <x:v>274</x:v>
      </x:c>
      <x:c r="T95" s="4" t="n">
        <x:v>0</x:v>
      </x:c>
    </x:row>
    <x:row r="96" ht="15" customHeight="1">
      <x:c r="A96" s="7" t="str">
        <x:f>IF(79&lt;=$B$3,$B$4+79,"")</x:f>
      </x:c>
      <x:c r="B96" s="3" t="str">
        <x:f>IF($A96="","",'Полином 2'!D97)</x:f>
      </x:c>
      <x:c r="C96" s="3" t="str">
        <x:f>IF($A96="","",'Полином 3'!D97)</x:f>
      </x:c>
      <x:c r="D96" s="3" t="str">
        <x:f>IF($A96="","",'Степенная'!D97)</x:f>
      </x:c>
      <x:c r="E96" s="3" t="str">
        <x:f>IF($A96="","",'Логарифмическая'!D97)</x:f>
      </x:c>
      <x:c r="F96" s="3" t="str">
        <x:f>IF($A96="","",'Экспоненциальная'!D97)</x:f>
      </x:c>
      <x:c r="G96" s="3"/>
      <x:c r="H96" s="3"/>
      <x:c r="I96" s="3"/>
      <x:c r="J96" s="3"/>
      <x:c r="K96" s="3"/>
      <x:c r="L96" s="3"/>
      <x:c r="M96" s="3"/>
      <x:c r="N96" s="3"/>
      <x:c r="O96" s="3"/>
      <x:c r="P96" s="3"/>
      <x:c r="Q96" s="3"/>
      <x:c r="R96" s="7" t="n">
        <x:v>45934</x:v>
      </x:c>
      <x:c r="S96" s="3" t="n">
        <x:v>258</x:v>
      </x:c>
      <x:c r="T96" s="4" t="n">
        <x:v>0</x:v>
      </x:c>
    </x:row>
    <x:row r="97" ht="15" customHeight="1">
      <x:c r="A97" s="7" t="str">
        <x:f>IF(80&lt;=$B$3,$B$4+80,"")</x:f>
      </x:c>
      <x:c r="B97" s="3" t="str">
        <x:f>IF($A97="","",'Полином 2'!D98)</x:f>
      </x:c>
      <x:c r="C97" s="3" t="str">
        <x:f>IF($A97="","",'Полином 3'!D98)</x:f>
      </x:c>
      <x:c r="D97" s="3" t="str">
        <x:f>IF($A97="","",'Степенная'!D98)</x:f>
      </x:c>
      <x:c r="E97" s="3" t="str">
        <x:f>IF($A97="","",'Логарифмическая'!D98)</x:f>
      </x:c>
      <x:c r="F97" s="3" t="str">
        <x:f>IF($A97="","",'Экспоненциальная'!D98)</x:f>
      </x:c>
      <x:c r="G97" s="3"/>
      <x:c r="H97" s="3"/>
      <x:c r="I97" s="3"/>
      <x:c r="J97" s="3"/>
      <x:c r="K97" s="3"/>
      <x:c r="L97" s="3"/>
      <x:c r="M97" s="3"/>
      <x:c r="N97" s="3"/>
      <x:c r="O97" s="3"/>
      <x:c r="P97" s="3"/>
      <x:c r="Q97" s="3"/>
      <x:c r="R97" s="7" t="n">
        <x:v>45935</x:v>
      </x:c>
      <x:c r="S97" s="3" t="n">
        <x:v>240</x:v>
      </x:c>
      <x:c r="T97" s="4" t="n">
        <x:v>0</x:v>
      </x:c>
    </x:row>
    <x:row r="98" ht="15" customHeight="1">
      <x:c r="A98" s="7" t="str">
        <x:f>IF(81&lt;=$B$3,$B$4+81,"")</x:f>
      </x:c>
      <x:c r="B98" s="3" t="str">
        <x:f>IF($A98="","",'Полином 2'!D99)</x:f>
      </x:c>
      <x:c r="C98" s="3" t="str">
        <x:f>IF($A98="","",'Полином 3'!D99)</x:f>
      </x:c>
      <x:c r="D98" s="3" t="str">
        <x:f>IF($A98="","",'Степенная'!D99)</x:f>
      </x:c>
      <x:c r="E98" s="3" t="str">
        <x:f>IF($A98="","",'Логарифмическая'!D99)</x:f>
      </x:c>
      <x:c r="F98" s="3" t="str">
        <x:f>IF($A98="","",'Экспоненциальная'!D99)</x:f>
      </x:c>
      <x:c r="G98" s="3"/>
      <x:c r="H98" s="3"/>
      <x:c r="I98" s="3"/>
      <x:c r="J98" s="3"/>
      <x:c r="K98" s="3"/>
      <x:c r="L98" s="3"/>
      <x:c r="M98" s="3"/>
      <x:c r="N98" s="3"/>
      <x:c r="O98" s="3"/>
      <x:c r="P98" s="3"/>
      <x:c r="Q98" s="3"/>
      <x:c r="R98" s="7" t="n">
        <x:v>45936</x:v>
      </x:c>
      <x:c r="S98" s="3" t="n">
        <x:v>224</x:v>
      </x:c>
      <x:c r="T98" s="4" t="n">
        <x:v>0</x:v>
      </x:c>
    </x:row>
    <x:row r="99" ht="15" customHeight="1">
      <x:c r="A99" s="7" t="str">
        <x:f>IF(82&lt;=$B$3,$B$4+82,"")</x:f>
      </x:c>
      <x:c r="B99" s="3" t="str">
        <x:f>IF($A99="","",'Полином 2'!D100)</x:f>
      </x:c>
      <x:c r="C99" s="3" t="str">
        <x:f>IF($A99="","",'Полином 3'!D100)</x:f>
      </x:c>
      <x:c r="D99" s="3" t="str">
        <x:f>IF($A99="","",'Степенная'!D100)</x:f>
      </x:c>
      <x:c r="E99" s="3" t="str">
        <x:f>IF($A99="","",'Логарифмическая'!D100)</x:f>
      </x:c>
      <x:c r="F99" s="3" t="str">
        <x:f>IF($A99="","",'Экспоненциальная'!D100)</x:f>
      </x:c>
      <x:c r="G99" s="3"/>
      <x:c r="H99" s="3"/>
      <x:c r="I99" s="3"/>
      <x:c r="J99" s="3"/>
      <x:c r="K99" s="3"/>
      <x:c r="L99" s="3"/>
      <x:c r="M99" s="3"/>
      <x:c r="N99" s="3"/>
      <x:c r="O99" s="3"/>
      <x:c r="P99" s="3"/>
      <x:c r="Q99" s="3"/>
      <x:c r="R99" s="7" t="n">
        <x:v>45937</x:v>
      </x:c>
      <x:c r="S99" s="3" t="n">
        <x:v>210</x:v>
      </x:c>
      <x:c r="T99" s="4" t="n">
        <x:v>0</x:v>
      </x:c>
    </x:row>
    <x:row r="100" ht="15" customHeight="1">
      <x:c r="A100" s="7" t="str">
        <x:f>IF(83&lt;=$B$3,$B$4+83,"")</x:f>
      </x:c>
      <x:c r="B100" s="3" t="str">
        <x:f>IF($A100="","",'Полином 2'!D101)</x:f>
      </x:c>
      <x:c r="C100" s="3" t="str">
        <x:f>IF($A100="","",'Полином 3'!D101)</x:f>
      </x:c>
      <x:c r="D100" s="3" t="str">
        <x:f>IF($A100="","",'Степенная'!D101)</x:f>
      </x:c>
      <x:c r="E100" s="3" t="str">
        <x:f>IF($A100="","",'Логарифмическая'!D101)</x:f>
      </x:c>
      <x:c r="F100" s="3" t="str">
        <x:f>IF($A100="","",'Экспоненциальная'!D101)</x:f>
      </x:c>
      <x:c r="G100" s="3"/>
      <x:c r="H100" s="3"/>
      <x:c r="I100" s="3"/>
      <x:c r="J100" s="3"/>
      <x:c r="K100" s="3"/>
      <x:c r="L100" s="3"/>
      <x:c r="M100" s="3"/>
      <x:c r="N100" s="3"/>
      <x:c r="O100" s="3"/>
      <x:c r="P100" s="3"/>
      <x:c r="Q100" s="3"/>
      <x:c r="R100" s="7" t="n">
        <x:v>45938</x:v>
      </x:c>
      <x:c r="S100" s="3" t="n">
        <x:v>198</x:v>
      </x:c>
      <x:c r="T100" s="4" t="n">
        <x:v>0</x:v>
      </x:c>
    </x:row>
    <x:row r="101" ht="15" customHeight="1">
      <x:c r="A101" s="7" t="str">
        <x:f>IF(84&lt;=$B$3,$B$4+84,"")</x:f>
      </x:c>
      <x:c r="B101" s="3" t="str">
        <x:f>IF($A101="","",'Полином 2'!D102)</x:f>
      </x:c>
      <x:c r="C101" s="3" t="str">
        <x:f>IF($A101="","",'Полином 3'!D102)</x:f>
      </x:c>
      <x:c r="D101" s="3" t="str">
        <x:f>IF($A101="","",'Степенная'!D102)</x:f>
      </x:c>
      <x:c r="E101" s="3" t="str">
        <x:f>IF($A101="","",'Логарифмическая'!D102)</x:f>
      </x:c>
      <x:c r="F101" s="3" t="str">
        <x:f>IF($A101="","",'Экспоненциальная'!D102)</x:f>
      </x:c>
      <x:c r="G101" s="3"/>
      <x:c r="H101" s="3"/>
      <x:c r="I101" s="3"/>
      <x:c r="J101" s="3"/>
      <x:c r="K101" s="3"/>
      <x:c r="L101" s="3"/>
      <x:c r="M101" s="3"/>
      <x:c r="N101" s="3"/>
      <x:c r="O101" s="3"/>
      <x:c r="P101" s="3"/>
      <x:c r="Q101" s="3"/>
      <x:c r="R101" s="7" t="n">
        <x:v>45939</x:v>
      </x:c>
      <x:c r="S101" s="3" t="n">
        <x:v>178</x:v>
      </x:c>
      <x:c r="T101" s="4" t="n">
        <x:v>0</x:v>
      </x:c>
    </x:row>
    <x:row r="102" ht="15" customHeight="1">
      <x:c r="A102" s="7" t="str">
        <x:f>IF(85&lt;=$B$3,$B$4+85,"")</x:f>
      </x:c>
      <x:c r="B102" s="3" t="str">
        <x:f>IF($A102="","",'Полином 2'!D103)</x:f>
      </x:c>
      <x:c r="C102" s="3" t="str">
        <x:f>IF($A102="","",'Полином 3'!D103)</x:f>
      </x:c>
      <x:c r="D102" s="3" t="str">
        <x:f>IF($A102="","",'Степенная'!D103)</x:f>
      </x:c>
      <x:c r="E102" s="3" t="str">
        <x:f>IF($A102="","",'Логарифмическая'!D103)</x:f>
      </x:c>
      <x:c r="F102" s="3" t="str">
        <x:f>IF($A102="","",'Экспоненциальная'!D103)</x:f>
      </x:c>
      <x:c r="G102" s="3"/>
      <x:c r="H102" s="3"/>
      <x:c r="I102" s="3"/>
      <x:c r="J102" s="3"/>
      <x:c r="K102" s="3"/>
      <x:c r="L102" s="3"/>
      <x:c r="M102" s="3"/>
      <x:c r="N102" s="3"/>
      <x:c r="O102" s="3"/>
      <x:c r="P102" s="3"/>
      <x:c r="Q102" s="3"/>
      <x:c r="R102" s="7" t="n">
        <x:v>45940</x:v>
      </x:c>
      <x:c r="S102" s="3" t="n">
        <x:v>163</x:v>
      </x:c>
      <x:c r="T102" s="4" t="n">
        <x:v>0</x:v>
      </x:c>
    </x:row>
    <x:row r="103" ht="15" customHeight="1">
      <x:c r="A103" s="7" t="str">
        <x:f>IF(86&lt;=$B$3,$B$4+86,"")</x:f>
      </x:c>
      <x:c r="B103" s="3" t="str">
        <x:f>IF($A103="","",'Полином 2'!D104)</x:f>
      </x:c>
      <x:c r="C103" s="3" t="str">
        <x:f>IF($A103="","",'Полином 3'!D104)</x:f>
      </x:c>
      <x:c r="D103" s="3" t="str">
        <x:f>IF($A103="","",'Степенная'!D104)</x:f>
      </x:c>
      <x:c r="E103" s="3" t="str">
        <x:f>IF($A103="","",'Логарифмическая'!D104)</x:f>
      </x:c>
      <x:c r="F103" s="3" t="str">
        <x:f>IF($A103="","",'Экспоненциальная'!D104)</x:f>
      </x:c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3"/>
      <x:c r="R103" s="7" t="n">
        <x:v>45941</x:v>
      </x:c>
      <x:c r="S103" s="3" t="n">
        <x:v>152</x:v>
      </x:c>
      <x:c r="T103" s="4" t="n">
        <x:v>0</x:v>
      </x:c>
    </x:row>
    <x:row r="104" ht="15" customHeight="1">
      <x:c r="A104" s="7" t="str">
        <x:f>IF(87&lt;=$B$3,$B$4+87,"")</x:f>
      </x:c>
      <x:c r="B104" s="3" t="str">
        <x:f>IF($A104="","",'Полином 2'!D105)</x:f>
      </x:c>
      <x:c r="C104" s="3" t="str">
        <x:f>IF($A104="","",'Полином 3'!D105)</x:f>
      </x:c>
      <x:c r="D104" s="3" t="str">
        <x:f>IF($A104="","",'Степенная'!D105)</x:f>
      </x:c>
      <x:c r="E104" s="3" t="str">
        <x:f>IF($A104="","",'Логарифмическая'!D105)</x:f>
      </x:c>
      <x:c r="F104" s="3" t="str">
        <x:f>IF($A104="","",'Экспоненциальная'!D105)</x:f>
      </x:c>
      <x:c r="G104" s="3"/>
      <x:c r="H104" s="3"/>
      <x:c r="I104" s="3"/>
      <x:c r="J104" s="3"/>
      <x:c r="K104" s="3"/>
      <x:c r="L104" s="3"/>
      <x:c r="M104" s="3"/>
      <x:c r="N104" s="3"/>
      <x:c r="O104" s="3"/>
      <x:c r="P104" s="3"/>
      <x:c r="Q104" s="3"/>
      <x:c r="R104" s="7" t="n">
        <x:v>45942</x:v>
      </x:c>
      <x:c r="S104" s="3" t="n">
        <x:v>138</x:v>
      </x:c>
      <x:c r="T104" s="4" t="n">
        <x:v>0</x:v>
      </x:c>
    </x:row>
    <x:row r="105" ht="15" customHeight="1">
      <x:c r="A105" s="7" t="str">
        <x:f>IF(88&lt;=$B$3,$B$4+88,"")</x:f>
      </x:c>
      <x:c r="B105" s="3" t="str">
        <x:f>IF($A105="","",'Полином 2'!D106)</x:f>
      </x:c>
      <x:c r="C105" s="3" t="str">
        <x:f>IF($A105="","",'Полином 3'!D106)</x:f>
      </x:c>
      <x:c r="D105" s="3" t="str">
        <x:f>IF($A105="","",'Степенная'!D106)</x:f>
      </x:c>
      <x:c r="E105" s="3" t="str">
        <x:f>IF($A105="","",'Логарифмическая'!D106)</x:f>
      </x:c>
      <x:c r="F105" s="3" t="str">
        <x:f>IF($A105="","",'Экспоненциальная'!D106)</x:f>
      </x:c>
      <x:c r="G105" s="3"/>
      <x:c r="H105" s="3"/>
      <x:c r="I105" s="3"/>
      <x:c r="J105" s="3"/>
      <x:c r="K105" s="3"/>
      <x:c r="L105" s="3"/>
      <x:c r="M105" s="3"/>
      <x:c r="N105" s="3"/>
      <x:c r="O105" s="3"/>
      <x:c r="P105" s="3"/>
      <x:c r="Q105" s="3"/>
      <x:c r="R105" s="7" t="n">
        <x:v>45943</x:v>
      </x:c>
      <x:c r="S105" s="3" t="n">
        <x:v>123</x:v>
      </x:c>
      <x:c r="T105" s="4" t="n">
        <x:v>0</x:v>
      </x:c>
    </x:row>
    <x:row r="106" ht="15" customHeight="1">
      <x:c r="A106" s="7" t="str">
        <x:f>IF(89&lt;=$B$3,$B$4+89,"")</x:f>
      </x:c>
      <x:c r="B106" s="3" t="str">
        <x:f>IF($A106="","",'Полином 2'!D107)</x:f>
      </x:c>
      <x:c r="C106" s="3" t="str">
        <x:f>IF($A106="","",'Полином 3'!D107)</x:f>
      </x:c>
      <x:c r="D106" s="3" t="str">
        <x:f>IF($A106="","",'Степенная'!D107)</x:f>
      </x:c>
      <x:c r="E106" s="3" t="str">
        <x:f>IF($A106="","",'Логарифмическая'!D107)</x:f>
      </x:c>
      <x:c r="F106" s="3" t="str">
        <x:f>IF($A106="","",'Экспоненциальная'!D107)</x:f>
      </x:c>
      <x:c r="G106" s="3"/>
      <x:c r="H106" s="3"/>
      <x:c r="I106" s="3"/>
      <x:c r="J106" s="3"/>
      <x:c r="K106" s="3"/>
      <x:c r="L106" s="3"/>
      <x:c r="M106" s="3"/>
      <x:c r="N106" s="3"/>
      <x:c r="O106" s="3"/>
      <x:c r="P106" s="3"/>
      <x:c r="Q106" s="3"/>
      <x:c r="R106" s="7" t="n">
        <x:v>45944</x:v>
      </x:c>
      <x:c r="S106" s="3" t="n">
        <x:v>111</x:v>
      </x:c>
      <x:c r="T106" s="4" t="n">
        <x:v>0</x:v>
      </x:c>
    </x:row>
    <x:row r="107" ht="15" customHeight="1">
      <x:c r="A107" s="7" t="str">
        <x:f>IF(90&lt;=$B$3,$B$4+90,"")</x:f>
      </x:c>
      <x:c r="B107" s="3" t="str">
        <x:f>IF($A107="","",'Полином 2'!D108)</x:f>
      </x:c>
      <x:c r="C107" s="3" t="str">
        <x:f>IF($A107="","",'Полином 3'!D108)</x:f>
      </x:c>
      <x:c r="D107" s="3" t="str">
        <x:f>IF($A107="","",'Степенная'!D108)</x:f>
      </x:c>
      <x:c r="E107" s="3" t="str">
        <x:f>IF($A107="","",'Логарифмическая'!D108)</x:f>
      </x:c>
      <x:c r="F107" s="3" t="str">
        <x:f>IF($A107="","",'Экспоненциальная'!D108)</x:f>
      </x:c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  <x:c r="Q107" s="3"/>
      <x:c r="R107" s="7" t="n">
        <x:v>45945</x:v>
      </x:c>
      <x:c r="S107" s="3" t="n">
        <x:v>100</x:v>
      </x:c>
      <x:c r="T107" s="4" t="n">
        <x:v>0</x:v>
      </x:c>
    </x:row>
    <x:row r="108" ht="15" customHeight="1">
      <x:c r="A108" s="3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3"/>
      <x:c r="Q108" s="3"/>
      <x:c r="R108" s="7" t="n">
        <x:v>45946</x:v>
      </x:c>
      <x:c r="S108" s="3" t="n">
        <x:v>89</x:v>
      </x:c>
      <x:c r="T108" s="4" t="n">
        <x:v>0</x:v>
      </x:c>
    </x:row>
    <x:row r="109" ht="15" customHeight="1">
      <x:c r="A109" s="3"/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3"/>
      <x:c r="Q109" s="3"/>
      <x:c r="R109" s="7" t="n">
        <x:v>45947</x:v>
      </x:c>
      <x:c r="S109" s="3" t="n">
        <x:v>79</x:v>
      </x:c>
      <x:c r="T109" s="4" t="n">
        <x:v>0</x:v>
      </x:c>
    </x:row>
    <x:row r="110" ht="15" customHeight="1">
      <x:c r="A110" s="3"/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3"/>
      <x:c r="Q110" s="3"/>
      <x:c r="R110" s="7" t="n">
        <x:v>45948</x:v>
      </x:c>
      <x:c r="S110" s="3" t="n">
        <x:v>66</x:v>
      </x:c>
      <x:c r="T110" s="4" t="n">
        <x:v>0</x:v>
      </x:c>
    </x:row>
    <x:row r="111" ht="15" customHeight="1">
      <x:c r="A111" s="3"/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3"/>
      <x:c r="Q111" s="3"/>
      <x:c r="R111" s="7" t="n">
        <x:v>45949</x:v>
      </x:c>
      <x:c r="S111" s="3" t="n">
        <x:v>56</x:v>
      </x:c>
      <x:c r="T111" s="4" t="n">
        <x:v>0</x:v>
      </x:c>
    </x:row>
    <x:row r="112" ht="15" customHeight="1">
      <x:c r="A112" s="3"/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3"/>
      <x:c r="Q112" s="3"/>
      <x:c r="R112" s="7" t="n">
        <x:v>45950</x:v>
      </x:c>
      <x:c r="S112" s="3" t="n">
        <x:v>46</x:v>
      </x:c>
      <x:c r="T112" s="4" t="n">
        <x:v>0</x:v>
      </x:c>
    </x:row>
    <x:row r="113" ht="15" customHeight="1">
      <x:c r="A113" s="3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3"/>
      <x:c r="Q113" s="3"/>
      <x:c r="R113" s="7" t="n">
        <x:v>45951</x:v>
      </x:c>
      <x:c r="S113" s="3" t="n">
        <x:v>36</x:v>
      </x:c>
      <x:c r="T113" s="4" t="n">
        <x:v>0</x:v>
      </x:c>
    </x:row>
    <x:row r="114" ht="15" customHeight="1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3"/>
      <x:c r="Q114" s="3"/>
      <x:c r="R114" s="7" t="n">
        <x:v>45952</x:v>
      </x:c>
      <x:c r="S114" s="3" t="n">
        <x:v>30</x:v>
      </x:c>
      <x:c r="T114" s="4" t="n">
        <x:v>0</x:v>
      </x:c>
    </x:row>
    <x:row r="115" ht="15" customHeight="1">
      <x:c r="A115" s="3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3"/>
      <x:c r="Q115" s="3"/>
      <x:c r="R115" s="7" t="n">
        <x:v>45953</x:v>
      </x:c>
      <x:c r="S115" s="3" t="n">
        <x:v>19</x:v>
      </x:c>
      <x:c r="T115" s="4" t="n">
        <x:v>0</x:v>
      </x:c>
    </x:row>
    <x:row r="116" ht="15" customHeight="1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3"/>
      <x:c r="Q116" s="3"/>
      <x:c r="R116" s="7" t="n">
        <x:v>45954</x:v>
      </x:c>
      <x:c r="S116" s="3" t="n">
        <x:v>12</x:v>
      </x:c>
      <x:c r="T116" s="4" t="n">
        <x:v>0</x:v>
      </x:c>
    </x:row>
    <x:row r="117" ht="15" customHeight="1">
      <x:c r="A117" s="3"/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3"/>
      <x:c r="Q117" s="3"/>
      <x:c r="R117" s="7" t="n">
        <x:v>45955</x:v>
      </x:c>
      <x:c r="S117" s="3" t="n">
        <x:v>5</x:v>
      </x:c>
      <x:c r="T117" s="4" t="n">
        <x:v>0</x:v>
      </x:c>
    </x:row>
    <x:row r="118" ht="15" customHeight="1">
      <x:c r="A118" s="3"/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3"/>
      <x:c r="Q118" s="3"/>
      <x:c r="R118" s="7" t="n">
        <x:v>45956</x:v>
      </x:c>
      <x:c r="S118" s="3" t="n">
        <x:v>-1</x:v>
      </x:c>
      <x:c r="T118" s="4" t="n">
        <x:v>0</x:v>
      </x:c>
    </x:row>
    <x:row r="119" ht="15" customHeight="1">
      <x:c r="A119" s="3"/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3"/>
      <x:c r="Q119" s="3"/>
      <x:c r="R119" s="7" t="n">
        <x:v>45957</x:v>
      </x:c>
      <x:c r="S119" s="3" t="n">
        <x:v>-11</x:v>
      </x:c>
      <x:c r="T119" s="4" t="n">
        <x:v>0</x:v>
      </x:c>
    </x:row>
    <x:row r="120" ht="15" customHeight="1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  <x:c r="O120" s="3"/>
      <x:c r="P120" s="3"/>
      <x:c r="Q120" s="3"/>
      <x:c r="R120" s="7" t="n">
        <x:v>45958</x:v>
      </x:c>
      <x:c r="S120" s="3" t="n">
        <x:v>-20</x:v>
      </x:c>
      <x:c r="T120" s="4" t="n">
        <x:v>0</x:v>
      </x:c>
    </x:row>
    <x:row r="121" ht="15" customHeight="1">
      <x:c r="A121" s="3"/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3"/>
      <x:c r="Q121" s="3"/>
      <x:c r="R121" s="7" t="n">
        <x:v>45959</x:v>
      </x:c>
      <x:c r="S121" s="3" t="n">
        <x:v>-27</x:v>
      </x:c>
      <x:c r="T121" s="4" t="n">
        <x:v>0</x:v>
      </x:c>
    </x:row>
    <x:row r="122" ht="15" customHeight="1">
      <x:c r="A122" s="3"/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3"/>
      <x:c r="Q122" s="3"/>
      <x:c r="R122" s="7" t="n">
        <x:v>45960</x:v>
      </x:c>
      <x:c r="S122" s="3" t="n">
        <x:v>-33</x:v>
      </x:c>
      <x:c r="T122" s="4" t="n">
        <x:v>0</x:v>
      </x:c>
    </x:row>
    <x:row r="123" ht="15" customHeight="1">
      <x:c r="A123" s="3"/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3"/>
      <x:c r="Q123" s="3"/>
      <x:c r="R123" s="7" t="n">
        <x:v>45961</x:v>
      </x:c>
      <x:c r="S123" s="3" t="n">
        <x:v>-36</x:v>
      </x:c>
      <x:c r="T123" s="4" t="n">
        <x:v>0</x:v>
      </x:c>
    </x:row>
    <x:row r="124" ht="15" customHeight="1">
      <x:c r="A124" s="3"/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3"/>
      <x:c r="Q124" s="3"/>
      <x:c r="R124" s="7" t="n">
        <x:v>45962</x:v>
      </x:c>
      <x:c r="S124" s="3" t="n">
        <x:v>-37</x:v>
      </x:c>
      <x:c r="T124" s="4" t="n">
        <x:v>0</x:v>
      </x:c>
    </x:row>
    <x:row r="125" ht="15" customHeight="1">
      <x:c r="A125" s="3"/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3"/>
      <x:c r="Q125" s="3"/>
      <x:c r="R125" s="7" t="n">
        <x:v>45963</x:v>
      </x:c>
      <x:c r="S125" s="3" t="n">
        <x:v>-40</x:v>
      </x:c>
      <x:c r="T125" s="4" t="n">
        <x:v>0</x:v>
      </x:c>
    </x:row>
    <x:row r="126" ht="15" customHeight="1">
      <x:c r="A126" s="3"/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3"/>
      <x:c r="Q126" s="3"/>
      <x:c r="R126" s="7" t="n">
        <x:v>45964</x:v>
      </x:c>
      <x:c r="S126" s="3" t="n">
        <x:v>-46</x:v>
      </x:c>
      <x:c r="T126" s="4" t="n">
        <x:v>0</x:v>
      </x:c>
    </x:row>
    <x:row r="127" ht="15" customHeight="1">
      <x:c r="A127" s="3"/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3"/>
      <x:c r="Q127" s="3"/>
      <x:c r="R127" s="7" t="n">
        <x:v>45965</x:v>
      </x:c>
      <x:c r="S127" s="3" t="n">
        <x:v>-49</x:v>
      </x:c>
      <x:c r="T127" s="4" t="n">
        <x:v>0</x:v>
      </x:c>
    </x:row>
    <x:row r="128" ht="15" customHeight="1">
      <x:c r="A128" s="3"/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3"/>
      <x:c r="Q128" s="3"/>
      <x:c r="R128" s="7" t="n">
        <x:v>45966</x:v>
      </x:c>
      <x:c r="S128" s="3" t="n">
        <x:v>-56</x:v>
      </x:c>
      <x:c r="T128" s="4" t="n">
        <x:v>0</x:v>
      </x:c>
    </x:row>
    <x:row r="129" ht="15" customHeight="1">
      <x:c r="A129" s="3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3"/>
      <x:c r="Q129" s="3"/>
      <x:c r="R129" s="7" t="n">
        <x:v>45967</x:v>
      </x:c>
      <x:c r="S129" s="3" t="n">
        <x:v>-61</x:v>
      </x:c>
      <x:c r="T129" s="4" t="n">
        <x:v>0</x:v>
      </x:c>
    </x:row>
    <x:row r="130" ht="15" customHeight="1">
      <x:c r="A130" s="3"/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3"/>
      <x:c r="Q130" s="3"/>
      <x:c r="R130" s="7" t="n">
        <x:v>45968</x:v>
      </x:c>
      <x:c r="S130" s="3" t="n">
        <x:v>-69</x:v>
      </x:c>
      <x:c r="T130" s="4" t="n">
        <x:v>0</x:v>
      </x:c>
    </x:row>
    <x:row r="131" ht="15" customHeight="1">
      <x:c r="A131" s="3"/>
      <x:c r="B131" s="3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3"/>
      <x:c r="Q131" s="3"/>
      <x:c r="R131" s="7" t="n">
        <x:v>45969</x:v>
      </x:c>
      <x:c r="S131" s="3" t="n">
        <x:v>-74</x:v>
      </x:c>
      <x:c r="T131" s="4" t="n">
        <x:v>0</x:v>
      </x:c>
    </x:row>
    <x:row r="132" ht="15" customHeight="1">
      <x:c r="A132" s="3"/>
      <x:c r="B132" s="3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3"/>
      <x:c r="Q132" s="3"/>
      <x:c r="R132" s="7" t="n">
        <x:v>45970</x:v>
      </x:c>
      <x:c r="S132" s="3" t="n">
        <x:v>-80</x:v>
      </x:c>
      <x:c r="T132" s="4" t="n">
        <x:v>0</x:v>
      </x:c>
    </x:row>
    <x:row r="133" ht="15" customHeight="1">
      <x:c r="A133" s="3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3"/>
      <x:c r="Q133" s="3"/>
      <x:c r="R133" s="7" t="n">
        <x:v>45971</x:v>
      </x:c>
      <x:c r="S133" s="3" t="n">
        <x:v>-83</x:v>
      </x:c>
      <x:c r="T133" s="4" t="n">
        <x:v>0</x:v>
      </x:c>
    </x:row>
    <x:row r="134" ht="15" customHeight="1">
      <x:c r="A134" s="3"/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3"/>
      <x:c r="Q134" s="3"/>
      <x:c r="R134" s="7" t="n">
        <x:v>45972</x:v>
      </x:c>
      <x:c r="S134" s="3" t="n">
        <x:v>-89</x:v>
      </x:c>
      <x:c r="T134" s="4" t="n">
        <x:v>0</x:v>
      </x:c>
    </x:row>
    <x:row r="135" ht="15" customHeight="1">
      <x:c r="A135" s="3"/>
      <x:c r="B135" s="3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3"/>
      <x:c r="Q135" s="3"/>
      <x:c r="R135" s="7" t="n">
        <x:v>45973</x:v>
      </x:c>
      <x:c r="S135" s="3" t="n">
        <x:v>-88</x:v>
      </x:c>
      <x:c r="T135" s="4" t="n">
        <x:v>0</x:v>
      </x:c>
    </x:row>
    <x:row r="136" ht="15" customHeight="1">
      <x:c r="A136" s="3"/>
      <x:c r="B136" s="3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3"/>
      <x:c r="Q136" s="3"/>
      <x:c r="R136" s="7" t="n">
        <x:v>45974</x:v>
      </x:c>
      <x:c r="S136" s="3" t="n">
        <x:v>-89</x:v>
      </x:c>
      <x:c r="T136" s="4" t="n">
        <x:v>0</x:v>
      </x:c>
    </x:row>
    <x:row r="137" ht="15" customHeight="1">
      <x:c r="A137" s="3"/>
      <x:c r="B137" s="3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3"/>
      <x:c r="Q137" s="3"/>
      <x:c r="R137" s="7" t="n">
        <x:v>45975</x:v>
      </x:c>
      <x:c r="S137" s="3" t="n">
        <x:v>-95</x:v>
      </x:c>
      <x:c r="T137" s="4" t="n">
        <x:v>0</x:v>
      </x:c>
    </x:row>
    <x:row r="138" ht="15" customHeight="1">
      <x:c r="A138" s="3"/>
      <x:c r="B138" s="3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3"/>
      <x:c r="Q138" s="3"/>
      <x:c r="R138" s="7" t="n">
        <x:v>45976</x:v>
      </x:c>
      <x:c r="S138" s="3" t="n">
        <x:v>-90</x:v>
      </x:c>
      <x:c r="T138" s="4" t="n">
        <x:v>0</x:v>
      </x:c>
    </x:row>
    <x:row r="139" ht="15" customHeight="1">
      <x:c r="A139" s="3"/>
      <x:c r="B139" s="3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3"/>
      <x:c r="Q139" s="3"/>
      <x:c r="R139" s="7" t="n">
        <x:v>45977</x:v>
      </x:c>
      <x:c r="S139" s="3" t="n">
        <x:v>-81</x:v>
      </x:c>
      <x:c r="T139" s="4" t="n">
        <x:v>0</x:v>
      </x:c>
    </x:row>
    <x:row r="140" ht="15" customHeight="1">
      <x:c r="A140" s="3"/>
      <x:c r="B140" s="3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3"/>
      <x:c r="Q140" s="3"/>
      <x:c r="R140" s="7" t="n">
        <x:v>45978</x:v>
      </x:c>
      <x:c r="S140" s="3" t="n">
        <x:v>-83</x:v>
      </x:c>
      <x:c r="T140" s="4" t="n">
        <x:v>0</x:v>
      </x:c>
    </x:row>
    <x:row r="141" ht="15" customHeight="1">
      <x:c r="A141" s="3"/>
      <x:c r="B141" s="3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3"/>
      <x:c r="Q141" s="3"/>
      <x:c r="R141" s="7" t="n">
        <x:v>45979</x:v>
      </x:c>
      <x:c r="S141" s="3" t="n">
        <x:v>-72</x:v>
      </x:c>
      <x:c r="T141" s="4" t="n">
        <x:v>0</x:v>
      </x:c>
    </x:row>
    <x:row r="142" ht="15" customHeight="1">
      <x:c r="A142" s="3"/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3"/>
      <x:c r="Q142" s="3"/>
      <x:c r="R142" s="7" t="n">
        <x:v>45980</x:v>
      </x:c>
      <x:c r="S142" s="3" t="n">
        <x:v>-74</x:v>
      </x:c>
      <x:c r="T142" s="4" t="n">
        <x:v>0</x:v>
      </x:c>
    </x:row>
    <x:row r="143" ht="15" customHeight="1">
      <x:c r="A143" s="3"/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3"/>
      <x:c r="Q143" s="3"/>
      <x:c r="R143" s="7" t="n">
        <x:v>45981</x:v>
      </x:c>
      <x:c r="S143" s="3" t="n">
        <x:v>-71</x:v>
      </x:c>
      <x:c r="T143" s="4" t="n">
        <x:v>0</x:v>
      </x:c>
    </x:row>
    <x:row r="144" ht="15" customHeight="1">
      <x:c r="A144" s="3"/>
      <x:c r="B144" s="3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3"/>
      <x:c r="Q144" s="3"/>
      <x:c r="R144" s="7" t="n">
        <x:v>45982</x:v>
      </x:c>
      <x:c r="S144" s="3" t="n">
        <x:v>-85</x:v>
      </x:c>
      <x:c r="T144" s="4" t="n">
        <x:v>0</x:v>
      </x:c>
    </x:row>
    <x:row r="145" ht="15" customHeight="1">
      <x:c r="A145" s="3"/>
      <x:c r="B145" s="3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3"/>
      <x:c r="Q145" s="3"/>
      <x:c r="R145" s="7" t="n">
        <x:v>45983</x:v>
      </x:c>
      <x:c r="S145" s="3" t="n">
        <x:v>-98</x:v>
      </x:c>
      <x:c r="T145" s="4" t="n">
        <x:v>0</x:v>
      </x:c>
    </x:row>
    <x:row r="146" ht="15" customHeight="1">
      <x:c r="A146" s="3"/>
      <x:c r="B146" s="3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3"/>
      <x:c r="Q146" s="3"/>
      <x:c r="R146" s="7" t="n">
        <x:v>45984</x:v>
      </x:c>
      <x:c r="S146" s="3" t="n">
        <x:v>-118</x:v>
      </x:c>
      <x:c r="T146" s="4" t="n">
        <x:v>0</x:v>
      </x:c>
    </x:row>
    <x:row r="147" ht="15" customHeight="1">
      <x:c r="A147" s="3"/>
      <x:c r="B147" s="3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3"/>
      <x:c r="Q147" s="3"/>
      <x:c r="R147" s="7" t="n">
        <x:v>45985</x:v>
      </x:c>
      <x:c r="S147" s="3" t="n">
        <x:v>-123</x:v>
      </x:c>
      <x:c r="T147" s="4" t="n">
        <x:v>0</x:v>
      </x:c>
    </x:row>
    <x:row r="148" ht="15" customHeight="1">
      <x:c r="A148" s="3"/>
      <x:c r="B148" s="3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3"/>
      <x:c r="Q148" s="3"/>
      <x:c r="R148" s="7" t="n">
        <x:v>45986</x:v>
      </x:c>
      <x:c r="S148" s="3" t="n">
        <x:v>-116</x:v>
      </x:c>
      <x:c r="T148" s="4" t="n">
        <x:v>0</x:v>
      </x:c>
    </x:row>
    <x:row r="149" ht="15" customHeight="1">
      <x:c r="A149" s="3"/>
      <x:c r="B149" s="3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3"/>
      <x:c r="Q149" s="3"/>
      <x:c r="R149" s="7" t="n">
        <x:v>45987</x:v>
      </x:c>
      <x:c r="S149" s="3" t="n">
        <x:v>-119</x:v>
      </x:c>
      <x:c r="T149" s="4" t="n">
        <x:v>0</x:v>
      </x:c>
    </x:row>
    <x:row r="150" ht="15" customHeight="1">
      <x:c r="A150" s="3"/>
      <x:c r="B150" s="3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3"/>
      <x:c r="Q150" s="3"/>
      <x:c r="R150" s="7" t="n">
        <x:v>45988</x:v>
      </x:c>
      <x:c r="S150" s="3" t="n">
        <x:v>-114</x:v>
      </x:c>
      <x:c r="T150" s="4" t="n">
        <x:v>0</x:v>
      </x:c>
    </x:row>
    <x:row r="151" ht="15" customHeight="1">
      <x:c r="A151" s="3"/>
      <x:c r="B151" s="3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3"/>
      <x:c r="Q151" s="3"/>
      <x:c r="R151" s="7" t="n">
        <x:v>45989</x:v>
      </x:c>
      <x:c r="S151" s="3" t="n">
        <x:v>-86</x:v>
      </x:c>
      <x:c r="T151" s="4" t="n">
        <x:v>1</x:v>
      </x:c>
    </x:row>
    <x:row r="152" ht="15" customHeight="1">
      <x:c r="A152" s="3"/>
      <x:c r="B152" s="3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3"/>
      <x:c r="Q152" s="3"/>
      <x:c r="R152" s="7" t="n">
        <x:v>45990</x:v>
      </x:c>
      <x:c r="S152" s="3" t="n">
        <x:v>-58</x:v>
      </x:c>
      <x:c r="T152" s="4" t="n">
        <x:v>0</x:v>
      </x:c>
    </x:row>
    <x:row r="153" ht="15" customHeight="1">
      <x:c r="A153" s="3"/>
      <x:c r="B153" s="3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3"/>
      <x:c r="Q153" s="3"/>
      <x:c r="R153" s="7" t="n">
        <x:v>45991</x:v>
      </x:c>
      <x:c r="S153" s="3" t="n">
        <x:v>-53</x:v>
      </x:c>
      <x:c r="T153" s="4" t="n">
        <x:v>0</x:v>
      </x:c>
    </x:row>
    <x:row r="154" ht="15" customHeight="1">
      <x:c r="A154" s="3"/>
      <x:c r="B154" s="3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3"/>
      <x:c r="Q154" s="3"/>
      <x:c r="R154" s="7" t="n">
        <x:v>45992</x:v>
      </x:c>
      <x:c r="S154" s="3" t="n">
        <x:v>-56</x:v>
      </x:c>
      <x:c r="T154" s="4" t="n">
        <x:v>0</x:v>
      </x:c>
    </x:row>
    <x:row r="155" ht="15" customHeight="1">
      <x:c r="A155" s="3"/>
      <x:c r="B155" s="3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3"/>
      <x:c r="Q155" s="3"/>
      <x:c r="R155" s="7" t="n">
        <x:v>45993</x:v>
      </x:c>
      <x:c r="S155" s="3" t="n">
        <x:v>-46</x:v>
      </x:c>
      <x:c r="T155" s="4" t="n">
        <x:v>0</x:v>
      </x:c>
    </x:row>
    <x:row r="156" ht="15" customHeight="1">
      <x:c r="A156" s="3"/>
      <x:c r="B156" s="3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3"/>
      <x:c r="Q156" s="3"/>
      <x:c r="R156" s="7" t="n">
        <x:v>45994</x:v>
      </x:c>
      <x:c r="S156" s="3" t="n">
        <x:v>-30</x:v>
      </x:c>
      <x:c r="T156" s="4" t="n">
        <x:v>0</x:v>
      </x:c>
    </x:row>
    <x:row r="157" ht="15" customHeight="1">
      <x:c r="A157" s="3"/>
      <x:c r="B157" s="3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3"/>
      <x:c r="Q157" s="3"/>
      <x:c r="R157" s="7" t="n">
        <x:v>45995</x:v>
      </x:c>
      <x:c r="S157" s="3" t="n">
        <x:v>-20</x:v>
      </x:c>
      <x:c r="T157" s="4" t="n">
        <x:v>0</x:v>
      </x:c>
    </x:row>
    <x:row r="158" ht="15" customHeight="1">
      <x:c r="A158" s="3"/>
      <x:c r="B158" s="3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3"/>
      <x:c r="Q158" s="3"/>
      <x:c r="R158" s="7" t="n">
        <x:v>45996</x:v>
      </x:c>
      <x:c r="S158" s="3" t="n">
        <x:v>-16</x:v>
      </x:c>
      <x:c r="T158" s="4" t="n">
        <x:v>1</x:v>
      </x:c>
    </x:row>
    <x:row r="159" ht="15" customHeight="1">
      <x:c r="A159" s="3"/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3"/>
      <x:c r="Q159" s="3"/>
      <x:c r="R159" s="7" t="n">
        <x:v>45997</x:v>
      </x:c>
      <x:c r="S159" s="3" t="n">
        <x:v>-12</x:v>
      </x:c>
      <x:c r="T159" s="4" t="n">
        <x:v>1</x:v>
      </x:c>
    </x:row>
    <x:row r="160" ht="15" customHeight="1">
      <x:c r="A160" s="3"/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3"/>
      <x:c r="Q160" s="3"/>
      <x:c r="R160" s="7" t="n">
        <x:v>45998</x:v>
      </x:c>
      <x:c r="S160" s="3" t="n">
        <x:v>-8</x:v>
      </x:c>
      <x:c r="T160" s="4" t="n">
        <x:v>0</x:v>
      </x:c>
    </x:row>
    <x:row r="161" ht="15" customHeight="1">
      <x:c r="A161" s="3"/>
      <x:c r="B161" s="3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3"/>
      <x:c r="Q161" s="3"/>
      <x:c r="R161" s="7" t="n">
        <x:v>45999</x:v>
      </x:c>
      <x:c r="S161" s="3" t="n">
        <x:v>-13</x:v>
      </x:c>
      <x:c r="T161" s="4" t="n">
        <x:v>0</x:v>
      </x:c>
    </x:row>
    <x:row r="162" ht="15" customHeight="1">
      <x:c r="A162" s="3"/>
      <x:c r="B162" s="3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3"/>
      <x:c r="Q162" s="3"/>
      <x:c r="R162" s="7" t="n">
        <x:v>46000</x:v>
      </x:c>
      <x:c r="S162" s="3" t="n">
        <x:v>-20</x:v>
      </x:c>
      <x:c r="T162" s="4" t="n">
        <x:v>0</x:v>
      </x:c>
    </x:row>
    <x:row r="163" ht="15" customHeight="1">
      <x:c r="A163" s="3"/>
      <x:c r="B163" s="3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3"/>
      <x:c r="Q163" s="3"/>
      <x:c r="R163" s="7" t="n">
        <x:v>46001</x:v>
      </x:c>
      <x:c r="S163" s="3" t="n">
        <x:v>-28</x:v>
      </x:c>
      <x:c r="T163" s="4" t="n">
        <x:v>0</x:v>
      </x:c>
    </x:row>
    <x:row r="164" ht="15" customHeight="1">
      <x:c r="A164" s="3"/>
      <x:c r="B164" s="3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3"/>
      <x:c r="Q164" s="3"/>
      <x:c r="R164" s="7" t="n">
        <x:v>46002</x:v>
      </x:c>
      <x:c r="S164" s="3" t="n">
        <x:v>-38</x:v>
      </x:c>
      <x:c r="T164" s="4" t="n">
        <x:v>0</x:v>
      </x:c>
    </x:row>
    <x:row r="165" ht="15" customHeight="1">
      <x:c r="A165" s="3"/>
      <x:c r="B165" s="3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3"/>
      <x:c r="Q165" s="3"/>
      <x:c r="R165" s="7" t="n">
        <x:v>46003</x:v>
      </x:c>
      <x:c r="S165" s="3" t="n">
        <x:v>-37.7</x:v>
      </x:c>
      <x:c r="T165" s="4" t="n">
        <x:v>1</x:v>
      </x:c>
    </x:row>
    <x:row r="166" ht="15" customHeight="1">
      <x:c r="A166" s="3"/>
      <x:c r="B166" s="3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3"/>
      <x:c r="Q166" s="3"/>
      <x:c r="R166" s="7" t="n">
        <x:v>46004</x:v>
      </x:c>
      <x:c r="S166" s="3" t="n">
        <x:v>-37.3</x:v>
      </x:c>
      <x:c r="T166" s="4" t="n">
        <x:v>1</x:v>
      </x:c>
    </x:row>
    <x:row r="167" ht="15" customHeight="1">
      <x:c r="A167" s="3"/>
      <x:c r="B167" s="3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3"/>
      <x:c r="Q167" s="3"/>
      <x:c r="R167" s="7" t="n">
        <x:v>46005</x:v>
      </x:c>
      <x:c r="S167" s="3" t="n">
        <x:v>-37</x:v>
      </x:c>
      <x:c r="T167" s="4" t="n">
        <x:v>0</x:v>
      </x:c>
    </x:row>
    <x:row r="168" ht="15" customHeight="1">
      <x:c r="A168" s="3"/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3"/>
      <x:c r="Q168" s="3"/>
      <x:c r="R168" s="7" t="n">
        <x:v>46006</x:v>
      </x:c>
      <x:c r="S168" s="3" t="n">
        <x:v>-37</x:v>
      </x:c>
      <x:c r="T168" s="4" t="n">
        <x:v>0</x:v>
      </x:c>
    </x:row>
    <x:row r="169" ht="15" customHeight="1">
      <x:c r="A169" s="3"/>
      <x:c r="B169" s="3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3"/>
      <x:c r="Q169" s="3"/>
      <x:c r="R169" s="7" t="n">
        <x:v>46007</x:v>
      </x:c>
      <x:c r="S169" s="3" t="n">
        <x:v>-41</x:v>
      </x:c>
      <x:c r="T169" s="4" t="n">
        <x:v>0</x:v>
      </x:c>
    </x:row>
    <x:row r="170" ht="15" customHeight="1">
      <x:c r="A170" s="3"/>
      <x:c r="B170" s="3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3"/>
      <x:c r="Q170" s="3"/>
      <x:c r="R170" s="7" t="n">
        <x:v>46008</x:v>
      </x:c>
      <x:c r="S170" s="3" t="n">
        <x:v>-35</x:v>
      </x:c>
      <x:c r="T170" s="4" t="n">
        <x:v>0</x:v>
      </x:c>
    </x:row>
    <x:row r="171" ht="15" customHeight="1">
      <x:c r="A171" s="3"/>
      <x:c r="B171" s="3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3"/>
      <x:c r="Q171" s="3"/>
      <x:c r="R171" s="7" t="n">
        <x:v>46009</x:v>
      </x:c>
      <x:c r="S171" s="3" t="n">
        <x:v>-33</x:v>
      </x:c>
      <x:c r="T171" s="4" t="n">
        <x:v>0</x:v>
      </x:c>
    </x:row>
    <x:row r="172" ht="15" customHeight="1">
      <x:c r="A172" s="3"/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3"/>
      <x:c r="Q172" s="3"/>
      <x:c r="R172" s="7" t="n">
        <x:v>46010</x:v>
      </x:c>
      <x:c r="S172" s="3" t="n">
        <x:v>-31</x:v>
      </x:c>
      <x:c r="T172" s="4" t="n">
        <x:v>0</x:v>
      </x:c>
    </x:row>
    <x:row r="173" ht="15" customHeight="1">
      <x:c r="A173" s="3"/>
      <x:c r="B173" s="3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3"/>
      <x:c r="Q173" s="3"/>
      <x:c r="R173" s="7" t="n">
        <x:v>46011</x:v>
      </x:c>
      <x:c r="S173" s="3" t="n">
        <x:v>-31</x:v>
      </x:c>
      <x:c r="T173" s="4" t="n">
        <x:v>0</x:v>
      </x:c>
    </x:row>
    <x:row r="174" ht="15" customHeight="1">
      <x:c r="A174" s="3"/>
      <x:c r="B174" s="3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3"/>
      <x:c r="Q174" s="3"/>
      <x:c r="R174" s="7" t="n">
        <x:v>46012</x:v>
      </x:c>
      <x:c r="S174" s="3" t="n">
        <x:v>-30</x:v>
      </x:c>
      <x:c r="T174" s="4" t="n">
        <x:v>0</x:v>
      </x:c>
    </x:row>
    <x:row r="175" ht="15" customHeight="1">
      <x:c r="A175" s="3"/>
      <x:c r="B175" s="3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3"/>
      <x:c r="Q175" s="3"/>
      <x:c r="R175" s="7" t="n">
        <x:v>46013</x:v>
      </x:c>
      <x:c r="S175" s="3" t="n">
        <x:v>-27</x:v>
      </x:c>
      <x:c r="T175" s="4" t="n">
        <x:v>0</x:v>
      </x:c>
    </x:row>
    <x:row r="176" ht="15" customHeight="1">
      <x:c r="A176" s="3"/>
      <x:c r="B176" s="3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3"/>
      <x:c r="Q176" s="3"/>
      <x:c r="R176" s="7" t="n">
        <x:v>46014</x:v>
      </x:c>
      <x:c r="S176" s="3" t="n">
        <x:v>-23</x:v>
      </x:c>
      <x:c r="T176" s="4" t="n">
        <x:v>0</x:v>
      </x:c>
    </x:row>
    <x:row r="177" ht="15" customHeight="1">
      <x:c r="A177" s="3"/>
      <x:c r="B177" s="3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3"/>
      <x:c r="Q177" s="3"/>
      <x:c r="R177" s="7" t="n">
        <x:v>46015</x:v>
      </x:c>
      <x:c r="S177" s="3" t="n">
        <x:v>-21</x:v>
      </x:c>
      <x:c r="T177" s="4" t="n">
        <x:v>0</x:v>
      </x:c>
    </x:row>
    <x:row r="178" ht="15" customHeight="1">
      <x:c r="A178" s="3"/>
      <x:c r="B178" s="3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3"/>
      <x:c r="Q178" s="3"/>
      <x:c r="R178" s="7" t="n">
        <x:v>46016</x:v>
      </x:c>
      <x:c r="S178" s="3" t="n">
        <x:v>-19</x:v>
      </x:c>
      <x:c r="T178" s="4" t="n">
        <x:v>0</x:v>
      </x:c>
    </x:row>
    <x:row r="179" ht="15" customHeight="1">
      <x:c r="A179" s="3"/>
      <x:c r="B179" s="3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3"/>
      <x:c r="Q179" s="3"/>
      <x:c r="R179" s="7" t="n">
        <x:v>46017</x:v>
      </x:c>
      <x:c r="S179" s="3" t="n">
        <x:v>-17</x:v>
      </x:c>
      <x:c r="T179" s="4" t="n">
        <x:v>0</x:v>
      </x:c>
    </x:row>
    <x:row r="180" ht="15" customHeight="1">
      <x:c r="A180" s="3"/>
      <x:c r="B180" s="3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3"/>
      <x:c r="Q180" s="3"/>
      <x:c r="R180" s="7" t="n">
        <x:v>46018</x:v>
      </x:c>
      <x:c r="S180" s="3" t="n">
        <x:v>-15</x:v>
      </x:c>
      <x:c r="T180" s="4" t="n">
        <x:v>0</x:v>
      </x:c>
    </x:row>
    <x:row r="181" ht="15" customHeight="1">
      <x:c r="A181" s="3"/>
      <x:c r="B181" s="3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3"/>
      <x:c r="Q181" s="3"/>
      <x:c r="R181" s="7" t="n">
        <x:v>46019</x:v>
      </x:c>
      <x:c r="S181" s="3" t="n">
        <x:v>-12</x:v>
      </x:c>
      <x:c r="T181" s="4" t="n">
        <x:v>0</x:v>
      </x:c>
    </x:row>
    <x:row r="182" ht="15" customHeight="1">
      <x:c r="A182" s="3"/>
      <x:c r="B182" s="3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3"/>
      <x:c r="Q182" s="3"/>
      <x:c r="R182" s="7" t="n">
        <x:v>46020</x:v>
      </x:c>
      <x:c r="S182" s="3" t="n">
        <x:v>-6</x:v>
      </x:c>
      <x:c r="T182" s="4" t="n">
        <x:v>0</x:v>
      </x:c>
    </x:row>
    <x:row r="183" ht="15" customHeight="1">
      <x:c r="A183" s="3"/>
      <x:c r="B183" s="3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3"/>
      <x:c r="Q183" s="3"/>
      <x:c r="R183" s="7" t="n">
        <x:v>46021</x:v>
      </x:c>
      <x:c r="S183" s="3" t="n">
        <x:v>-3</x:v>
      </x:c>
      <x:c r="T183" s="4" t="n">
        <x:v>0</x:v>
      </x:c>
    </x:row>
    <x:row r="184" ht="15" customHeight="1">
      <x:c r="A184" s="3"/>
      <x:c r="B184" s="3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3"/>
      <x:c r="Q184" s="3"/>
      <x:c r="R184" s="7" t="n">
        <x:v>46022</x:v>
      </x:c>
      <x:c r="S184" s="3" t="n">
        <x:v>0</x:v>
      </x:c>
      <x:c r="T184" s="4" t="n">
        <x:v>1</x:v>
      </x:c>
    </x:row>
    <x:row r="185" ht="15" customHeight="1">
      <x:c r="A185" s="3"/>
      <x:c r="B185" s="3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3"/>
      <x:c r="Q185" s="3"/>
      <x:c r="R185" s="7" t="n">
        <x:v>46023</x:v>
      </x:c>
      <x:c r="S185" s="3" t="n">
        <x:v>3</x:v>
      </x:c>
      <x:c r="T185" s="4" t="n">
        <x:v>0</x:v>
      </x:c>
    </x:row>
    <x:row r="186" ht="15" customHeight="1">
      <x:c r="A186" s="3"/>
      <x:c r="B186" s="3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3"/>
      <x:c r="Q186" s="3"/>
      <x:c r="R186" s="7" t="n">
        <x:v>46024</x:v>
      </x:c>
      <x:c r="S186" s="3" t="n">
        <x:v>6</x:v>
      </x:c>
      <x:c r="T186" s="4" t="n">
        <x:v>0</x:v>
      </x:c>
    </x:row>
    <x:row r="187" ht="15" customHeight="1">
      <x:c r="A187" s="3"/>
      <x:c r="B187" s="3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3"/>
      <x:c r="Q187" s="3"/>
      <x:c r="R187" s="7" t="n">
        <x:v>46025</x:v>
      </x:c>
      <x:c r="S187" s="3" t="n">
        <x:v>6</x:v>
      </x:c>
      <x:c r="T187" s="4" t="n">
        <x:v>0</x:v>
      </x:c>
    </x:row>
    <x:row r="188" ht="15" customHeight="1">
      <x:c r="A188" s="3"/>
      <x:c r="B188" s="3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3"/>
      <x:c r="Q188" s="3"/>
      <x:c r="R188" s="7" t="n">
        <x:v>46026</x:v>
      </x:c>
      <x:c r="S188" s="3" t="n">
        <x:v>6</x:v>
      </x:c>
      <x:c r="T188" s="4" t="n">
        <x:v>0</x:v>
      </x:c>
    </x:row>
    <x:row r="189" ht="15" customHeight="1">
      <x:c r="A189" s="3"/>
      <x:c r="B189" s="3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3"/>
      <x:c r="Q189" s="3"/>
      <x:c r="R189" s="7" t="n">
        <x:v>46027</x:v>
      </x:c>
      <x:c r="S189" s="3" t="n">
        <x:v>6</x:v>
      </x:c>
      <x:c r="T189" s="4" t="n">
        <x:v>0</x:v>
      </x:c>
    </x:row>
    <x:row r="190" ht="15" customHeight="1">
      <x:c r="A190" s="3"/>
      <x:c r="B190" s="3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3"/>
      <x:c r="Q190" s="3"/>
      <x:c r="R190" s="7" t="n">
        <x:v>46028</x:v>
      </x:c>
      <x:c r="S190" s="3" t="n">
        <x:v>2</x:v>
      </x:c>
      <x:c r="T190" s="4" t="n">
        <x:v>0</x:v>
      </x:c>
    </x:row>
    <x:row r="191" ht="15" customHeight="1">
      <x:c r="A191" s="3"/>
      <x:c r="B191" s="3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3"/>
      <x:c r="Q191" s="3"/>
      <x:c r="R191" s="7" t="n">
        <x:v>46029</x:v>
      </x:c>
      <x:c r="S191" s="3" t="n">
        <x:v>-2</x:v>
      </x:c>
      <x:c r="T191" s="4" t="n">
        <x:v>0</x:v>
      </x:c>
    </x:row>
    <x:row r="192" ht="15" customHeight="1">
      <x:c r="A192" s="3"/>
      <x:c r="B192" s="3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3"/>
      <x:c r="Q192" s="3"/>
      <x:c r="R192" s="7" t="n">
        <x:v>46030</x:v>
      </x:c>
      <x:c r="S192" s="3" t="n">
        <x:v>-7</x:v>
      </x:c>
      <x:c r="T192" s="4" t="n">
        <x:v>0</x:v>
      </x:c>
    </x:row>
    <x:row r="193" ht="15" customHeight="1">
      <x:c r="A193" s="3"/>
      <x:c r="B193" s="3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3"/>
      <x:c r="Q193" s="3"/>
      <x:c r="R193" s="7" t="n">
        <x:v>46031</x:v>
      </x:c>
      <x:c r="S193" s="3" t="n">
        <x:v>-10</x:v>
      </x:c>
      <x:c r="T193" s="4" t="n">
        <x:v>0</x:v>
      </x:c>
    </x:row>
    <x:row r="194" ht="15" customHeight="1">
      <x:c r="A194" s="3"/>
      <x:c r="B194" s="3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3"/>
      <x:c r="Q194" s="3"/>
      <x:c r="R194" s="7" t="n">
        <x:v>46032</x:v>
      </x:c>
      <x:c r="S194" s="3" t="n">
        <x:v>-13</x:v>
      </x:c>
      <x:c r="T194" s="4" t="n">
        <x:v>0</x:v>
      </x:c>
    </x:row>
    <x:row r="195" ht="15" customHeight="1">
      <x:c r="A195" s="3"/>
      <x:c r="B195" s="3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3"/>
      <x:c r="Q195" s="3"/>
      <x:c r="R195" s="7" t="n">
        <x:v>46033</x:v>
      </x:c>
      <x:c r="S195" s="3" t="n">
        <x:v>-17</x:v>
      </x:c>
      <x:c r="T195" s="4" t="n">
        <x:v>0</x:v>
      </x:c>
    </x:row>
    <x:row r="196" ht="15" customHeight="1">
      <x:c r="A196" s="3"/>
      <x:c r="B196" s="3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3"/>
      <x:c r="Q196" s="3"/>
      <x:c r="R196" s="7" t="n">
        <x:v>46034</x:v>
      </x:c>
      <x:c r="S196" s="3" t="n">
        <x:v>-19</x:v>
      </x:c>
      <x:c r="T196" s="4" t="n">
        <x:v>0</x:v>
      </x:c>
    </x:row>
    <x:row r="197" ht="15" customHeight="1">
      <x:c r="A197" s="3"/>
      <x:c r="B197" s="3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3"/>
      <x:c r="Q197" s="3"/>
      <x:c r="R197" s="7" t="n">
        <x:v>46035</x:v>
      </x:c>
      <x:c r="S197" s="3" t="n">
        <x:v>-22</x:v>
      </x:c>
      <x:c r="T197" s="4" t="n">
        <x:v>0</x:v>
      </x:c>
    </x:row>
    <x:row r="198" ht="15" customHeight="1">
      <x:c r="A198" s="3"/>
      <x:c r="B198" s="3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3"/>
      <x:c r="Q198" s="3"/>
      <x:c r="R198" s="7" t="n">
        <x:v>46036</x:v>
      </x:c>
      <x:c r="S198" s="3" t="n">
        <x:v>-25</x:v>
      </x:c>
      <x:c r="T198" s="4" t="n">
        <x:v>0</x:v>
      </x:c>
    </x:row>
    <x:row r="199" ht="15" customHeight="1">
      <x:c r="A199" s="3"/>
      <x:c r="B199" s="3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3"/>
      <x:c r="Q199" s="3"/>
      <x:c r="R199" s="7" t="n">
        <x:v>46037</x:v>
      </x:c>
      <x:c r="S199" s="3" t="n">
        <x:v>-26</x:v>
      </x:c>
      <x:c r="T199" s="4" t="n">
        <x:v>0</x:v>
      </x:c>
    </x:row>
    <x:row r="200" ht="15" customHeight="1">
      <x:c r="A200" s="3"/>
      <x:c r="B200" s="3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3"/>
      <x:c r="Q200" s="3"/>
      <x:c r="R200" s="7" t="n">
        <x:v>46038</x:v>
      </x:c>
      <x:c r="S200" s="3" t="n">
        <x:v>-28</x:v>
      </x:c>
      <x:c r="T200" s="4" t="n">
        <x:v>0</x:v>
      </x:c>
    </x:row>
    <x:row r="201" ht="15" customHeight="1">
      <x:c r="A201" s="3"/>
      <x:c r="B201" s="3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  <x:c r="O201" s="3"/>
      <x:c r="P201" s="3"/>
      <x:c r="Q201" s="3"/>
      <x:c r="R201" s="7" t="n">
        <x:v>46039</x:v>
      </x:c>
      <x:c r="S201" s="3" t="n">
        <x:v>-29</x:v>
      </x:c>
      <x:c r="T201" s="4" t="n">
        <x:v>0</x:v>
      </x:c>
    </x:row>
    <x:row r="202" ht="15" customHeight="1">
      <x:c r="A202" s="3"/>
      <x:c r="B202" s="3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  <x:c r="O202" s="3"/>
      <x:c r="P202" s="3"/>
      <x:c r="Q202" s="3"/>
      <x:c r="R202" s="7" t="n">
        <x:v>46040</x:v>
      </x:c>
      <x:c r="S202" s="3" t="n">
        <x:v>-34</x:v>
      </x:c>
      <x:c r="T202" s="4" t="n">
        <x:v>0</x:v>
      </x:c>
    </x:row>
    <x:row r="203" ht="15" customHeight="1">
      <x:c r="A203" s="3"/>
      <x:c r="B203" s="3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  <x:c r="O203" s="3"/>
      <x:c r="P203" s="3"/>
      <x:c r="Q203" s="3"/>
      <x:c r="R203" s="7" t="n">
        <x:v>46041</x:v>
      </x:c>
      <x:c r="S203" s="3" t="n">
        <x:v>-34</x:v>
      </x:c>
      <x:c r="T203" s="4" t="n">
        <x:v>0</x:v>
      </x:c>
    </x:row>
    <x:row r="204" ht="15" customHeight="1">
      <x:c r="A204" s="3"/>
      <x:c r="B204" s="3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  <x:c r="N204" s="3"/>
      <x:c r="O204" s="3"/>
      <x:c r="P204" s="3"/>
      <x:c r="Q204" s="3"/>
      <x:c r="R204" s="7" t="n">
        <x:v>46042</x:v>
      </x:c>
      <x:c r="S204" s="3" t="n">
        <x:v>-39</x:v>
      </x:c>
      <x:c r="T204" s="4" t="n">
        <x:v>0</x:v>
      </x:c>
    </x:row>
    <x:row r="205" ht="15" customHeight="1">
      <x:c r="A205" s="3"/>
      <x:c r="B205" s="3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  <x:c r="N205" s="3"/>
      <x:c r="O205" s="3"/>
      <x:c r="P205" s="3"/>
      <x:c r="Q205" s="3"/>
      <x:c r="R205" s="7" t="n">
        <x:v>46043</x:v>
      </x:c>
      <x:c r="S205" s="3" t="n">
        <x:v>-41</x:v>
      </x:c>
      <x:c r="T205" s="4" t="n">
        <x:v>0</x:v>
      </x:c>
    </x:row>
    <x:row r="206" ht="15" customHeight="1">
      <x:c r="A206" s="3"/>
      <x:c r="B206" s="3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  <x:c r="N206" s="3"/>
      <x:c r="O206" s="3"/>
      <x:c r="P206" s="3"/>
      <x:c r="Q206" s="3"/>
      <x:c r="R206" s="7" t="n">
        <x:v>46044</x:v>
      </x:c>
      <x:c r="S206" s="3" t="n">
        <x:v>-41</x:v>
      </x:c>
      <x:c r="T206" s="4" t="n">
        <x:v>0</x:v>
      </x:c>
    </x:row>
    <x:row r="207" ht="15" customHeight="1">
      <x:c r="A207" s="3"/>
      <x:c r="B207" s="3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  <x:c r="M207" s="3"/>
      <x:c r="N207" s="3"/>
      <x:c r="O207" s="3"/>
      <x:c r="P207" s="3"/>
      <x:c r="Q207" s="3"/>
      <x:c r="R207" s="7" t="n">
        <x:v>46045</x:v>
      </x:c>
      <x:c r="S207" s="3" t="n">
        <x:v>-37</x:v>
      </x:c>
      <x:c r="T207" s="4" t="n">
        <x:v>0</x:v>
      </x:c>
    </x:row>
    <x:row r="208" ht="15" customHeight="1">
      <x:c r="A208" s="3"/>
      <x:c r="B208" s="3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  <x:c r="M208" s="3"/>
      <x:c r="N208" s="3"/>
      <x:c r="O208" s="3"/>
      <x:c r="P208" s="3"/>
      <x:c r="Q208" s="3"/>
      <x:c r="R208" s="7" t="n">
        <x:v>46046</x:v>
      </x:c>
      <x:c r="S208" s="3" t="n">
        <x:v>-39</x:v>
      </x:c>
      <x:c r="T208" s="4" t="n">
        <x:v>0</x:v>
      </x:c>
    </x:row>
    <x:row r="209" ht="15" customHeight="1">
      <x:c r="A209" s="3"/>
      <x:c r="B209" s="3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  <x:c r="N209" s="3"/>
      <x:c r="O209" s="3"/>
      <x:c r="P209" s="3"/>
      <x:c r="Q209" s="3"/>
      <x:c r="R209" s="7" t="n">
        <x:v>46047</x:v>
      </x:c>
      <x:c r="S209" s="3" t="n">
        <x:v>-36</x:v>
      </x:c>
      <x:c r="T209" s="4" t="n">
        <x:v>0</x:v>
      </x:c>
    </x:row>
    <x:row r="210" ht="15" customHeight="1">
      <x:c r="A210" s="3"/>
      <x:c r="B210" s="3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  <x:c r="N210" s="3"/>
      <x:c r="O210" s="3"/>
      <x:c r="P210" s="3"/>
      <x:c r="Q210" s="3"/>
      <x:c r="R210" s="7" t="n">
        <x:v>46048</x:v>
      </x:c>
      <x:c r="S210" s="3" t="n">
        <x:v>-36</x:v>
      </x:c>
      <x:c r="T210" s="4" t="n">
        <x:v>0</x:v>
      </x:c>
    </x:row>
    <x:row r="211" ht="15" customHeight="1">
      <x:c r="A211" s="3"/>
      <x:c r="B211" s="3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  <x:c r="M211" s="3"/>
      <x:c r="N211" s="3"/>
      <x:c r="O211" s="3"/>
      <x:c r="P211" s="3"/>
      <x:c r="Q211" s="3"/>
      <x:c r="R211" s="7" t="n">
        <x:v>46049</x:v>
      </x:c>
      <x:c r="S211" s="3" t="n">
        <x:v>-38</x:v>
      </x:c>
      <x:c r="T211" s="4" t="n">
        <x:v>0</x:v>
      </x:c>
    </x:row>
    <x:row r="212" ht="15" customHeight="1">
      <x:c r="A212" s="3"/>
      <x:c r="B212" s="3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  <x:c r="M212" s="3"/>
      <x:c r="N212" s="3"/>
      <x:c r="O212" s="3"/>
      <x:c r="P212" s="3"/>
      <x:c r="Q212" s="3"/>
      <x:c r="R212" s="7" t="n">
        <x:v>46050</x:v>
      </x:c>
      <x:c r="S212" s="3" t="n">
        <x:v>-33</x:v>
      </x:c>
      <x:c r="T212" s="4" t="n">
        <x:v>0</x:v>
      </x:c>
    </x:row>
    <x:row r="213" ht="15" customHeight="1">
      <x:c r="A213" s="3"/>
      <x:c r="B213" s="3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  <x:c r="M213" s="3"/>
      <x:c r="N213" s="3"/>
      <x:c r="O213" s="3"/>
      <x:c r="P213" s="3"/>
      <x:c r="Q213" s="3"/>
      <x:c r="R213" s="7" t="n">
        <x:v>46051</x:v>
      </x:c>
      <x:c r="S213" s="3" t="n">
        <x:v>-33</x:v>
      </x:c>
      <x:c r="T213" s="4" t="n">
        <x:v>0</x:v>
      </x:c>
    </x:row>
    <x:row r="214" ht="15" customHeight="1">
      <x:c r="A214" s="3"/>
      <x:c r="B214" s="3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  <x:c r="M214" s="3"/>
      <x:c r="N214" s="3"/>
      <x:c r="O214" s="3"/>
      <x:c r="P214" s="3"/>
      <x:c r="Q214" s="3"/>
      <x:c r="R214" s="7" t="n">
        <x:v>46052</x:v>
      </x:c>
      <x:c r="S214" s="3" t="n">
        <x:v>-36</x:v>
      </x:c>
      <x:c r="T214" s="4" t="n">
        <x:v>0</x:v>
      </x:c>
    </x:row>
    <x:row r="215" ht="15" customHeight="1">
      <x:c r="A215" s="3"/>
      <x:c r="B215" s="3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  <x:c r="M215" s="3"/>
      <x:c r="N215" s="3"/>
      <x:c r="O215" s="3"/>
      <x:c r="P215" s="3"/>
      <x:c r="Q215" s="3"/>
      <x:c r="R215" s="7" t="n">
        <x:v>46053</x:v>
      </x:c>
      <x:c r="S215" s="3" t="n">
        <x:v>-32</x:v>
      </x:c>
      <x:c r="T215" s="4" t="n">
        <x:v>0</x:v>
      </x:c>
    </x:row>
    <x:row r="216" ht="15" customHeight="1">
      <x:c r="A216" s="3"/>
      <x:c r="B216" s="3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  <x:c r="M216" s="3"/>
      <x:c r="N216" s="3"/>
      <x:c r="O216" s="3"/>
      <x:c r="P216" s="3"/>
      <x:c r="Q216" s="3"/>
      <x:c r="R216" s="7" t="n">
        <x:v>46054</x:v>
      </x:c>
      <x:c r="S216" s="3" t="n">
        <x:v>-34</x:v>
      </x:c>
      <x:c r="T216" s="4" t="n">
        <x:v>0</x:v>
      </x:c>
    </x:row>
    <x:row r="217" ht="15" customHeight="1">
      <x:c r="A217" s="3"/>
      <x:c r="B217" s="3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/>
      <x:c r="M217" s="3"/>
      <x:c r="N217" s="3"/>
      <x:c r="O217" s="3"/>
      <x:c r="P217" s="3"/>
      <x:c r="Q217" s="3"/>
      <x:c r="R217" s="7" t="n">
        <x:v>46055</x:v>
      </x:c>
      <x:c r="S217" s="3" t="n">
        <x:v>-33</x:v>
      </x:c>
      <x:c r="T217" s="4" t="n">
        <x:v>0</x:v>
      </x:c>
    </x:row>
    <x:row r="218" ht="15" customHeight="1">
      <x:c r="A218" s="3"/>
      <x:c r="B218" s="3"/>
      <x:c r="C218" s="3"/>
      <x:c r="D218" s="3"/>
      <x:c r="E218" s="3"/>
      <x:c r="F218" s="3"/>
      <x:c r="G218" s="3"/>
      <x:c r="H218" s="3"/>
      <x:c r="I218" s="3"/>
      <x:c r="J218" s="3"/>
      <x:c r="K218" s="3"/>
      <x:c r="L218" s="3"/>
      <x:c r="M218" s="3"/>
      <x:c r="N218" s="3"/>
      <x:c r="O218" s="3"/>
      <x:c r="P218" s="3"/>
      <x:c r="Q218" s="3"/>
      <x:c r="R218" s="7" t="n">
        <x:v>46056</x:v>
      </x:c>
      <x:c r="S218" s="3" t="n">
        <x:v>-36</x:v>
      </x:c>
      <x:c r="T218" s="4" t="n">
        <x:v>0</x:v>
      </x:c>
    </x:row>
    <x:row r="219" ht="15" customHeight="1">
      <x:c r="A219" s="3"/>
      <x:c r="B219" s="3"/>
      <x:c r="C219" s="3"/>
      <x:c r="D219" s="3"/>
      <x:c r="E219" s="3"/>
      <x:c r="F219" s="3"/>
      <x:c r="G219" s="3"/>
      <x:c r="H219" s="3"/>
      <x:c r="I219" s="3"/>
      <x:c r="J219" s="3"/>
      <x:c r="K219" s="3"/>
      <x:c r="L219" s="3"/>
      <x:c r="M219" s="3"/>
      <x:c r="N219" s="3"/>
      <x:c r="O219" s="3"/>
      <x:c r="P219" s="3"/>
      <x:c r="Q219" s="3"/>
      <x:c r="R219" s="7" t="n">
        <x:v>46057</x:v>
      </x:c>
      <x:c r="S219" s="3" t="n">
        <x:v>-34</x:v>
      </x:c>
      <x:c r="T219" s="4" t="n">
        <x:v>0</x:v>
      </x:c>
    </x:row>
    <x:row r="220" ht="15" customHeight="1">
      <x:c r="A220" s="3"/>
      <x:c r="B220" s="3"/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  <x:c r="N220" s="3"/>
      <x:c r="O220" s="3"/>
      <x:c r="P220" s="3"/>
      <x:c r="Q220" s="3"/>
      <x:c r="R220" s="7" t="n">
        <x:v>46058</x:v>
      </x:c>
      <x:c r="S220" s="3" t="n">
        <x:v>-35</x:v>
      </x:c>
      <x:c r="T220" s="4" t="n">
        <x:v>0</x:v>
      </x:c>
    </x:row>
    <x:row r="221" ht="15" customHeight="1">
      <x:c r="A221" s="3"/>
      <x:c r="B221" s="3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/>
      <x:c r="M221" s="3"/>
      <x:c r="N221" s="3"/>
      <x:c r="O221" s="3"/>
      <x:c r="P221" s="3"/>
      <x:c r="Q221" s="3"/>
      <x:c r="R221" s="7" t="n">
        <x:v>46059</x:v>
      </x:c>
      <x:c r="S221" s="3" t="n">
        <x:v>-38</x:v>
      </x:c>
      <x:c r="T221" s="4" t="n">
        <x:v>0</x:v>
      </x:c>
    </x:row>
    <x:row r="222" ht="15" customHeight="1">
      <x:c r="A222" s="3"/>
      <x:c r="B222" s="3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/>
      <x:c r="M222" s="3"/>
      <x:c r="N222" s="3"/>
      <x:c r="O222" s="3"/>
      <x:c r="P222" s="3"/>
      <x:c r="Q222" s="3"/>
      <x:c r="R222" s="7" t="n">
        <x:v>46060</x:v>
      </x:c>
      <x:c r="S222" s="3" t="n">
        <x:v>-41</x:v>
      </x:c>
      <x:c r="T222" s="4" t="n">
        <x:v>0</x:v>
      </x:c>
    </x:row>
    <x:row r="223" ht="15" customHeight="1">
      <x:c r="A223" s="3"/>
      <x:c r="B223" s="3"/>
      <x:c r="C223" s="3"/>
      <x:c r="D223" s="3"/>
      <x:c r="E223" s="3"/>
      <x:c r="F223" s="3"/>
      <x:c r="G223" s="3"/>
      <x:c r="H223" s="3"/>
      <x:c r="I223" s="3"/>
      <x:c r="J223" s="3"/>
      <x:c r="K223" s="3"/>
      <x:c r="L223" s="3"/>
      <x:c r="M223" s="3"/>
      <x:c r="N223" s="3"/>
      <x:c r="O223" s="3"/>
      <x:c r="P223" s="3"/>
      <x:c r="Q223" s="3"/>
      <x:c r="R223" s="7" t="n">
        <x:v>46061</x:v>
      </x:c>
      <x:c r="S223" s="3" t="n">
        <x:v>-43</x:v>
      </x:c>
      <x:c r="T223" s="4" t="n">
        <x:v>0</x:v>
      </x:c>
    </x:row>
    <x:row r="224" ht="15" customHeight="1">
      <x:c r="A224" s="3"/>
      <x:c r="B224" s="3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/>
      <x:c r="M224" s="3"/>
      <x:c r="N224" s="3"/>
      <x:c r="O224" s="3"/>
      <x:c r="P224" s="3"/>
      <x:c r="Q224" s="3"/>
      <x:c r="R224" s="7" t="n">
        <x:v>46062</x:v>
      </x:c>
      <x:c r="S224" s="3" t="n">
        <x:v>-43</x:v>
      </x:c>
      <x:c r="T224" s="4" t="n">
        <x:v>0</x:v>
      </x:c>
    </x:row>
    <x:row r="225" ht="15" customHeight="1">
      <x:c r="A225" s="3"/>
      <x:c r="B225" s="3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  <x:c r="M225" s="3"/>
      <x:c r="N225" s="3"/>
      <x:c r="O225" s="3"/>
      <x:c r="P225" s="3"/>
      <x:c r="Q225" s="3"/>
      <x:c r="R225" s="7" t="n">
        <x:v>46063</x:v>
      </x:c>
      <x:c r="S225" s="3" t="n">
        <x:v>-44</x:v>
      </x:c>
      <x:c r="T225" s="4" t="n">
        <x:v>0</x:v>
      </x:c>
    </x:row>
    <x:row r="226" ht="15" customHeight="1">
      <x:c r="A226" s="3"/>
      <x:c r="B226" s="3"/>
      <x:c r="C226" s="3"/>
      <x:c r="D226" s="3"/>
      <x:c r="E226" s="3"/>
      <x:c r="F226" s="3"/>
      <x:c r="G226" s="3"/>
      <x:c r="H226" s="3"/>
      <x:c r="I226" s="3"/>
      <x:c r="J226" s="3"/>
      <x:c r="K226" s="3"/>
      <x:c r="L226" s="3"/>
      <x:c r="M226" s="3"/>
      <x:c r="N226" s="3"/>
      <x:c r="O226" s="3"/>
      <x:c r="P226" s="3"/>
      <x:c r="Q226" s="3"/>
      <x:c r="R226" s="7" t="n">
        <x:v>46064</x:v>
      </x:c>
      <x:c r="S226" s="3" t="n">
        <x:v>-44</x:v>
      </x:c>
      <x:c r="T226" s="4" t="n">
        <x:v>0</x:v>
      </x:c>
    </x:row>
    <x:row r="227" ht="15" customHeight="1">
      <x:c r="A227" s="3"/>
      <x:c r="B227" s="3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/>
      <x:c r="M227" s="3"/>
      <x:c r="N227" s="3"/>
      <x:c r="O227" s="3"/>
      <x:c r="P227" s="3"/>
      <x:c r="Q227" s="3"/>
      <x:c r="R227" s="7" t="n">
        <x:v>46065</x:v>
      </x:c>
      <x:c r="S227" s="3" t="n">
        <x:v>-44</x:v>
      </x:c>
      <x:c r="T227" s="4" t="n">
        <x:v>0</x:v>
      </x:c>
    </x:row>
    <x:row r="228" ht="15" customHeight="1">
      <x:c r="A228" s="3"/>
      <x:c r="B228" s="3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/>
      <x:c r="M228" s="3"/>
      <x:c r="N228" s="3"/>
      <x:c r="O228" s="3"/>
      <x:c r="P228" s="3"/>
      <x:c r="Q228" s="3"/>
      <x:c r="R228" s="7" t="n">
        <x:v>46066</x:v>
      </x:c>
      <x:c r="S228" s="3" t="n">
        <x:v>-41</x:v>
      </x:c>
      <x:c r="T228" s="4" t="n">
        <x:v>0</x:v>
      </x:c>
    </x:row>
    <x:row r="229" ht="15" customHeight="1">
      <x:c r="A229" s="3"/>
      <x:c r="B229" s="3"/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  <x:c r="N229" s="3"/>
      <x:c r="O229" s="3"/>
      <x:c r="P229" s="3"/>
      <x:c r="Q229" s="3"/>
      <x:c r="R229" s="7" t="n">
        <x:v>46067</x:v>
      </x:c>
      <x:c r="S229" s="3" t="n">
        <x:v>-39</x:v>
      </x:c>
      <x:c r="T229" s="4" t="n">
        <x:v>0</x:v>
      </x:c>
    </x:row>
    <x:row r="230" ht="15" customHeight="1">
      <x:c r="A230" s="3"/>
      <x:c r="B230" s="3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/>
      <x:c r="M230" s="3"/>
      <x:c r="N230" s="3"/>
      <x:c r="O230" s="3"/>
      <x:c r="P230" s="3"/>
      <x:c r="Q230" s="3"/>
      <x:c r="R230" s="7" t="n">
        <x:v>46068</x:v>
      </x:c>
      <x:c r="S230" s="3" t="n">
        <x:v>-38</x:v>
      </x:c>
      <x:c r="T230" s="4" t="n">
        <x:v>0</x:v>
      </x:c>
    </x:row>
    <x:row r="231" ht="15" customHeight="1">
      <x:c r="A231" s="3"/>
      <x:c r="B231" s="3"/>
      <x:c r="C231" s="3"/>
      <x:c r="D231" s="3"/>
      <x:c r="E231" s="3"/>
      <x:c r="F231" s="3"/>
      <x:c r="G231" s="3"/>
      <x:c r="H231" s="3"/>
      <x:c r="I231" s="3"/>
      <x:c r="J231" s="3"/>
      <x:c r="K231" s="3"/>
      <x:c r="L231" s="3"/>
      <x:c r="M231" s="3"/>
      <x:c r="N231" s="3"/>
      <x:c r="O231" s="3"/>
      <x:c r="P231" s="3"/>
      <x:c r="Q231" s="3"/>
      <x:c r="R231" s="7" t="n">
        <x:v>46069</x:v>
      </x:c>
      <x:c r="S231" s="3" t="n">
        <x:v>-38</x:v>
      </x:c>
      <x:c r="T231" s="4" t="n">
        <x:v>0</x:v>
      </x:c>
    </x:row>
    <x:row r="232" ht="15" customHeight="1">
      <x:c r="A232" s="3"/>
      <x:c r="B232" s="3"/>
      <x:c r="C232" s="3"/>
      <x:c r="D232" s="3"/>
      <x:c r="E232" s="3"/>
      <x:c r="F232" s="3"/>
      <x:c r="G232" s="3"/>
      <x:c r="H232" s="3"/>
      <x:c r="I232" s="3"/>
      <x:c r="J232" s="3"/>
      <x:c r="K232" s="3"/>
      <x:c r="L232" s="3"/>
      <x:c r="M232" s="3"/>
      <x:c r="N232" s="3"/>
      <x:c r="O232" s="3"/>
      <x:c r="P232" s="3"/>
      <x:c r="Q232" s="3"/>
      <x:c r="R232" s="7" t="n">
        <x:v>46070</x:v>
      </x:c>
      <x:c r="S232" s="3" t="n">
        <x:v>-40</x:v>
      </x:c>
      <x:c r="T232" s="4" t="n">
        <x:v>0</x:v>
      </x:c>
    </x:row>
    <x:row r="233" ht="15" customHeight="1">
      <x:c r="A233" s="3"/>
      <x:c r="B233" s="3"/>
      <x:c r="C233" s="3"/>
      <x:c r="D233" s="3"/>
      <x:c r="E233" s="3"/>
      <x:c r="F233" s="3"/>
      <x:c r="G233" s="3"/>
      <x:c r="H233" s="3"/>
      <x:c r="I233" s="3"/>
      <x:c r="J233" s="3"/>
      <x:c r="K233" s="3"/>
      <x:c r="L233" s="3"/>
      <x:c r="M233" s="3"/>
      <x:c r="N233" s="3"/>
      <x:c r="O233" s="3"/>
      <x:c r="P233" s="3"/>
      <x:c r="Q233" s="3"/>
      <x:c r="R233" s="7" t="n">
        <x:v>46071</x:v>
      </x:c>
      <x:c r="S233" s="3" t="n">
        <x:v>-40</x:v>
      </x:c>
      <x:c r="T233" s="4" t="n">
        <x:v>0</x:v>
      </x:c>
    </x:row>
    <x:row r="234" ht="15" customHeight="1">
      <x:c r="A234" s="3"/>
      <x:c r="B234" s="3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  <x:c r="N234" s="3"/>
      <x:c r="O234" s="3"/>
      <x:c r="P234" s="3"/>
      <x:c r="Q234" s="3"/>
      <x:c r="R234" s="7" t="n">
        <x:v>46072</x:v>
      </x:c>
      <x:c r="S234" s="3" t="n">
        <x:v>-42</x:v>
      </x:c>
      <x:c r="T234" s="4" t="n">
        <x:v>0</x:v>
      </x:c>
    </x:row>
    <x:row r="235" ht="15" customHeight="1">
      <x:c r="A235" s="3"/>
      <x:c r="B235" s="3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  <x:c r="N235" s="3"/>
      <x:c r="O235" s="3"/>
      <x:c r="P235" s="3"/>
      <x:c r="Q235" s="3"/>
      <x:c r="R235" s="7" t="n">
        <x:v>46073</x:v>
      </x:c>
      <x:c r="S235" s="3" t="n">
        <x:v>-43</x:v>
      </x:c>
      <x:c r="T235" s="4" t="n">
        <x:v>0</x:v>
      </x:c>
    </x:row>
    <x:row r="236" ht="15" customHeight="1">
      <x:c r="A236" s="3"/>
      <x:c r="B236" s="3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  <x:c r="N236" s="3"/>
      <x:c r="O236" s="3"/>
      <x:c r="P236" s="3"/>
      <x:c r="Q236" s="3"/>
      <x:c r="R236" s="7" t="n">
        <x:v>46074</x:v>
      </x:c>
      <x:c r="S236" s="3" t="n">
        <x:v>-43</x:v>
      </x:c>
      <x:c r="T236" s="4" t="n">
        <x:v>0</x:v>
      </x:c>
    </x:row>
    <x:row r="237" ht="15" customHeight="1">
      <x:c r="A237" s="3"/>
      <x:c r="B237" s="3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  <x:c r="N237" s="3"/>
      <x:c r="O237" s="3"/>
      <x:c r="P237" s="3"/>
      <x:c r="Q237" s="3"/>
      <x:c r="R237" s="7" t="n">
        <x:v>46075</x:v>
      </x:c>
      <x:c r="S237" s="3" t="n">
        <x:v>-43</x:v>
      </x:c>
      <x:c r="T237" s="4" t="n">
        <x:v>0</x:v>
      </x:c>
    </x:row>
    <x:row r="238" ht="15" customHeight="1">
      <x:c r="A238" s="3"/>
      <x:c r="B238" s="3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  <x:c r="N238" s="3"/>
      <x:c r="O238" s="3"/>
      <x:c r="P238" s="3"/>
      <x:c r="Q238" s="3"/>
      <x:c r="R238" s="7" t="n">
        <x:v>46076</x:v>
      </x:c>
      <x:c r="S238" s="3" t="n">
        <x:v>-44</x:v>
      </x:c>
      <x:c r="T238" s="4" t="n">
        <x:v>0</x:v>
      </x:c>
    </x:row>
    <x:row r="239" ht="15" customHeight="1">
      <x:c r="A239" s="3"/>
      <x:c r="B239" s="3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  <x:c r="N239" s="3"/>
      <x:c r="O239" s="3"/>
      <x:c r="P239" s="3"/>
      <x:c r="Q239" s="3"/>
      <x:c r="R239" s="7" t="n">
        <x:v>46077</x:v>
      </x:c>
      <x:c r="S239" s="3" t="n">
        <x:v>-46</x:v>
      </x:c>
      <x:c r="T239" s="4" t="n">
        <x:v>0</x:v>
      </x:c>
    </x:row>
    <x:row r="240" ht="15" customHeight="1">
      <x:c r="A240" s="3"/>
      <x:c r="B240" s="3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  <x:c r="N240" s="3"/>
      <x:c r="O240" s="3"/>
      <x:c r="P240" s="3"/>
      <x:c r="Q240" s="3"/>
      <x:c r="R240" s="7" t="n">
        <x:v>46078</x:v>
      </x:c>
      <x:c r="S240" s="3" t="n">
        <x:v>-46</x:v>
      </x:c>
      <x:c r="T240" s="4" t="n">
        <x:v>0</x:v>
      </x:c>
    </x:row>
    <x:row r="241" ht="15" customHeight="1">
      <x:c r="A241" s="3"/>
      <x:c r="B241" s="3"/>
      <x:c r="C241" s="3"/>
      <x:c r="D241" s="3"/>
      <x:c r="E241" s="3"/>
      <x:c r="F241" s="3"/>
      <x:c r="G241" s="3"/>
      <x:c r="H241" s="3"/>
      <x:c r="I241" s="3"/>
      <x:c r="J241" s="3"/>
      <x:c r="K241" s="3"/>
      <x:c r="L241" s="3"/>
      <x:c r="M241" s="3"/>
      <x:c r="N241" s="3"/>
      <x:c r="O241" s="3"/>
      <x:c r="P241" s="3"/>
      <x:c r="Q241" s="3"/>
      <x:c r="R241" s="7" t="n">
        <x:v>46079</x:v>
      </x:c>
      <x:c r="S241" s="3" t="n">
        <x:v>-48</x:v>
      </x:c>
      <x:c r="T241" s="4" t="n">
        <x:v>0</x:v>
      </x:c>
    </x:row>
    <x:row r="242" ht="15" customHeight="1">
      <x:c r="A242" s="3"/>
      <x:c r="B242" s="3"/>
      <x:c r="C242" s="3"/>
      <x:c r="D242" s="3"/>
      <x:c r="E242" s="3"/>
      <x:c r="F242" s="3"/>
      <x:c r="G242" s="3"/>
      <x:c r="H242" s="3"/>
      <x:c r="I242" s="3"/>
      <x:c r="J242" s="3"/>
      <x:c r="K242" s="3"/>
      <x:c r="L242" s="3"/>
      <x:c r="M242" s="3"/>
      <x:c r="N242" s="3"/>
      <x:c r="O242" s="3"/>
      <x:c r="P242" s="3"/>
      <x:c r="Q242" s="3"/>
      <x:c r="R242" s="7" t="n">
        <x:v>46080</x:v>
      </x:c>
      <x:c r="S242" s="3" t="n">
        <x:v>-51</x:v>
      </x:c>
      <x:c r="T242" s="4" t="n">
        <x:v>0</x:v>
      </x:c>
    </x:row>
    <x:row r="243" ht="15" customHeight="1">
      <x:c r="A243" s="3"/>
      <x:c r="B243" s="3"/>
      <x:c r="C243" s="3"/>
      <x:c r="D243" s="3"/>
      <x:c r="E243" s="3"/>
      <x:c r="F243" s="3"/>
      <x:c r="G243" s="3"/>
      <x:c r="H243" s="3"/>
      <x:c r="I243" s="3"/>
      <x:c r="J243" s="3"/>
      <x:c r="K243" s="3"/>
      <x:c r="L243" s="3"/>
      <x:c r="M243" s="3"/>
      <x:c r="N243" s="3"/>
      <x:c r="O243" s="3"/>
      <x:c r="P243" s="3"/>
      <x:c r="Q243" s="3"/>
      <x:c r="R243" s="7" t="n">
        <x:v>46081</x:v>
      </x:c>
      <x:c r="S243" s="3" t="n">
        <x:v>-54</x:v>
      </x:c>
      <x:c r="T243" s="4" t="n">
        <x:v>0</x:v>
      </x:c>
    </x:row>
    <x:row r="244" ht="15" customHeight="1">
      <x:c r="A244" s="3"/>
      <x:c r="B244" s="3"/>
      <x:c r="C244" s="3"/>
      <x:c r="D244" s="3"/>
      <x:c r="E244" s="3"/>
      <x:c r="F244" s="3"/>
      <x:c r="G244" s="3"/>
      <x:c r="H244" s="3"/>
      <x:c r="I244" s="3"/>
      <x:c r="J244" s="3"/>
      <x:c r="K244" s="3"/>
      <x:c r="L244" s="3"/>
      <x:c r="M244" s="3"/>
      <x:c r="N244" s="3"/>
      <x:c r="O244" s="3"/>
      <x:c r="P244" s="3"/>
      <x:c r="Q244" s="3"/>
      <x:c r="R244" s="7" t="n">
        <x:v>46082</x:v>
      </x:c>
      <x:c r="S244" s="3" t="n">
        <x:v>-55</x:v>
      </x:c>
      <x:c r="T244" s="4" t="n">
        <x:v>0</x:v>
      </x:c>
    </x:row>
    <x:row r="245" ht="15" customHeight="1">
      <x:c r="A245" s="3"/>
      <x:c r="B245" s="3"/>
      <x:c r="C245" s="3"/>
      <x:c r="D245" s="3"/>
      <x:c r="E245" s="3"/>
      <x:c r="F245" s="3"/>
      <x:c r="G245" s="3"/>
      <x:c r="H245" s="3"/>
      <x:c r="I245" s="3"/>
      <x:c r="J245" s="3"/>
      <x:c r="K245" s="3"/>
      <x:c r="L245" s="3"/>
      <x:c r="M245" s="3"/>
      <x:c r="N245" s="3"/>
      <x:c r="O245" s="3"/>
      <x:c r="P245" s="3"/>
      <x:c r="Q245" s="3"/>
      <x:c r="R245" s="7" t="n">
        <x:v>46083</x:v>
      </x:c>
      <x:c r="S245" s="3" t="n">
        <x:v>-57</x:v>
      </x:c>
      <x:c r="T245" s="4" t="n">
        <x:v>0</x:v>
      </x:c>
    </x:row>
    <x:row r="246" ht="15" customHeight="1">
      <x:c r="A246" s="3"/>
      <x:c r="B246" s="3"/>
      <x:c r="C246" s="3"/>
      <x:c r="D246" s="3"/>
      <x:c r="E246" s="3"/>
      <x:c r="F246" s="3"/>
      <x:c r="G246" s="3"/>
      <x:c r="H246" s="3"/>
      <x:c r="I246" s="3"/>
      <x:c r="J246" s="3"/>
      <x:c r="K246" s="3"/>
      <x:c r="L246" s="3"/>
      <x:c r="M246" s="3"/>
      <x:c r="N246" s="3"/>
      <x:c r="O246" s="3"/>
      <x:c r="P246" s="3"/>
      <x:c r="Q246" s="3"/>
      <x:c r="R246" s="7" t="n">
        <x:v>46084</x:v>
      </x:c>
      <x:c r="S246" s="3" t="n">
        <x:v>-58</x:v>
      </x:c>
      <x:c r="T246" s="4" t="n">
        <x:v>0</x:v>
      </x:c>
    </x:row>
    <x:row r="247" ht="15" customHeight="1">
      <x:c r="A247" s="3"/>
      <x:c r="B247" s="3"/>
      <x:c r="C247" s="3"/>
      <x:c r="D247" s="3"/>
      <x:c r="E247" s="3"/>
      <x:c r="F247" s="3"/>
      <x:c r="G247" s="3"/>
      <x:c r="H247" s="3"/>
      <x:c r="I247" s="3"/>
      <x:c r="J247" s="3"/>
      <x:c r="K247" s="3"/>
      <x:c r="L247" s="3"/>
      <x:c r="M247" s="3"/>
      <x:c r="N247" s="3"/>
      <x:c r="O247" s="3"/>
      <x:c r="P247" s="3"/>
      <x:c r="Q247" s="3"/>
      <x:c r="R247" s="7" t="n">
        <x:v>46085</x:v>
      </x:c>
      <x:c r="S247" s="3" t="n">
        <x:v>-58</x:v>
      </x:c>
      <x:c r="T247" s="4" t="n">
        <x:v>0</x:v>
      </x:c>
    </x:row>
    <x:row r="248" ht="15" customHeight="1">
      <x:c r="A248" s="3"/>
      <x:c r="B248" s="3"/>
      <x:c r="C248" s="3"/>
      <x:c r="D248" s="3"/>
      <x:c r="E248" s="3"/>
      <x:c r="F248" s="3"/>
      <x:c r="G248" s="3"/>
      <x:c r="H248" s="3"/>
      <x:c r="I248" s="3"/>
      <x:c r="J248" s="3"/>
      <x:c r="K248" s="3"/>
      <x:c r="L248" s="3"/>
      <x:c r="M248" s="3"/>
      <x:c r="N248" s="3"/>
      <x:c r="O248" s="3"/>
      <x:c r="P248" s="3"/>
      <x:c r="Q248" s="3"/>
      <x:c r="R248" s="7" t="n">
        <x:v>46086</x:v>
      </x:c>
      <x:c r="S248" s="3" t="n">
        <x:v>-58</x:v>
      </x:c>
      <x:c r="T248" s="4" t="n">
        <x:v>0</x:v>
      </x:c>
    </x:row>
    <x:row r="249" ht="15" customHeight="1">
      <x:c r="A249" s="3"/>
      <x:c r="B249" s="3"/>
      <x:c r="C249" s="3"/>
      <x:c r="D249" s="3"/>
      <x:c r="E249" s="3"/>
      <x:c r="F249" s="3"/>
      <x:c r="G249" s="3"/>
      <x:c r="H249" s="3"/>
      <x:c r="I249" s="3"/>
      <x:c r="J249" s="3"/>
      <x:c r="K249" s="3"/>
      <x:c r="L249" s="3"/>
      <x:c r="M249" s="3"/>
      <x:c r="N249" s="3"/>
      <x:c r="O249" s="3"/>
      <x:c r="P249" s="3"/>
      <x:c r="Q249" s="3"/>
      <x:c r="R249" s="7" t="n">
        <x:v>46087</x:v>
      </x:c>
      <x:c r="S249" s="3" t="n">
        <x:v>-57</x:v>
      </x:c>
      <x:c r="T249" s="4" t="n">
        <x:v>0</x:v>
      </x:c>
    </x:row>
    <x:row r="250" ht="15" customHeight="1">
      <x:c r="A250" s="3"/>
      <x:c r="B250" s="3"/>
      <x:c r="C250" s="3"/>
      <x:c r="D250" s="3"/>
      <x:c r="E250" s="3"/>
      <x:c r="F250" s="3"/>
      <x:c r="G250" s="3"/>
      <x:c r="H250" s="3"/>
      <x:c r="I250" s="3"/>
      <x:c r="J250" s="3"/>
      <x:c r="K250" s="3"/>
      <x:c r="L250" s="3"/>
      <x:c r="M250" s="3"/>
      <x:c r="N250" s="3"/>
      <x:c r="O250" s="3"/>
      <x:c r="P250" s="3"/>
      <x:c r="Q250" s="3"/>
      <x:c r="R250" s="7" t="n">
        <x:v>46088</x:v>
      </x:c>
      <x:c r="S250" s="3" t="n">
        <x:v>-57</x:v>
      </x:c>
      <x:c r="T250" s="4" t="n">
        <x:v>0</x:v>
      </x:c>
    </x:row>
    <x:row r="251" ht="15" customHeight="1">
      <x:c r="A251" s="3"/>
      <x:c r="B251" s="3"/>
      <x:c r="C251" s="3"/>
      <x:c r="D251" s="3"/>
      <x:c r="E251" s="3"/>
      <x:c r="F251" s="3"/>
      <x:c r="G251" s="3"/>
      <x:c r="H251" s="3"/>
      <x:c r="I251" s="3"/>
      <x:c r="J251" s="3"/>
      <x:c r="K251" s="3"/>
      <x:c r="L251" s="3"/>
      <x:c r="M251" s="3"/>
      <x:c r="N251" s="3"/>
      <x:c r="O251" s="3"/>
      <x:c r="P251" s="3"/>
      <x:c r="Q251" s="3"/>
      <x:c r="R251" s="7" t="n">
        <x:v>46089</x:v>
      </x:c>
      <x:c r="S251" s="3" t="n">
        <x:v>-59</x:v>
      </x:c>
      <x:c r="T251" s="4" t="n">
        <x:v>0</x:v>
      </x:c>
    </x:row>
    <x:row r="252" ht="15" customHeight="1">
      <x:c r="A252" s="3"/>
      <x:c r="B252" s="3"/>
      <x:c r="C252" s="3"/>
      <x:c r="D252" s="3"/>
      <x:c r="E252" s="3"/>
      <x:c r="F252" s="3"/>
      <x:c r="G252" s="3"/>
      <x:c r="H252" s="3"/>
      <x:c r="I252" s="3"/>
      <x:c r="J252" s="3"/>
      <x:c r="K252" s="3"/>
      <x:c r="L252" s="3"/>
      <x:c r="M252" s="3"/>
      <x:c r="N252" s="3"/>
      <x:c r="O252" s="3"/>
      <x:c r="P252" s="3"/>
      <x:c r="Q252" s="3"/>
      <x:c r="R252" s="7" t="n">
        <x:v>46090</x:v>
      </x:c>
      <x:c r="S252" s="3" t="n">
        <x:v>-61</x:v>
      </x:c>
      <x:c r="T252" s="4" t="n">
        <x:v>0</x:v>
      </x:c>
    </x:row>
    <x:row r="253" ht="15" customHeight="1">
      <x:c r="A253" s="3"/>
      <x:c r="B253" s="3"/>
      <x:c r="C253" s="3"/>
      <x:c r="D253" s="3"/>
      <x:c r="E253" s="3"/>
      <x:c r="F253" s="3"/>
      <x:c r="G253" s="3"/>
      <x:c r="H253" s="3"/>
      <x:c r="I253" s="3"/>
      <x:c r="J253" s="3"/>
      <x:c r="K253" s="3"/>
      <x:c r="L253" s="3"/>
      <x:c r="M253" s="3"/>
      <x:c r="N253" s="3"/>
      <x:c r="O253" s="3"/>
      <x:c r="P253" s="3"/>
      <x:c r="Q253" s="3"/>
      <x:c r="R253" s="7" t="n">
        <x:v>46091</x:v>
      </x:c>
      <x:c r="S253" s="3" t="n">
        <x:v>-64</x:v>
      </x:c>
      <x:c r="T253" s="4" t="n">
        <x:v>0</x:v>
      </x:c>
    </x:row>
    <x:row r="254" ht="15" customHeight="1">
      <x:c r="A254" s="3"/>
      <x:c r="B254" s="3"/>
      <x:c r="C254" s="3"/>
      <x:c r="D254" s="3"/>
      <x:c r="E254" s="3"/>
      <x:c r="F254" s="3"/>
      <x:c r="G254" s="3"/>
      <x:c r="H254" s="3"/>
      <x:c r="I254" s="3"/>
      <x:c r="J254" s="3"/>
      <x:c r="K254" s="3"/>
      <x:c r="L254" s="3"/>
      <x:c r="M254" s="3"/>
      <x:c r="N254" s="3"/>
      <x:c r="O254" s="3"/>
      <x:c r="P254" s="3"/>
      <x:c r="Q254" s="3"/>
      <x:c r="R254" s="7" t="n">
        <x:v>46092</x:v>
      </x:c>
      <x:c r="S254" s="3" t="n">
        <x:v>-69</x:v>
      </x:c>
      <x:c r="T254" s="4" t="n">
        <x:v>0</x:v>
      </x:c>
    </x:row>
    <x:row r="255" ht="15" customHeight="1">
      <x:c r="A255" s="3"/>
      <x:c r="B255" s="3"/>
      <x:c r="C255" s="3"/>
      <x:c r="D255" s="3"/>
      <x:c r="E255" s="3"/>
      <x:c r="F255" s="3"/>
      <x:c r="G255" s="3"/>
      <x:c r="H255" s="3"/>
      <x:c r="I255" s="3"/>
      <x:c r="J255" s="3"/>
      <x:c r="K255" s="3"/>
      <x:c r="L255" s="3"/>
      <x:c r="M255" s="3"/>
      <x:c r="N255" s="3"/>
      <x:c r="O255" s="3"/>
      <x:c r="P255" s="3"/>
      <x:c r="Q255" s="3"/>
      <x:c r="R255" s="7" t="n">
        <x:v>46093</x:v>
      </x:c>
      <x:c r="S255" s="3" t="n">
        <x:v>-73</x:v>
      </x:c>
      <x:c r="T255" s="4" t="n">
        <x:v>0</x:v>
      </x:c>
    </x:row>
    <x:row r="256" ht="15" customHeight="1">
      <x:c r="A256" s="3"/>
      <x:c r="B256" s="3"/>
      <x:c r="C256" s="3"/>
      <x:c r="D256" s="3"/>
      <x:c r="E256" s="3"/>
      <x:c r="F256" s="3"/>
      <x:c r="G256" s="3"/>
      <x:c r="H256" s="3"/>
      <x:c r="I256" s="3"/>
      <x:c r="J256" s="3"/>
      <x:c r="K256" s="3"/>
      <x:c r="L256" s="3"/>
      <x:c r="M256" s="3"/>
      <x:c r="N256" s="3"/>
      <x:c r="O256" s="3"/>
      <x:c r="P256" s="3"/>
      <x:c r="Q256" s="3"/>
      <x:c r="R256" s="7" t="n">
        <x:v>46094</x:v>
      </x:c>
      <x:c r="S256" s="3" t="n">
        <x:v>-73</x:v>
      </x:c>
      <x:c r="T256" s="4" t="n">
        <x:v>0</x:v>
      </x:c>
    </x:row>
    <x:row r="257" ht="15" customHeight="1">
      <x:c r="A257" s="3"/>
      <x:c r="B257" s="3"/>
      <x:c r="C257" s="3"/>
      <x:c r="D257" s="3"/>
      <x:c r="E257" s="3"/>
      <x:c r="F257" s="3"/>
      <x:c r="G257" s="3"/>
      <x:c r="H257" s="3"/>
      <x:c r="I257" s="3"/>
      <x:c r="J257" s="3"/>
      <x:c r="K257" s="3"/>
      <x:c r="L257" s="3"/>
      <x:c r="M257" s="3"/>
      <x:c r="N257" s="3"/>
      <x:c r="O257" s="3"/>
      <x:c r="P257" s="3"/>
      <x:c r="Q257" s="3"/>
      <x:c r="R257" s="7" t="n">
        <x:v>46095</x:v>
      </x:c>
      <x:c r="S257" s="3" t="n">
        <x:v>-75</x:v>
      </x:c>
      <x:c r="T257" s="4" t="n">
        <x:v>0</x:v>
      </x:c>
    </x:row>
    <x:row r="258" ht="15" customHeight="1">
      <x:c r="A258" s="3"/>
      <x:c r="B258" s="3"/>
      <x:c r="C258" s="3"/>
      <x:c r="D258" s="3"/>
      <x:c r="E258" s="3"/>
      <x:c r="F258" s="3"/>
      <x:c r="G258" s="3"/>
      <x:c r="H258" s="3"/>
      <x:c r="I258" s="3"/>
      <x:c r="J258" s="3"/>
      <x:c r="K258" s="3"/>
      <x:c r="L258" s="3"/>
      <x:c r="M258" s="3"/>
      <x:c r="N258" s="3"/>
      <x:c r="O258" s="3"/>
      <x:c r="P258" s="3"/>
      <x:c r="Q258" s="3"/>
      <x:c r="R258" s="7" t="n">
        <x:v>46096</x:v>
      </x:c>
      <x:c r="S258" s="3" t="n">
        <x:v>-76</x:v>
      </x:c>
      <x:c r="T258" s="4" t="n">
        <x:v>0</x:v>
      </x:c>
    </x:row>
    <x:row r="259" ht="15" customHeight="1">
      <x:c r="A259" s="3"/>
      <x:c r="B259" s="3"/>
      <x:c r="C259" s="3"/>
      <x:c r="D259" s="3"/>
      <x:c r="E259" s="3"/>
      <x:c r="F259" s="3"/>
      <x:c r="G259" s="3"/>
      <x:c r="H259" s="3"/>
      <x:c r="I259" s="3"/>
      <x:c r="J259" s="3"/>
      <x:c r="K259" s="3"/>
      <x:c r="L259" s="3"/>
      <x:c r="M259" s="3"/>
      <x:c r="N259" s="3"/>
      <x:c r="O259" s="3"/>
      <x:c r="P259" s="3"/>
      <x:c r="Q259" s="3"/>
      <x:c r="R259" s="7" t="n">
        <x:v>46097</x:v>
      </x:c>
      <x:c r="S259" s="3" t="n">
        <x:v>-76</x:v>
      </x:c>
      <x:c r="T259" s="4" t="n">
        <x:v>0</x:v>
      </x:c>
    </x:row>
    <x:row r="260" ht="15" customHeight="1">
      <x:c r="A260" s="3"/>
      <x:c r="B260" s="3"/>
      <x:c r="C260" s="3"/>
      <x:c r="D260" s="3"/>
      <x:c r="E260" s="3"/>
      <x:c r="F260" s="3"/>
      <x:c r="G260" s="3"/>
      <x:c r="H260" s="3"/>
      <x:c r="I260" s="3"/>
      <x:c r="J260" s="3"/>
      <x:c r="K260" s="3"/>
      <x:c r="L260" s="3"/>
      <x:c r="M260" s="3"/>
      <x:c r="N260" s="3"/>
      <x:c r="O260" s="3"/>
      <x:c r="P260" s="3"/>
      <x:c r="Q260" s="3"/>
      <x:c r="R260" s="7" t="n">
        <x:v>46098</x:v>
      </x:c>
      <x:c r="S260" s="3" t="n">
        <x:v>-76</x:v>
      </x:c>
      <x:c r="T260" s="4" t="n">
        <x:v>0</x:v>
      </x:c>
    </x:row>
    <x:row r="261" ht="15" customHeight="1">
      <x:c r="A261" s="3"/>
      <x:c r="B261" s="3"/>
      <x:c r="C261" s="3"/>
      <x:c r="D261" s="3"/>
      <x:c r="E261" s="3"/>
      <x:c r="F261" s="3"/>
      <x:c r="G261" s="3"/>
      <x:c r="H261" s="3"/>
      <x:c r="I261" s="3"/>
      <x:c r="J261" s="3"/>
      <x:c r="K261" s="3"/>
      <x:c r="L261" s="3"/>
      <x:c r="M261" s="3"/>
      <x:c r="N261" s="3"/>
      <x:c r="O261" s="3"/>
      <x:c r="P261" s="3"/>
      <x:c r="Q261" s="3"/>
      <x:c r="R261" s="7" t="n">
        <x:v>46099</x:v>
      </x:c>
      <x:c r="S261" s="3" t="n">
        <x:v>-74</x:v>
      </x:c>
      <x:c r="T261" s="4" t="n">
        <x:v>0</x:v>
      </x:c>
    </x:row>
    <x:row r="262" ht="15" customHeight="1">
      <x:c r="A262" s="3"/>
      <x:c r="B262" s="3"/>
      <x:c r="C262" s="3"/>
      <x:c r="D262" s="3"/>
      <x:c r="E262" s="3"/>
      <x:c r="F262" s="3"/>
      <x:c r="G262" s="3"/>
      <x:c r="H262" s="3"/>
      <x:c r="I262" s="3"/>
      <x:c r="J262" s="3"/>
      <x:c r="K262" s="3"/>
      <x:c r="L262" s="3"/>
      <x:c r="M262" s="3"/>
      <x:c r="N262" s="3"/>
      <x:c r="O262" s="3"/>
      <x:c r="P262" s="3"/>
      <x:c r="Q262" s="3"/>
      <x:c r="R262" s="7" t="n">
        <x:v>46100</x:v>
      </x:c>
      <x:c r="S262" s="3" t="n">
        <x:v>-73</x:v>
      </x:c>
      <x:c r="T262" s="4" t="n">
        <x:v>0</x:v>
      </x:c>
    </x:row>
    <x:row r="263" ht="15" customHeight="1">
      <x:c r="A263" s="3"/>
      <x:c r="B263" s="3"/>
      <x:c r="C263" s="3"/>
      <x:c r="D263" s="3"/>
      <x:c r="E263" s="3"/>
      <x:c r="F263" s="3"/>
      <x:c r="G263" s="3"/>
      <x:c r="H263" s="3"/>
      <x:c r="I263" s="3"/>
      <x:c r="J263" s="3"/>
      <x:c r="K263" s="3"/>
      <x:c r="L263" s="3"/>
      <x:c r="M263" s="3"/>
      <x:c r="N263" s="3"/>
      <x:c r="O263" s="3"/>
      <x:c r="P263" s="3"/>
      <x:c r="Q263" s="3"/>
      <x:c r="R263" s="7" t="n">
        <x:v>46101</x:v>
      </x:c>
      <x:c r="S263" s="3" t="n">
        <x:v>-73</x:v>
      </x:c>
      <x:c r="T263" s="4" t="n">
        <x:v>0</x:v>
      </x:c>
    </x:row>
    <x:row r="264" ht="15" customHeight="1">
      <x:c r="A264" s="3"/>
      <x:c r="B264" s="3"/>
      <x:c r="C264" s="3"/>
      <x:c r="D264" s="3"/>
      <x:c r="E264" s="3"/>
      <x:c r="F264" s="3"/>
      <x:c r="G264" s="3"/>
      <x:c r="H264" s="3"/>
      <x:c r="I264" s="3"/>
      <x:c r="J264" s="3"/>
      <x:c r="K264" s="3"/>
      <x:c r="L264" s="3"/>
      <x:c r="M264" s="3"/>
      <x:c r="N264" s="3"/>
      <x:c r="O264" s="3"/>
      <x:c r="P264" s="3"/>
      <x:c r="Q264" s="3"/>
      <x:c r="R264" s="7" t="n">
        <x:v>46102</x:v>
      </x:c>
      <x:c r="S264" s="3" t="n">
        <x:v>-71</x:v>
      </x:c>
      <x:c r="T264" s="4" t="n">
        <x:v>0</x:v>
      </x:c>
    </x:row>
    <x:row r="265" ht="15" customHeight="1">
      <x:c r="A265" s="3"/>
      <x:c r="B265" s="3"/>
      <x:c r="C265" s="3"/>
      <x:c r="D265" s="3"/>
      <x:c r="E265" s="3"/>
      <x:c r="F265" s="3"/>
      <x:c r="G265" s="3"/>
      <x:c r="H265" s="3"/>
      <x:c r="I265" s="3"/>
      <x:c r="J265" s="3"/>
      <x:c r="K265" s="3"/>
      <x:c r="L265" s="3"/>
      <x:c r="M265" s="3"/>
      <x:c r="N265" s="3"/>
      <x:c r="O265" s="3"/>
      <x:c r="P265" s="3"/>
      <x:c r="Q265" s="3"/>
      <x:c r="R265" s="7" t="n">
        <x:v>46103</x:v>
      </x:c>
      <x:c r="S265" s="3" t="n">
        <x:v>-71</x:v>
      </x:c>
      <x:c r="T265" s="4" t="n">
        <x:v>0</x:v>
      </x:c>
    </x:row>
    <x:row r="266" ht="15" customHeight="1">
      <x:c r="A266" s="3"/>
      <x:c r="B266" s="3"/>
      <x:c r="C266" s="3"/>
      <x:c r="D266" s="3"/>
      <x:c r="E266" s="3"/>
      <x:c r="F266" s="3"/>
      <x:c r="G266" s="3"/>
      <x:c r="H266" s="3"/>
      <x:c r="I266" s="3"/>
      <x:c r="J266" s="3"/>
      <x:c r="K266" s="3"/>
      <x:c r="L266" s="3"/>
      <x:c r="M266" s="3"/>
      <x:c r="N266" s="3"/>
      <x:c r="O266" s="3"/>
      <x:c r="P266" s="3"/>
      <x:c r="Q266" s="3"/>
      <x:c r="R266" s="7" t="n">
        <x:v>46104</x:v>
      </x:c>
      <x:c r="S266" s="3" t="n">
        <x:v>-71</x:v>
      </x:c>
      <x:c r="T266" s="4" t="n">
        <x:v>0</x:v>
      </x:c>
    </x:row>
    <x:row r="267" ht="15" customHeight="1">
      <x:c r="A267" s="3"/>
      <x:c r="B267" s="3"/>
      <x:c r="C267" s="3"/>
      <x:c r="D267" s="3"/>
      <x:c r="E267" s="3"/>
      <x:c r="F267" s="3"/>
      <x:c r="G267" s="3"/>
      <x:c r="H267" s="3"/>
      <x:c r="I267" s="3"/>
      <x:c r="J267" s="3"/>
      <x:c r="K267" s="3"/>
      <x:c r="L267" s="3"/>
      <x:c r="M267" s="3"/>
      <x:c r="N267" s="3"/>
      <x:c r="O267" s="3"/>
      <x:c r="P267" s="3"/>
      <x:c r="Q267" s="3"/>
      <x:c r="R267" s="7" t="n">
        <x:v>46105</x:v>
      </x:c>
      <x:c r="S267" s="3" t="n">
        <x:v>-71</x:v>
      </x:c>
      <x:c r="T267" s="4" t="n">
        <x:v>0</x:v>
      </x:c>
    </x:row>
    <x:row r="268" ht="15" customHeight="1">
      <x:c r="A268" s="3"/>
      <x:c r="B268" s="3"/>
      <x:c r="C268" s="3"/>
      <x:c r="D268" s="3"/>
      <x:c r="E268" s="3"/>
      <x:c r="F268" s="3"/>
      <x:c r="G268" s="3"/>
      <x:c r="H268" s="3"/>
      <x:c r="I268" s="3"/>
      <x:c r="J268" s="3"/>
      <x:c r="K268" s="3"/>
      <x:c r="L268" s="3"/>
      <x:c r="M268" s="3"/>
      <x:c r="N268" s="3"/>
      <x:c r="O268" s="3"/>
      <x:c r="P268" s="3"/>
      <x:c r="Q268" s="3"/>
      <x:c r="R268" s="7" t="n">
        <x:v>46106</x:v>
      </x:c>
      <x:c r="S268" s="3" t="n">
        <x:v>-72</x:v>
      </x:c>
      <x:c r="T268" s="4" t="n">
        <x:v>0</x:v>
      </x:c>
    </x:row>
    <x:row r="269" ht="15" customHeight="1">
      <x:c r="A269" s="3"/>
      <x:c r="B269" s="3"/>
      <x:c r="C269" s="3"/>
      <x:c r="D269" s="3"/>
      <x:c r="E269" s="3"/>
      <x:c r="F269" s="3"/>
      <x:c r="G269" s="3"/>
      <x:c r="H269" s="3"/>
      <x:c r="I269" s="3"/>
      <x:c r="J269" s="3"/>
      <x:c r="K269" s="3"/>
      <x:c r="L269" s="3"/>
      <x:c r="M269" s="3"/>
      <x:c r="N269" s="3"/>
      <x:c r="O269" s="3"/>
      <x:c r="P269" s="3"/>
      <x:c r="Q269" s="3"/>
      <x:c r="R269" s="7" t="n">
        <x:v>46107</x:v>
      </x:c>
      <x:c r="S269" s="3" t="n">
        <x:v>-72</x:v>
      </x:c>
      <x:c r="T269" s="4" t="n">
        <x:v>0</x:v>
      </x:c>
    </x:row>
    <x:row r="270" ht="15" customHeight="1">
      <x:c r="A270" s="3"/>
      <x:c r="B270" s="3"/>
      <x:c r="C270" s="3"/>
      <x:c r="D270" s="3"/>
      <x:c r="E270" s="3"/>
      <x:c r="F270" s="3"/>
      <x:c r="G270" s="3"/>
      <x:c r="H270" s="3"/>
      <x:c r="I270" s="3"/>
      <x:c r="J270" s="3"/>
      <x:c r="K270" s="3"/>
      <x:c r="L270" s="3"/>
      <x:c r="M270" s="3"/>
      <x:c r="N270" s="3"/>
      <x:c r="O270" s="3"/>
      <x:c r="P270" s="3"/>
      <x:c r="Q270" s="3"/>
      <x:c r="R270" s="7" t="n">
        <x:v>46108</x:v>
      </x:c>
      <x:c r="S270" s="3" t="n">
        <x:v>-71</x:v>
      </x:c>
      <x:c r="T270" s="4" t="n">
        <x:v>0</x:v>
      </x:c>
    </x:row>
    <x:row r="271" ht="15" customHeight="1">
      <x:c r="A271" s="3"/>
      <x:c r="B271" s="3"/>
      <x:c r="C271" s="3"/>
      <x:c r="D271" s="3"/>
      <x:c r="E271" s="3"/>
      <x:c r="F271" s="3"/>
      <x:c r="G271" s="3"/>
      <x:c r="H271" s="3"/>
      <x:c r="I271" s="3"/>
      <x:c r="J271" s="3"/>
      <x:c r="K271" s="3"/>
      <x:c r="L271" s="3"/>
      <x:c r="M271" s="3"/>
      <x:c r="N271" s="3"/>
      <x:c r="O271" s="3"/>
      <x:c r="P271" s="3"/>
      <x:c r="Q271" s="3"/>
      <x:c r="R271" s="7" t="n">
        <x:v>46109</x:v>
      </x:c>
      <x:c r="S271" s="3" t="n">
        <x:v>-71</x:v>
      </x:c>
      <x:c r="T271" s="4" t="n">
        <x:v>0</x:v>
      </x:c>
    </x:row>
    <x:row r="272" ht="15" customHeight="1">
      <x:c r="A272" s="3"/>
      <x:c r="B272" s="3"/>
      <x:c r="C272" s="3"/>
      <x:c r="D272" s="3"/>
      <x:c r="E272" s="3"/>
      <x:c r="F272" s="3"/>
      <x:c r="G272" s="3"/>
      <x:c r="H272" s="3"/>
      <x:c r="I272" s="3"/>
      <x:c r="J272" s="3"/>
      <x:c r="K272" s="3"/>
      <x:c r="L272" s="3"/>
      <x:c r="M272" s="3"/>
      <x:c r="N272" s="3"/>
      <x:c r="O272" s="3"/>
      <x:c r="P272" s="3"/>
      <x:c r="Q272" s="3"/>
      <x:c r="R272" s="7" t="n">
        <x:v>46110</x:v>
      </x:c>
      <x:c r="S272" s="3" t="n">
        <x:v>-71</x:v>
      </x:c>
      <x:c r="T272" s="4" t="n">
        <x:v>0</x:v>
      </x:c>
    </x:row>
    <x:row r="273" ht="15" customHeight="1">
      <x:c r="A273" s="3"/>
      <x:c r="B273" s="3"/>
      <x:c r="C273" s="3"/>
      <x:c r="D273" s="3"/>
      <x:c r="E273" s="3"/>
      <x:c r="F273" s="3"/>
      <x:c r="G273" s="3"/>
      <x:c r="H273" s="3"/>
      <x:c r="I273" s="3"/>
      <x:c r="J273" s="3"/>
      <x:c r="K273" s="3"/>
      <x:c r="L273" s="3"/>
      <x:c r="M273" s="3"/>
      <x:c r="N273" s="3"/>
      <x:c r="O273" s="3"/>
      <x:c r="P273" s="3"/>
      <x:c r="Q273" s="3"/>
      <x:c r="R273" s="7" t="n">
        <x:v>46111</x:v>
      </x:c>
      <x:c r="S273" s="3" t="n">
        <x:v>-69</x:v>
      </x:c>
      <x:c r="T273" s="4" t="n">
        <x:v>0</x:v>
      </x:c>
    </x:row>
    <x:row r="274" ht="15" customHeight="1">
      <x:c r="A274" s="3"/>
      <x:c r="B274" s="3"/>
      <x:c r="C274" s="3"/>
      <x:c r="D274" s="3"/>
      <x:c r="E274" s="3"/>
      <x:c r="F274" s="3"/>
      <x:c r="G274" s="3"/>
      <x:c r="H274" s="3"/>
      <x:c r="I274" s="3"/>
      <x:c r="J274" s="3"/>
      <x:c r="K274" s="3"/>
      <x:c r="L274" s="3"/>
      <x:c r="M274" s="3"/>
      <x:c r="N274" s="3"/>
      <x:c r="O274" s="3"/>
      <x:c r="P274" s="3"/>
      <x:c r="Q274" s="3"/>
      <x:c r="R274" s="7" t="n">
        <x:v>46112</x:v>
      </x:c>
      <x:c r="S274" s="3" t="n">
        <x:v>-67</x:v>
      </x:c>
      <x:c r="T274" s="4" t="n">
        <x:v>0</x:v>
      </x:c>
    </x:row>
    <x:row r="275" ht="15" customHeight="1">
      <x:c r="A275" s="3"/>
      <x:c r="B275" s="3"/>
      <x:c r="C275" s="3"/>
      <x:c r="D275" s="3"/>
      <x:c r="E275" s="3"/>
      <x:c r="F275" s="3"/>
      <x:c r="G275" s="3"/>
      <x:c r="H275" s="3"/>
      <x:c r="I275" s="3"/>
      <x:c r="J275" s="3"/>
      <x:c r="K275" s="3"/>
      <x:c r="L275" s="3"/>
      <x:c r="M275" s="3"/>
      <x:c r="N275" s="3"/>
      <x:c r="O275" s="3"/>
      <x:c r="P275" s="3"/>
      <x:c r="Q275" s="3"/>
      <x:c r="R275" s="7" t="n">
        <x:v>46113</x:v>
      </x:c>
      <x:c r="S275" s="3" t="n">
        <x:v>-65</x:v>
      </x:c>
      <x:c r="T275" s="4" t="n">
        <x:v>0</x:v>
      </x:c>
    </x:row>
    <x:row r="276" ht="15" customHeight="1">
      <x:c r="A276" s="3"/>
      <x:c r="B276" s="3"/>
      <x:c r="C276" s="3"/>
      <x:c r="D276" s="3"/>
      <x:c r="E276" s="3"/>
      <x:c r="F276" s="3"/>
      <x:c r="G276" s="3"/>
      <x:c r="H276" s="3"/>
      <x:c r="I276" s="3"/>
      <x:c r="J276" s="3"/>
      <x:c r="K276" s="3"/>
      <x:c r="L276" s="3"/>
      <x:c r="M276" s="3"/>
      <x:c r="N276" s="3"/>
      <x:c r="O276" s="3"/>
      <x:c r="P276" s="3"/>
      <x:c r="Q276" s="3"/>
      <x:c r="R276" s="7" t="n">
        <x:v>46114</x:v>
      </x:c>
      <x:c r="S276" s="3" t="n">
        <x:v>-59</x:v>
      </x:c>
      <x:c r="T276" s="4" t="n">
        <x:v>0</x:v>
      </x:c>
    </x:row>
    <x:row r="277" ht="15" customHeight="1">
      <x:c r="A277" s="3"/>
      <x:c r="B277" s="3"/>
      <x:c r="C277" s="3"/>
      <x:c r="D277" s="3"/>
      <x:c r="E277" s="3"/>
      <x:c r="F277" s="3"/>
      <x:c r="G277" s="3"/>
      <x:c r="H277" s="3"/>
      <x:c r="I277" s="3"/>
      <x:c r="J277" s="3"/>
      <x:c r="K277" s="3"/>
      <x:c r="L277" s="3"/>
      <x:c r="M277" s="3"/>
      <x:c r="N277" s="3"/>
      <x:c r="O277" s="3"/>
      <x:c r="P277" s="3"/>
      <x:c r="Q277" s="3"/>
      <x:c r="R277" s="7" t="n">
        <x:v>46115</x:v>
      </x:c>
      <x:c r="S277" s="3" t="n">
        <x:v>-52</x:v>
      </x:c>
      <x:c r="T277" s="4" t="n">
        <x:v>0</x:v>
      </x:c>
    </x:row>
    <x:row r="278" ht="15" customHeight="1">
      <x:c r="A278" s="3"/>
      <x:c r="B278" s="3"/>
      <x:c r="C278" s="3"/>
      <x:c r="D278" s="3"/>
      <x:c r="E278" s="3"/>
      <x:c r="F278" s="3"/>
      <x:c r="G278" s="3"/>
      <x:c r="H278" s="3"/>
      <x:c r="I278" s="3"/>
      <x:c r="J278" s="3"/>
      <x:c r="K278" s="3"/>
      <x:c r="L278" s="3"/>
      <x:c r="M278" s="3"/>
      <x:c r="N278" s="3"/>
      <x:c r="O278" s="3"/>
      <x:c r="P278" s="3"/>
      <x:c r="Q278" s="3"/>
      <x:c r="R278" s="7" t="n">
        <x:v>46116</x:v>
      </x:c>
      <x:c r="S278" s="3" t="n">
        <x:v>-42</x:v>
      </x:c>
      <x:c r="T278" s="4" t="n">
        <x:v>0</x:v>
      </x:c>
    </x:row>
    <x:row r="279" ht="15" customHeight="1">
      <x:c r="A279" s="3"/>
      <x:c r="B279" s="3"/>
      <x:c r="C279" s="3"/>
      <x:c r="D279" s="3"/>
      <x:c r="E279" s="3"/>
      <x:c r="F279" s="3"/>
      <x:c r="G279" s="3"/>
      <x:c r="H279" s="3"/>
      <x:c r="I279" s="3"/>
      <x:c r="J279" s="3"/>
      <x:c r="K279" s="3"/>
      <x:c r="L279" s="3"/>
      <x:c r="M279" s="3"/>
      <x:c r="N279" s="3"/>
      <x:c r="O279" s="3"/>
      <x:c r="P279" s="3"/>
      <x:c r="Q279" s="3"/>
      <x:c r="R279" s="7" t="n">
        <x:v>46117</x:v>
      </x:c>
      <x:c r="S279" s="3" t="n">
        <x:v>-35</x:v>
      </x:c>
      <x:c r="T279" s="4" t="n">
        <x:v>0</x:v>
      </x:c>
    </x:row>
    <x:row r="280" ht="15" customHeight="1">
      <x:c r="A280" s="3"/>
      <x:c r="B280" s="3"/>
      <x:c r="C280" s="3"/>
      <x:c r="D280" s="3"/>
      <x:c r="E280" s="3"/>
      <x:c r="F280" s="3"/>
      <x:c r="G280" s="3"/>
      <x:c r="H280" s="3"/>
      <x:c r="I280" s="3"/>
      <x:c r="J280" s="3"/>
      <x:c r="K280" s="3"/>
      <x:c r="L280" s="3"/>
      <x:c r="M280" s="3"/>
      <x:c r="N280" s="3"/>
      <x:c r="O280" s="3"/>
      <x:c r="P280" s="3"/>
      <x:c r="Q280" s="3"/>
      <x:c r="R280" s="7" t="n">
        <x:v>46118</x:v>
      </x:c>
      <x:c r="S280" s="3" t="n">
        <x:v>-17</x:v>
      </x:c>
      <x:c r="T280" s="4" t="n">
        <x:v>0</x:v>
      </x:c>
    </x:row>
    <x:row r="281" ht="15" customHeight="1">
      <x:c r="A281" s="3"/>
      <x:c r="B281" s="3"/>
      <x:c r="C281" s="3"/>
      <x:c r="D281" s="3"/>
      <x:c r="E281" s="3"/>
      <x:c r="F281" s="3"/>
      <x:c r="G281" s="3"/>
      <x:c r="H281" s="3"/>
      <x:c r="I281" s="3"/>
      <x:c r="J281" s="3"/>
      <x:c r="K281" s="3"/>
      <x:c r="L281" s="3"/>
      <x:c r="M281" s="3"/>
      <x:c r="N281" s="3"/>
      <x:c r="O281" s="3"/>
      <x:c r="P281" s="3"/>
      <x:c r="Q281" s="3"/>
      <x:c r="R281" s="7" t="n">
        <x:v>46119</x:v>
      </x:c>
      <x:c r="S281" s="3" t="n">
        <x:v>-3</x:v>
      </x:c>
      <x:c r="T281" s="4" t="n">
        <x:v>0</x:v>
      </x:c>
    </x:row>
    <x:row r="282" ht="15" customHeight="1">
      <x:c r="A282" s="3"/>
      <x:c r="B282" s="3"/>
      <x:c r="C282" s="3"/>
      <x:c r="D282" s="3"/>
      <x:c r="E282" s="3"/>
      <x:c r="F282" s="3"/>
      <x:c r="G282" s="3"/>
      <x:c r="H282" s="3"/>
      <x:c r="I282" s="3"/>
      <x:c r="J282" s="3"/>
      <x:c r="K282" s="3"/>
      <x:c r="L282" s="3"/>
      <x:c r="M282" s="3"/>
      <x:c r="N282" s="3"/>
      <x:c r="O282" s="3"/>
      <x:c r="P282" s="3"/>
      <x:c r="Q282" s="3"/>
      <x:c r="R282" s="7" t="n">
        <x:v>46120</x:v>
      </x:c>
      <x:c r="S282" s="3" t="n">
        <x:v>17</x:v>
      </x:c>
      <x:c r="T282" s="4" t="n">
        <x:v>0</x:v>
      </x:c>
    </x:row>
    <x:row r="283" ht="15" customHeight="1">
      <x:c r="A283" s="3"/>
      <x:c r="B283" s="3"/>
      <x:c r="C283" s="3"/>
      <x:c r="D283" s="3"/>
      <x:c r="E283" s="3"/>
      <x:c r="F283" s="3"/>
      <x:c r="G283" s="3"/>
      <x:c r="H283" s="3"/>
      <x:c r="I283" s="3"/>
      <x:c r="J283" s="3"/>
      <x:c r="K283" s="3"/>
      <x:c r="L283" s="3"/>
      <x:c r="M283" s="3"/>
      <x:c r="N283" s="3"/>
      <x:c r="O283" s="3"/>
      <x:c r="P283" s="3"/>
      <x:c r="Q283" s="3"/>
      <x:c r="R283" s="7" t="n">
        <x:v>46121</x:v>
      </x:c>
      <x:c r="S283" s="3" t="n">
        <x:v>44</x:v>
      </x:c>
      <x:c r="T283" s="4" t="n">
        <x:v>0</x:v>
      </x:c>
    </x:row>
    <x:row r="284" ht="15" customHeight="1">
      <x:c r="A284" s="3"/>
      <x:c r="B284" s="3"/>
      <x:c r="C284" s="3"/>
      <x:c r="D284" s="3"/>
      <x:c r="E284" s="3"/>
      <x:c r="F284" s="3"/>
      <x:c r="G284" s="3"/>
      <x:c r="H284" s="3"/>
      <x:c r="I284" s="3"/>
      <x:c r="J284" s="3"/>
      <x:c r="K284" s="3"/>
      <x:c r="L284" s="3"/>
      <x:c r="M284" s="3"/>
      <x:c r="N284" s="3"/>
      <x:c r="O284" s="3"/>
      <x:c r="P284" s="3"/>
      <x:c r="Q284" s="3"/>
      <x:c r="R284" s="7" t="n">
        <x:v>46122</x:v>
      </x:c>
      <x:c r="S284" s="3" t="n">
        <x:v>82</x:v>
      </x:c>
      <x:c r="T284" s="4" t="n">
        <x:v>0</x:v>
      </x:c>
    </x:row>
    <x:row r="285" ht="15" customHeight="1">
      <x:c r="A285" s="3"/>
      <x:c r="B285" s="3"/>
      <x:c r="C285" s="3"/>
      <x:c r="D285" s="3"/>
      <x:c r="E285" s="3"/>
      <x:c r="F285" s="3"/>
      <x:c r="G285" s="3"/>
      <x:c r="H285" s="3"/>
      <x:c r="I285" s="3"/>
      <x:c r="J285" s="3"/>
      <x:c r="K285" s="3"/>
      <x:c r="L285" s="3"/>
      <x:c r="M285" s="3"/>
      <x:c r="N285" s="3"/>
      <x:c r="O285" s="3"/>
      <x:c r="P285" s="3"/>
      <x:c r="Q285" s="3"/>
      <x:c r="R285" s="7" t="n">
        <x:v>46123</x:v>
      </x:c>
      <x:c r="S285" s="3" t="n">
        <x:v>96</x:v>
      </x:c>
      <x:c r="T285" s="4" t="n">
        <x:v>0</x:v>
      </x:c>
    </x:row>
    <x:row r="286" ht="15" customHeight="1">
      <x:c r="A286" s="3"/>
      <x:c r="B286" s="3"/>
      <x:c r="C286" s="3"/>
      <x:c r="D286" s="3"/>
      <x:c r="E286" s="3"/>
      <x:c r="F286" s="3"/>
      <x:c r="G286" s="3"/>
      <x:c r="H286" s="3"/>
      <x:c r="I286" s="3"/>
      <x:c r="J286" s="3"/>
      <x:c r="K286" s="3"/>
      <x:c r="L286" s="3"/>
      <x:c r="M286" s="3"/>
      <x:c r="N286" s="3"/>
      <x:c r="O286" s="3"/>
      <x:c r="P286" s="3"/>
      <x:c r="Q286" s="3"/>
      <x:c r="R286" s="7" t="n">
        <x:v>46124</x:v>
      </x:c>
      <x:c r="S286" s="3" t="n">
        <x:v>163</x:v>
      </x:c>
      <x:c r="T286" s="4" t="n">
        <x:v>0</x:v>
      </x:c>
    </x:row>
    <x:row r="287" ht="15" customHeight="1">
      <x:c r="A287" s="3"/>
      <x:c r="B287" s="3"/>
      <x:c r="C287" s="3"/>
      <x:c r="D287" s="3"/>
      <x:c r="E287" s="3"/>
      <x:c r="F287" s="3"/>
      <x:c r="G287" s="3"/>
      <x:c r="H287" s="3"/>
      <x:c r="I287" s="3"/>
      <x:c r="J287" s="3"/>
      <x:c r="K287" s="3"/>
      <x:c r="L287" s="3"/>
      <x:c r="M287" s="3"/>
      <x:c r="N287" s="3"/>
      <x:c r="O287" s="3"/>
      <x:c r="P287" s="3"/>
      <x:c r="Q287" s="3"/>
      <x:c r="R287" s="7" t="n">
        <x:v>46125</x:v>
      </x:c>
      <x:c r="S287" s="3" t="n">
        <x:v>100</x:v>
      </x:c>
      <x:c r="T287" s="4" t="n">
        <x:v>0</x:v>
      </x:c>
    </x:row>
    <x:row r="288" ht="15" customHeight="1">
      <x:c r="A288" s="3"/>
      <x:c r="B288" s="3"/>
      <x:c r="C288" s="3"/>
      <x:c r="D288" s="3"/>
      <x:c r="E288" s="3"/>
      <x:c r="F288" s="3"/>
      <x:c r="G288" s="3"/>
      <x:c r="H288" s="3"/>
      <x:c r="I288" s="3"/>
      <x:c r="J288" s="3"/>
      <x:c r="K288" s="3"/>
      <x:c r="L288" s="3"/>
      <x:c r="M288" s="3"/>
      <x:c r="N288" s="3"/>
      <x:c r="O288" s="3"/>
      <x:c r="P288" s="3"/>
      <x:c r="Q288" s="3"/>
      <x:c r="R288" s="7" t="n">
        <x:v>46126</x:v>
      </x:c>
      <x:c r="S288" s="3" t="n">
        <x:v>36</x:v>
      </x:c>
      <x:c r="T288" s="4" t="n">
        <x:v>0</x:v>
      </x:c>
    </x:row>
    <x:row r="289" ht="15" customHeight="1">
      <x:c r="A289" s="3"/>
      <x:c r="B289" s="3"/>
      <x:c r="C289" s="3"/>
      <x:c r="D289" s="3"/>
      <x:c r="E289" s="3"/>
      <x:c r="F289" s="3"/>
      <x:c r="G289" s="3"/>
      <x:c r="H289" s="3"/>
      <x:c r="I289" s="3"/>
      <x:c r="J289" s="3"/>
      <x:c r="K289" s="3"/>
      <x:c r="L289" s="3"/>
      <x:c r="M289" s="3"/>
      <x:c r="N289" s="3"/>
      <x:c r="O289" s="3"/>
      <x:c r="P289" s="3"/>
      <x:c r="Q289" s="3"/>
      <x:c r="R289" s="7" t="n">
        <x:v>46127</x:v>
      </x:c>
      <x:c r="S289" s="3" t="n">
        <x:v>-4</x:v>
      </x:c>
      <x:c r="T289" s="4" t="n">
        <x:v>0</x:v>
      </x:c>
    </x:row>
    <x:row r="290" ht="15" customHeight="1">
      <x:c r="A290" s="3"/>
      <x:c r="B290" s="3"/>
      <x:c r="C290" s="3"/>
      <x:c r="D290" s="3"/>
      <x:c r="E290" s="3"/>
      <x:c r="F290" s="3"/>
      <x:c r="G290" s="3"/>
      <x:c r="H290" s="3"/>
      <x:c r="I290" s="3"/>
      <x:c r="J290" s="3"/>
      <x:c r="K290" s="3"/>
      <x:c r="L290" s="3"/>
      <x:c r="M290" s="3"/>
      <x:c r="N290" s="3"/>
      <x:c r="O290" s="3"/>
      <x:c r="P290" s="3"/>
      <x:c r="Q290" s="3"/>
      <x:c r="R290" s="7" t="n">
        <x:v>46128</x:v>
      </x:c>
      <x:c r="S290" s="3" t="n">
        <x:v>-14</x:v>
      </x:c>
      <x:c r="T290" s="4" t="n">
        <x:v>0</x:v>
      </x:c>
    </x:row>
    <x:row r="291" ht="15" customHeight="1">
      <x:c r="A291" s="3"/>
      <x:c r="B291" s="3"/>
      <x:c r="C291" s="3"/>
      <x:c r="D291" s="3"/>
      <x:c r="E291" s="3"/>
      <x:c r="F291" s="3"/>
      <x:c r="G291" s="3"/>
      <x:c r="H291" s="3"/>
      <x:c r="I291" s="3"/>
      <x:c r="J291" s="3"/>
      <x:c r="K291" s="3"/>
      <x:c r="L291" s="3"/>
      <x:c r="M291" s="3"/>
      <x:c r="N291" s="3"/>
      <x:c r="O291" s="3"/>
      <x:c r="P291" s="3"/>
      <x:c r="Q291" s="3"/>
      <x:c r="R291" s="7" t="n">
        <x:v>46129</x:v>
      </x:c>
      <x:c r="S291" s="3" t="n">
        <x:v>-6</x:v>
      </x:c>
      <x:c r="T291" s="4" t="n">
        <x:v>0</x:v>
      </x:c>
    </x:row>
    <x:row r="292" ht="15" customHeight="1">
      <x:c r="A292" s="3"/>
      <x:c r="B292" s="3"/>
      <x:c r="C292" s="3"/>
      <x:c r="D292" s="3"/>
      <x:c r="E292" s="3"/>
      <x:c r="F292" s="3"/>
      <x:c r="G292" s="3"/>
      <x:c r="H292" s="3"/>
      <x:c r="I292" s="3"/>
      <x:c r="J292" s="3"/>
      <x:c r="K292" s="3"/>
      <x:c r="L292" s="3"/>
      <x:c r="M292" s="3"/>
      <x:c r="N292" s="3"/>
      <x:c r="O292" s="3"/>
      <x:c r="P292" s="3"/>
      <x:c r="Q292" s="3"/>
      <x:c r="R292" s="7" t="n">
        <x:v>46130</x:v>
      </x:c>
      <x:c r="S292" s="3" t="n">
        <x:v>-4</x:v>
      </x:c>
      <x:c r="T292" s="4" t="n">
        <x:v>0</x:v>
      </x:c>
    </x:row>
    <x:row r="293" ht="15" customHeight="1">
      <x:c r="A293" s="3"/>
      <x:c r="B293" s="3"/>
      <x:c r="C293" s="3"/>
      <x:c r="D293" s="3"/>
      <x:c r="E293" s="3"/>
      <x:c r="F293" s="3"/>
      <x:c r="G293" s="3"/>
      <x:c r="H293" s="3"/>
      <x:c r="I293" s="3"/>
      <x:c r="J293" s="3"/>
      <x:c r="K293" s="3"/>
      <x:c r="L293" s="3"/>
      <x:c r="M293" s="3"/>
      <x:c r="N293" s="3"/>
      <x:c r="O293" s="3"/>
      <x:c r="P293" s="3"/>
      <x:c r="Q293" s="3"/>
      <x:c r="R293" s="7" t="n">
        <x:v>46131</x:v>
      </x:c>
      <x:c r="S293" s="3" t="n">
        <x:v>64</x:v>
      </x:c>
      <x:c r="T293" s="4" t="n">
        <x:v>0</x:v>
      </x:c>
    </x:row>
    <x:row r="294" ht="15" customHeight="1">
      <x:c r="A294" s="3"/>
      <x:c r="B294" s="3"/>
      <x:c r="C294" s="3"/>
      <x:c r="D294" s="3"/>
      <x:c r="E294" s="3"/>
      <x:c r="F294" s="3"/>
      <x:c r="G294" s="3"/>
      <x:c r="H294" s="3"/>
      <x:c r="I294" s="3"/>
      <x:c r="J294" s="3"/>
      <x:c r="K294" s="3"/>
      <x:c r="L294" s="3"/>
      <x:c r="M294" s="3"/>
      <x:c r="N294" s="3"/>
      <x:c r="O294" s="3"/>
      <x:c r="P294" s="3"/>
      <x:c r="Q294" s="3"/>
      <x:c r="R294" s="7" t="n">
        <x:v>46132</x:v>
      </x:c>
      <x:c r="S294" s="3" t="n">
        <x:v>82</x:v>
      </x:c>
      <x:c r="T294" s="4" t="n">
        <x:v>0</x:v>
      </x:c>
    </x:row>
    <x:row r="295" ht="15" customHeight="1">
      <x:c r="A295" s="3"/>
      <x:c r="B295" s="3"/>
      <x:c r="C295" s="3"/>
      <x:c r="D295" s="3"/>
      <x:c r="E295" s="3"/>
      <x:c r="F295" s="3"/>
      <x:c r="G295" s="3"/>
      <x:c r="H295" s="3"/>
      <x:c r="I295" s="3"/>
      <x:c r="J295" s="3"/>
      <x:c r="K295" s="3"/>
      <x:c r="L295" s="3"/>
      <x:c r="M295" s="3"/>
      <x:c r="N295" s="3"/>
      <x:c r="O295" s="3"/>
      <x:c r="P295" s="3"/>
      <x:c r="Q295" s="3"/>
      <x:c r="R295" s="7" t="n">
        <x:v>46133</x:v>
      </x:c>
      <x:c r="S295" s="3" t="n">
        <x:v>64</x:v>
      </x:c>
      <x:c r="T295" s="4" t="n">
        <x:v>0</x:v>
      </x:c>
    </x:row>
    <x:row r="296" ht="15" customHeight="1">
      <x:c r="A296" s="3"/>
      <x:c r="B296" s="3"/>
      <x:c r="C296" s="3"/>
      <x:c r="D296" s="3"/>
      <x:c r="E296" s="3"/>
      <x:c r="F296" s="3"/>
      <x:c r="G296" s="3"/>
      <x:c r="H296" s="3"/>
      <x:c r="I296" s="3"/>
      <x:c r="J296" s="3"/>
      <x:c r="K296" s="3"/>
      <x:c r="L296" s="3"/>
      <x:c r="M296" s="3"/>
      <x:c r="N296" s="3"/>
      <x:c r="O296" s="3"/>
      <x:c r="P296" s="3"/>
      <x:c r="Q296" s="3"/>
      <x:c r="R296" s="7" t="n">
        <x:v>46134</x:v>
      </x:c>
      <x:c r="S296" s="3" t="n">
        <x:v>63</x:v>
      </x:c>
      <x:c r="T296" s="4" t="n">
        <x:v>0</x:v>
      </x:c>
    </x:row>
    <x:row r="297" ht="15" customHeight="1">
      <x:c r="A297" s="3"/>
      <x:c r="B297" s="3"/>
      <x:c r="C297" s="3"/>
      <x:c r="D297" s="3"/>
      <x:c r="E297" s="3"/>
      <x:c r="F297" s="3"/>
      <x:c r="G297" s="3"/>
      <x:c r="H297" s="3"/>
      <x:c r="I297" s="3"/>
      <x:c r="J297" s="3"/>
      <x:c r="K297" s="3"/>
      <x:c r="L297" s="3"/>
      <x:c r="M297" s="3"/>
      <x:c r="N297" s="3"/>
      <x:c r="O297" s="3"/>
      <x:c r="P297" s="3"/>
      <x:c r="Q297" s="3"/>
      <x:c r="R297" s="7" t="n">
        <x:v>46135</x:v>
      </x:c>
      <x:c r="S297" s="3" t="n">
        <x:v>55</x:v>
      </x:c>
      <x:c r="T297" s="4" t="n">
        <x:v>0</x:v>
      </x:c>
    </x:row>
    <x:row r="298" ht="15" customHeight="1">
      <x:c r="A298" s="3"/>
      <x:c r="B298" s="3"/>
      <x:c r="C298" s="3"/>
      <x:c r="D298" s="3"/>
      <x:c r="E298" s="3"/>
      <x:c r="F298" s="3"/>
      <x:c r="G298" s="3"/>
      <x:c r="H298" s="3"/>
      <x:c r="I298" s="3"/>
      <x:c r="J298" s="3"/>
      <x:c r="K298" s="3"/>
      <x:c r="L298" s="3"/>
      <x:c r="M298" s="3"/>
      <x:c r="N298" s="3"/>
      <x:c r="O298" s="3"/>
      <x:c r="P298" s="3"/>
      <x:c r="Q298" s="3"/>
      <x:c r="R298" s="7" t="n">
        <x:v>46136</x:v>
      </x:c>
      <x:c r="S298" s="3" t="n">
        <x:v>53</x:v>
      </x:c>
      <x:c r="T298" s="4" t="n">
        <x:v>0</x:v>
      </x:c>
    </x:row>
    <x:row r="299" ht="15" customHeight="1">
      <x:c r="A299" s="3"/>
      <x:c r="B299" s="3"/>
      <x:c r="C299" s="3"/>
      <x:c r="D299" s="3"/>
      <x:c r="E299" s="3"/>
      <x:c r="F299" s="3"/>
      <x:c r="G299" s="3"/>
      <x:c r="H299" s="3"/>
      <x:c r="I299" s="3"/>
      <x:c r="J299" s="3"/>
      <x:c r="K299" s="3"/>
      <x:c r="L299" s="3"/>
      <x:c r="M299" s="3"/>
      <x:c r="N299" s="3"/>
      <x:c r="O299" s="3"/>
      <x:c r="P299" s="3"/>
      <x:c r="Q299" s="3"/>
      <x:c r="R299" s="7" t="n">
        <x:v>46137</x:v>
      </x:c>
      <x:c r="S299" s="3" t="n">
        <x:v>58</x:v>
      </x:c>
      <x:c r="T299" s="4" t="n">
        <x:v>0</x:v>
      </x:c>
    </x:row>
    <x:row r="300" ht="15" customHeight="1">
      <x:c r="A300" s="3"/>
      <x:c r="B300" s="3"/>
      <x:c r="C300" s="3"/>
      <x:c r="D300" s="3"/>
      <x:c r="E300" s="3"/>
      <x:c r="F300" s="3"/>
      <x:c r="G300" s="3"/>
      <x:c r="H300" s="3"/>
      <x:c r="I300" s="3"/>
      <x:c r="J300" s="3"/>
      <x:c r="K300" s="3"/>
      <x:c r="L300" s="3"/>
      <x:c r="M300" s="3"/>
      <x:c r="N300" s="3"/>
      <x:c r="O300" s="3"/>
      <x:c r="P300" s="3"/>
      <x:c r="Q300" s="3"/>
      <x:c r="R300" s="7" t="n">
        <x:v>46138</x:v>
      </x:c>
      <x:c r="S300" s="3" t="n">
        <x:v>58</x:v>
      </x:c>
      <x:c r="T300" s="4" t="n">
        <x:v>0</x:v>
      </x:c>
    </x:row>
    <x:row r="301" ht="15" customHeight="1">
      <x:c r="A301" s="3"/>
      <x:c r="B301" s="3"/>
      <x:c r="C301" s="3"/>
      <x:c r="D301" s="3"/>
      <x:c r="E301" s="3"/>
      <x:c r="F301" s="3"/>
      <x:c r="G301" s="3"/>
      <x:c r="H301" s="3"/>
      <x:c r="I301" s="3"/>
      <x:c r="J301" s="3"/>
      <x:c r="K301" s="3"/>
      <x:c r="L301" s="3"/>
      <x:c r="M301" s="3"/>
      <x:c r="N301" s="3"/>
      <x:c r="O301" s="3"/>
      <x:c r="P301" s="3"/>
      <x:c r="Q301" s="3"/>
      <x:c r="R301" s="7" t="n">
        <x:v>46139</x:v>
      </x:c>
      <x:c r="S301" s="3" t="n">
        <x:v>61</x:v>
      </x:c>
      <x:c r="T301" s="4" t="n">
        <x:v>0</x:v>
      </x:c>
    </x:row>
    <x:row r="302" ht="15" customHeight="1">
      <x:c r="A302" s="3"/>
      <x:c r="B302" s="3"/>
      <x:c r="C302" s="3"/>
      <x:c r="D302" s="3"/>
      <x:c r="E302" s="3"/>
      <x:c r="F302" s="3"/>
      <x:c r="G302" s="3"/>
      <x:c r="H302" s="3"/>
      <x:c r="I302" s="3"/>
      <x:c r="J302" s="3"/>
      <x:c r="K302" s="3"/>
      <x:c r="L302" s="3"/>
      <x:c r="M302" s="3"/>
      <x:c r="N302" s="3"/>
      <x:c r="O302" s="3"/>
      <x:c r="P302" s="3"/>
      <x:c r="Q302" s="3"/>
      <x:c r="R302" s="7" t="n">
        <x:v>46140</x:v>
      </x:c>
      <x:c r="S302" s="3" t="n">
        <x:v>47</x:v>
      </x:c>
      <x:c r="T302" s="4" t="n">
        <x:v>0</x:v>
      </x:c>
    </x:row>
    <x:row r="303" ht="15" customHeight="1">
      <x:c r="A303" s="3"/>
      <x:c r="B303" s="3"/>
      <x:c r="C303" s="3"/>
      <x:c r="D303" s="3"/>
      <x:c r="E303" s="3"/>
      <x:c r="F303" s="3"/>
      <x:c r="G303" s="3"/>
      <x:c r="H303" s="3"/>
      <x:c r="I303" s="3"/>
      <x:c r="J303" s="3"/>
      <x:c r="K303" s="3"/>
      <x:c r="L303" s="3"/>
      <x:c r="M303" s="3"/>
      <x:c r="N303" s="3"/>
      <x:c r="O303" s="3"/>
      <x:c r="P303" s="3"/>
      <x:c r="Q303" s="3"/>
      <x:c r="R303" s="7" t="n">
        <x:v>46141</x:v>
      </x:c>
      <x:c r="S303" s="3" t="n">
        <x:v>37</x:v>
      </x:c>
      <x:c r="T303" s="4" t="n">
        <x:v>0</x:v>
      </x:c>
    </x:row>
    <x:row r="304" ht="15" customHeight="1">
      <x:c r="A304" s="3"/>
      <x:c r="B304" s="3"/>
      <x:c r="C304" s="3"/>
      <x:c r="D304" s="3"/>
      <x:c r="E304" s="3"/>
      <x:c r="F304" s="3"/>
      <x:c r="G304" s="3"/>
      <x:c r="H304" s="3"/>
      <x:c r="I304" s="3"/>
      <x:c r="J304" s="3"/>
      <x:c r="K304" s="3"/>
      <x:c r="L304" s="3"/>
      <x:c r="M304" s="3"/>
      <x:c r="N304" s="3"/>
      <x:c r="O304" s="3"/>
      <x:c r="P304" s="3"/>
      <x:c r="Q304" s="3"/>
      <x:c r="R304" s="7" t="n">
        <x:v>46142</x:v>
      </x:c>
      <x:c r="S304" s="3" t="n">
        <x:v>33</x:v>
      </x:c>
      <x:c r="T304" s="4" t="n">
        <x:v>0</x:v>
      </x:c>
    </x:row>
    <x:row r="305" ht="15" customHeight="1">
      <x:c r="A305" s="3"/>
      <x:c r="B305" s="3"/>
      <x:c r="C305" s="3"/>
      <x:c r="D305" s="3"/>
      <x:c r="E305" s="3"/>
      <x:c r="F305" s="3"/>
      <x:c r="G305" s="3"/>
      <x:c r="H305" s="3"/>
      <x:c r="I305" s="3"/>
      <x:c r="J305" s="3"/>
      <x:c r="K305" s="3"/>
      <x:c r="L305" s="3"/>
      <x:c r="M305" s="3"/>
      <x:c r="N305" s="3"/>
      <x:c r="O305" s="3"/>
      <x:c r="P305" s="3"/>
      <x:c r="Q305" s="3"/>
      <x:c r="R305" s="7" t="n">
        <x:v>46143</x:v>
      </x:c>
      <x:c r="S305" s="3" t="n">
        <x:v>44</x:v>
      </x:c>
      <x:c r="T305" s="4" t="n">
        <x:v>0</x:v>
      </x:c>
    </x:row>
    <x:row r="306" ht="15" customHeight="1">
      <x:c r="A306" s="3"/>
      <x:c r="B306" s="3"/>
      <x:c r="C306" s="3"/>
      <x:c r="D306" s="3"/>
      <x:c r="E306" s="3"/>
      <x:c r="F306" s="3"/>
      <x:c r="G306" s="3"/>
      <x:c r="H306" s="3"/>
      <x:c r="I306" s="3"/>
      <x:c r="J306" s="3"/>
      <x:c r="K306" s="3"/>
      <x:c r="L306" s="3"/>
      <x:c r="M306" s="3"/>
      <x:c r="N306" s="3"/>
      <x:c r="O306" s="3"/>
      <x:c r="P306" s="3"/>
      <x:c r="Q306" s="3"/>
      <x:c r="R306" s="7" t="n">
        <x:v>46144</x:v>
      </x:c>
      <x:c r="S306" s="3" t="n">
        <x:v>61</x:v>
      </x:c>
      <x:c r="T306" s="4" t="n">
        <x:v>0</x:v>
      </x:c>
    </x:row>
    <x:row r="307" ht="15" customHeight="1">
      <x:c r="A307" s="3"/>
      <x:c r="B307" s="3"/>
      <x:c r="C307" s="3"/>
      <x:c r="D307" s="3"/>
      <x:c r="E307" s="3"/>
      <x:c r="F307" s="3"/>
      <x:c r="G307" s="3"/>
      <x:c r="H307" s="3"/>
      <x:c r="I307" s="3"/>
      <x:c r="J307" s="3"/>
      <x:c r="K307" s="3"/>
      <x:c r="L307" s="3"/>
      <x:c r="M307" s="3"/>
      <x:c r="N307" s="3"/>
      <x:c r="O307" s="3"/>
      <x:c r="P307" s="3"/>
      <x:c r="Q307" s="3"/>
      <x:c r="R307" s="7" t="n">
        <x:v>46145</x:v>
      </x:c>
      <x:c r="S307" s="3" t="n">
        <x:v>76</x:v>
      </x:c>
      <x:c r="T307" s="4" t="n">
        <x:v>0</x:v>
      </x:c>
    </x:row>
    <x:row r="308" ht="15" customHeight="1">
      <x:c r="A308" s="3"/>
      <x:c r="B308" s="3"/>
      <x:c r="C308" s="3"/>
      <x:c r="D308" s="3"/>
      <x:c r="E308" s="3"/>
      <x:c r="F308" s="3"/>
      <x:c r="G308" s="3"/>
      <x:c r="H308" s="3"/>
      <x:c r="I308" s="3"/>
      <x:c r="J308" s="3"/>
      <x:c r="K308" s="3"/>
      <x:c r="L308" s="3"/>
      <x:c r="M308" s="3"/>
      <x:c r="N308" s="3"/>
      <x:c r="O308" s="3"/>
      <x:c r="P308" s="3"/>
      <x:c r="Q308" s="3"/>
      <x:c r="R308" s="7" t="n">
        <x:v>46146</x:v>
      </x:c>
      <x:c r="S308" s="3" t="n">
        <x:v>83</x:v>
      </x:c>
      <x:c r="T308" s="4" t="n">
        <x:v>0</x:v>
      </x:c>
    </x:row>
    <x:row r="309" ht="15" customHeight="1">
      <x:c r="A309" s="3"/>
      <x:c r="B309" s="3"/>
      <x:c r="C309" s="3"/>
      <x:c r="D309" s="3"/>
      <x:c r="E309" s="3"/>
      <x:c r="F309" s="3"/>
      <x:c r="G309" s="3"/>
      <x:c r="H309" s="3"/>
      <x:c r="I309" s="3"/>
      <x:c r="J309" s="3"/>
      <x:c r="K309" s="3"/>
      <x:c r="L309" s="3"/>
      <x:c r="M309" s="3"/>
      <x:c r="N309" s="3"/>
      <x:c r="O309" s="3"/>
      <x:c r="P309" s="3"/>
      <x:c r="Q309" s="3"/>
      <x:c r="R309" s="7" t="n">
        <x:v>46147</x:v>
      </x:c>
      <x:c r="S309" s="3" t="n">
        <x:v>87</x:v>
      </x:c>
      <x:c r="T309" s="4" t="n">
        <x:v>0</x:v>
      </x:c>
    </x:row>
    <x:row r="310" ht="15" customHeight="1">
      <x:c r="A310" s="3"/>
      <x:c r="B310" s="3"/>
      <x:c r="C310" s="3"/>
      <x:c r="D310" s="3"/>
      <x:c r="E310" s="3"/>
      <x:c r="F310" s="3"/>
      <x:c r="G310" s="3"/>
      <x:c r="H310" s="3"/>
      <x:c r="I310" s="3"/>
      <x:c r="J310" s="3"/>
      <x:c r="K310" s="3"/>
      <x:c r="L310" s="3"/>
      <x:c r="M310" s="3"/>
      <x:c r="N310" s="3"/>
      <x:c r="O310" s="3"/>
      <x:c r="P310" s="3"/>
      <x:c r="Q310" s="3"/>
      <x:c r="R310" s="7" t="n">
        <x:v>46148</x:v>
      </x:c>
      <x:c r="S310" s="3" t="n">
        <x:v>92</x:v>
      </x:c>
      <x:c r="T310" s="4" t="n">
        <x:v>0</x:v>
      </x:c>
    </x:row>
    <x:row r="311" ht="15" customHeight="1">
      <x:c r="A311" s="3"/>
      <x:c r="B311" s="3"/>
      <x:c r="C311" s="3"/>
      <x:c r="D311" s="3"/>
      <x:c r="E311" s="3"/>
      <x:c r="F311" s="3"/>
      <x:c r="G311" s="3"/>
      <x:c r="H311" s="3"/>
      <x:c r="I311" s="3"/>
      <x:c r="J311" s="3"/>
      <x:c r="K311" s="3"/>
      <x:c r="L311" s="3"/>
      <x:c r="M311" s="3"/>
      <x:c r="N311" s="3"/>
      <x:c r="O311" s="3"/>
      <x:c r="P311" s="3"/>
      <x:c r="Q311" s="3"/>
      <x:c r="R311" s="7" t="n">
        <x:v>46149</x:v>
      </x:c>
      <x:c r="S311" s="3" t="n">
        <x:v>99</x:v>
      </x:c>
      <x:c r="T311" s="4" t="n">
        <x:v>0</x:v>
      </x:c>
    </x:row>
    <x:row r="312" ht="15" customHeight="1">
      <x:c r="A312" s="3"/>
      <x:c r="B312" s="3"/>
      <x:c r="C312" s="3"/>
      <x:c r="D312" s="3"/>
      <x:c r="E312" s="3"/>
      <x:c r="F312" s="3"/>
      <x:c r="G312" s="3"/>
      <x:c r="H312" s="3"/>
      <x:c r="I312" s="3"/>
      <x:c r="J312" s="3"/>
      <x:c r="K312" s="3"/>
      <x:c r="L312" s="3"/>
      <x:c r="M312" s="3"/>
      <x:c r="N312" s="3"/>
      <x:c r="O312" s="3"/>
      <x:c r="P312" s="3"/>
      <x:c r="Q312" s="3"/>
      <x:c r="R312" s="7" t="n">
        <x:v>46150</x:v>
      </x:c>
      <x:c r="S312" s="3" t="n">
        <x:v>108</x:v>
      </x:c>
      <x:c r="T312" s="4" t="n">
        <x:v>0</x:v>
      </x:c>
    </x:row>
    <x:row r="313" ht="15" customHeight="1">
      <x:c r="A313" s="3"/>
      <x:c r="B313" s="3"/>
      <x:c r="C313" s="3"/>
      <x:c r="D313" s="3"/>
      <x:c r="E313" s="3"/>
      <x:c r="F313" s="3"/>
      <x:c r="G313" s="3"/>
      <x:c r="H313" s="3"/>
      <x:c r="I313" s="3"/>
      <x:c r="J313" s="3"/>
      <x:c r="K313" s="3"/>
      <x:c r="L313" s="3"/>
      <x:c r="M313" s="3"/>
      <x:c r="N313" s="3"/>
      <x:c r="O313" s="3"/>
      <x:c r="P313" s="3"/>
      <x:c r="Q313" s="3"/>
      <x:c r="R313" s="7" t="n">
        <x:v>46151</x:v>
      </x:c>
      <x:c r="S313" s="3" t="n">
        <x:v>120</x:v>
      </x:c>
      <x:c r="T313" s="4" t="n">
        <x:v>0</x:v>
      </x:c>
    </x:row>
    <x:row r="314" ht="15" customHeight="1">
      <x:c r="A314" s="3"/>
      <x:c r="B314" s="3"/>
      <x:c r="C314" s="3"/>
      <x:c r="D314" s="3"/>
      <x:c r="E314" s="3"/>
      <x:c r="F314" s="3"/>
      <x:c r="G314" s="3"/>
      <x:c r="H314" s="3"/>
      <x:c r="I314" s="3"/>
      <x:c r="J314" s="3"/>
      <x:c r="K314" s="3"/>
      <x:c r="L314" s="3"/>
      <x:c r="M314" s="3"/>
      <x:c r="N314" s="3"/>
      <x:c r="O314" s="3"/>
      <x:c r="P314" s="3"/>
      <x:c r="Q314" s="3"/>
      <x:c r="R314" s="7" t="n">
        <x:v>46152</x:v>
      </x:c>
      <x:c r="S314" s="3" t="n">
        <x:v>137</x:v>
      </x:c>
      <x:c r="T314" s="4" t="n">
        <x:v>0</x:v>
      </x:c>
    </x:row>
    <x:row r="315" ht="15" customHeight="1">
      <x:c r="A315" s="3"/>
      <x:c r="B315" s="3"/>
      <x:c r="C315" s="3"/>
      <x:c r="D315" s="3"/>
      <x:c r="E315" s="3"/>
      <x:c r="F315" s="3"/>
      <x:c r="G315" s="3"/>
      <x:c r="H315" s="3"/>
      <x:c r="I315" s="3"/>
      <x:c r="J315" s="3"/>
      <x:c r="K315" s="3"/>
      <x:c r="L315" s="3"/>
      <x:c r="M315" s="3"/>
      <x:c r="N315" s="3"/>
      <x:c r="O315" s="3"/>
      <x:c r="P315" s="3"/>
      <x:c r="Q315" s="3"/>
      <x:c r="R315" s="7" t="n">
        <x:v>46153</x:v>
      </x:c>
      <x:c r="S315" s="3" t="n">
        <x:v>152</x:v>
      </x:c>
      <x:c r="T315" s="4" t="n">
        <x:v>0</x:v>
      </x:c>
    </x:row>
    <x:row r="316" ht="15" customHeight="1">
      <x:c r="A316" s="3"/>
      <x:c r="B316" s="3"/>
      <x:c r="C316" s="3"/>
      <x:c r="D316" s="3"/>
      <x:c r="E316" s="3"/>
      <x:c r="F316" s="3"/>
      <x:c r="G316" s="3"/>
      <x:c r="H316" s="3"/>
      <x:c r="I316" s="3"/>
      <x:c r="J316" s="3"/>
      <x:c r="K316" s="3"/>
      <x:c r="L316" s="3"/>
      <x:c r="M316" s="3"/>
      <x:c r="N316" s="3"/>
      <x:c r="O316" s="3"/>
      <x:c r="P316" s="3"/>
      <x:c r="Q316" s="3"/>
      <x:c r="R316" s="7" t="n">
        <x:v>46154</x:v>
      </x:c>
      <x:c r="S316" s="3" t="n">
        <x:v>160</x:v>
      </x:c>
      <x:c r="T316" s="4" t="n">
        <x:v>0</x:v>
      </x:c>
    </x:row>
    <x:row r="317" ht="15" customHeight="1">
      <x:c r="A317" s="3"/>
      <x:c r="B317" s="3"/>
      <x:c r="C317" s="3"/>
      <x:c r="D317" s="3"/>
      <x:c r="E317" s="3"/>
      <x:c r="F317" s="3"/>
      <x:c r="G317" s="3"/>
      <x:c r="H317" s="3"/>
      <x:c r="I317" s="3"/>
      <x:c r="J317" s="3"/>
      <x:c r="K317" s="3"/>
      <x:c r="L317" s="3"/>
      <x:c r="M317" s="3"/>
      <x:c r="N317" s="3"/>
      <x:c r="O317" s="3"/>
      <x:c r="P317" s="3"/>
      <x:c r="Q317" s="3"/>
      <x:c r="R317" s="7" t="n">
        <x:v>46155</x:v>
      </x:c>
      <x:c r="S317" s="3" t="n">
        <x:v>162</x:v>
      </x:c>
      <x:c r="T317" s="4" t="n">
        <x:v>0</x:v>
      </x:c>
    </x:row>
    <x:row r="318" ht="15" customHeight="1">
      <x:c r="A318" s="3"/>
      <x:c r="B318" s="3"/>
      <x:c r="C318" s="3"/>
      <x:c r="D318" s="3"/>
      <x:c r="E318" s="3"/>
      <x:c r="F318" s="3"/>
      <x:c r="G318" s="3"/>
      <x:c r="H318" s="3"/>
      <x:c r="I318" s="3"/>
      <x:c r="J318" s="3"/>
      <x:c r="K318" s="3"/>
      <x:c r="L318" s="3"/>
      <x:c r="M318" s="3"/>
      <x:c r="N318" s="3"/>
      <x:c r="O318" s="3"/>
      <x:c r="P318" s="3"/>
      <x:c r="Q318" s="3"/>
      <x:c r="R318" s="7" t="n">
        <x:v>46156</x:v>
      </x:c>
      <x:c r="S318" s="3" t="n">
        <x:v>161</x:v>
      </x:c>
      <x:c r="T318" s="4" t="n">
        <x:v>0</x:v>
      </x:c>
    </x:row>
    <x:row r="319" ht="15" customHeight="1">
      <x:c r="A319" s="3"/>
      <x:c r="B319" s="3"/>
      <x:c r="C319" s="3"/>
      <x:c r="D319" s="3"/>
      <x:c r="E319" s="3"/>
      <x:c r="F319" s="3"/>
      <x:c r="G319" s="3"/>
      <x:c r="H319" s="3"/>
      <x:c r="I319" s="3"/>
      <x:c r="J319" s="3"/>
      <x:c r="K319" s="3"/>
      <x:c r="L319" s="3"/>
      <x:c r="M319" s="3"/>
      <x:c r="N319" s="3"/>
      <x:c r="O319" s="3"/>
      <x:c r="P319" s="3"/>
      <x:c r="Q319" s="3"/>
      <x:c r="R319" s="7" t="n">
        <x:v>46157</x:v>
      </x:c>
      <x:c r="S319" s="3" t="n">
        <x:v>154</x:v>
      </x:c>
      <x:c r="T319" s="4" t="n">
        <x:v>0</x:v>
      </x:c>
    </x:row>
    <x:row r="320" ht="15" customHeight="1">
      <x:c r="A320" s="3"/>
      <x:c r="B320" s="3"/>
      <x:c r="C320" s="3"/>
      <x:c r="D320" s="3"/>
      <x:c r="E320" s="3"/>
      <x:c r="F320" s="3"/>
      <x:c r="G320" s="3"/>
      <x:c r="H320" s="3"/>
      <x:c r="I320" s="3"/>
      <x:c r="J320" s="3"/>
      <x:c r="K320" s="3"/>
      <x:c r="L320" s="3"/>
      <x:c r="M320" s="3"/>
      <x:c r="N320" s="3"/>
      <x:c r="O320" s="3"/>
      <x:c r="P320" s="3"/>
      <x:c r="Q320" s="3"/>
      <x:c r="R320" s="7" t="n">
        <x:v>46158</x:v>
      </x:c>
      <x:c r="S320" s="3" t="n">
        <x:v>148</x:v>
      </x:c>
      <x:c r="T320" s="4" t="n">
        <x:v>0</x:v>
      </x:c>
    </x:row>
    <x:row r="321" ht="15" customHeight="1">
      <x:c r="A321" s="3"/>
      <x:c r="B321" s="3"/>
      <x:c r="C321" s="3"/>
      <x:c r="D321" s="3"/>
      <x:c r="E321" s="3"/>
      <x:c r="F321" s="3"/>
      <x:c r="G321" s="3"/>
      <x:c r="H321" s="3"/>
      <x:c r="I321" s="3"/>
      <x:c r="J321" s="3"/>
      <x:c r="K321" s="3"/>
      <x:c r="L321" s="3"/>
      <x:c r="M321" s="3"/>
      <x:c r="N321" s="3"/>
      <x:c r="O321" s="3"/>
      <x:c r="P321" s="3"/>
      <x:c r="Q321" s="3"/>
      <x:c r="R321" s="7" t="n">
        <x:v>46159</x:v>
      </x:c>
      <x:c r="S321" s="3" t="n">
        <x:v>141</x:v>
      </x:c>
      <x:c r="T321" s="4" t="n">
        <x:v>0</x:v>
      </x:c>
    </x:row>
    <x:row r="322" ht="15" customHeight="1">
      <x:c r="A322" s="3"/>
      <x:c r="B322" s="3"/>
      <x:c r="C322" s="3"/>
      <x:c r="D322" s="3"/>
      <x:c r="E322" s="3"/>
      <x:c r="F322" s="3"/>
      <x:c r="G322" s="3"/>
      <x:c r="H322" s="3"/>
      <x:c r="I322" s="3"/>
      <x:c r="J322" s="3"/>
      <x:c r="K322" s="3"/>
      <x:c r="L322" s="3"/>
      <x:c r="M322" s="3"/>
      <x:c r="N322" s="3"/>
      <x:c r="O322" s="3"/>
      <x:c r="P322" s="3"/>
      <x:c r="Q322" s="3"/>
      <x:c r="R322" s="7" t="n">
        <x:v>46160</x:v>
      </x:c>
      <x:c r="S322" s="3" t="n">
        <x:v>139</x:v>
      </x:c>
      <x:c r="T322" s="4" t="n">
        <x:v>0</x:v>
      </x:c>
    </x:row>
    <x:row r="323" ht="15" customHeight="1">
      <x:c r="A323" s="3"/>
      <x:c r="B323" s="3"/>
      <x:c r="C323" s="3"/>
      <x:c r="D323" s="3"/>
      <x:c r="E323" s="3"/>
      <x:c r="F323" s="3"/>
      <x:c r="G323" s="3"/>
      <x:c r="H323" s="3"/>
      <x:c r="I323" s="3"/>
      <x:c r="J323" s="3"/>
      <x:c r="K323" s="3"/>
      <x:c r="L323" s="3"/>
      <x:c r="M323" s="3"/>
      <x:c r="N323" s="3"/>
      <x:c r="O323" s="3"/>
      <x:c r="P323" s="3"/>
      <x:c r="Q323" s="3"/>
      <x:c r="R323" s="7" t="n">
        <x:v>46161</x:v>
      </x:c>
      <x:c r="S323" s="3" t="n">
        <x:v>135</x:v>
      </x:c>
      <x:c r="T323" s="4" t="n">
        <x:v>0</x:v>
      </x:c>
    </x:row>
    <x:row r="324" ht="15" customHeight="1">
      <x:c r="A324" s="3"/>
      <x:c r="B324" s="3"/>
      <x:c r="C324" s="3"/>
      <x:c r="D324" s="3"/>
      <x:c r="E324" s="3"/>
      <x:c r="F324" s="3"/>
      <x:c r="G324" s="3"/>
      <x:c r="H324" s="3"/>
      <x:c r="I324" s="3"/>
      <x:c r="J324" s="3"/>
      <x:c r="K324" s="3"/>
      <x:c r="L324" s="3"/>
      <x:c r="M324" s="3"/>
      <x:c r="N324" s="3"/>
      <x:c r="O324" s="3"/>
      <x:c r="P324" s="3"/>
      <x:c r="Q324" s="3"/>
      <x:c r="R324" s="7" t="n">
        <x:v>46162</x:v>
      </x:c>
      <x:c r="S324" s="3" t="n">
        <x:v>135</x:v>
      </x:c>
      <x:c r="T324" s="4" t="n">
        <x:v>0</x:v>
      </x:c>
    </x:row>
    <x:row r="325" ht="15" customHeight="1">
      <x:c r="A325" s="3"/>
      <x:c r="B325" s="3"/>
      <x:c r="C325" s="3"/>
      <x:c r="D325" s="3"/>
      <x:c r="E325" s="3"/>
      <x:c r="F325" s="3"/>
      <x:c r="G325" s="3"/>
      <x:c r="H325" s="3"/>
      <x:c r="I325" s="3"/>
      <x:c r="J325" s="3"/>
      <x:c r="K325" s="3"/>
      <x:c r="L325" s="3"/>
      <x:c r="M325" s="3"/>
      <x:c r="N325" s="3"/>
      <x:c r="O325" s="3"/>
      <x:c r="P325" s="3"/>
      <x:c r="Q325" s="3"/>
      <x:c r="R325" s="7" t="n">
        <x:v>46163</x:v>
      </x:c>
      <x:c r="S325" s="3" t="n">
        <x:v>134</x:v>
      </x:c>
      <x:c r="T325" s="4" t="n">
        <x:v>0</x:v>
      </x:c>
    </x:row>
    <x:row r="326" ht="15" customHeight="1">
      <x:c r="A326" s="3"/>
      <x:c r="B326" s="3"/>
      <x:c r="C326" s="3"/>
      <x:c r="D326" s="3"/>
      <x:c r="E326" s="3"/>
      <x:c r="F326" s="3"/>
      <x:c r="G326" s="3"/>
      <x:c r="H326" s="3"/>
      <x:c r="I326" s="3"/>
      <x:c r="J326" s="3"/>
      <x:c r="K326" s="3"/>
      <x:c r="L326" s="3"/>
      <x:c r="M326" s="3"/>
      <x:c r="N326" s="3"/>
      <x:c r="O326" s="3"/>
      <x:c r="P326" s="3"/>
      <x:c r="Q326" s="3"/>
      <x:c r="R326" s="7" t="n">
        <x:v>46164</x:v>
      </x:c>
      <x:c r="S326" s="3" t="n">
        <x:v>131</x:v>
      </x:c>
      <x:c r="T326" s="4" t="n">
        <x:v>0</x:v>
      </x:c>
    </x:row>
    <x:row r="327" ht="15" customHeight="1">
      <x:c r="A327" s="3"/>
      <x:c r="B327" s="3"/>
      <x:c r="C327" s="3"/>
      <x:c r="D327" s="3"/>
      <x:c r="E327" s="3"/>
      <x:c r="F327" s="3"/>
      <x:c r="G327" s="3"/>
      <x:c r="H327" s="3"/>
      <x:c r="I327" s="3"/>
      <x:c r="J327" s="3"/>
      <x:c r="K327" s="3"/>
      <x:c r="L327" s="3"/>
      <x:c r="M327" s="3"/>
      <x:c r="N327" s="3"/>
      <x:c r="O327" s="3"/>
      <x:c r="P327" s="3"/>
      <x:c r="Q327" s="3"/>
      <x:c r="R327" s="7" t="n">
        <x:v>46165</x:v>
      </x:c>
      <x:c r="S327" s="3" t="n">
        <x:v>126</x:v>
      </x:c>
      <x:c r="T327" s="4" t="n">
        <x:v>0</x:v>
      </x:c>
    </x:row>
    <x:row r="328" ht="15" customHeight="1">
      <x:c r="A328" s="3"/>
      <x:c r="B328" s="3"/>
      <x:c r="C328" s="3"/>
      <x:c r="D328" s="3"/>
      <x:c r="E328" s="3"/>
      <x:c r="F328" s="3"/>
      <x:c r="G328" s="3"/>
      <x:c r="H328" s="3"/>
      <x:c r="I328" s="3"/>
      <x:c r="J328" s="3"/>
      <x:c r="K328" s="3"/>
      <x:c r="L328" s="3"/>
      <x:c r="M328" s="3"/>
      <x:c r="N328" s="3"/>
      <x:c r="O328" s="3"/>
      <x:c r="P328" s="3"/>
      <x:c r="Q328" s="3"/>
      <x:c r="R328" s="7" t="n">
        <x:v>46166</x:v>
      </x:c>
      <x:c r="S328" s="3" t="n">
        <x:v>119</x:v>
      </x:c>
      <x:c r="T328" s="4" t="n">
        <x:v>0</x:v>
      </x:c>
    </x:row>
    <x:row r="329" ht="15" customHeight="1">
      <x:c r="A329" s="3"/>
      <x:c r="B329" s="3"/>
      <x:c r="C329" s="3"/>
      <x:c r="D329" s="3"/>
      <x:c r="E329" s="3"/>
      <x:c r="F329" s="3"/>
      <x:c r="G329" s="3"/>
      <x:c r="H329" s="3"/>
      <x:c r="I329" s="3"/>
      <x:c r="J329" s="3"/>
      <x:c r="K329" s="3"/>
      <x:c r="L329" s="3"/>
      <x:c r="M329" s="3"/>
      <x:c r="N329" s="3"/>
      <x:c r="O329" s="3"/>
      <x:c r="P329" s="3"/>
      <x:c r="Q329" s="3"/>
      <x:c r="R329" s="7" t="n">
        <x:v>46167</x:v>
      </x:c>
      <x:c r="S329" s="3" t="n">
        <x:v>114</x:v>
      </x:c>
      <x:c r="T329" s="4" t="n">
        <x:v>0</x:v>
      </x:c>
    </x:row>
    <x:row r="330" ht="15" customHeight="1">
      <x:c r="A330" s="3"/>
      <x:c r="B330" s="3"/>
      <x:c r="C330" s="3"/>
      <x:c r="D330" s="3"/>
      <x:c r="E330" s="3"/>
      <x:c r="F330" s="3"/>
      <x:c r="G330" s="3"/>
      <x:c r="H330" s="3"/>
      <x:c r="I330" s="3"/>
      <x:c r="J330" s="3"/>
      <x:c r="K330" s="3"/>
      <x:c r="L330" s="3"/>
      <x:c r="M330" s="3"/>
      <x:c r="N330" s="3"/>
      <x:c r="O330" s="3"/>
      <x:c r="P330" s="3"/>
      <x:c r="Q330" s="3"/>
      <x:c r="R330" s="7" t="n">
        <x:v>46168</x:v>
      </x:c>
      <x:c r="S330" s="3" t="n">
        <x:v>106</x:v>
      </x:c>
      <x:c r="T330" s="4" t="n">
        <x:v>0</x:v>
      </x:c>
    </x:row>
    <x:row r="331" ht="15" customHeight="1">
      <x:c r="A331" s="3"/>
      <x:c r="B331" s="3"/>
      <x:c r="C331" s="3"/>
      <x:c r="D331" s="3"/>
      <x:c r="E331" s="3"/>
      <x:c r="F331" s="3"/>
      <x:c r="G331" s="3"/>
      <x:c r="H331" s="3"/>
      <x:c r="I331" s="3"/>
      <x:c r="J331" s="3"/>
      <x:c r="K331" s="3"/>
      <x:c r="L331" s="3"/>
      <x:c r="M331" s="3"/>
      <x:c r="N331" s="3"/>
      <x:c r="O331" s="3"/>
      <x:c r="P331" s="3"/>
      <x:c r="Q331" s="3"/>
      <x:c r="R331" s="7" t="n">
        <x:v>46169</x:v>
      </x:c>
      <x:c r="S331" s="3" t="n">
        <x:v>101</x:v>
      </x:c>
      <x:c r="T331" s="4" t="n">
        <x:v>0</x:v>
      </x:c>
    </x:row>
    <x:row r="332" ht="15" customHeight="1">
      <x:c r="A332" s="3"/>
      <x:c r="B332" s="3"/>
      <x:c r="C332" s="3"/>
      <x:c r="D332" s="3"/>
      <x:c r="E332" s="3"/>
      <x:c r="F332" s="3"/>
      <x:c r="G332" s="3"/>
      <x:c r="H332" s="3"/>
      <x:c r="I332" s="3"/>
      <x:c r="J332" s="3"/>
      <x:c r="K332" s="3"/>
      <x:c r="L332" s="3"/>
      <x:c r="M332" s="3"/>
      <x:c r="N332" s="3"/>
      <x:c r="O332" s="3"/>
      <x:c r="P332" s="3"/>
      <x:c r="Q332" s="3"/>
      <x:c r="R332" s="7" t="n">
        <x:v>46170</x:v>
      </x:c>
      <x:c r="S332" s="3" t="n">
        <x:v>95</x:v>
      </x:c>
      <x:c r="T332" s="4" t="n">
        <x:v>0</x:v>
      </x:c>
    </x:row>
    <x:row r="333" ht="15" customHeight="1">
      <x:c r="A333" s="3"/>
      <x:c r="B333" s="3"/>
      <x:c r="C333" s="3"/>
      <x:c r="D333" s="3"/>
      <x:c r="E333" s="3"/>
      <x:c r="F333" s="3"/>
      <x:c r="G333" s="3"/>
      <x:c r="H333" s="3"/>
      <x:c r="I333" s="3"/>
      <x:c r="J333" s="3"/>
      <x:c r="K333" s="3"/>
      <x:c r="L333" s="3"/>
      <x:c r="M333" s="3"/>
      <x:c r="N333" s="3"/>
      <x:c r="O333" s="3"/>
      <x:c r="P333" s="3"/>
      <x:c r="Q333" s="3"/>
      <x:c r="R333" s="7" t="n">
        <x:v>46171</x:v>
      </x:c>
      <x:c r="S333" s="3" t="n">
        <x:v>85</x:v>
      </x:c>
      <x:c r="T333" s="4" t="n">
        <x:v>0</x:v>
      </x:c>
    </x:row>
    <x:row r="334" ht="15" customHeight="1">
      <x:c r="A334" s="3"/>
      <x:c r="B334" s="3"/>
      <x:c r="C334" s="3"/>
      <x:c r="D334" s="3"/>
      <x:c r="E334" s="3"/>
      <x:c r="F334" s="3"/>
      <x:c r="G334" s="3"/>
      <x:c r="H334" s="3"/>
      <x:c r="I334" s="3"/>
      <x:c r="J334" s="3"/>
      <x:c r="K334" s="3"/>
      <x:c r="L334" s="3"/>
      <x:c r="M334" s="3"/>
      <x:c r="N334" s="3"/>
      <x:c r="O334" s="3"/>
      <x:c r="P334" s="3"/>
      <x:c r="Q334" s="3"/>
      <x:c r="R334" s="7" t="n">
        <x:v>46172</x:v>
      </x:c>
      <x:c r="S334" s="3" t="n">
        <x:v>77</x:v>
      </x:c>
      <x:c r="T334" s="4" t="n">
        <x:v>0</x:v>
      </x:c>
    </x:row>
    <x:row r="335" ht="15" customHeight="1">
      <x:c r="A335" s="3"/>
      <x:c r="B335" s="3"/>
      <x:c r="C335" s="3"/>
      <x:c r="D335" s="3"/>
      <x:c r="E335" s="3"/>
      <x:c r="F335" s="3"/>
      <x:c r="G335" s="3"/>
      <x:c r="H335" s="3"/>
      <x:c r="I335" s="3"/>
      <x:c r="J335" s="3"/>
      <x:c r="K335" s="3"/>
      <x:c r="L335" s="3"/>
      <x:c r="M335" s="3"/>
      <x:c r="N335" s="3"/>
      <x:c r="O335" s="3"/>
      <x:c r="P335" s="3"/>
      <x:c r="Q335" s="3"/>
      <x:c r="R335" s="7" t="n">
        <x:v>46173</x:v>
      </x:c>
      <x:c r="S335" s="3" t="n">
        <x:v>70</x:v>
      </x:c>
      <x:c r="T335" s="4" t="n">
        <x:v>0</x:v>
      </x:c>
    </x:row>
    <x:row r="336" ht="15" customHeight="1">
      <x:c r="A336" s="3"/>
      <x:c r="B336" s="3"/>
      <x:c r="C336" s="3"/>
      <x:c r="D336" s="3"/>
      <x:c r="E336" s="3"/>
      <x:c r="F336" s="3"/>
      <x:c r="G336" s="3"/>
      <x:c r="H336" s="3"/>
      <x:c r="I336" s="3"/>
      <x:c r="J336" s="3"/>
      <x:c r="K336" s="3"/>
      <x:c r="L336" s="3"/>
      <x:c r="M336" s="3"/>
      <x:c r="N336" s="3"/>
      <x:c r="O336" s="3"/>
      <x:c r="P336" s="3"/>
      <x:c r="Q336" s="3"/>
      <x:c r="R336" s="7" t="n">
        <x:v>46174</x:v>
      </x:c>
      <x:c r="S336" s="3" t="n">
        <x:v>64</x:v>
      </x:c>
      <x:c r="T336" s="4" t="n">
        <x:v>0</x:v>
      </x:c>
    </x:row>
    <x:row r="337" ht="15" customHeight="1">
      <x:c r="A337" s="3"/>
      <x:c r="B337" s="3"/>
      <x:c r="C337" s="3"/>
      <x:c r="D337" s="3"/>
      <x:c r="E337" s="3"/>
      <x:c r="F337" s="3"/>
      <x:c r="G337" s="3"/>
      <x:c r="H337" s="3"/>
      <x:c r="I337" s="3"/>
      <x:c r="J337" s="3"/>
      <x:c r="K337" s="3"/>
      <x:c r="L337" s="3"/>
      <x:c r="M337" s="3"/>
      <x:c r="N337" s="3"/>
      <x:c r="O337" s="3"/>
      <x:c r="P337" s="3"/>
      <x:c r="Q337" s="3"/>
      <x:c r="R337" s="7" t="n">
        <x:v>46175</x:v>
      </x:c>
      <x:c r="S337" s="3" t="n">
        <x:v>62</x:v>
      </x:c>
      <x:c r="T337" s="4" t="n">
        <x:v>0</x:v>
      </x:c>
    </x:row>
    <x:row r="338" ht="15" customHeight="1">
      <x:c r="A338" s="3"/>
      <x:c r="B338" s="3"/>
      <x:c r="C338" s="3"/>
      <x:c r="D338" s="3"/>
      <x:c r="E338" s="3"/>
      <x:c r="F338" s="3"/>
      <x:c r="G338" s="3"/>
      <x:c r="H338" s="3"/>
      <x:c r="I338" s="3"/>
      <x:c r="J338" s="3"/>
      <x:c r="K338" s="3"/>
      <x:c r="L338" s="3"/>
      <x:c r="M338" s="3"/>
      <x:c r="N338" s="3"/>
      <x:c r="O338" s="3"/>
      <x:c r="P338" s="3"/>
      <x:c r="Q338" s="3"/>
      <x:c r="R338" s="7" t="n">
        <x:v>46176</x:v>
      </x:c>
      <x:c r="S338" s="3" t="n">
        <x:v>61</x:v>
      </x:c>
      <x:c r="T338" s="4" t="n">
        <x:v>0</x:v>
      </x:c>
    </x:row>
    <x:row r="339" ht="15" customHeight="1">
      <x:c r="A339" s="3"/>
      <x:c r="B339" s="3"/>
      <x:c r="C339" s="3"/>
      <x:c r="D339" s="3"/>
      <x:c r="E339" s="3"/>
      <x:c r="F339" s="3"/>
      <x:c r="G339" s="3"/>
      <x:c r="H339" s="3"/>
      <x:c r="I339" s="3"/>
      <x:c r="J339" s="3"/>
      <x:c r="K339" s="3"/>
      <x:c r="L339" s="3"/>
      <x:c r="M339" s="3"/>
      <x:c r="N339" s="3"/>
      <x:c r="O339" s="3"/>
      <x:c r="P339" s="3"/>
      <x:c r="Q339" s="3"/>
      <x:c r="R339" s="7" t="n">
        <x:v>46177</x:v>
      </x:c>
      <x:c r="S339" s="3" t="n">
        <x:v>75</x:v>
      </x:c>
      <x:c r="T339" s="4" t="n">
        <x:v>0</x:v>
      </x:c>
    </x:row>
    <x:row r="340" ht="15" customHeight="1">
      <x:c r="A340" s="3"/>
      <x:c r="B340" s="3"/>
      <x:c r="C340" s="3"/>
      <x:c r="D340" s="3"/>
      <x:c r="E340" s="3"/>
      <x:c r="F340" s="3"/>
      <x:c r="G340" s="3"/>
      <x:c r="H340" s="3"/>
      <x:c r="I340" s="3"/>
      <x:c r="J340" s="3"/>
      <x:c r="K340" s="3"/>
      <x:c r="L340" s="3"/>
      <x:c r="M340" s="3"/>
      <x:c r="N340" s="3"/>
      <x:c r="O340" s="3"/>
      <x:c r="P340" s="3"/>
      <x:c r="Q340" s="3"/>
      <x:c r="R340" s="7" t="n">
        <x:v>46178</x:v>
      </x:c>
      <x:c r="S340" s="3" t="n">
        <x:v>94</x:v>
      </x:c>
      <x:c r="T340" s="4" t="n">
        <x:v>0</x:v>
      </x:c>
    </x:row>
    <x:row r="341" ht="15" customHeight="1">
      <x:c r="A341" s="3"/>
      <x:c r="B341" s="3"/>
      <x:c r="C341" s="3"/>
      <x:c r="D341" s="3"/>
      <x:c r="E341" s="3"/>
      <x:c r="F341" s="3"/>
      <x:c r="G341" s="3"/>
      <x:c r="H341" s="3"/>
      <x:c r="I341" s="3"/>
      <x:c r="J341" s="3"/>
      <x:c r="K341" s="3"/>
      <x:c r="L341" s="3"/>
      <x:c r="M341" s="3"/>
      <x:c r="N341" s="3"/>
      <x:c r="O341" s="3"/>
      <x:c r="P341" s="3"/>
      <x:c r="Q341" s="3"/>
      <x:c r="R341" s="7" t="n">
        <x:v>46179</x:v>
      </x:c>
      <x:c r="S341" s="3" t="n">
        <x:v>116</x:v>
      </x:c>
      <x:c r="T341" s="4" t="n">
        <x:v>0</x:v>
      </x:c>
    </x:row>
    <x:row r="342" ht="15" customHeight="1">
      <x:c r="A342" s="3"/>
      <x:c r="B342" s="3"/>
      <x:c r="C342" s="3"/>
      <x:c r="D342" s="3"/>
      <x:c r="E342" s="3"/>
      <x:c r="F342" s="3"/>
      <x:c r="G342" s="3"/>
      <x:c r="H342" s="3"/>
      <x:c r="I342" s="3"/>
      <x:c r="J342" s="3"/>
      <x:c r="K342" s="3"/>
      <x:c r="L342" s="3"/>
      <x:c r="M342" s="3"/>
      <x:c r="N342" s="3"/>
      <x:c r="O342" s="3"/>
      <x:c r="P342" s="3"/>
      <x:c r="Q342" s="3"/>
      <x:c r="R342" s="7" t="n">
        <x:v>46180</x:v>
      </x:c>
      <x:c r="S342" s="3" t="n">
        <x:v>128</x:v>
      </x:c>
      <x:c r="T342" s="4" t="n">
        <x:v>0</x:v>
      </x:c>
    </x:row>
    <x:row r="343" ht="15" customHeight="1">
      <x:c r="A343" s="3"/>
      <x:c r="B343" s="3"/>
      <x:c r="C343" s="3"/>
      <x:c r="D343" s="3"/>
      <x:c r="E343" s="3"/>
      <x:c r="F343" s="3"/>
      <x:c r="G343" s="3"/>
      <x:c r="H343" s="3"/>
      <x:c r="I343" s="3"/>
      <x:c r="J343" s="3"/>
      <x:c r="K343" s="3"/>
      <x:c r="L343" s="3"/>
      <x:c r="M343" s="3"/>
      <x:c r="N343" s="3"/>
      <x:c r="O343" s="3"/>
      <x:c r="P343" s="3"/>
      <x:c r="Q343" s="3"/>
      <x:c r="R343" s="7" t="n">
        <x:v>46181</x:v>
      </x:c>
      <x:c r="S343" s="3" t="n">
        <x:v>132</x:v>
      </x:c>
      <x:c r="T343" s="4" t="n">
        <x:v>0</x:v>
      </x:c>
    </x:row>
    <x:row r="344" ht="15" customHeight="1">
      <x:c r="A344" s="3"/>
      <x:c r="B344" s="3"/>
      <x:c r="C344" s="3"/>
      <x:c r="D344" s="3"/>
      <x:c r="E344" s="3"/>
      <x:c r="F344" s="3"/>
      <x:c r="G344" s="3"/>
      <x:c r="H344" s="3"/>
      <x:c r="I344" s="3"/>
      <x:c r="J344" s="3"/>
      <x:c r="K344" s="3"/>
      <x:c r="L344" s="3"/>
      <x:c r="M344" s="3"/>
      <x:c r="N344" s="3"/>
      <x:c r="O344" s="3"/>
      <x:c r="P344" s="3"/>
      <x:c r="Q344" s="3"/>
      <x:c r="R344" s="7" t="n">
        <x:v>46182</x:v>
      </x:c>
      <x:c r="S344" s="3" t="n">
        <x:v>131</x:v>
      </x:c>
      <x:c r="T344" s="4" t="n">
        <x:v>0</x:v>
      </x:c>
    </x:row>
    <x:row r="345" ht="15" customHeight="1">
      <x:c r="A345" s="3"/>
      <x:c r="B345" s="3"/>
      <x:c r="C345" s="3"/>
      <x:c r="D345" s="3"/>
      <x:c r="E345" s="3"/>
      <x:c r="F345" s="3"/>
      <x:c r="G345" s="3"/>
      <x:c r="H345" s="3"/>
      <x:c r="I345" s="3"/>
      <x:c r="J345" s="3"/>
      <x:c r="K345" s="3"/>
      <x:c r="L345" s="3"/>
      <x:c r="M345" s="3"/>
      <x:c r="N345" s="3"/>
      <x:c r="O345" s="3"/>
      <x:c r="P345" s="3"/>
      <x:c r="Q345" s="3"/>
      <x:c r="R345" s="7" t="n">
        <x:v>46183</x:v>
      </x:c>
      <x:c r="S345" s="3" t="n">
        <x:v>128</x:v>
      </x:c>
      <x:c r="T345" s="4" t="n">
        <x:v>0</x:v>
      </x:c>
    </x:row>
    <x:row r="346" ht="15" customHeight="1">
      <x:c r="A346" s="3"/>
      <x:c r="B346" s="3"/>
      <x:c r="C346" s="3"/>
      <x:c r="D346" s="3"/>
      <x:c r="E346" s="3"/>
      <x:c r="F346" s="3"/>
      <x:c r="G346" s="3"/>
      <x:c r="H346" s="3"/>
      <x:c r="I346" s="3"/>
      <x:c r="J346" s="3"/>
      <x:c r="K346" s="3"/>
      <x:c r="L346" s="3"/>
      <x:c r="M346" s="3"/>
      <x:c r="N346" s="3"/>
      <x:c r="O346" s="3"/>
      <x:c r="P346" s="3"/>
      <x:c r="Q346" s="3"/>
      <x:c r="R346" s="7" t="n">
        <x:v>46184</x:v>
      </x:c>
      <x:c r="S346" s="3" t="n">
        <x:v>128</x:v>
      </x:c>
      <x:c r="T346" s="4" t="n">
        <x:v>0</x:v>
      </x:c>
    </x:row>
    <x:row r="347" ht="15" customHeight="1">
      <x:c r="A347" s="3"/>
      <x:c r="B347" s="3"/>
      <x:c r="C347" s="3"/>
      <x:c r="D347" s="3"/>
      <x:c r="E347" s="3"/>
      <x:c r="F347" s="3"/>
      <x:c r="G347" s="3"/>
      <x:c r="H347" s="3"/>
      <x:c r="I347" s="3"/>
      <x:c r="J347" s="3"/>
      <x:c r="K347" s="3"/>
      <x:c r="L347" s="3"/>
      <x:c r="M347" s="3"/>
      <x:c r="N347" s="3"/>
      <x:c r="O347" s="3"/>
      <x:c r="P347" s="3"/>
      <x:c r="Q347" s="3"/>
      <x:c r="R347" s="7" t="n">
        <x:v>46185</x:v>
      </x:c>
      <x:c r="S347" s="3" t="n">
        <x:v>123</x:v>
      </x:c>
      <x:c r="T347" s="4" t="n">
        <x:v>0</x:v>
      </x:c>
    </x:row>
    <x:row r="348" ht="15" customHeight="1">
      <x:c r="A348" s="3"/>
      <x:c r="B348" s="3"/>
      <x:c r="C348" s="3"/>
      <x:c r="D348" s="3"/>
      <x:c r="E348" s="3"/>
      <x:c r="F348" s="3"/>
      <x:c r="G348" s="3"/>
      <x:c r="H348" s="3"/>
      <x:c r="I348" s="3"/>
      <x:c r="J348" s="3"/>
      <x:c r="K348" s="3"/>
      <x:c r="L348" s="3"/>
      <x:c r="M348" s="3"/>
      <x:c r="N348" s="3"/>
      <x:c r="O348" s="3"/>
      <x:c r="P348" s="3"/>
      <x:c r="Q348" s="3"/>
      <x:c r="R348" s="7" t="n">
        <x:v>46186</x:v>
      </x:c>
      <x:c r="S348" s="3" t="n">
        <x:v>128</x:v>
      </x:c>
      <x:c r="T348" s="4" t="n">
        <x:v>0</x:v>
      </x:c>
    </x:row>
    <x:row r="349" ht="15" customHeight="1">
      <x:c r="A349" s="3"/>
      <x:c r="B349" s="3"/>
      <x:c r="C349" s="3"/>
      <x:c r="D349" s="3"/>
      <x:c r="E349" s="3"/>
      <x:c r="F349" s="3"/>
      <x:c r="G349" s="3"/>
      <x:c r="H349" s="3"/>
      <x:c r="I349" s="3"/>
      <x:c r="J349" s="3"/>
      <x:c r="K349" s="3"/>
      <x:c r="L349" s="3"/>
      <x:c r="M349" s="3"/>
      <x:c r="N349" s="3"/>
      <x:c r="O349" s="3"/>
      <x:c r="P349" s="3"/>
      <x:c r="Q349" s="3"/>
      <x:c r="R349" s="7" t="n">
        <x:v>46187</x:v>
      </x:c>
      <x:c r="S349" s="3" t="n">
        <x:v>138</x:v>
      </x:c>
      <x:c r="T349" s="4" t="n">
        <x:v>0</x:v>
      </x:c>
    </x:row>
    <x:row r="350" ht="15" customHeight="1">
      <x:c r="A350" s="3"/>
      <x:c r="B350" s="3"/>
      <x:c r="C350" s="3"/>
      <x:c r="D350" s="3"/>
      <x:c r="E350" s="3"/>
      <x:c r="F350" s="3"/>
      <x:c r="G350" s="3"/>
      <x:c r="H350" s="3"/>
      <x:c r="I350" s="3"/>
      <x:c r="J350" s="3"/>
      <x:c r="K350" s="3"/>
      <x:c r="L350" s="3"/>
      <x:c r="M350" s="3"/>
      <x:c r="N350" s="3"/>
      <x:c r="O350" s="3"/>
      <x:c r="P350" s="3"/>
      <x:c r="Q350" s="3"/>
      <x:c r="R350" s="7" t="n">
        <x:v>46188</x:v>
      </x:c>
      <x:c r="S350" s="3" t="n">
        <x:v>147</x:v>
      </x:c>
      <x:c r="T350" s="4" t="n">
        <x:v>0</x:v>
      </x:c>
    </x:row>
    <x:row r="351" ht="15" customHeight="1">
      <x:c r="A351" s="3"/>
      <x:c r="B351" s="3"/>
      <x:c r="C351" s="3"/>
      <x:c r="D351" s="3"/>
      <x:c r="E351" s="3"/>
      <x:c r="F351" s="3"/>
      <x:c r="G351" s="3"/>
      <x:c r="H351" s="3"/>
      <x:c r="I351" s="3"/>
      <x:c r="J351" s="3"/>
      <x:c r="K351" s="3"/>
      <x:c r="L351" s="3"/>
      <x:c r="M351" s="3"/>
      <x:c r="N351" s="3"/>
      <x:c r="O351" s="3"/>
      <x:c r="P351" s="3"/>
      <x:c r="Q351" s="3"/>
      <x:c r="R351" s="7" t="n">
        <x:v>46189</x:v>
      </x:c>
      <x:c r="S351" s="3" t="n">
        <x:v>154</x:v>
      </x:c>
      <x:c r="T351" s="4" t="n">
        <x:v>0</x:v>
      </x:c>
    </x:row>
    <x:row r="352" ht="15" customHeight="1">
      <x:c r="A352" s="3"/>
      <x:c r="B352" s="3"/>
      <x:c r="C352" s="3"/>
      <x:c r="D352" s="3"/>
      <x:c r="E352" s="3"/>
      <x:c r="F352" s="3"/>
      <x:c r="G352" s="3"/>
      <x:c r="H352" s="3"/>
      <x:c r="I352" s="3"/>
      <x:c r="J352" s="3"/>
      <x:c r="K352" s="3"/>
      <x:c r="L352" s="3"/>
      <x:c r="M352" s="3"/>
      <x:c r="N352" s="3"/>
      <x:c r="O352" s="3"/>
      <x:c r="P352" s="3"/>
      <x:c r="Q352" s="3"/>
      <x:c r="R352" s="7" t="n">
        <x:v>46190</x:v>
      </x:c>
      <x:c r="S352" s="3" t="n">
        <x:v>158</x:v>
      </x:c>
      <x:c r="T352" s="4" t="n">
        <x:v>0</x:v>
      </x:c>
    </x:row>
    <x:row r="353" ht="15" customHeight="1">
      <x:c r="A353" s="3"/>
      <x:c r="B353" s="3"/>
      <x:c r="C353" s="3"/>
      <x:c r="D353" s="3"/>
      <x:c r="E353" s="3"/>
      <x:c r="F353" s="3"/>
      <x:c r="G353" s="3"/>
      <x:c r="H353" s="3"/>
      <x:c r="I353" s="3"/>
      <x:c r="J353" s="3"/>
      <x:c r="K353" s="3"/>
      <x:c r="L353" s="3"/>
      <x:c r="M353" s="3"/>
      <x:c r="N353" s="3"/>
      <x:c r="O353" s="3"/>
      <x:c r="P353" s="3"/>
      <x:c r="Q353" s="3"/>
      <x:c r="R353" s="7" t="n">
        <x:v>46191</x:v>
      </x:c>
      <x:c r="S353" s="3" t="n">
        <x:v>166</x:v>
      </x:c>
      <x:c r="T353" s="4" t="n">
        <x:v>0</x:v>
      </x:c>
    </x:row>
    <x:row r="354" ht="15" customHeight="1">
      <x:c r="A354" s="3"/>
      <x:c r="B354" s="3"/>
      <x:c r="C354" s="3"/>
      <x:c r="D354" s="3"/>
      <x:c r="E354" s="3"/>
      <x:c r="F354" s="3"/>
      <x:c r="G354" s="3"/>
      <x:c r="H354" s="3"/>
      <x:c r="I354" s="3"/>
      <x:c r="J354" s="3"/>
      <x:c r="K354" s="3"/>
      <x:c r="L354" s="3"/>
      <x:c r="M354" s="3"/>
      <x:c r="N354" s="3"/>
      <x:c r="O354" s="3"/>
      <x:c r="P354" s="3"/>
      <x:c r="Q354" s="3"/>
      <x:c r="R354" s="7" t="n">
        <x:v>46192</x:v>
      </x:c>
      <x:c r="S354" s="3" t="n">
        <x:v>170</x:v>
      </x:c>
      <x:c r="T354" s="4" t="n">
        <x:v>0</x:v>
      </x:c>
    </x:row>
    <x:row r="355" ht="15" customHeight="1">
      <x:c r="A355" s="3"/>
      <x:c r="B355" s="3"/>
      <x:c r="C355" s="3"/>
      <x:c r="D355" s="3"/>
      <x:c r="E355" s="3"/>
      <x:c r="F355" s="3"/>
      <x:c r="G355" s="3"/>
      <x:c r="H355" s="3"/>
      <x:c r="I355" s="3"/>
      <x:c r="J355" s="3"/>
      <x:c r="K355" s="3"/>
      <x:c r="L355" s="3"/>
      <x:c r="M355" s="3"/>
      <x:c r="N355" s="3"/>
      <x:c r="O355" s="3"/>
      <x:c r="P355" s="3"/>
      <x:c r="Q355" s="3"/>
      <x:c r="R355" s="7" t="n">
        <x:v>46193</x:v>
      </x:c>
      <x:c r="S355" s="3" t="n">
        <x:v>171</x:v>
      </x:c>
      <x:c r="T355" s="4" t="n">
        <x:v>0</x:v>
      </x:c>
    </x:row>
    <x:row r="356" ht="15" customHeight="1">
      <x:c r="A356" s="3"/>
      <x:c r="B356" s="3"/>
      <x:c r="C356" s="3"/>
      <x:c r="D356" s="3"/>
      <x:c r="E356" s="3"/>
      <x:c r="F356" s="3"/>
      <x:c r="G356" s="3"/>
      <x:c r="H356" s="3"/>
      <x:c r="I356" s="3"/>
      <x:c r="J356" s="3"/>
      <x:c r="K356" s="3"/>
      <x:c r="L356" s="3"/>
      <x:c r="M356" s="3"/>
      <x:c r="N356" s="3"/>
      <x:c r="O356" s="3"/>
      <x:c r="P356" s="3"/>
      <x:c r="Q356" s="3"/>
      <x:c r="R356" s="7" t="n">
        <x:v>46194</x:v>
      </x:c>
      <x:c r="S356" s="3" t="n">
        <x:v>169</x:v>
      </x:c>
      <x:c r="T356" s="4" t="n">
        <x:v>0</x:v>
      </x:c>
    </x:row>
    <x:row r="357" ht="15" customHeight="1">
      <x:c r="A357" s="3"/>
      <x:c r="B357" s="3"/>
      <x:c r="C357" s="3"/>
      <x:c r="D357" s="3"/>
      <x:c r="E357" s="3"/>
      <x:c r="F357" s="3"/>
      <x:c r="G357" s="3"/>
      <x:c r="H357" s="3"/>
      <x:c r="I357" s="3"/>
      <x:c r="J357" s="3"/>
      <x:c r="K357" s="3"/>
      <x:c r="L357" s="3"/>
      <x:c r="M357" s="3"/>
      <x:c r="N357" s="3"/>
      <x:c r="O357" s="3"/>
      <x:c r="P357" s="3"/>
      <x:c r="Q357" s="3"/>
      <x:c r="R357" s="7" t="n">
        <x:v>46195</x:v>
      </x:c>
      <x:c r="S357" s="3" t="n">
        <x:v>168</x:v>
      </x:c>
      <x:c r="T357" s="4" t="n">
        <x:v>0</x:v>
      </x:c>
    </x:row>
    <x:row r="358" ht="15" customHeight="1">
      <x:c r="A358" s="3"/>
      <x:c r="B358" s="3"/>
      <x:c r="C358" s="3"/>
      <x:c r="D358" s="3"/>
      <x:c r="E358" s="3"/>
      <x:c r="F358" s="3"/>
      <x:c r="G358" s="3"/>
      <x:c r="H358" s="3"/>
      <x:c r="I358" s="3"/>
      <x:c r="J358" s="3"/>
      <x:c r="K358" s="3"/>
      <x:c r="L358" s="3"/>
      <x:c r="M358" s="3"/>
      <x:c r="N358" s="3"/>
      <x:c r="O358" s="3"/>
      <x:c r="P358" s="3"/>
      <x:c r="Q358" s="3"/>
      <x:c r="R358" s="7" t="n">
        <x:v>46196</x:v>
      </x:c>
      <x:c r="S358" s="3" t="n">
        <x:v>159</x:v>
      </x:c>
      <x:c r="T358" s="4" t="n">
        <x:v>0</x:v>
      </x:c>
    </x:row>
    <x:row r="359" ht="15" customHeight="1">
      <x:c r="A359" s="3"/>
      <x:c r="B359" s="3"/>
      <x:c r="C359" s="3"/>
      <x:c r="D359" s="3"/>
      <x:c r="E359" s="3"/>
      <x:c r="F359" s="3"/>
      <x:c r="G359" s="3"/>
      <x:c r="H359" s="3"/>
      <x:c r="I359" s="3"/>
      <x:c r="J359" s="3"/>
      <x:c r="K359" s="3"/>
      <x:c r="L359" s="3"/>
      <x:c r="M359" s="3"/>
      <x:c r="N359" s="3"/>
      <x:c r="O359" s="3"/>
      <x:c r="P359" s="3"/>
      <x:c r="Q359" s="3"/>
      <x:c r="R359" s="7" t="n">
        <x:v>46197</x:v>
      </x:c>
      <x:c r="S359" s="3" t="n">
        <x:v>151</x:v>
      </x:c>
      <x:c r="T359" s="4" t="n">
        <x:v>0</x:v>
      </x:c>
    </x:row>
    <x:row r="360" ht="15" customHeight="1">
      <x:c r="A360" s="3"/>
      <x:c r="B360" s="3"/>
      <x:c r="C360" s="3"/>
      <x:c r="D360" s="3"/>
      <x:c r="E360" s="3"/>
      <x:c r="F360" s="3"/>
      <x:c r="G360" s="3"/>
      <x:c r="H360" s="3"/>
      <x:c r="I360" s="3"/>
      <x:c r="J360" s="3"/>
      <x:c r="K360" s="3"/>
      <x:c r="L360" s="3"/>
      <x:c r="M360" s="3"/>
      <x:c r="N360" s="3"/>
      <x:c r="O360" s="3"/>
      <x:c r="P360" s="3"/>
      <x:c r="Q360" s="3"/>
      <x:c r="R360" s="7" t="n">
        <x:v>46198</x:v>
      </x:c>
      <x:c r="S360" s="3" t="n">
        <x:v>144</x:v>
      </x:c>
      <x:c r="T360" s="4" t="n">
        <x:v>0</x:v>
      </x:c>
    </x:row>
    <x:row r="361" ht="15" customHeight="1">
      <x:c r="A361" s="3"/>
      <x:c r="B361" s="3"/>
      <x:c r="C361" s="3"/>
      <x:c r="D361" s="3"/>
      <x:c r="E361" s="3"/>
      <x:c r="F361" s="3"/>
      <x:c r="G361" s="3"/>
      <x:c r="H361" s="3"/>
      <x:c r="I361" s="3"/>
      <x:c r="J361" s="3"/>
      <x:c r="K361" s="3"/>
      <x:c r="L361" s="3"/>
      <x:c r="M361" s="3"/>
      <x:c r="N361" s="3"/>
      <x:c r="O361" s="3"/>
      <x:c r="P361" s="3"/>
      <x:c r="Q361" s="3"/>
      <x:c r="R361" s="7" t="n">
        <x:v>46199</x:v>
      </x:c>
      <x:c r="S361" s="3" t="n">
        <x:v>139</x:v>
      </x:c>
      <x:c r="T361" s="4" t="n">
        <x:v>0</x:v>
      </x:c>
    </x:row>
    <x:row r="362" ht="15" customHeight="1">
      <x:c r="A362" s="3"/>
      <x:c r="B362" s="3"/>
      <x:c r="C362" s="3"/>
      <x:c r="D362" s="3"/>
      <x:c r="E362" s="3"/>
      <x:c r="F362" s="3"/>
      <x:c r="G362" s="3"/>
      <x:c r="H362" s="3"/>
      <x:c r="I362" s="3"/>
      <x:c r="J362" s="3"/>
      <x:c r="K362" s="3"/>
      <x:c r="L362" s="3"/>
      <x:c r="M362" s="3"/>
      <x:c r="N362" s="3"/>
      <x:c r="O362" s="3"/>
      <x:c r="P362" s="3"/>
      <x:c r="Q362" s="3"/>
      <x:c r="R362" s="7" t="n">
        <x:v>46200</x:v>
      </x:c>
      <x:c r="S362" s="3" t="n">
        <x:v>136</x:v>
      </x:c>
      <x:c r="T362" s="4" t="n">
        <x:v>0</x:v>
      </x:c>
    </x:row>
    <x:row r="363" ht="15" customHeight="1">
      <x:c r="A363" s="3"/>
      <x:c r="B363" s="3"/>
      <x:c r="C363" s="3"/>
      <x:c r="D363" s="3"/>
      <x:c r="E363" s="3"/>
      <x:c r="F363" s="3"/>
      <x:c r="G363" s="3"/>
      <x:c r="H363" s="3"/>
      <x:c r="I363" s="3"/>
      <x:c r="J363" s="3"/>
      <x:c r="K363" s="3"/>
      <x:c r="L363" s="3"/>
      <x:c r="M363" s="3"/>
      <x:c r="N363" s="3"/>
      <x:c r="O363" s="3"/>
      <x:c r="P363" s="3"/>
      <x:c r="Q363" s="3"/>
      <x:c r="R363" s="7" t="n">
        <x:v>46201</x:v>
      </x:c>
      <x:c r="S363" s="3" t="n">
        <x:v>127</x:v>
      </x:c>
      <x:c r="T363" s="4" t="n">
        <x:v>0</x:v>
      </x:c>
    </x:row>
    <x:row r="364" ht="15" customHeight="1">
      <x:c r="A364" s="3"/>
      <x:c r="B364" s="3"/>
      <x:c r="C364" s="3"/>
      <x:c r="D364" s="3"/>
      <x:c r="E364" s="3"/>
      <x:c r="F364" s="3"/>
      <x:c r="G364" s="3"/>
      <x:c r="H364" s="3"/>
      <x:c r="I364" s="3"/>
      <x:c r="J364" s="3"/>
      <x:c r="K364" s="3"/>
      <x:c r="L364" s="3"/>
      <x:c r="M364" s="3"/>
      <x:c r="N364" s="3"/>
      <x:c r="O364" s="3"/>
      <x:c r="P364" s="3"/>
      <x:c r="Q364" s="3"/>
      <x:c r="R364" s="7" t="n">
        <x:v>46202</x:v>
      </x:c>
      <x:c r="S364" s="3" t="n">
        <x:v>122</x:v>
      </x:c>
      <x:c r="T364" s="4" t="n">
        <x:v>0</x:v>
      </x:c>
    </x:row>
    <x:row r="365" ht="15" customHeight="1">
      <x:c r="A365" s="3"/>
      <x:c r="B365" s="3"/>
      <x:c r="C365" s="3"/>
      <x:c r="D365" s="3"/>
      <x:c r="E365" s="3"/>
      <x:c r="F365" s="3"/>
      <x:c r="G365" s="3"/>
      <x:c r="H365" s="3"/>
      <x:c r="I365" s="3"/>
      <x:c r="J365" s="3"/>
      <x:c r="K365" s="3"/>
      <x:c r="L365" s="3"/>
      <x:c r="M365" s="3"/>
      <x:c r="N365" s="3"/>
      <x:c r="O365" s="3"/>
      <x:c r="P365" s="3"/>
      <x:c r="Q365" s="3"/>
      <x:c r="R365" s="7" t="n">
        <x:v>46203</x:v>
      </x:c>
      <x:c r="S365" s="3" t="n">
        <x:v>116</x:v>
      </x:c>
      <x:c r="T365" s="4" t="n">
        <x:v>0</x:v>
      </x:c>
    </x:row>
    <x:row r="366" ht="15" customHeight="1">
      <x:c r="A366" s="3"/>
      <x:c r="B366" s="3"/>
      <x:c r="C366" s="3"/>
      <x:c r="D366" s="3"/>
      <x:c r="E366" s="3"/>
      <x:c r="F366" s="3"/>
      <x:c r="G366" s="3"/>
      <x:c r="H366" s="3"/>
      <x:c r="I366" s="3"/>
      <x:c r="J366" s="3"/>
      <x:c r="K366" s="3"/>
      <x:c r="L366" s="3"/>
      <x:c r="M366" s="3"/>
      <x:c r="N366" s="3"/>
      <x:c r="O366" s="3"/>
      <x:c r="P366" s="3"/>
      <x:c r="Q366" s="3"/>
      <x:c r="R366" s="7" t="n">
        <x:v>46204</x:v>
      </x:c>
      <x:c r="S366" s="3" t="n">
        <x:v>110</x:v>
      </x:c>
      <x:c r="T366" s="4" t="n">
        <x:v>0</x:v>
      </x:c>
    </x:row>
    <x:row r="367" ht="15" customHeight="1">
      <x:c r="A367" s="3"/>
      <x:c r="B367" s="3"/>
      <x:c r="C367" s="3"/>
      <x:c r="D367" s="3"/>
      <x:c r="E367" s="3"/>
      <x:c r="F367" s="3"/>
      <x:c r="G367" s="3"/>
      <x:c r="H367" s="3"/>
      <x:c r="I367" s="3"/>
      <x:c r="J367" s="3"/>
      <x:c r="K367" s="3"/>
      <x:c r="L367" s="3"/>
      <x:c r="M367" s="3"/>
      <x:c r="N367" s="3"/>
      <x:c r="O367" s="3"/>
      <x:c r="P367" s="3"/>
      <x:c r="Q367" s="3"/>
      <x:c r="R367" s="7" t="n">
        <x:v>46205</x:v>
      </x:c>
      <x:c r="S367" s="3" t="n">
        <x:v>105</x:v>
      </x:c>
      <x:c r="T367" s="4" t="n">
        <x:v>0</x:v>
      </x:c>
    </x:row>
    <x:row r="368" ht="15" customHeight="1">
      <x:c r="A368" s="3"/>
      <x:c r="B368" s="3"/>
      <x:c r="C368" s="3"/>
      <x:c r="D368" s="3"/>
      <x:c r="E368" s="3"/>
      <x:c r="F368" s="3"/>
      <x:c r="G368" s="3"/>
      <x:c r="H368" s="3"/>
      <x:c r="I368" s="3"/>
      <x:c r="J368" s="3"/>
      <x:c r="K368" s="3"/>
      <x:c r="L368" s="3"/>
      <x:c r="M368" s="3"/>
      <x:c r="N368" s="3"/>
      <x:c r="O368" s="3"/>
      <x:c r="P368" s="3"/>
      <x:c r="Q368" s="3"/>
      <x:c r="R368" s="7" t="n">
        <x:v>46206</x:v>
      </x:c>
      <x:c r="S368" s="3" t="n">
        <x:v>105</x:v>
      </x:c>
      <x:c r="T368" s="4" t="n">
        <x:v>0</x:v>
      </x:c>
    </x:row>
    <x:row r="369" ht="15" customHeight="1">
      <x:c r="A369" s="3"/>
      <x:c r="B369" s="3"/>
      <x:c r="C369" s="3"/>
      <x:c r="D369" s="3"/>
      <x:c r="E369" s="3"/>
      <x:c r="F369" s="3"/>
      <x:c r="G369" s="3"/>
      <x:c r="H369" s="3"/>
      <x:c r="I369" s="3"/>
      <x:c r="J369" s="3"/>
      <x:c r="K369" s="3"/>
      <x:c r="L369" s="3"/>
      <x:c r="M369" s="3"/>
      <x:c r="N369" s="3"/>
      <x:c r="O369" s="3"/>
      <x:c r="P369" s="3"/>
      <x:c r="Q369" s="3"/>
      <x:c r="R369" s="7" t="n">
        <x:v>46207</x:v>
      </x:c>
      <x:c r="S369" s="3" t="n">
        <x:v>121</x:v>
      </x:c>
      <x:c r="T369" s="4" t="n">
        <x:v>0</x:v>
      </x:c>
    </x:row>
    <x:row r="370" ht="15" customHeight="1">
      <x:c r="A370" s="3"/>
      <x:c r="B370" s="3"/>
      <x:c r="C370" s="3"/>
      <x:c r="D370" s="3"/>
      <x:c r="E370" s="3"/>
      <x:c r="F370" s="3"/>
      <x:c r="G370" s="3"/>
      <x:c r="H370" s="3"/>
      <x:c r="I370" s="3"/>
      <x:c r="J370" s="3"/>
      <x:c r="K370" s="3"/>
      <x:c r="L370" s="3"/>
      <x:c r="M370" s="3"/>
      <x:c r="N370" s="3"/>
      <x:c r="O370" s="3"/>
      <x:c r="P370" s="3"/>
      <x:c r="Q370" s="3"/>
      <x:c r="R370" s="7" t="n">
        <x:v>46208</x:v>
      </x:c>
      <x:c r="S370" s="3" t="n">
        <x:v>138</x:v>
      </x:c>
      <x:c r="T370" s="4" t="n">
        <x:v>0</x:v>
      </x:c>
    </x:row>
    <x:row r="371" ht="15" customHeight="1">
      <x:c r="A371" s="3"/>
      <x:c r="B371" s="3"/>
      <x:c r="C371" s="3"/>
      <x:c r="D371" s="3"/>
      <x:c r="E371" s="3"/>
      <x:c r="F371" s="3"/>
      <x:c r="G371" s="3"/>
      <x:c r="H371" s="3"/>
      <x:c r="I371" s="3"/>
      <x:c r="J371" s="3"/>
      <x:c r="K371" s="3"/>
      <x:c r="L371" s="3"/>
      <x:c r="M371" s="3"/>
      <x:c r="N371" s="3"/>
      <x:c r="O371" s="3"/>
      <x:c r="P371" s="3"/>
      <x:c r="Q371" s="3"/>
      <x:c r="R371" s="7" t="n">
        <x:v>46209</x:v>
      </x:c>
      <x:c r="S371" s="3" t="n">
        <x:v>149</x:v>
      </x:c>
      <x:c r="T371" s="4" t="n">
        <x:v>0</x:v>
      </x:c>
    </x:row>
    <x:row r="372" ht="15" customHeight="1">
      <x:c r="A372" s="3"/>
      <x:c r="B372" s="3"/>
      <x:c r="C372" s="3"/>
      <x:c r="D372" s="3"/>
      <x:c r="E372" s="3"/>
      <x:c r="F372" s="3"/>
      <x:c r="G372" s="3"/>
      <x:c r="H372" s="3"/>
      <x:c r="I372" s="3"/>
      <x:c r="J372" s="3"/>
      <x:c r="K372" s="3"/>
      <x:c r="L372" s="3"/>
      <x:c r="M372" s="3"/>
      <x:c r="N372" s="3"/>
      <x:c r="O372" s="3"/>
      <x:c r="P372" s="3"/>
      <x:c r="Q372" s="3"/>
      <x:c r="R372" s="7" t="n">
        <x:v>46210</x:v>
      </x:c>
      <x:c r="S372" s="3" t="n">
        <x:v>158</x:v>
      </x:c>
      <x:c r="T372" s="4" t="n">
        <x:v>0</x:v>
      </x:c>
    </x:row>
    <x:row r="373" ht="15" customHeight="1">
      <x:c r="A373" s="3"/>
      <x:c r="B373" s="3"/>
      <x:c r="C373" s="3"/>
      <x:c r="D373" s="3"/>
      <x:c r="E373" s="3"/>
      <x:c r="F373" s="3"/>
      <x:c r="G373" s="3"/>
      <x:c r="H373" s="3"/>
      <x:c r="I373" s="3"/>
      <x:c r="J373" s="3"/>
      <x:c r="K373" s="3"/>
      <x:c r="L373" s="3"/>
      <x:c r="M373" s="3"/>
      <x:c r="N373" s="3"/>
      <x:c r="O373" s="3"/>
      <x:c r="P373" s="3"/>
      <x:c r="Q373" s="3"/>
      <x:c r="R373" s="7" t="n">
        <x:v>46211</x:v>
      </x:c>
      <x:c r="S373" s="3" t="n">
        <x:v>166</x:v>
      </x:c>
      <x:c r="T373" s="4" t="n">
        <x:v>0</x:v>
      </x:c>
    </x:row>
    <x:row r="374" ht="15" customHeight="1">
      <x:c r="A374" s="3"/>
      <x:c r="B374" s="3"/>
      <x:c r="C374" s="3"/>
      <x:c r="D374" s="3"/>
      <x:c r="E374" s="3"/>
      <x:c r="F374" s="3"/>
      <x:c r="G374" s="3"/>
      <x:c r="H374" s="3"/>
      <x:c r="I374" s="3"/>
      <x:c r="J374" s="3"/>
      <x:c r="K374" s="3"/>
      <x:c r="L374" s="3"/>
      <x:c r="M374" s="3"/>
      <x:c r="N374" s="3"/>
      <x:c r="O374" s="3"/>
      <x:c r="P374" s="3"/>
      <x:c r="Q374" s="3"/>
      <x:c r="R374" s="7" t="n">
        <x:v>46212</x:v>
      </x:c>
      <x:c r="S374" s="3" t="n">
        <x:v>174</x:v>
      </x:c>
      <x:c r="T374" s="4" t="n">
        <x:v>0</x:v>
      </x:c>
    </x:row>
    <x:row r="375" ht="15" customHeight="1">
      <x:c r="A375" s="3"/>
      <x:c r="B375" s="3"/>
      <x:c r="C375" s="3"/>
      <x:c r="D375" s="3"/>
      <x:c r="E375" s="3"/>
      <x:c r="F375" s="3"/>
      <x:c r="G375" s="3"/>
      <x:c r="H375" s="3"/>
      <x:c r="I375" s="3"/>
      <x:c r="J375" s="3"/>
      <x:c r="K375" s="3"/>
      <x:c r="L375" s="3"/>
      <x:c r="M375" s="3"/>
      <x:c r="N375" s="3"/>
      <x:c r="O375" s="3"/>
      <x:c r="P375" s="3"/>
      <x:c r="Q375" s="3"/>
      <x:c r="R375" s="7" t="n">
        <x:v>46213</x:v>
      </x:c>
      <x:c r="S375" s="3" t="n">
        <x:v>180</x:v>
      </x:c>
      <x:c r="T375" s="4" t="n">
        <x:v>0</x:v>
      </x:c>
    </x:row>
    <x:row r="376" ht="15" customHeight="1">
      <x:c r="A376" s="3"/>
      <x:c r="B376" s="3"/>
      <x:c r="C376" s="3"/>
      <x:c r="D376" s="3"/>
      <x:c r="E376" s="3"/>
      <x:c r="F376" s="3"/>
      <x:c r="G376" s="3"/>
      <x:c r="H376" s="3"/>
      <x:c r="I376" s="3"/>
      <x:c r="J376" s="3"/>
      <x:c r="K376" s="3"/>
      <x:c r="L376" s="3"/>
      <x:c r="M376" s="3"/>
      <x:c r="N376" s="3"/>
      <x:c r="O376" s="3"/>
      <x:c r="P376" s="3"/>
      <x:c r="Q376" s="3"/>
      <x:c r="R376" s="7" t="n">
        <x:v>46214</x:v>
      </x:c>
      <x:c r="S376" s="3" t="n">
        <x:v>181</x:v>
      </x:c>
      <x:c r="T376" s="4" t="n">
        <x:v>0</x:v>
      </x:c>
    </x:row>
    <x:row r="377" ht="15" customHeight="1">
      <x:c r="A377" s="3"/>
      <x:c r="B377" s="3"/>
      <x:c r="C377" s="3"/>
      <x:c r="D377" s="3"/>
      <x:c r="E377" s="3"/>
      <x:c r="F377" s="3"/>
      <x:c r="G377" s="3"/>
      <x:c r="H377" s="3"/>
      <x:c r="I377" s="3"/>
      <x:c r="J377" s="3"/>
      <x:c r="K377" s="3"/>
      <x:c r="L377" s="3"/>
      <x:c r="M377" s="3"/>
      <x:c r="N377" s="3"/>
      <x:c r="O377" s="3"/>
      <x:c r="P377" s="3"/>
      <x:c r="Q377" s="3"/>
      <x:c r="R377" s="7" t="n">
        <x:v>46215</x:v>
      </x:c>
      <x:c r="S377" s="3" t="n">
        <x:v>179</x:v>
      </x:c>
      <x:c r="T377" s="4" t="n">
        <x:v>0</x:v>
      </x:c>
    </x:row>
    <x:row r="378" ht="15" customHeight="1">
      <x:c r="A378" s="3"/>
      <x:c r="B378" s="3"/>
      <x:c r="C378" s="3"/>
      <x:c r="D378" s="3"/>
      <x:c r="E378" s="3"/>
      <x:c r="F378" s="3"/>
      <x:c r="G378" s="3"/>
      <x:c r="H378" s="3"/>
      <x:c r="I378" s="3"/>
      <x:c r="J378" s="3"/>
      <x:c r="K378" s="3"/>
      <x:c r="L378" s="3"/>
      <x:c r="M378" s="3"/>
      <x:c r="N378" s="3"/>
      <x:c r="O378" s="3"/>
      <x:c r="P378" s="3"/>
      <x:c r="Q378" s="3"/>
      <x:c r="R378" s="7" t="n">
        <x:v>46216</x:v>
      </x:c>
      <x:c r="S378" s="3" t="n">
        <x:v>182</x:v>
      </x:c>
      <x:c r="T378" s="4" t="n">
        <x:v>0</x:v>
      </x:c>
    </x:row>
    <x:row r="379" ht="15" customHeight="1">
      <x:c r="A379" s="3"/>
      <x:c r="B379" s="3"/>
      <x:c r="C379" s="3"/>
      <x:c r="D379" s="3"/>
      <x:c r="E379" s="3"/>
      <x:c r="F379" s="3"/>
      <x:c r="G379" s="3"/>
      <x:c r="H379" s="3"/>
      <x:c r="I379" s="3"/>
      <x:c r="J379" s="3"/>
      <x:c r="K379" s="3"/>
      <x:c r="L379" s="3"/>
      <x:c r="M379" s="3"/>
      <x:c r="N379" s="3"/>
      <x:c r="O379" s="3"/>
      <x:c r="P379" s="3"/>
      <x:c r="Q379" s="3"/>
      <x:c r="R379" s="7" t="n">
        <x:v>46217</x:v>
      </x:c>
      <x:c r="S379" s="3" t="n">
        <x:v>191</x:v>
      </x:c>
      <x:c r="T379" s="4" t="n">
        <x:v>0</x:v>
      </x:c>
    </x:row>
    <x:row r="380" ht="15" customHeight="1">
      <x:c r="A380" s="3"/>
      <x:c r="B380" s="3"/>
      <x:c r="C380" s="3"/>
      <x:c r="D380" s="3"/>
      <x:c r="E380" s="3"/>
      <x:c r="F380" s="3"/>
      <x:c r="G380" s="3"/>
      <x:c r="H380" s="3"/>
      <x:c r="I380" s="3"/>
      <x:c r="J380" s="3"/>
      <x:c r="K380" s="3"/>
      <x:c r="L380" s="3"/>
      <x:c r="M380" s="3"/>
      <x:c r="N380" s="3"/>
      <x:c r="O380" s="3"/>
      <x:c r="P380" s="3"/>
      <x:c r="Q380" s="3"/>
      <x:c r="R380" s="7" t="n">
        <x:v>46218</x:v>
      </x:c>
      <x:c r="S380" s="3" t="n">
        <x:v>206</x:v>
      </x:c>
      <x:c r="T380" s="4" t="n">
        <x:v>0</x:v>
      </x:c>
    </x:row>
    <x:row r="381" ht="15" customHeight="1">
      <x:c r="A381" s="3"/>
      <x:c r="B381" s="3"/>
      <x:c r="C381" s="3"/>
      <x:c r="D381" s="3"/>
      <x:c r="E381" s="3"/>
      <x:c r="F381" s="3"/>
      <x:c r="G381" s="3"/>
      <x:c r="H381" s="3"/>
      <x:c r="I381" s="3"/>
      <x:c r="J381" s="3"/>
      <x:c r="K381" s="3"/>
      <x:c r="L381" s="3"/>
      <x:c r="M381" s="3"/>
      <x:c r="N381" s="3"/>
      <x:c r="O381" s="3"/>
      <x:c r="P381" s="3"/>
      <x:c r="Q381" s="3"/>
      <x:c r="R381" s="7" t="n">
        <x:v>46219</x:v>
      </x:c>
      <x:c r="S381" s="3" t="n">
        <x:v>225</x:v>
      </x:c>
      <x:c r="T381" s="4" t="n">
        <x:v>0</x:v>
      </x:c>
    </x:row>
    <x:row r="382" ht="15" customHeight="1">
      <x:c r="A382" s="3"/>
      <x:c r="B382" s="3"/>
      <x:c r="C382" s="3"/>
      <x:c r="D382" s="3"/>
      <x:c r="E382" s="3"/>
      <x:c r="F382" s="3"/>
      <x:c r="G382" s="3"/>
      <x:c r="H382" s="3"/>
      <x:c r="I382" s="3"/>
      <x:c r="J382" s="3"/>
      <x:c r="K382" s="3"/>
      <x:c r="L382" s="3"/>
      <x:c r="M382" s="3"/>
      <x:c r="N382" s="3"/>
      <x:c r="O382" s="3"/>
      <x:c r="P382" s="3"/>
      <x:c r="Q382" s="3"/>
      <x:c r="R382" s="7" t="n">
        <x:v>46220</x:v>
      </x:c>
      <x:c r="S382" s="3" t="n">
        <x:v>245</x:v>
      </x:c>
      <x:c r="T382" s="4" t="n">
        <x:v>0</x:v>
      </x:c>
    </x:row>
    <x:row r="383" ht="15" customHeight="1">
      <x:c r="A383" s="3"/>
      <x:c r="B383" s="3"/>
      <x:c r="C383" s="3"/>
      <x:c r="D383" s="3"/>
      <x:c r="E383" s="3"/>
      <x:c r="F383" s="3"/>
      <x:c r="G383" s="3"/>
      <x:c r="H383" s="3"/>
      <x:c r="I383" s="3"/>
      <x:c r="J383" s="3"/>
      <x:c r="K383" s="3"/>
      <x:c r="L383" s="3"/>
      <x:c r="M383" s="3"/>
      <x:c r="N383" s="3"/>
      <x:c r="O383" s="3"/>
      <x:c r="P383" s="3"/>
      <x:c r="Q383" s="3"/>
      <x:c r="R383" s="7" t="n">
        <x:v>46221</x:v>
      </x:c>
      <x:c r="S383" s="3" t="n">
        <x:v>266</x:v>
      </x:c>
      <x:c r="T383" s="4" t="n">
        <x:v>0</x:v>
      </x:c>
    </x:row>
    <x:row r="384" ht="15" customHeight="1">
      <x:c r="A384" s="3"/>
      <x:c r="B384" s="3"/>
      <x:c r="C384" s="3"/>
      <x:c r="D384" s="3"/>
      <x:c r="E384" s="3"/>
      <x:c r="F384" s="3"/>
      <x:c r="G384" s="3"/>
      <x:c r="H384" s="3"/>
      <x:c r="I384" s="3"/>
      <x:c r="J384" s="3"/>
      <x:c r="K384" s="3"/>
      <x:c r="L384" s="3"/>
      <x:c r="M384" s="3"/>
      <x:c r="N384" s="3"/>
      <x:c r="O384" s="3"/>
      <x:c r="P384" s="3"/>
      <x:c r="Q384" s="3"/>
      <x:c r="R384" s="7" t="n">
        <x:v>46222</x:v>
      </x:c>
      <x:c r="S384" s="3" t="n">
        <x:v>281</x:v>
      </x:c>
      <x:c r="T384" s="4" t="n">
        <x:v>0</x:v>
      </x:c>
    </x:row>
    <x:row r="385" ht="15" customHeight="1">
      <x:c r="A385" s="3"/>
      <x:c r="B385" s="3"/>
      <x:c r="C385" s="3"/>
      <x:c r="D385" s="3"/>
      <x:c r="E385" s="3"/>
      <x:c r="F385" s="3"/>
      <x:c r="G385" s="3"/>
      <x:c r="H385" s="3"/>
      <x:c r="I385" s="3"/>
      <x:c r="J385" s="3"/>
      <x:c r="K385" s="3"/>
      <x:c r="L385" s="3"/>
      <x:c r="M385" s="3"/>
      <x:c r="N385" s="3"/>
      <x:c r="O385" s="3"/>
      <x:c r="P385" s="3"/>
      <x:c r="Q385" s="3"/>
      <x:c r="R385" s="7" t="n">
        <x:v>46223</x:v>
      </x:c>
      <x:c r="S385" s="3" t="n">
        <x:v>292</x:v>
      </x:c>
      <x:c r="T385" s="4" t="n">
        <x:v>0</x:v>
      </x:c>
    </x:row>
    <x:row r="386" ht="15" customHeight="1">
      <x:c r="A386" s="3"/>
      <x:c r="B386" s="3"/>
      <x:c r="C386" s="3"/>
      <x:c r="D386" s="3"/>
      <x:c r="E386" s="3"/>
      <x:c r="F386" s="3"/>
      <x:c r="G386" s="3"/>
      <x:c r="H386" s="3"/>
      <x:c r="I386" s="3"/>
      <x:c r="J386" s="3"/>
      <x:c r="K386" s="3"/>
      <x:c r="L386" s="3"/>
      <x:c r="M386" s="3"/>
      <x:c r="N386" s="3"/>
      <x:c r="O386" s="3"/>
      <x:c r="P386" s="3"/>
      <x:c r="Q386" s="3"/>
      <x:c r="R386" s="7" t="n">
        <x:v>46224</x:v>
      </x:c>
      <x:c r="S386" s="3" t="n">
        <x:v>303</x:v>
      </x:c>
      <x:c r="T386" s="4" t="n">
        <x:v>0</x:v>
      </x:c>
    </x:row>
    <x:row r="387" ht="15" customHeight="1">
      <x:c r="A387" s="3"/>
      <x:c r="B387" s="3"/>
      <x:c r="C387" s="3"/>
      <x:c r="D387" s="3"/>
      <x:c r="E387" s="3"/>
      <x:c r="F387" s="3"/>
      <x:c r="G387" s="3"/>
      <x:c r="H387" s="3"/>
      <x:c r="I387" s="3"/>
      <x:c r="J387" s="3"/>
      <x:c r="K387" s="3"/>
      <x:c r="L387" s="3"/>
      <x:c r="M387" s="3"/>
      <x:c r="N387" s="3"/>
      <x:c r="O387" s="3"/>
      <x:c r="P387" s="3"/>
      <x:c r="Q387" s="3"/>
      <x:c r="R387" s="7" t="n">
        <x:v>46225</x:v>
      </x:c>
      <x:c r="S387" s="3" t="n">
        <x:v>311</x:v>
      </x:c>
      <x:c r="T387" s="4" t="n">
        <x:v>0</x:v>
      </x:c>
    </x:row>
    <x:row r="388" ht="15" customHeight="1">
      <x:c r="A388" s="3"/>
      <x:c r="B388" s="3"/>
      <x:c r="C388" s="3"/>
      <x:c r="D388" s="3"/>
      <x:c r="E388" s="3"/>
      <x:c r="F388" s="3"/>
      <x:c r="G388" s="3"/>
      <x:c r="H388" s="3"/>
      <x:c r="I388" s="3"/>
      <x:c r="J388" s="3"/>
      <x:c r="K388" s="3"/>
      <x:c r="L388" s="3"/>
      <x:c r="M388" s="3"/>
      <x:c r="N388" s="3"/>
      <x:c r="O388" s="3"/>
      <x:c r="P388" s="3"/>
      <x:c r="Q388" s="3"/>
      <x:c r="R388" s="7" t="n">
        <x:v>46226</x:v>
      </x:c>
      <x:c r="S388" s="3" t="n">
        <x:v>328</x:v>
      </x:c>
      <x:c r="T388" s="4" t="n">
        <x:v>0</x:v>
      </x:c>
    </x:row>
    <x:row r="389" ht="15" customHeight="1">
      <x:c r="A389" s="3"/>
      <x:c r="B389" s="3"/>
      <x:c r="C389" s="3"/>
      <x:c r="D389" s="3"/>
      <x:c r="E389" s="3"/>
      <x:c r="F389" s="3"/>
      <x:c r="G389" s="3"/>
      <x:c r="H389" s="3"/>
      <x:c r="I389" s="3"/>
      <x:c r="J389" s="3"/>
      <x:c r="K389" s="3"/>
      <x:c r="L389" s="3"/>
      <x:c r="M389" s="3"/>
      <x:c r="N389" s="3"/>
      <x:c r="O389" s="3"/>
      <x:c r="P389" s="3"/>
      <x:c r="Q389" s="3"/>
      <x:c r="R389" s="7" t="n">
        <x:v>46227</x:v>
      </x:c>
      <x:c r="S389" s="3" t="n">
        <x:v>340</x:v>
      </x:c>
      <x:c r="T389" s="4" t="n">
        <x:v>0</x:v>
      </x:c>
    </x:row>
    <x:row r="390" ht="15" customHeight="1">
      <x:c r="A390" s="3"/>
      <x:c r="B390" s="3"/>
      <x:c r="C390" s="3"/>
      <x:c r="D390" s="3"/>
      <x:c r="E390" s="3"/>
      <x:c r="F390" s="3"/>
      <x:c r="G390" s="3"/>
      <x:c r="H390" s="3"/>
      <x:c r="I390" s="3"/>
      <x:c r="J390" s="3"/>
      <x:c r="K390" s="3"/>
      <x:c r="L390" s="3"/>
      <x:c r="M390" s="3"/>
      <x:c r="N390" s="3"/>
      <x:c r="O390" s="3"/>
      <x:c r="P390" s="3"/>
      <x:c r="Q390" s="3"/>
      <x:c r="R390" s="7" t="n">
        <x:v>46228</x:v>
      </x:c>
      <x:c r="S390" s="3" t="n">
        <x:v>350</x:v>
      </x:c>
      <x:c r="T390" s="4" t="n">
        <x:v>0</x:v>
      </x:c>
    </x:row>
    <x:row r="391" ht="15" customHeight="1">
      <x:c r="A391" s="3"/>
      <x:c r="B391" s="3"/>
      <x:c r="C391" s="3"/>
      <x:c r="D391" s="3"/>
      <x:c r="E391" s="3"/>
      <x:c r="F391" s="3"/>
      <x:c r="G391" s="3"/>
      <x:c r="H391" s="3"/>
      <x:c r="I391" s="3"/>
      <x:c r="J391" s="3"/>
      <x:c r="K391" s="3"/>
      <x:c r="L391" s="3"/>
      <x:c r="M391" s="3"/>
      <x:c r="N391" s="3"/>
      <x:c r="O391" s="3"/>
      <x:c r="P391" s="3"/>
      <x:c r="Q391" s="3"/>
      <x:c r="R391" s="7" t="n">
        <x:v>46229</x:v>
      </x:c>
      <x:c r="S391" s="3" t="n">
        <x:v>361</x:v>
      </x:c>
      <x:c r="T391" s="4" t="n">
        <x:v>0</x:v>
      </x:c>
    </x:row>
    <x:row r="392" ht="15" customHeight="1">
      <x:c r="A392" s="3"/>
      <x:c r="B392" s="3"/>
      <x:c r="C392" s="3"/>
      <x:c r="D392" s="3"/>
      <x:c r="E392" s="3"/>
      <x:c r="F392" s="3"/>
      <x:c r="G392" s="3"/>
      <x:c r="H392" s="3"/>
      <x:c r="I392" s="3"/>
      <x:c r="J392" s="3"/>
      <x:c r="K392" s="3"/>
      <x:c r="L392" s="3"/>
      <x:c r="M392" s="3"/>
      <x:c r="N392" s="3"/>
      <x:c r="O392" s="3"/>
      <x:c r="P392" s="3"/>
      <x:c r="Q392" s="3"/>
      <x:c r="R392" s="7" t="n">
        <x:v>46230</x:v>
      </x:c>
      <x:c r="S392" s="3" t="n">
        <x:v>369</x:v>
      </x:c>
      <x:c r="T392" s="4" t="n">
        <x:v>0</x:v>
      </x:c>
    </x:row>
    <x:row r="393" ht="15" customHeight="1">
      <x:c r="A393" s="3"/>
      <x:c r="B393" s="3"/>
      <x:c r="C393" s="3"/>
      <x:c r="D393" s="3"/>
      <x:c r="E393" s="3"/>
      <x:c r="F393" s="3"/>
      <x:c r="G393" s="3"/>
      <x:c r="H393" s="3"/>
      <x:c r="I393" s="3"/>
      <x:c r="J393" s="3"/>
      <x:c r="K393" s="3"/>
      <x:c r="L393" s="3"/>
      <x:c r="M393" s="3"/>
      <x:c r="N393" s="3"/>
      <x:c r="O393" s="3"/>
      <x:c r="P393" s="3"/>
      <x:c r="Q393" s="3"/>
      <x:c r="R393" s="7" t="n">
        <x:v>46231</x:v>
      </x:c>
      <x:c r="S393" s="3" t="n">
        <x:v>377</x:v>
      </x:c>
      <x:c r="T393" s="4" t="n">
        <x:v>0</x:v>
      </x:c>
    </x:row>
    <x:row r="394" ht="15" customHeight="1">
      <x:c r="A394" s="3"/>
      <x:c r="B394" s="3"/>
      <x:c r="C394" s="3"/>
      <x:c r="D394" s="3"/>
      <x:c r="E394" s="3"/>
      <x:c r="F394" s="3"/>
      <x:c r="G394" s="3"/>
      <x:c r="H394" s="3"/>
      <x:c r="I394" s="3"/>
      <x:c r="J394" s="3"/>
      <x:c r="K394" s="3"/>
      <x:c r="L394" s="3"/>
      <x:c r="M394" s="3"/>
      <x:c r="N394" s="3"/>
      <x:c r="O394" s="3"/>
      <x:c r="P394" s="3"/>
      <x:c r="Q394" s="3"/>
      <x:c r="R394" s="7" t="n">
        <x:v>46232</x:v>
      </x:c>
      <x:c r="S394" s="3" t="n">
        <x:v>385</x:v>
      </x:c>
      <x:c r="T394" s="4" t="n">
        <x:v>0</x:v>
      </x:c>
    </x:row>
    <x:row r="395" ht="15" customHeight="1">
      <x:c r="A395" s="3"/>
      <x:c r="B395" s="3"/>
      <x:c r="C395" s="3"/>
      <x:c r="D395" s="3"/>
      <x:c r="E395" s="3"/>
      <x:c r="F395" s="3"/>
      <x:c r="G395" s="3"/>
      <x:c r="H395" s="3"/>
      <x:c r="I395" s="3"/>
      <x:c r="J395" s="3"/>
      <x:c r="K395" s="3"/>
      <x:c r="L395" s="3"/>
      <x:c r="M395" s="3"/>
      <x:c r="N395" s="3"/>
      <x:c r="O395" s="3"/>
      <x:c r="P395" s="3"/>
      <x:c r="Q395" s="3"/>
      <x:c r="R395" s="7" t="n">
        <x:v>46233</x:v>
      </x:c>
      <x:c r="S395" s="3" t="n">
        <x:v>389</x:v>
      </x:c>
      <x:c r="T395" s="4" t="n">
        <x:v>0</x:v>
      </x:c>
    </x:row>
    <x:row r="396" ht="15" customHeight="1">
      <x:c r="A396" s="3"/>
      <x:c r="B396" s="3"/>
      <x:c r="C396" s="3"/>
      <x:c r="D396" s="3"/>
      <x:c r="E396" s="3"/>
      <x:c r="F396" s="3"/>
      <x:c r="G396" s="3"/>
      <x:c r="H396" s="3"/>
      <x:c r="I396" s="3"/>
      <x:c r="J396" s="3"/>
      <x:c r="K396" s="3"/>
      <x:c r="L396" s="3"/>
      <x:c r="M396" s="3"/>
      <x:c r="N396" s="3"/>
      <x:c r="O396" s="3"/>
      <x:c r="P396" s="3"/>
      <x:c r="Q396" s="3"/>
      <x:c r="R396" s="7" t="n">
        <x:v>46234</x:v>
      </x:c>
      <x:c r="S396" s="3" t="n">
        <x:v>399</x:v>
      </x:c>
      <x:c r="T396" s="4" t="n">
        <x:v>0</x:v>
      </x:c>
    </x:row>
    <x:row r="397" ht="15" customHeight="1">
      <x:c r="A397" s="3"/>
      <x:c r="B397" s="3"/>
      <x:c r="C397" s="3"/>
      <x:c r="D397" s="3"/>
      <x:c r="E397" s="3"/>
      <x:c r="F397" s="3"/>
      <x:c r="G397" s="3"/>
      <x:c r="H397" s="3"/>
      <x:c r="I397" s="3"/>
      <x:c r="J397" s="3"/>
      <x:c r="K397" s="3"/>
      <x:c r="L397" s="3"/>
      <x:c r="M397" s="3"/>
      <x:c r="N397" s="3"/>
      <x:c r="O397" s="3"/>
      <x:c r="P397" s="3"/>
      <x:c r="Q397" s="3"/>
      <x:c r="R397" s="7" t="n">
        <x:v>46235</x:v>
      </x:c>
      <x:c r="S397" s="3" t="n">
        <x:v>405</x:v>
      </x:c>
      <x:c r="T397" s="4" t="n">
        <x:v>0</x:v>
      </x:c>
    </x:row>
  </x:sheetData>
  <x:dataValidations count="2">
    <x:dataValidation type="whole" operator="between" sqref="B3">
      <x:formula1>1</x:formula1>
      <x:formula2>90</x:formula2>
    </x:dataValidation>
    <x:dataValidation type="whole" operator="between" sqref="B11">
      <x:formula1>1</x:formula1>
      <x:formula2>30</x:formula2>
    </x:dataValidation>
  </x:dataValidations>
  <x:pageMargins left="0.7" right="0.7" top="0.75" bottom="0.75" header="0.3" footer="0.3"/>
  <x:drawing xmlns:r="http://schemas.openxmlformats.org/officeDocument/2006/relationships" r:id="Rfad9210261f447cb"/>
</x:worksheet>
</file>

<file path=xl/worksheets/sheet2.xml><?xml version="1.0" encoding="utf-8"?>
<x:worksheet xmlns:x="http://schemas.openxmlformats.org/spreadsheetml/2006/main">
  <x:sheetPr>
    <x:tabColor rgb="FFFFFFFF"/>
  </x:sheetPr>
  <x:sheetViews>
    <x:sheetView showGridLines="1"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8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6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</x:cols>
  <x:sheetData>
    <x:row r="1" ht="15" customHeight="1">
      <x:c r="A1" s="3" t="str">
        <x:v>Полином 2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15" customHeight="1">
      <x:c r="A2" s="3" t="str">
        <x:v>H=a0+a1·u+a2·u²+cₘ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</x:row>
    <x:row r="3" ht="30" customHeight="1">
      <x:c r="A3" s="14" t="str">
        <x:v>Коэф.</x:v>
      </x:c>
      <x:c r="B3" s="14" t="str">
        <x:v>Оценка</x:v>
      </x:c>
      <x:c r="C3" s="14" t="str">
        <x:v>SE</x:v>
      </x:c>
      <x:c r="D3" s="14" t="str">
        <x:v>Месяц</x:v>
      </x:c>
      <x:c r="E3" s="14" t="str">
        <x:v>cₘ, см</x:v>
      </x:c>
      <x:c r="F3" s="14" t="str">
        <x:v>Показатель</x:v>
      </x:c>
      <x:c r="G3" s="14" t="str">
        <x:v>Значение</x:v>
      </x:c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15" customHeight="1">
      <x:c r="A4" s="8" t="str">
        <x:v>a0</x:v>
      </x:c>
      <x:c r="B4" s="16" t="n">
        <x:v>87.49629666963341</x:v>
      </x:c>
      <x:c r="C4" s="16" t="n">
        <x:f>SQRT(S409)</x:f>
        <x:v>1.7331801162762317</x:v>
      </x:c>
      <x:c r="D4" s="9" t="n">
        <x:v>1</x:v>
      </x:c>
      <x:c r="E4" s="16" t="n">
        <x:v>-94.2846682402831</x:v>
      </x:c>
      <x:c r="F4" s="8" t="str">
        <x:v>R² обучения</x:v>
      </x:c>
      <x:c r="G4" s="12" t="n">
        <x:v>0.6011431731630837</x:v>
      </x:c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</x:row>
    <x:row r="5" ht="15" customHeight="1">
      <x:c r="A5" s="8" t="str">
        <x:v>a1</x:v>
      </x:c>
      <x:c r="B5" s="16" t="n">
        <x:v>85.36337107881008</x:v>
      </x:c>
      <x:c r="C5" s="16" t="n">
        <x:f>SQRT(T410)</x:f>
        <x:v>2.06150049613209</x:v>
      </x:c>
      <x:c r="D5" s="9" t="n">
        <x:v>2</x:v>
      </x:c>
      <x:c r="E5" s="16" t="n">
        <x:v>-144.38776738676495</x:v>
      </x:c>
      <x:c r="F5" s="8" t="str">
        <x:v>MAE, см</x:v>
      </x:c>
      <x:c r="G5" s="8" t="n">
        <x:f>SUMPRODUCT($R$20:$R$384,$O$20:$O$384)/G11</x:f>
        <x:v>55.13553752884059</x:v>
      </x:c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</x:row>
    <x:row r="6" ht="15" customHeight="1">
      <x:c r="A6" s="8" t="str">
        <x:v>a2</x:v>
      </x:c>
      <x:c r="B6" s="16" t="n">
        <x:v>-67.75663590375021</x:v>
      </x:c>
      <x:c r="C6" s="16" t="n">
        <x:f>SQRT(U411)</x:f>
        <x:v>3.909817756024688</x:v>
      </x:c>
      <x:c r="D6" s="9" t="n">
        <x:v>3</x:v>
      </x:c>
      <x:c r="E6" s="16" t="n">
        <x:v>-156.94889579355603</x:v>
      </x:c>
      <x:c r="F6" s="8" t="str">
        <x:v>S (RMSE), см</x:v>
      </x:c>
      <x:c r="G6" s="8" t="n">
        <x:f>SQRT(K408/G11)</x:f>
        <x:v>68.31911419413437</x:v>
      </x:c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 ht="15" customHeight="1">
      <x:c r="A7" s="3"/>
      <x:c r="B7" s="3"/>
      <x:c r="C7" s="3"/>
      <x:c r="D7" s="9" t="n">
        <x:v>4</x:v>
      </x:c>
      <x:c r="E7" s="16" t="n">
        <x:v>-41.891393188411335</x:v>
      </x:c>
      <x:c r="F7" s="8" t="str">
        <x:v>NSE</x:v>
      </x:c>
      <x:c r="G7" s="12" t="n">
        <x:f>IF(K405=0,"н.д.",1-K408/K405)</x:f>
        <x:v>0.7360233427506455</x:v>
      </x:c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</x:row>
    <x:row r="8" ht="15" customHeight="1">
      <x:c r="A8" s="3"/>
      <x:c r="B8" s="3"/>
      <x:c r="C8" s="3"/>
      <x:c r="D8" s="9" t="n">
        <x:v>5</x:v>
      </x:c>
      <x:c r="E8" s="16" t="n">
        <x:v>51.73139409278523</x:v>
      </x:c>
      <x:c r="F8" s="8" t="str">
        <x:v>S/σΔ</x:v>
      </x:c>
      <x:c r="G8" s="12" t="n">
        <x:f>IF(G10=0,"н.д.",G6/G10)</x:f>
        <x:v>6.242230212237948</x:v>
      </x:c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</x:row>
    <x:row r="9" ht="15" customHeight="1">
      <x:c r="A9" s="3"/>
      <x:c r="B9" s="3"/>
      <x:c r="C9" s="3"/>
      <x:c r="D9" s="9" t="n">
        <x:v>6</x:v>
      </x:c>
      <x:c r="E9" s="16" t="n">
        <x:v>75.02228158709866</x:v>
      </x:c>
      <x:c r="F9" s="8" t="str">
        <x:v>P%</x:v>
      </x:c>
      <x:c r="G9" s="18" t="n">
        <x:f>SUM($S$20:$S$384)/G11</x:f>
        <x:v>0.07323943661971831</x:v>
      </x:c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  <x:c r="V9" s="3"/>
      <x:c r="W9" s="3"/>
      <x:c r="X9" s="3"/>
      <x:c r="Y9" s="3"/>
      <x:c r="Z9" s="3"/>
    </x:row>
    <x:row r="10" ht="15" customHeight="1">
      <x:c r="A10" s="3"/>
      <x:c r="B10" s="3"/>
      <x:c r="C10" s="3"/>
      <x:c r="D10" s="9" t="n">
        <x:v>7</x:v>
      </x:c>
      <x:c r="E10" s="16" t="n">
        <x:v>111.37260378858507</x:v>
      </x:c>
      <x:c r="F10" s="8" t="str">
        <x:v>σΔ, см</x:v>
      </x:c>
      <x:c r="G10" s="8" t="n">
        <x:f>IF(G11&gt;1,SQRT(MAX(0,K407)/(G11-1)),"н.д.")</x:f>
        <x:v>10.944664306067107</x:v>
      </x:c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</x:row>
    <x:row r="11" ht="15" customHeight="1">
      <x:c r="A11" s="3"/>
      <x:c r="B11" s="3"/>
      <x:c r="C11" s="3"/>
      <x:c r="D11" s="9" t="n">
        <x:v>8</x:v>
      </x:c>
      <x:c r="E11" s="16" t="n">
        <x:v>212.2710958692571</x:v>
      </x:c>
      <x:c r="F11" s="8" t="str">
        <x:v>n проверки</x:v>
      </x:c>
      <x:c r="G11" s="9" t="n">
        <x:f>SUM($R$20:$R$384)</x:f>
        <x:v>355</x:v>
      </x:c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3"/>
      <x:c r="S11" s="3"/>
      <x:c r="T11" s="3"/>
      <x:c r="U11" s="3"/>
      <x:c r="V11" s="3"/>
      <x:c r="W11" s="3"/>
      <x:c r="X11" s="3"/>
      <x:c r="Y11" s="3"/>
      <x:c r="Z11" s="3"/>
    </x:row>
    <x:row r="12" ht="15" customHeight="1">
      <x:c r="A12" s="3"/>
      <x:c r="B12" s="3"/>
      <x:c r="C12" s="3"/>
      <x:c r="D12" s="9" t="n">
        <x:v>9</x:v>
      </x:c>
      <x:c r="E12" s="16" t="n">
        <x:v>172.53391903800696</x:v>
      </x:c>
      <x:c r="F12" s="8" t="str">
        <x:v>Оценка, суток</x:v>
      </x:c>
      <x:c r="G12" s="9" t="n">
        <x:f>'Сводка'!$B$11</x:f>
        <x:v>1</x:v>
      </x:c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3"/>
      <x:c r="T12" s="3"/>
      <x:c r="U12" s="3"/>
      <x:c r="V12" s="3"/>
      <x:c r="W12" s="3"/>
      <x:c r="X12" s="3"/>
      <x:c r="Y12" s="3"/>
      <x:c r="Z12" s="3"/>
    </x:row>
    <x:row r="13" ht="15" customHeight="1">
      <x:c r="A13" s="3"/>
      <x:c r="B13" s="3"/>
      <x:c r="C13" s="3"/>
      <x:c r="D13" s="9" t="n">
        <x:v>10</x:v>
      </x:c>
      <x:c r="E13" s="16" t="n">
        <x:v>19.62902993316986</x:v>
      </x:c>
      <x:c r="F13" s="8" t="str">
        <x:v>δдоп, см</x:v>
      </x:c>
      <x:c r="G13" s="8" t="n">
        <x:f>'Сводка'!$B$14*G10</x:f>
        <x:v>7.376703742289231</x:v>
      </x:c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</x:row>
    <x:row r="14" ht="15" customHeight="1">
      <x:c r="A14" s="3"/>
      <x:c r="B14" s="3"/>
      <x:c r="C14" s="3"/>
      <x:c r="D14" s="9" t="n">
        <x:v>11</x:v>
      </x:c>
      <x:c r="E14" s="16" t="n">
        <x:v>-120.63557096196483</x:v>
      </x:c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</x:row>
    <x:row r="15" ht="15" customHeight="1">
      <x:c r="A15" s="3"/>
      <x:c r="B15" s="3"/>
      <x:c r="C15" s="3"/>
      <x:c r="D15" s="9" t="n">
        <x:v>12</x:v>
      </x:c>
      <x:c r="E15" s="16" t="n">
        <x:v>-84.41202873792254</x:v>
      </x:c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</x:row>
    <x:row r="16" ht="15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</x:row>
    <x:row r="17" ht="15" customHeight="1">
      <x:c r="A17" s="3" t="str">
        <x:v>Прогноз</x:v>
      </x:c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</x:row>
    <x:row r="18" ht="30" customHeight="1">
      <x:c r="A18" s="15" t="str">
        <x:v>Дата</x:v>
      </x:c>
      <x:c r="B18" s="15" t="str">
        <x:v>x</x:v>
      </x:c>
      <x:c r="C18" s="15" t="str">
        <x:v>u</x:v>
      </x:c>
      <x:c r="D18" s="15" t="str">
        <x:v>Прогноз, см</x:v>
      </x:c>
      <x:c r="E18" s="15" t="str">
        <x:v>SE прогноза</x:v>
      </x:c>
      <x:c r="F18" s="15" t="str">
        <x:v>Нижняя 95%</x:v>
      </x:c>
      <x:c r="G18" s="15" t="str">
        <x:v>Верхняя 95%</x:v>
      </x:c>
      <x:c r="H18" s="15" t="str">
        <x:v>SE среднего</x:v>
      </x:c>
      <x:c r="I18" s="3"/>
      <x:c r="J18" s="3" t="str">
        <x:v>Проверочные прогнозы</x:v>
      </x:c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</x:row>
    <x:row r="19" ht="30" customHeight="1">
      <x:c r="A19" s="10" t="n">
        <x:f>IF(1&lt;='Сводка'!$B$3,'Сводка'!$B$4+1,"")</x:f>
        <x:v>46236</x:v>
      </x:c>
      <x:c r="B19" s="19" t="n">
        <x:f>IF($A19="","",(A19-$T$405+1)/1000)</x:f>
        <x:v>8.98</x:v>
      </x:c>
      <x:c r="C19" s="19" t="n">
        <x:f>IF($A19="","",2*(A19-$T$405)/$T$406-1)</x:f>
        <x:v>1.000222766763199</x:v>
      </x:c>
      <x:c r="D19" s="8" t="n">
        <x:f>IF($A19="","",$B$4+$B$5*C19^1+$B$6*C19^2+INDEX($E$4:$E$15,MONTH(A19)))</x:f>
        <x:v>317.3629526204652</x:v>
      </x:c>
      <x:c r="E19" s="8" t="n">
        <x:f>IF($A19="","",SQRT($T$403^2+H19^2))</x:f>
        <x:v>108.87633512321577</x:v>
      </x:c>
      <x:c r="F19" s="8" t="n">
        <x:f>IF($A19="","",D19-$T$404*E19)</x:f>
        <x:v>103.93915329118195</x:v>
      </x:c>
      <x:c r="G19" s="8" t="n">
        <x:f>IF($A19="","",D19+$T$404*E19)</x:f>
        <x:v>530.7867519497485</x:v>
      </x:c>
      <x:c r="H19" s="8" t="n">
        <x:f>IF($A19="","",SQRT(MAX(0,(1)*$S$409*(1)+(1)*$T$409*(C19^1)+(1)*$U$409*(C19^2)+(C19^1)*$S$410*(1)+(C19^1)*$T$410*(C19^1)+(C19^1)*$U$410*(C19^2)+(C19^2)*$S$411*(1)+(C19^2)*$T$411*(C19^1)+(C19^2)*$U$411*(C19^2)+2*((1)*INDEX($S$416:$V$427,MONTH(A19),1)+(C19^1)*INDEX($S$416:$V$427,MONTH(A19),2)+(C19^2)*INDEX($S$416:$V$427,MONTH(A19),3))+INDEX($W$416:$W$427,MONTH(A19)))))</x:f>
        <x:v>5.245726927485952</x:v>
      </x:c>
      <x:c r="I19" s="3"/>
      <x:c r="J19" s="15" t="str">
        <x:v>Дата</x:v>
      </x:c>
      <x:c r="K19" s="15" t="str">
        <x:v>Факт, см</x:v>
      </x:c>
      <x:c r="L19" s="15" t="str">
        <x:v>H начала</x:v>
      </x:c>
      <x:c r="M19" s="15" t="str">
        <x:v>Прогноз, см</x:v>
      </x:c>
      <x:c r="N19" s="15" t="str">
        <x:v>Ошибка</x:v>
      </x:c>
      <x:c r="O19" s="15" t="str">
        <x:v>|Ошибка|</x:v>
      </x:c>
      <x:c r="P19" s="15" t="str">
        <x:v>Ошибка²</x:v>
      </x:c>
      <x:c r="Q19" s="15" t="str">
        <x:v>ΔH</x:v>
      </x:c>
      <x:c r="R19" s="15" t="str">
        <x:v>Вес</x:v>
      </x:c>
      <x:c r="S19" s="15" t="str">
        <x:v>Оправдался</x:v>
      </x:c>
      <x:c r="T19" s="15" t="str">
        <x:v>Обучение до</x:v>
      </x:c>
      <x:c r="U19" s="14" t="str">
        <x:v>i факт</x:v>
      </x:c>
      <x:c r="V19" s="14" t="str">
        <x:v>i начало</x:v>
      </x:c>
      <x:c r="W19" s="14" t="str">
        <x:v>i fit</x:v>
      </x:c>
      <x:c r="X19" s="3"/>
      <x:c r="Y19" s="3"/>
      <x:c r="Z19" s="3"/>
    </x:row>
    <x:row r="20" ht="15" customHeight="1">
      <x:c r="A20" s="10" t="n">
        <x:f>IF(2&lt;='Сводка'!$B$3,'Сводка'!$B$4+2,"")</x:f>
        <x:v>46237</x:v>
      </x:c>
      <x:c r="B20" s="19" t="n">
        <x:f>IF($A20="","",(A20-$T$405+1)/1000)</x:f>
        <x:v>8.981</x:v>
      </x:c>
      <x:c r="C20" s="19" t="n">
        <x:f>IF($A20="","",2*(A20-$T$405)/$T$406-1)</x:f>
        <x:v>1.0004455335263978</x:v>
      </x:c>
      <x:c r="D20" s="8" t="n">
        <x:f>IF($A20="","",$B$4+$B$5*C20^1+$B$6*C20^2+INDEX($E$4:$E$15,MONTH(A20)))</x:f>
        <x:v>317.35177080212964</x:v>
      </x:c>
      <x:c r="E20" s="8" t="n">
        <x:f>IF($A20="","",SQRT($T$403^2+H20^2))</x:f>
        <x:v>108.87638721368121</x:v>
      </x:c>
      <x:c r="F20" s="8" t="n">
        <x:f>IF($A20="","",D20-$T$404*E20)</x:f>
        <x:v>103.92786936300746</x:v>
      </x:c>
      <x:c r="G20" s="8" t="n">
        <x:f>IF($A20="","",D20+$T$404*E20)</x:f>
        <x:v>530.7756722412519</x:v>
      </x:c>
      <x:c r="H20" s="8" t="n">
        <x:f>IF($A20="","",SQRT(MAX(0,(1)*$S$409*(1)+(1)*$T$409*(C20^1)+(1)*$U$409*(C20^2)+(C20^1)*$S$410*(1)+(C20^1)*$T$410*(C20^1)+(C20^1)*$U$410*(C20^2)+(C20^2)*$S$411*(1)+(C20^2)*$T$411*(C20^1)+(C20^2)*$U$411*(C20^2)+2*((1)*INDEX($S$416:$V$427,MONTH(A20),1)+(C20^1)*INDEX($S$416:$V$427,MONTH(A20),2)+(C20^2)*INDEX($S$416:$V$427,MONTH(A20),3))+INDEX($W$416:$W$427,MONTH(A20)))))</x:f>
        <x:v>5.246807966603219</x:v>
      </x:c>
      <x:c r="I20" s="3"/>
      <x:c r="J20" s="10" t="n">
        <x:v>45871</x:v>
      </x:c>
      <x:c r="K20" s="8" t="n">
        <x:f>INDEX('Сводка'!$S$3:$S$397,U20)</x:f>
        <x:v>211</x:v>
      </x:c>
      <x:c r="L20" s="8" t="n">
        <x:f>INDEX('Сводка'!$S$3:$S$397,V20)</x:f>
        <x:v>193</x:v>
      </x:c>
      <x:c r="M20" s="8" t="n">
        <x:f>INDEX($K$388:$N$400,W20,1)+INDEX($K$388:$N$400,W20,2)*(2*(J20-$T$405)/(T20-$T$405)-1)^1+INDEX($K$388:$N$400,W20,3)*(2*(J20-$T$405)/(T20-$T$405)-1)^2+INDEX($O$388:$Z$400,W20,MONTH(J20))</x:f>
        <x:v>336.1689980878092</x:v>
      </x:c>
      <x:c r="N20" s="8" t="n">
        <x:f>K20-M20</x:f>
        <x:v>-125.1689980878092</x:v>
      </x:c>
      <x:c r="O20" s="8" t="n">
        <x:f>ABS(N20)</x:f>
        <x:v>125.1689980878092</x:v>
      </x:c>
      <x:c r="P20" s="8" t="n">
        <x:f>N20^2</x:f>
        <x:v>15667.278082305984</x:v>
      </x:c>
      <x:c r="Q20" s="8" t="n">
        <x:f>K20-L20</x:f>
        <x:v>18</x:v>
      </x:c>
      <x:c r="R20" s="9" t="n">
        <x:f>IF(AND(INDEX('Сводка'!$T$3:$T$397,U20)=0,INDEX('Сводка'!$T$3:$T$397,V20)=0),1,0)</x:f>
        <x:v>1</x:v>
      </x:c>
      <x:c r="S20" s="9" t="n">
        <x:f>IF(AND(R20=1,O20&lt;=$G$13),1,0)</x:f>
        <x:v>0</x:v>
      </x:c>
      <x:c r="T20" s="10" t="n">
        <x:f>EOMONTH(J20-'Сводка'!$B$11,-1)</x:f>
        <x:v>45869</x:v>
      </x:c>
      <x:c r="U20" s="4" t="n">
        <x:f>MATCH(J20,'Сводка'!$R$3:$R$397,0)</x:f>
        <x:v>31</x:v>
      </x:c>
      <x:c r="V20" s="4" t="n">
        <x:f>MATCH(J20-'Сводка'!$B$11,'Сводка'!$R$3:$R$397,0)</x:f>
        <x:v>30</x:v>
      </x:c>
      <x:c r="W20" s="4" t="n">
        <x:f>MATCH(T20,$J$388:$J$400,0)</x:f>
        <x:v>2</x:v>
      </x:c>
      <x:c r="X20" s="3"/>
      <x:c r="Y20" s="3"/>
      <x:c r="Z20" s="3"/>
    </x:row>
    <x:row r="21" ht="15" customHeight="1">
      <x:c r="A21" s="10" t="n">
        <x:f>IF(3&lt;='Сводка'!$B$3,'Сводка'!$B$4+3,"")</x:f>
        <x:v>46238</x:v>
      </x:c>
      <x:c r="B21" s="19" t="n">
        <x:f>IF($A21="","",(A21-$T$405+1)/1000)</x:f>
        <x:v>8.982</x:v>
      </x:c>
      <x:c r="C21" s="19" t="n">
        <x:f>IF($A21="","",2*(A21-$T$405)/$T$406-1)</x:f>
        <x:v>1.0006683002895969</x:v>
      </x:c>
      <x:c r="D21" s="8" t="n">
        <x:f>IF($A21="","",$B$4+$B$5*C21^1+$B$6*C21^2+INDEX($E$4:$E$15,MONTH(A21)))</x:f>
        <x:v>317.34058225894387</x:v>
      </x:c>
      <x:c r="E21" s="8" t="n">
        <x:f>IF($A21="","",SQRT($T$403^2+H21^2))</x:f>
        <x:v>108.87643934375214</x:v>
      </x:c>
      <x:c r="F21" s="8" t="n">
        <x:f>IF($A21="","",D21-$T$404*E21)</x:f>
        <x:v>103.91657863234647</x:v>
      </x:c>
      <x:c r="G21" s="8" t="n">
        <x:f>IF($A21="","",D21+$T$404*E21)</x:f>
        <x:v>530.7645858855412</x:v>
      </x:c>
      <x:c r="H21" s="8" t="n">
        <x:f>IF($A21="","",SQRT(MAX(0,(1)*$S$409*(1)+(1)*$T$409*(C21^1)+(1)*$U$409*(C21^2)+(C21^1)*$S$410*(1)+(C21^1)*$T$410*(C21^1)+(C21^1)*$U$410*(C21^2)+(C21^2)*$S$411*(1)+(C21^2)*$T$411*(C21^1)+(C21^2)*$U$411*(C21^2)+2*((1)*INDEX($S$416:$V$427,MONTH(A21),1)+(C21^1)*INDEX($S$416:$V$427,MONTH(A21),2)+(C21^2)*INDEX($S$416:$V$427,MONTH(A21),3))+INDEX($W$416:$W$427,MONTH(A21)))))</x:f>
        <x:v>5.247889605232024</x:v>
      </x:c>
      <x:c r="I21" s="3"/>
      <x:c r="J21" s="10" t="n">
        <x:v>45872</x:v>
      </x:c>
      <x:c r="K21" s="8" t="n">
        <x:f>INDEX('Сводка'!$S$3:$S$397,U21)</x:f>
        <x:v>229</x:v>
      </x:c>
      <x:c r="L21" s="8" t="n">
        <x:f>INDEX('Сводка'!$S$3:$S$397,V21)</x:f>
        <x:v>211</x:v>
      </x:c>
      <x:c r="M21" s="8" t="n">
        <x:f>INDEX($K$388:$N$400,W21,1)+INDEX($K$388:$N$400,W21,2)*(2*(J21-$T$405)/(T21-$T$405)-1)^1+INDEX($K$388:$N$400,W21,3)*(2*(J21-$T$405)/(T21-$T$405)-1)^2+INDEX($O$388:$Z$400,W21,MONTH(J21))</x:f>
        <x:v>336.1669362384626</x:v>
      </x:c>
      <x:c r="N21" s="8" t="n">
        <x:f>K21-M21</x:f>
        <x:v>-107.1669362384626</x:v>
      </x:c>
      <x:c r="O21" s="8" t="n">
        <x:f>ABS(N21)</x:f>
        <x:v>107.1669362384626</x:v>
      </x:c>
      <x:c r="P21" s="8" t="n">
        <x:f>N21^2</x:f>
        <x:v>11484.752222738707</x:v>
      </x:c>
      <x:c r="Q21" s="8" t="n">
        <x:f>K21-L21</x:f>
        <x:v>18</x:v>
      </x:c>
      <x:c r="R21" s="9" t="n">
        <x:f>IF(AND(INDEX('Сводка'!$T$3:$T$397,U21)=0,INDEX('Сводка'!$T$3:$T$397,V21)=0),1,0)</x:f>
        <x:v>1</x:v>
      </x:c>
      <x:c r="S21" s="9" t="n">
        <x:f>IF(AND(R21=1,O21&lt;=$G$13),1,0)</x:f>
        <x:v>0</x:v>
      </x:c>
      <x:c r="T21" s="10" t="n">
        <x:f>EOMONTH(J21-'Сводка'!$B$11,-1)</x:f>
        <x:v>45869</x:v>
      </x:c>
      <x:c r="U21" s="4" t="n">
        <x:f>MATCH(J21,'Сводка'!$R$3:$R$397,0)</x:f>
        <x:v>32</x:v>
      </x:c>
      <x:c r="V21" s="4" t="n">
        <x:f>MATCH(J21-'Сводка'!$B$11,'Сводка'!$R$3:$R$397,0)</x:f>
        <x:v>31</x:v>
      </x:c>
      <x:c r="W21" s="4" t="n">
        <x:f>MATCH(T21,$J$388:$J$400,0)</x:f>
        <x:v>2</x:v>
      </x:c>
      <x:c r="X21" s="3"/>
      <x:c r="Y21" s="3"/>
      <x:c r="Z21" s="3"/>
    </x:row>
    <x:row r="22" ht="15" customHeight="1">
      <x:c r="A22" s="10" t="n">
        <x:f>IF(4&lt;='Сводка'!$B$3,'Сводка'!$B$4+4,"")</x:f>
        <x:v>46239</x:v>
      </x:c>
      <x:c r="B22" s="19" t="n">
        <x:f>IF($A22="","",(A22-$T$405+1)/1000)</x:f>
        <x:v>8.983</x:v>
      </x:c>
      <x:c r="C22" s="19" t="n">
        <x:f>IF($A22="","",2*(A22-$T$405)/$T$406-1)</x:f>
        <x:v>1.0008910670527955</x:v>
      </x:c>
      <x:c r="D22" s="8" t="n">
        <x:f>IF($A22="","",$B$4+$B$5*C22^1+$B$6*C22^2+INDEX($E$4:$E$15,MONTH(A22)))</x:f>
        <x:v>317.3293869909078</x:v>
      </x:c>
      <x:c r="E22" s="8" t="n">
        <x:f>IF($A22="","",SQRT($T$403^2+H22^2))</x:f>
        <x:v>108.87649151344716</x:v>
      </x:c>
      <x:c r="F22" s="8" t="n">
        <x:f>IF($A22="","",D22-$T$404*E22)</x:f>
        <x:v>103.90528109916241</x:v>
      </x:c>
      <x:c r="G22" s="8" t="n">
        <x:f>IF($A22="","",D22+$T$404*E22)</x:f>
        <x:v>530.7534928826532</x:v>
      </x:c>
      <x:c r="H22" s="8" t="n">
        <x:f>IF($A22="","",SQRT(MAX(0,(1)*$S$409*(1)+(1)*$T$409*(C22^1)+(1)*$U$409*(C22^2)+(C22^1)*$S$410*(1)+(C22^1)*$T$410*(C22^1)+(C22^1)*$U$410*(C22^2)+(C22^2)*$S$411*(1)+(C22^2)*$T$411*(C22^1)+(C22^2)*$U$411*(C22^2)+2*((1)*INDEX($S$416:$V$427,MONTH(A22),1)+(C22^1)*INDEX($S$416:$V$427,MONTH(A22),2)+(C22^2)*INDEX($S$416:$V$427,MONTH(A22),3))+INDEX($W$416:$W$427,MONTH(A22)))))</x:f>
        <x:v>5.2489718433896195</x:v>
      </x:c>
      <x:c r="I22" s="3"/>
      <x:c r="J22" s="10" t="n">
        <x:v>45873</x:v>
      </x:c>
      <x:c r="K22" s="8" t="n">
        <x:f>INDEX('Сводка'!$S$3:$S$397,U22)</x:f>
        <x:v>243</x:v>
      </x:c>
      <x:c r="L22" s="8" t="n">
        <x:f>INDEX('Сводка'!$S$3:$S$397,V22)</x:f>
        <x:v>229</x:v>
      </x:c>
      <x:c r="M22" s="8" t="n">
        <x:f>INDEX($K$388:$N$400,W22,1)+INDEX($K$388:$N$400,W22,2)*(2*(J22-$T$405)/(T22-$T$405)-1)^1+INDEX($K$388:$N$400,W22,3)*(2*(J22-$T$405)/(T22-$T$405)-1)^2+INDEX($O$388:$Z$400,W22,MONTH(J22))</x:f>
        <x:v>336.1648689552609</x:v>
      </x:c>
      <x:c r="N22" s="8" t="n">
        <x:f>K22-M22</x:f>
        <x:v>-93.16486895526089</x:v>
      </x:c>
      <x:c r="O22" s="8" t="n">
        <x:f>ABS(N22)</x:f>
        <x:v>93.16486895526089</x:v>
      </x:c>
      <x:c r="P22" s="8" t="n">
        <x:f>N22^2</x:f>
        <x:v>8679.692807450934</x:v>
      </x:c>
      <x:c r="Q22" s="8" t="n">
        <x:f>K22-L22</x:f>
        <x:v>14</x:v>
      </x:c>
      <x:c r="R22" s="9" t="n">
        <x:f>IF(AND(INDEX('Сводка'!$T$3:$T$397,U22)=0,INDEX('Сводка'!$T$3:$T$397,V22)=0),1,0)</x:f>
        <x:v>1</x:v>
      </x:c>
      <x:c r="S22" s="9" t="n">
        <x:f>IF(AND(R22=1,O22&lt;=$G$13),1,0)</x:f>
        <x:v>0</x:v>
      </x:c>
      <x:c r="T22" s="10" t="n">
        <x:f>EOMONTH(J22-'Сводка'!$B$11,-1)</x:f>
        <x:v>45869</x:v>
      </x:c>
      <x:c r="U22" s="4" t="n">
        <x:f>MATCH(J22,'Сводка'!$R$3:$R$397,0)</x:f>
        <x:v>33</x:v>
      </x:c>
      <x:c r="V22" s="4" t="n">
        <x:f>MATCH(J22-'Сводка'!$B$11,'Сводка'!$R$3:$R$397,0)</x:f>
        <x:v>32</x:v>
      </x:c>
      <x:c r="W22" s="4" t="n">
        <x:f>MATCH(T22,$J$388:$J$400,0)</x:f>
        <x:v>2</x:v>
      </x:c>
      <x:c r="X22" s="3"/>
      <x:c r="Y22" s="3"/>
      <x:c r="Z22" s="3"/>
    </x:row>
    <x:row r="23" ht="15" customHeight="1">
      <x:c r="A23" s="10" t="n">
        <x:f>IF(5&lt;='Сводка'!$B$3,'Сводка'!$B$4+5,"")</x:f>
        <x:v>46240</x:v>
      </x:c>
      <x:c r="B23" s="19" t="n">
        <x:f>IF($A23="","",(A23-$T$405+1)/1000)</x:f>
        <x:v>8.984</x:v>
      </x:c>
      <x:c r="C23" s="19" t="n">
        <x:f>IF($A23="","",2*(A23-$T$405)/$T$406-1)</x:f>
        <x:v>1.0011138338159946</x:v>
      </x:c>
      <x:c r="D23" s="8" t="n">
        <x:f>IF($A23="","",$B$4+$B$5*C23^1+$B$6*C23^2+INDEX($E$4:$E$15,MONTH(A23)))</x:f>
        <x:v>317.3181849980214</x:v>
      </x:c>
      <x:c r="E23" s="8" t="n">
        <x:f>IF($A23="","",SQRT($T$403^2+H23^2))</x:f>
        <x:v>108.87654372278496</x:v>
      </x:c>
      <x:c r="F23" s="8" t="n">
        <x:f>IF($A23="","",D23-$T$404*E23)</x:f>
        <x:v>103.89397676341872</x:v>
      </x:c>
      <x:c r="G23" s="8" t="n">
        <x:f>IF($A23="","",D23+$T$404*E23)</x:f>
        <x:v>530.7423932326242</x:v>
      </x:c>
      <x:c r="H23" s="8" t="n">
        <x:f>IF($A23="","",SQRT(MAX(0,(1)*$S$409*(1)+(1)*$T$409*(C23^1)+(1)*$U$409*(C23^2)+(C23^1)*$S$410*(1)+(C23^1)*$T$410*(C23^1)+(C23^1)*$U$410*(C23^2)+(C23^2)*$S$411*(1)+(C23^2)*$T$411*(C23^1)+(C23^2)*$U$411*(C23^2)+2*((1)*INDEX($S$416:$V$427,MONTH(A23),1)+(C23^1)*INDEX($S$416:$V$427,MONTH(A23),2)+(C23^2)*INDEX($S$416:$V$427,MONTH(A23),3))+INDEX($W$416:$W$427,MONTH(A23)))))</x:f>
        <x:v>5.250054681093126</x:v>
      </x:c>
      <x:c r="I23" s="3"/>
      <x:c r="J23" s="10" t="n">
        <x:v>45874</x:v>
      </x:c>
      <x:c r="K23" s="8" t="n">
        <x:f>INDEX('Сводка'!$S$3:$S$397,U23)</x:f>
        <x:v>249</x:v>
      </x:c>
      <x:c r="L23" s="8" t="n">
        <x:f>INDEX('Сводка'!$S$3:$S$397,V23)</x:f>
        <x:v>243</x:v>
      </x:c>
      <x:c r="M23" s="8" t="n">
        <x:f>INDEX($K$388:$N$400,W23,1)+INDEX($K$388:$N$400,W23,2)*(2*(J23-$T$405)/(T23-$T$405)-1)^1+INDEX($K$388:$N$400,W23,3)*(2*(J23-$T$405)/(T23-$T$405)-1)^2+INDEX($O$388:$Z$400,W23,MONTH(J23))</x:f>
        <x:v>336.1627962382042</x:v>
      </x:c>
      <x:c r="N23" s="8" t="n">
        <x:f>K23-M23</x:f>
        <x:v>-87.16279623820418</x:v>
      </x:c>
      <x:c r="O23" s="8" t="n">
        <x:f>ABS(N23)</x:f>
        <x:v>87.16279623820418</x:v>
      </x:c>
      <x:c r="P23" s="8" t="n">
        <x:f>N23^2</x:f>
        <x:v>7597.3530480627005</x:v>
      </x:c>
      <x:c r="Q23" s="8" t="n">
        <x:f>K23-L23</x:f>
        <x:v>6</x:v>
      </x:c>
      <x:c r="R23" s="9" t="n">
        <x:f>IF(AND(INDEX('Сводка'!$T$3:$T$397,U23)=0,INDEX('Сводка'!$T$3:$T$397,V23)=0),1,0)</x:f>
        <x:v>1</x:v>
      </x:c>
      <x:c r="S23" s="9" t="n">
        <x:f>IF(AND(R23=1,O23&lt;=$G$13),1,0)</x:f>
        <x:v>0</x:v>
      </x:c>
      <x:c r="T23" s="10" t="n">
        <x:f>EOMONTH(J23-'Сводка'!$B$11,-1)</x:f>
        <x:v>45869</x:v>
      </x:c>
      <x:c r="U23" s="4" t="n">
        <x:f>MATCH(J23,'Сводка'!$R$3:$R$397,0)</x:f>
        <x:v>34</x:v>
      </x:c>
      <x:c r="V23" s="4" t="n">
        <x:f>MATCH(J23-'Сводка'!$B$11,'Сводка'!$R$3:$R$397,0)</x:f>
        <x:v>33</x:v>
      </x:c>
      <x:c r="W23" s="4" t="n">
        <x:f>MATCH(T23,$J$388:$J$400,0)</x:f>
        <x:v>2</x:v>
      </x:c>
      <x:c r="X23" s="3"/>
      <x:c r="Y23" s="3"/>
      <x:c r="Z23" s="3"/>
    </x:row>
    <x:row r="24" ht="15" customHeight="1">
      <x:c r="A24" s="10" t="n">
        <x:f>IF(6&lt;='Сводка'!$B$3,'Сводка'!$B$4+6,"")</x:f>
        <x:v>46241</x:v>
      </x:c>
      <x:c r="B24" s="19" t="n">
        <x:f>IF($A24="","",(A24-$T$405+1)/1000)</x:f>
        <x:v>8.985</x:v>
      </x:c>
      <x:c r="C24" s="19" t="n">
        <x:f>IF($A24="","",2*(A24-$T$405)/$T$406-1)</x:f>
        <x:v>1.0013366005791937</x:v>
      </x:c>
      <x:c r="D24" s="8" t="n">
        <x:f>IF($A24="","",$B$4+$B$5*C24^1+$B$6*C24^2+INDEX($E$4:$E$15,MONTH(A24)))</x:f>
        <x:v>317.30697628028474</x:v>
      </x:c>
      <x:c r="E24" s="8" t="n">
        <x:f>IF($A24="","",SQRT($T$403^2+H24^2))</x:f>
        <x:v>108.87659597178414</x:v>
      </x:c>
      <x:c r="F24" s="8" t="n">
        <x:f>IF($A24="","",D24-$T$404*E24)</x:f>
        <x:v>103.88266562507886</x:v>
      </x:c>
      <x:c r="G24" s="8" t="n">
        <x:f>IF($A24="","",D24+$T$404*E24)</x:f>
        <x:v>530.7312869354906</x:v>
      </x:c>
      <x:c r="H24" s="8" t="n">
        <x:f>IF($A24="","",SQRT(MAX(0,(1)*$S$409*(1)+(1)*$T$409*(C24^1)+(1)*$U$409*(C24^2)+(C24^1)*$S$410*(1)+(C24^1)*$T$410*(C24^1)+(C24^1)*$U$410*(C24^2)+(C24^2)*$S$411*(1)+(C24^2)*$T$411*(C24^1)+(C24^2)*$U$411*(C24^2)+2*((1)*INDEX($S$416:$V$427,MONTH(A24),1)+(C24^1)*INDEX($S$416:$V$427,MONTH(A24),2)+(C24^2)*INDEX($S$416:$V$427,MONTH(A24),3))+INDEX($W$416:$W$427,MONTH(A24)))))</x:f>
        <x:v>5.251138118359533</x:v>
      </x:c>
      <x:c r="I24" s="3"/>
      <x:c r="J24" s="10" t="n">
        <x:v>45875</x:v>
      </x:c>
      <x:c r="K24" s="8" t="n">
        <x:f>INDEX('Сводка'!$S$3:$S$397,U24)</x:f>
        <x:v>253</x:v>
      </x:c>
      <x:c r="L24" s="8" t="n">
        <x:f>INDEX('Сводка'!$S$3:$S$397,V24)</x:f>
        <x:v>249</x:v>
      </x:c>
      <x:c r="M24" s="8" t="n">
        <x:f>INDEX($K$388:$N$400,W24,1)+INDEX($K$388:$N$400,W24,2)*(2*(J24-$T$405)/(T24-$T$405)-1)^1+INDEX($K$388:$N$400,W24,3)*(2*(J24-$T$405)/(T24-$T$405)-1)^2+INDEX($O$388:$Z$400,W24,MONTH(J24))</x:f>
        <x:v>336.16071808729237</x:v>
      </x:c>
      <x:c r="N24" s="8" t="n">
        <x:f>K24-M24</x:f>
        <x:v>-83.16071808729237</x:v>
      </x:c>
      <x:c r="O24" s="8" t="n">
        <x:f>ABS(N24)</x:f>
        <x:v>83.16071808729237</x:v>
      </x:c>
      <x:c r="P24" s="8" t="n">
        <x:f>N24^2</x:f>
        <x:v>6915.705032794116</x:v>
      </x:c>
      <x:c r="Q24" s="8" t="n">
        <x:f>K24-L24</x:f>
        <x:v>4</x:v>
      </x:c>
      <x:c r="R24" s="9" t="n">
        <x:f>IF(AND(INDEX('Сводка'!$T$3:$T$397,U24)=0,INDEX('Сводка'!$T$3:$T$397,V24)=0),1,0)</x:f>
        <x:v>1</x:v>
      </x:c>
      <x:c r="S24" s="9" t="n">
        <x:f>IF(AND(R24=1,O24&lt;=$G$13),1,0)</x:f>
        <x:v>0</x:v>
      </x:c>
      <x:c r="T24" s="10" t="n">
        <x:f>EOMONTH(J24-'Сводка'!$B$11,-1)</x:f>
        <x:v>45869</x:v>
      </x:c>
      <x:c r="U24" s="4" t="n">
        <x:f>MATCH(J24,'Сводка'!$R$3:$R$397,0)</x:f>
        <x:v>35</x:v>
      </x:c>
      <x:c r="V24" s="4" t="n">
        <x:f>MATCH(J24-'Сводка'!$B$11,'Сводка'!$R$3:$R$397,0)</x:f>
        <x:v>34</x:v>
      </x:c>
      <x:c r="W24" s="4" t="n">
        <x:f>MATCH(T24,$J$388:$J$400,0)</x:f>
        <x:v>2</x:v>
      </x:c>
      <x:c r="X24" s="3"/>
      <x:c r="Y24" s="3"/>
      <x:c r="Z24" s="3"/>
    </x:row>
    <x:row r="25" ht="15" customHeight="1">
      <x:c r="A25" s="10" t="n">
        <x:f>IF(7&lt;='Сводка'!$B$3,'Сводка'!$B$4+7,"")</x:f>
        <x:v>46242</x:v>
      </x:c>
      <x:c r="B25" s="19" t="n">
        <x:f>IF($A25="","",(A25-$T$405+1)/1000)</x:f>
        <x:v>8.986</x:v>
      </x:c>
      <x:c r="C25" s="19" t="n">
        <x:f>IF($A25="","",2*(A25-$T$405)/$T$406-1)</x:f>
        <x:v>1.0015593673423924</x:v>
      </x:c>
      <x:c r="D25" s="8" t="n">
        <x:f>IF($A25="","",$B$4+$B$5*C25^1+$B$6*C25^2+INDEX($E$4:$E$15,MONTH(A25)))</x:f>
        <x:v>317.2957608376978</x:v>
      </x:c>
      <x:c r="E25" s="8" t="n">
        <x:f>IF($A25="","",SQRT($T$403^2+H25^2))</x:f>
        <x:v>108.87664826046341</x:v>
      </x:c>
      <x:c r="F25" s="8" t="n">
        <x:f>IF($A25="","",D25-$T$404*E25)</x:f>
        <x:v>103.87134768410621</x:v>
      </x:c>
      <x:c r="G25" s="8" t="n">
        <x:f>IF($A25="","",D25+$T$404*E25)</x:f>
        <x:v>530.7201739912894</x:v>
      </x:c>
      <x:c r="H25" s="8" t="n">
        <x:f>IF($A25="","",SQRT(MAX(0,(1)*$S$409*(1)+(1)*$T$409*(C25^1)+(1)*$U$409*(C25^2)+(C25^1)*$S$410*(1)+(C25^1)*$T$410*(C25^1)+(C25^1)*$U$410*(C25^2)+(C25^2)*$S$411*(1)+(C25^2)*$T$411*(C25^1)+(C25^2)*$U$411*(C25^2)+2*((1)*INDEX($S$416:$V$427,MONTH(A25),1)+(C25^1)*INDEX($S$416:$V$427,MONTH(A25),2)+(C25^2)*INDEX($S$416:$V$427,MONTH(A25),3))+INDEX($W$416:$W$427,MONTH(A25)))))</x:f>
        <x:v>5.252222155205691</x:v>
      </x:c>
      <x:c r="I25" s="3"/>
      <x:c r="J25" s="10" t="n">
        <x:v>45876</x:v>
      </x:c>
      <x:c r="K25" s="8" t="n">
        <x:f>INDEX('Сводка'!$S$3:$S$397,U25)</x:f>
        <x:v>259</x:v>
      </x:c>
      <x:c r="L25" s="8" t="n">
        <x:f>INDEX('Сводка'!$S$3:$S$397,V25)</x:f>
        <x:v>253</x:v>
      </x:c>
      <x:c r="M25" s="8" t="n">
        <x:f>INDEX($K$388:$N$400,W25,1)+INDEX($K$388:$N$400,W25,2)*(2*(J25-$T$405)/(T25-$T$405)-1)^1+INDEX($K$388:$N$400,W25,3)*(2*(J25-$T$405)/(T25-$T$405)-1)^2+INDEX($O$388:$Z$400,W25,MONTH(J25))</x:f>
        <x:v>336.1586345025255</x:v>
      </x:c>
      <x:c r="N25" s="8" t="n">
        <x:f>K25-M25</x:f>
        <x:v>-77.1586345025255</x:v>
      </x:c>
      <x:c r="O25" s="8" t="n">
        <x:f>ABS(N25)</x:f>
        <x:v>77.1586345025255</x:v>
      </x:c>
      <x:c r="P25" s="8" t="n">
        <x:f>N25^2</x:f>
        <x:v>5953.454878294318</x:v>
      </x:c>
      <x:c r="Q25" s="8" t="n">
        <x:f>K25-L25</x:f>
        <x:v>6</x:v>
      </x:c>
      <x:c r="R25" s="9" t="n">
        <x:f>IF(AND(INDEX('Сводка'!$T$3:$T$397,U25)=0,INDEX('Сводка'!$T$3:$T$397,V25)=0),1,0)</x:f>
        <x:v>1</x:v>
      </x:c>
      <x:c r="S25" s="9" t="n">
        <x:f>IF(AND(R25=1,O25&lt;=$G$13),1,0)</x:f>
        <x:v>0</x:v>
      </x:c>
      <x:c r="T25" s="10" t="n">
        <x:f>EOMONTH(J25-'Сводка'!$B$11,-1)</x:f>
        <x:v>45869</x:v>
      </x:c>
      <x:c r="U25" s="4" t="n">
        <x:f>MATCH(J25,'Сводка'!$R$3:$R$397,0)</x:f>
        <x:v>36</x:v>
      </x:c>
      <x:c r="V25" s="4" t="n">
        <x:f>MATCH(J25-'Сводка'!$B$11,'Сводка'!$R$3:$R$397,0)</x:f>
        <x:v>35</x:v>
      </x:c>
      <x:c r="W25" s="4" t="n">
        <x:f>MATCH(T25,$J$388:$J$400,0)</x:f>
        <x:v>2</x:v>
      </x:c>
      <x:c r="X25" s="3"/>
      <x:c r="Y25" s="3"/>
      <x:c r="Z25" s="3"/>
    </x:row>
    <x:row r="26" ht="15" customHeight="1">
      <x:c r="A26" s="10" t="n">
        <x:f>IF(8&lt;='Сводка'!$B$3,'Сводка'!$B$4+8,"")</x:f>
        <x:v>46243</x:v>
      </x:c>
      <x:c r="B26" s="19" t="n">
        <x:f>IF($A26="","",(A26-$T$405+1)/1000)</x:f>
        <x:v>8.987</x:v>
      </x:c>
      <x:c r="C26" s="19" t="n">
        <x:f>IF($A26="","",2*(A26-$T$405)/$T$406-1)</x:f>
        <x:v>1.0017821341055915</x:v>
      </x:c>
      <x:c r="D26" s="8" t="n">
        <x:f>IF($A26="","",$B$4+$B$5*C26^1+$B$6*C26^2+INDEX($E$4:$E$15,MONTH(A26)))</x:f>
        <x:v>317.28453867026064</x:v>
      </x:c>
      <x:c r="E26" s="8" t="n">
        <x:f>IF($A26="","",SQRT($T$403^2+H26^2))</x:f>
        <x:v>108.87670058884139</x:v>
      </x:c>
      <x:c r="F26" s="8" t="n">
        <x:f>IF($A26="","",D26-$T$404*E26)</x:f>
        <x:v>103.86002294046435</x:v>
      </x:c>
      <x:c r="G26" s="8" t="n">
        <x:f>IF($A26="","",D26+$T$404*E26)</x:f>
        <x:v>530.709054400057</x:v>
      </x:c>
      <x:c r="H26" s="8" t="n">
        <x:f>IF($A26="","",SQRT(MAX(0,(1)*$S$409*(1)+(1)*$T$409*(C26^1)+(1)*$U$409*(C26^2)+(C26^1)*$S$410*(1)+(C26^1)*$T$410*(C26^1)+(C26^1)*$U$410*(C26^2)+(C26^2)*$S$411*(1)+(C26^2)*$T$411*(C26^1)+(C26^2)*$U$411*(C26^2)+2*((1)*INDEX($S$416:$V$427,MONTH(A26),1)+(C26^1)*INDEX($S$416:$V$427,MONTH(A26),2)+(C26^2)*INDEX($S$416:$V$427,MONTH(A26),3))+INDEX($W$416:$W$427,MONTH(A26)))))</x:f>
        <x:v>5.253306791648324</x:v>
      </x:c>
      <x:c r="I26" s="3"/>
      <x:c r="J26" s="10" t="n">
        <x:v>45877</x:v>
      </x:c>
      <x:c r="K26" s="8" t="n">
        <x:f>INDEX('Сводка'!$S$3:$S$397,U26)</x:f>
        <x:v>265</x:v>
      </x:c>
      <x:c r="L26" s="8" t="n">
        <x:f>INDEX('Сводка'!$S$3:$S$397,V26)</x:f>
        <x:v>259</x:v>
      </x:c>
      <x:c r="M26" s="8" t="n">
        <x:f>INDEX($K$388:$N$400,W26,1)+INDEX($K$388:$N$400,W26,2)*(2*(J26-$T$405)/(T26-$T$405)-1)^1+INDEX($K$388:$N$400,W26,3)*(2*(J26-$T$405)/(T26-$T$405)-1)^2+INDEX($O$388:$Z$400,W26,MONTH(J26))</x:f>
        <x:v>336.15654548390364</x:v>
      </x:c>
      <x:c r="N26" s="8" t="n">
        <x:f>K26-M26</x:f>
        <x:v>-71.15654548390364</x:v>
      </x:c>
      <x:c r="O26" s="8" t="n">
        <x:f>ABS(N26)</x:f>
        <x:v>71.15654548390364</x:v>
      </x:c>
      <x:c r="P26" s="8" t="n">
        <x:f>N26^2</x:f>
        <x:v>5063.253965202848</x:v>
      </x:c>
      <x:c r="Q26" s="8" t="n">
        <x:f>K26-L26</x:f>
        <x:v>6</x:v>
      </x:c>
      <x:c r="R26" s="9" t="n">
        <x:f>IF(AND(INDEX('Сводка'!$T$3:$T$397,U26)=0,INDEX('Сводка'!$T$3:$T$397,V26)=0),1,0)</x:f>
        <x:v>1</x:v>
      </x:c>
      <x:c r="S26" s="9" t="n">
        <x:f>IF(AND(R26=1,O26&lt;=$G$13),1,0)</x:f>
        <x:v>0</x:v>
      </x:c>
      <x:c r="T26" s="10" t="n">
        <x:f>EOMONTH(J26-'Сводка'!$B$11,-1)</x:f>
        <x:v>45869</x:v>
      </x:c>
      <x:c r="U26" s="4" t="n">
        <x:f>MATCH(J26,'Сводка'!$R$3:$R$397,0)</x:f>
        <x:v>37</x:v>
      </x:c>
      <x:c r="V26" s="4" t="n">
        <x:f>MATCH(J26-'Сводка'!$B$11,'Сводка'!$R$3:$R$397,0)</x:f>
        <x:v>36</x:v>
      </x:c>
      <x:c r="W26" s="4" t="n">
        <x:f>MATCH(T26,$J$388:$J$400,0)</x:f>
        <x:v>2</x:v>
      </x:c>
      <x:c r="X26" s="3"/>
      <x:c r="Y26" s="3"/>
      <x:c r="Z26" s="3"/>
    </x:row>
    <x:row r="27" ht="15" customHeight="1">
      <x:c r="A27" s="10" t="n">
        <x:f>IF(9&lt;='Сводка'!$B$3,'Сводка'!$B$4+9,"")</x:f>
        <x:v>46244</x:v>
      </x:c>
      <x:c r="B27" s="19" t="n">
        <x:f>IF($A27="","",(A27-$T$405+1)/1000)</x:f>
        <x:v>8.988</x:v>
      </x:c>
      <x:c r="C27" s="19" t="n">
        <x:f>IF($A27="","",2*(A27-$T$405)/$T$406-1)</x:f>
        <x:v>1.0020049008687906</x:v>
      </x:c>
      <x:c r="D27" s="8" t="n">
        <x:f>IF($A27="","",$B$4+$B$5*C27^1+$B$6*C27^2+INDEX($E$4:$E$15,MONTH(A27)))</x:f>
        <x:v>317.2733097779731</x:v>
      </x:c>
      <x:c r="E27" s="8" t="n">
        <x:f>IF($A27="","",SQRT($T$403^2+H27^2))</x:f>
        <x:v>108.87675295693676</x:v>
      </x:c>
      <x:c r="F27" s="8" t="n">
        <x:f>IF($A27="","",D27-$T$404*E27)</x:f>
        <x:v>103.84869139411646</x:v>
      </x:c>
      <x:c r="G27" s="8" t="n">
        <x:f>IF($A27="","",D27+$T$404*E27)</x:f>
        <x:v>530.6979281618297</x:v>
      </x:c>
      <x:c r="H27" s="8" t="n">
        <x:f>IF($A27="","",SQRT(MAX(0,(1)*$S$409*(1)+(1)*$T$409*(C27^1)+(1)*$U$409*(C27^2)+(C27^1)*$S$410*(1)+(C27^1)*$T$410*(C27^1)+(C27^1)*$U$410*(C27^2)+(C27^2)*$S$411*(1)+(C27^2)*$T$411*(C27^1)+(C27^2)*$U$411*(C27^2)+2*((1)*INDEX($S$416:$V$427,MONTH(A27),1)+(C27^1)*INDEX($S$416:$V$427,MONTH(A27),2)+(C27^2)*INDEX($S$416:$V$427,MONTH(A27),3))+INDEX($W$416:$W$427,MONTH(A27)))))</x:f>
        <x:v>5.254392027704019</x:v>
      </x:c>
      <x:c r="I27" s="3"/>
      <x:c r="J27" s="10" t="n">
        <x:v>45878</x:v>
      </x:c>
      <x:c r="K27" s="8" t="n">
        <x:f>INDEX('Сводка'!$S$3:$S$397,U27)</x:f>
        <x:v>276</x:v>
      </x:c>
      <x:c r="L27" s="8" t="n">
        <x:f>INDEX('Сводка'!$S$3:$S$397,V27)</x:f>
        <x:v>265</x:v>
      </x:c>
      <x:c r="M27" s="8" t="n">
        <x:f>INDEX($K$388:$N$400,W27,1)+INDEX($K$388:$N$400,W27,2)*(2*(J27-$T$405)/(T27-$T$405)-1)^1+INDEX($K$388:$N$400,W27,3)*(2*(J27-$T$405)/(T27-$T$405)-1)^2+INDEX($O$388:$Z$400,W27,MONTH(J27))</x:f>
        <x:v>336.1544510314267</x:v>
      </x:c>
      <x:c r="N27" s="8" t="n">
        <x:f>K27-M27</x:f>
        <x:v>-60.154451031426674</x:v>
      </x:c>
      <x:c r="O27" s="8" t="n">
        <x:f>ABS(N27)</x:f>
        <x:v>60.154451031426674</x:v>
      </x:c>
      <x:c r="P27" s="8" t="n">
        <x:f>N27^2</x:f>
        <x:v>3618.5579788923096</x:v>
      </x:c>
      <x:c r="Q27" s="8" t="n">
        <x:f>K27-L27</x:f>
        <x:v>11</x:v>
      </x:c>
      <x:c r="R27" s="9" t="n">
        <x:f>IF(AND(INDEX('Сводка'!$T$3:$T$397,U27)=0,INDEX('Сводка'!$T$3:$T$397,V27)=0),1,0)</x:f>
        <x:v>1</x:v>
      </x:c>
      <x:c r="S27" s="9" t="n">
        <x:f>IF(AND(R27=1,O27&lt;=$G$13),1,0)</x:f>
        <x:v>0</x:v>
      </x:c>
      <x:c r="T27" s="10" t="n">
        <x:f>EOMONTH(J27-'Сводка'!$B$11,-1)</x:f>
        <x:v>45869</x:v>
      </x:c>
      <x:c r="U27" s="4" t="n">
        <x:f>MATCH(J27,'Сводка'!$R$3:$R$397,0)</x:f>
        <x:v>38</x:v>
      </x:c>
      <x:c r="V27" s="4" t="n">
        <x:f>MATCH(J27-'Сводка'!$B$11,'Сводка'!$R$3:$R$397,0)</x:f>
        <x:v>37</x:v>
      </x:c>
      <x:c r="W27" s="4" t="n">
        <x:f>MATCH(T27,$J$388:$J$400,0)</x:f>
        <x:v>2</x:v>
      </x:c>
      <x:c r="X27" s="3"/>
      <x:c r="Y27" s="3"/>
      <x:c r="Z27" s="3"/>
    </x:row>
    <x:row r="28" ht="15" customHeight="1">
      <x:c r="A28" s="10" t="n">
        <x:f>IF(10&lt;='Сводка'!$B$3,'Сводка'!$B$4+10,"")</x:f>
        <x:v>46245</x:v>
      </x:c>
      <x:c r="B28" s="19" t="n">
        <x:f>IF($A28="","",(A28-$T$405+1)/1000)</x:f>
        <x:v>8.989</x:v>
      </x:c>
      <x:c r="C28" s="19" t="n">
        <x:f>IF($A28="","",2*(A28-$T$405)/$T$406-1)</x:f>
        <x:v>1.0022276676319892</x:v>
      </x:c>
      <x:c r="D28" s="8" t="n">
        <x:f>IF($A28="","",$B$4+$B$5*C28^1+$B$6*C28^2+INDEX($E$4:$E$15,MONTH(A28)))</x:f>
        <x:v>317.2620741608353</x:v>
      </x:c>
      <x:c r="E28" s="8" t="n">
        <x:f>IF($A28="","",SQRT($T$403^2+H28^2))</x:f>
        <x:v>108.87680536476816</x:v>
      </x:c>
      <x:c r="F28" s="8" t="n">
        <x:f>IF($A28="","",D28-$T$404*E28)</x:f>
        <x:v>103.8373530450261</x:v>
      </x:c>
      <x:c r="G28" s="8" t="n">
        <x:f>IF($A28="","",D28+$T$404*E28)</x:f>
        <x:v>530.6867952766445</x:v>
      </x:c>
      <x:c r="H28" s="8" t="n">
        <x:f>IF($A28="","",SQRT(MAX(0,(1)*$S$409*(1)+(1)*$T$409*(C28^1)+(1)*$U$409*(C28^2)+(C28^1)*$S$410*(1)+(C28^1)*$T$410*(C28^1)+(C28^1)*$U$410*(C28^2)+(C28^2)*$S$411*(1)+(C28^2)*$T$411*(C28^1)+(C28^2)*$U$411*(C28^2)+2*((1)*INDEX($S$416:$V$427,MONTH(A28),1)+(C28^1)*INDEX($S$416:$V$427,MONTH(A28),2)+(C28^2)*INDEX($S$416:$V$427,MONTH(A28),3))+INDEX($W$416:$W$427,MONTH(A28)))))</x:f>
        <x:v>5.255477863389229</x:v>
      </x:c>
      <x:c r="I28" s="3"/>
      <x:c r="J28" s="10" t="n">
        <x:v>45879</x:v>
      </x:c>
      <x:c r="K28" s="8" t="n">
        <x:f>INDEX('Сводка'!$S$3:$S$397,U28)</x:f>
        <x:v>290</x:v>
      </x:c>
      <x:c r="L28" s="8" t="n">
        <x:f>INDEX('Сводка'!$S$3:$S$397,V28)</x:f>
        <x:v>276</x:v>
      </x:c>
      <x:c r="M28" s="8" t="n">
        <x:f>INDEX($K$388:$N$400,W28,1)+INDEX($K$388:$N$400,W28,2)*(2*(J28-$T$405)/(T28-$T$405)-1)^1+INDEX($K$388:$N$400,W28,3)*(2*(J28-$T$405)/(T28-$T$405)-1)^2+INDEX($O$388:$Z$400,W28,MONTH(J28))</x:f>
        <x:v>336.1523511450946</x:v>
      </x:c>
      <x:c r="N28" s="8" t="n">
        <x:f>K28-M28</x:f>
        <x:v>-46.1523511450946</x:v>
      </x:c>
      <x:c r="O28" s="8" t="n">
        <x:f>ABS(N28)</x:f>
        <x:v>46.1523511450946</x:v>
      </x:c>
      <x:c r="P28" s="8" t="n">
        <x:f>N28^2</x:f>
        <x:v>2130.039516220115</x:v>
      </x:c>
      <x:c r="Q28" s="8" t="n">
        <x:f>K28-L28</x:f>
        <x:v>14</x:v>
      </x:c>
      <x:c r="R28" s="9" t="n">
        <x:f>IF(AND(INDEX('Сводка'!$T$3:$T$397,U28)=0,INDEX('Сводка'!$T$3:$T$397,V28)=0),1,0)</x:f>
        <x:v>1</x:v>
      </x:c>
      <x:c r="S28" s="9" t="n">
        <x:f>IF(AND(R28=1,O28&lt;=$G$13),1,0)</x:f>
        <x:v>0</x:v>
      </x:c>
      <x:c r="T28" s="10" t="n">
        <x:f>EOMONTH(J28-'Сводка'!$B$11,-1)</x:f>
        <x:v>45869</x:v>
      </x:c>
      <x:c r="U28" s="4" t="n">
        <x:f>MATCH(J28,'Сводка'!$R$3:$R$397,0)</x:f>
        <x:v>39</x:v>
      </x:c>
      <x:c r="V28" s="4" t="n">
        <x:f>MATCH(J28-'Сводка'!$B$11,'Сводка'!$R$3:$R$397,0)</x:f>
        <x:v>38</x:v>
      </x:c>
      <x:c r="W28" s="4" t="n">
        <x:f>MATCH(T28,$J$388:$J$400,0)</x:f>
        <x:v>2</x:v>
      </x:c>
      <x:c r="X28" s="3"/>
      <x:c r="Y28" s="3"/>
      <x:c r="Z28" s="3"/>
    </x:row>
    <x:row r="29" ht="15" customHeight="1">
      <x:c r="A29" s="10" t="n">
        <x:f>IF(11&lt;='Сводка'!$B$3,'Сводка'!$B$4+11,"")</x:f>
        <x:v>46246</x:v>
      </x:c>
      <x:c r="B29" s="19" t="n">
        <x:f>IF($A29="","",(A29-$T$405+1)/1000)</x:f>
        <x:v>8.99</x:v>
      </x:c>
      <x:c r="C29" s="19" t="n">
        <x:f>IF($A29="","",2*(A29-$T$405)/$T$406-1)</x:f>
        <x:v>1.0024504343951883</x:v>
      </x:c>
      <x:c r="D29" s="8" t="n">
        <x:f>IF($A29="","",$B$4+$B$5*C29^1+$B$6*C29^2+INDEX($E$4:$E$15,MONTH(A29)))</x:f>
        <x:v>317.25083181884725</x:v>
      </x:c>
      <x:c r="E29" s="8" t="n">
        <x:f>IF($A29="","",SQRT($T$403^2+H29^2))</x:f>
        <x:v>108.8768578123543</x:v>
      </x:c>
      <x:c r="F29" s="8" t="n">
        <x:f>IF($A29="","",D29-$T$404*E29)</x:f>
        <x:v>103.82600789315666</x:v>
      </x:c>
      <x:c r="G29" s="8" t="n">
        <x:f>IF($A29="","",D29+$T$404*E29)</x:f>
        <x:v>530.6756557445378</x:v>
      </x:c>
      <x:c r="H29" s="8" t="n">
        <x:f>IF($A29="","",SQRT(MAX(0,(1)*$S$409*(1)+(1)*$T$409*(C29^1)+(1)*$U$409*(C29^2)+(C29^1)*$S$410*(1)+(C29^1)*$T$410*(C29^1)+(C29^1)*$U$410*(C29^2)+(C29^2)*$S$411*(1)+(C29^2)*$T$411*(C29^1)+(C29^2)*$U$411*(C29^2)+2*((1)*INDEX($S$416:$V$427,MONTH(A29),1)+(C29^1)*INDEX($S$416:$V$427,MONTH(A29),2)+(C29^2)*INDEX($S$416:$V$427,MONTH(A29),3))+INDEX($W$416:$W$427,MONTH(A29)))))</x:f>
        <x:v>5.256564298720279</x:v>
      </x:c>
      <x:c r="I29" s="3"/>
      <x:c r="J29" s="10" t="n">
        <x:v>45880</x:v>
      </x:c>
      <x:c r="K29" s="8" t="n">
        <x:f>INDEX('Сводка'!$S$3:$S$397,U29)</x:f>
        <x:v>303</x:v>
      </x:c>
      <x:c r="L29" s="8" t="n">
        <x:f>INDEX('Сводка'!$S$3:$S$397,V29)</x:f>
        <x:v>290</x:v>
      </x:c>
      <x:c r="M29" s="8" t="n">
        <x:f>INDEX($K$388:$N$400,W29,1)+INDEX($K$388:$N$400,W29,2)*(2*(J29-$T$405)/(T29-$T$405)-1)^1+INDEX($K$388:$N$400,W29,3)*(2*(J29-$T$405)/(T29-$T$405)-1)^2+INDEX($O$388:$Z$400,W29,MONTH(J29))</x:f>
        <x:v>336.1502458249075</x:v>
      </x:c>
      <x:c r="N29" s="8" t="n">
        <x:f>K29-M29</x:f>
        <x:v>-33.15024582490747</x:v>
      </x:c>
      <x:c r="O29" s="8" t="n">
        <x:f>ABS(N29)</x:f>
        <x:v>33.15024582490747</x:v>
      </x:c>
      <x:c r="P29" s="8" t="n">
        <x:f>N29^2</x:f>
        <x:v>1098.9387982517953</x:v>
      </x:c>
      <x:c r="Q29" s="8" t="n">
        <x:f>K29-L29</x:f>
        <x:v>13</x:v>
      </x:c>
      <x:c r="R29" s="9" t="n">
        <x:f>IF(AND(INDEX('Сводка'!$T$3:$T$397,U29)=0,INDEX('Сводка'!$T$3:$T$397,V29)=0),1,0)</x:f>
        <x:v>1</x:v>
      </x:c>
      <x:c r="S29" s="9" t="n">
        <x:f>IF(AND(R29=1,O29&lt;=$G$13),1,0)</x:f>
        <x:v>0</x:v>
      </x:c>
      <x:c r="T29" s="10" t="n">
        <x:f>EOMONTH(J29-'Сводка'!$B$11,-1)</x:f>
        <x:v>45869</x:v>
      </x:c>
      <x:c r="U29" s="4" t="n">
        <x:f>MATCH(J29,'Сводка'!$R$3:$R$397,0)</x:f>
        <x:v>40</x:v>
      </x:c>
      <x:c r="V29" s="4" t="n">
        <x:f>MATCH(J29-'Сводка'!$B$11,'Сводка'!$R$3:$R$397,0)</x:f>
        <x:v>39</x:v>
      </x:c>
      <x:c r="W29" s="4" t="n">
        <x:f>MATCH(T29,$J$388:$J$400,0)</x:f>
        <x:v>2</x:v>
      </x:c>
      <x:c r="X29" s="3"/>
      <x:c r="Y29" s="3"/>
      <x:c r="Z29" s="3"/>
    </x:row>
    <x:row r="30" ht="15" customHeight="1">
      <x:c r="A30" s="10" t="n">
        <x:f>IF(12&lt;='Сводка'!$B$3,'Сводка'!$B$4+12,"")</x:f>
        <x:v>46247</x:v>
      </x:c>
      <x:c r="B30" s="19" t="n">
        <x:f>IF($A30="","",(A30-$T$405+1)/1000)</x:f>
        <x:v>8.991</x:v>
      </x:c>
      <x:c r="C30" s="19" t="n">
        <x:f>IF($A30="","",2*(A30-$T$405)/$T$406-1)</x:f>
        <x:v>1.002673201158387</x:v>
      </x:c>
      <x:c r="D30" s="8" t="n">
        <x:f>IF($A30="","",$B$4+$B$5*C30^1+$B$6*C30^2+INDEX($E$4:$E$15,MONTH(A30)))</x:f>
        <x:v>317.2395827520089</x:v>
      </x:c>
      <x:c r="E30" s="8" t="n">
        <x:f>IF($A30="","",SQRT($T$403^2+H30^2))</x:f>
        <x:v>108.87691029971383</x:v>
      </x:c>
      <x:c r="F30" s="8" t="n">
        <x:f>IF($A30="","",D30-$T$404*E30)</x:f>
        <x:v>103.81465593847153</x:v>
      </x:c>
      <x:c r="G30" s="8" t="n">
        <x:f>IF($A30="","",D30+$T$404*E30)</x:f>
        <x:v>530.6645095655463</x:v>
      </x:c>
      <x:c r="H30" s="8" t="n">
        <x:f>IF($A30="","",SQRT(MAX(0,(1)*$S$409*(1)+(1)*$T$409*(C30^1)+(1)*$U$409*(C30^2)+(C30^1)*$S$410*(1)+(C30^1)*$T$410*(C30^1)+(C30^1)*$U$410*(C30^2)+(C30^2)*$S$411*(1)+(C30^2)*$T$411*(C30^1)+(C30^2)*$U$411*(C30^2)+2*((1)*INDEX($S$416:$V$427,MONTH(A30),1)+(C30^1)*INDEX($S$416:$V$427,MONTH(A30),2)+(C30^2)*INDEX($S$416:$V$427,MONTH(A30),3))+INDEX($W$416:$W$427,MONTH(A30)))))</x:f>
        <x:v>5.257651333713355</x:v>
      </x:c>
      <x:c r="I30" s="3"/>
      <x:c r="J30" s="10" t="n">
        <x:v>45881</x:v>
      </x:c>
      <x:c r="K30" s="8" t="n">
        <x:f>INDEX('Сводка'!$S$3:$S$397,U30)</x:f>
        <x:v>315</x:v>
      </x:c>
      <x:c r="L30" s="8" t="n">
        <x:f>INDEX('Сводка'!$S$3:$S$397,V30)</x:f>
        <x:v>303</x:v>
      </x:c>
      <x:c r="M30" s="8" t="n">
        <x:f>INDEX($K$388:$N$400,W30,1)+INDEX($K$388:$N$400,W30,2)*(2*(J30-$T$405)/(T30-$T$405)-1)^1+INDEX($K$388:$N$400,W30,3)*(2*(J30-$T$405)/(T30-$T$405)-1)^2+INDEX($O$388:$Z$400,W30,MONTH(J30))</x:f>
        <x:v>336.14813507086535</x:v>
      </x:c>
      <x:c r="N30" s="8" t="n">
        <x:f>K30-M30</x:f>
        <x:v>-21.14813507086535</x:v>
      </x:c>
      <x:c r="O30" s="8" t="n">
        <x:f>ABS(N30)</x:f>
        <x:v>21.14813507086535</x:v>
      </x:c>
      <x:c r="P30" s="8" t="n">
        <x:f>N30^2</x:f>
        <x:v>447.24361697556503</x:v>
      </x:c>
      <x:c r="Q30" s="8" t="n">
        <x:f>K30-L30</x:f>
        <x:v>12</x:v>
      </x:c>
      <x:c r="R30" s="9" t="n">
        <x:f>IF(AND(INDEX('Сводка'!$T$3:$T$397,U30)=0,INDEX('Сводка'!$T$3:$T$397,V30)=0),1,0)</x:f>
        <x:v>1</x:v>
      </x:c>
      <x:c r="S30" s="9" t="n">
        <x:f>IF(AND(R30=1,O30&lt;=$G$13),1,0)</x:f>
        <x:v>0</x:v>
      </x:c>
      <x:c r="T30" s="10" t="n">
        <x:f>EOMONTH(J30-'Сводка'!$B$11,-1)</x:f>
        <x:v>45869</x:v>
      </x:c>
      <x:c r="U30" s="4" t="n">
        <x:f>MATCH(J30,'Сводка'!$R$3:$R$397,0)</x:f>
        <x:v>41</x:v>
      </x:c>
      <x:c r="V30" s="4" t="n">
        <x:f>MATCH(J30-'Сводка'!$B$11,'Сводка'!$R$3:$R$397,0)</x:f>
        <x:v>40</x:v>
      </x:c>
      <x:c r="W30" s="4" t="n">
        <x:f>MATCH(T30,$J$388:$J$400,0)</x:f>
        <x:v>2</x:v>
      </x:c>
      <x:c r="X30" s="3"/>
      <x:c r="Y30" s="3"/>
      <x:c r="Z30" s="3"/>
    </x:row>
    <x:row r="31" ht="15" customHeight="1">
      <x:c r="A31" s="10" t="n">
        <x:f>IF(13&lt;='Сводка'!$B$3,'Сводка'!$B$4+13,"")</x:f>
        <x:v>46248</x:v>
      </x:c>
      <x:c r="B31" s="19" t="n">
        <x:f>IF($A31="","",(A31-$T$405+1)/1000)</x:f>
        <x:v>8.992</x:v>
      </x:c>
      <x:c r="C31" s="19" t="n">
        <x:f>IF($A31="","",2*(A31-$T$405)/$T$406-1)</x:f>
        <x:v>1.002895967921586</x:v>
      </x:c>
      <x:c r="D31" s="8" t="n">
        <x:f>IF($A31="","",$B$4+$B$5*C31^1+$B$6*C31^2+INDEX($E$4:$E$15,MONTH(A31)))</x:f>
        <x:v>317.22832696032026</x:v>
      </x:c>
      <x:c r="E31" s="8" t="n">
        <x:f>IF($A31="","",SQRT($T$403^2+H31^2))</x:f>
        <x:v>108.87696282686545</x:v>
      </x:c>
      <x:c r="F31" s="8" t="n">
        <x:f>IF($A31="","",D31-$T$404*E31)</x:f>
        <x:v>103.80329718093401</x:v>
      </x:c>
      <x:c r="G31" s="8" t="n">
        <x:f>IF($A31="","",D31+$T$404*E31)</x:f>
        <x:v>530.6533567397065</x:v>
      </x:c>
      <x:c r="H31" s="8" t="n">
        <x:f>IF($A31="","",SQRT(MAX(0,(1)*$S$409*(1)+(1)*$T$409*(C31^1)+(1)*$U$409*(C31^2)+(C31^1)*$S$410*(1)+(C31^1)*$T$410*(C31^1)+(C31^1)*$U$410*(C31^2)+(C31^2)*$S$411*(1)+(C31^2)*$T$411*(C31^1)+(C31^2)*$U$411*(C31^2)+2*((1)*INDEX($S$416:$V$427,MONTH(A31),1)+(C31^1)*INDEX($S$416:$V$427,MONTH(A31),2)+(C31^2)*INDEX($S$416:$V$427,MONTH(A31),3))+INDEX($W$416:$W$427,MONTH(A31)))))</x:f>
        <x:v>5.258738968384517</x:v>
      </x:c>
      <x:c r="I31" s="3"/>
      <x:c r="J31" s="10" t="n">
        <x:v>45882</x:v>
      </x:c>
      <x:c r="K31" s="8" t="n">
        <x:f>INDEX('Сводка'!$S$3:$S$397,U31)</x:f>
        <x:v>323</x:v>
      </x:c>
      <x:c r="L31" s="8" t="n">
        <x:f>INDEX('Сводка'!$S$3:$S$397,V31)</x:f>
        <x:v>315</x:v>
      </x:c>
      <x:c r="M31" s="8" t="n">
        <x:f>INDEX($K$388:$N$400,W31,1)+INDEX($K$388:$N$400,W31,2)*(2*(J31-$T$405)/(T31-$T$405)-1)^1+INDEX($K$388:$N$400,W31,3)*(2*(J31-$T$405)/(T31-$T$405)-1)^2+INDEX($O$388:$Z$400,W31,MONTH(J31))</x:f>
        <x:v>336.14601888296806</x:v>
      </x:c>
      <x:c r="N31" s="8" t="n">
        <x:f>K31-M31</x:f>
        <x:v>-13.146018882968065</x:v>
      </x:c>
      <x:c r="O31" s="8" t="n">
        <x:f>ABS(N31)</x:f>
        <x:v>13.146018882968065</x:v>
      </x:c>
      <x:c r="P31" s="8" t="n">
        <x:f>N31^2</x:f>
        <x:v>172.8178124713529</x:v>
      </x:c>
      <x:c r="Q31" s="8" t="n">
        <x:f>K31-L31</x:f>
        <x:v>8</x:v>
      </x:c>
      <x:c r="R31" s="9" t="n">
        <x:f>IF(AND(INDEX('Сводка'!$T$3:$T$397,U31)=0,INDEX('Сводка'!$T$3:$T$397,V31)=0),1,0)</x:f>
        <x:v>1</x:v>
      </x:c>
      <x:c r="S31" s="9" t="n">
        <x:f>IF(AND(R31=1,O31&lt;=$G$13),1,0)</x:f>
        <x:v>0</x:v>
      </x:c>
      <x:c r="T31" s="10" t="n">
        <x:f>EOMONTH(J31-'Сводка'!$B$11,-1)</x:f>
        <x:v>45869</x:v>
      </x:c>
      <x:c r="U31" s="4" t="n">
        <x:f>MATCH(J31,'Сводка'!$R$3:$R$397,0)</x:f>
        <x:v>42</x:v>
      </x:c>
      <x:c r="V31" s="4" t="n">
        <x:f>MATCH(J31-'Сводка'!$B$11,'Сводка'!$R$3:$R$397,0)</x:f>
        <x:v>41</x:v>
      </x:c>
      <x:c r="W31" s="4" t="n">
        <x:f>MATCH(T31,$J$388:$J$400,0)</x:f>
        <x:v>2</x:v>
      </x:c>
      <x:c r="X31" s="3"/>
      <x:c r="Y31" s="3"/>
      <x:c r="Z31" s="3"/>
    </x:row>
    <x:row r="32" ht="15" customHeight="1">
      <x:c r="A32" s="10" t="n">
        <x:f>IF(14&lt;='Сводка'!$B$3,'Сводка'!$B$4+14,"")</x:f>
        <x:v>46249</x:v>
      </x:c>
      <x:c r="B32" s="19" t="n">
        <x:f>IF($A32="","",(A32-$T$405+1)/1000)</x:f>
        <x:v>8.993</x:v>
      </x:c>
      <x:c r="C32" s="19" t="n">
        <x:f>IF($A32="","",2*(A32-$T$405)/$T$406-1)</x:f>
        <x:v>1.0031187346847852</x:v>
      </x:c>
      <x:c r="D32" s="8" t="n">
        <x:f>IF($A32="","",$B$4+$B$5*C32^1+$B$6*C32^2+INDEX($E$4:$E$15,MONTH(A32)))</x:f>
        <x:v>317.2170644437813</x:v>
      </x:c>
      <x:c r="E32" s="8" t="n">
        <x:f>IF($A32="","",SQRT($T$403^2+H32^2))</x:f>
        <x:v>108.87701539382783</x:v>
      </x:c>
      <x:c r="F32" s="8" t="n">
        <x:f>IF($A32="","",D32-$T$404*E32)</x:f>
        <x:v>103.79193162050751</x:v>
      </x:c>
      <x:c r="G32" s="8" t="n">
        <x:f>IF($A32="","",D32+$T$404*E32)</x:f>
        <x:v>530.642197267055</x:v>
      </x:c>
      <x:c r="H32" s="8" t="n">
        <x:f>IF($A32="","",SQRT(MAX(0,(1)*$S$409*(1)+(1)*$T$409*(C32^1)+(1)*$U$409*(C32^2)+(C32^1)*$S$410*(1)+(C32^1)*$T$410*(C32^1)+(C32^1)*$U$410*(C32^2)+(C32^2)*$S$411*(1)+(C32^2)*$T$411*(C32^1)+(C32^2)*$U$411*(C32^2)+2*((1)*INDEX($S$416:$V$427,MONTH(A32),1)+(C32^1)*INDEX($S$416:$V$427,MONTH(A32),2)+(C32^2)*INDEX($S$416:$V$427,MONTH(A32),3))+INDEX($W$416:$W$427,MONTH(A32)))))</x:f>
        <x:v>5.259827202749687</x:v>
      </x:c>
      <x:c r="I32" s="3"/>
      <x:c r="J32" s="10" t="n">
        <x:v>45883</x:v>
      </x:c>
      <x:c r="K32" s="8" t="n">
        <x:f>INDEX('Сводка'!$S$3:$S$397,U32)</x:f>
        <x:v>327</x:v>
      </x:c>
      <x:c r="L32" s="8" t="n">
        <x:f>INDEX('Сводка'!$S$3:$S$397,V32)</x:f>
        <x:v>323</x:v>
      </x:c>
      <x:c r="M32" s="8" t="n">
        <x:f>INDEX($K$388:$N$400,W32,1)+INDEX($K$388:$N$400,W32,2)*(2*(J32-$T$405)/(T32-$T$405)-1)^1+INDEX($K$388:$N$400,W32,3)*(2*(J32-$T$405)/(T32-$T$405)-1)^2+INDEX($O$388:$Z$400,W32,MONTH(J32))</x:f>
        <x:v>336.1438972612158</x:v>
      </x:c>
      <x:c r="N32" s="8" t="n">
        <x:f>K32-M32</x:f>
        <x:v>-9.143897261215784</x:v>
      </x:c>
      <x:c r="O32" s="8" t="n">
        <x:f>ABS(N32)</x:f>
        <x:v>9.143897261215784</x:v>
      </x:c>
      <x:c r="P32" s="8" t="n">
        <x:f>N32^2</x:f>
        <x:v>83.61085712366952</x:v>
      </x:c>
      <x:c r="Q32" s="8" t="n">
        <x:f>K32-L32</x:f>
        <x:v>4</x:v>
      </x:c>
      <x:c r="R32" s="9" t="n">
        <x:f>IF(AND(INDEX('Сводка'!$T$3:$T$397,U32)=0,INDEX('Сводка'!$T$3:$T$397,V32)=0),1,0)</x:f>
        <x:v>1</x:v>
      </x:c>
      <x:c r="S32" s="9" t="n">
        <x:f>IF(AND(R32=1,O32&lt;=$G$13),1,0)</x:f>
        <x:v>0</x:v>
      </x:c>
      <x:c r="T32" s="10" t="n">
        <x:f>EOMONTH(J32-'Сводка'!$B$11,-1)</x:f>
        <x:v>45869</x:v>
      </x:c>
      <x:c r="U32" s="4" t="n">
        <x:f>MATCH(J32,'Сводка'!$R$3:$R$397,0)</x:f>
        <x:v>43</x:v>
      </x:c>
      <x:c r="V32" s="4" t="n">
        <x:f>MATCH(J32-'Сводка'!$B$11,'Сводка'!$R$3:$R$397,0)</x:f>
        <x:v>42</x:v>
      </x:c>
      <x:c r="W32" s="4" t="n">
        <x:f>MATCH(T32,$J$388:$J$400,0)</x:f>
        <x:v>2</x:v>
      </x:c>
      <x:c r="X32" s="3"/>
      <x:c r="Y32" s="3"/>
      <x:c r="Z32" s="3"/>
    </x:row>
    <x:row r="33" ht="15" customHeight="1">
      <x:c r="A33" s="10" t="n">
        <x:f>IF(15&lt;='Сводка'!$B$3,'Сводка'!$B$4+15,"")</x:f>
        <x:v>46250</x:v>
      </x:c>
      <x:c r="B33" s="19" t="n">
        <x:f>IF($A33="","",(A33-$T$405+1)/1000)</x:f>
        <x:v>8.994</x:v>
      </x:c>
      <x:c r="C33" s="19" t="n">
        <x:f>IF($A33="","",2*(A33-$T$405)/$T$406-1)</x:f>
        <x:v>1.0033415014479838</x:v>
      </x:c>
      <x:c r="D33" s="8" t="n">
        <x:f>IF($A33="","",$B$4+$B$5*C33^1+$B$6*C33^2+INDEX($E$4:$E$15,MONTH(A33)))</x:f>
        <x:v>317.2057952023921</x:v>
      </x:c>
      <x:c r="E33" s="8" t="n">
        <x:f>IF($A33="","",SQRT($T$403^2+H33^2))</x:f>
        <x:v>108.87706800061964</x:v>
      </x:c>
      <x:c r="F33" s="8" t="n">
        <x:f>IF($A33="","",D33-$T$404*E33)</x:f>
        <x:v>103.78055925715555</x:v>
      </x:c>
      <x:c r="G33" s="8" t="n">
        <x:f>IF($A33="","",D33+$T$404*E33)</x:f>
        <x:v>530.6310311476286</x:v>
      </x:c>
      <x:c r="H33" s="8" t="n">
        <x:f>IF($A33="","",SQRT(MAX(0,(1)*$S$409*(1)+(1)*$T$409*(C33^1)+(1)*$U$409*(C33^2)+(C33^1)*$S$410*(1)+(C33^1)*$T$410*(C33^1)+(C33^1)*$U$410*(C33^2)+(C33^2)*$S$411*(1)+(C33^2)*$T$411*(C33^1)+(C33^2)*$U$411*(C33^2)+2*((1)*INDEX($S$416:$V$427,MONTH(A33),1)+(C33^1)*INDEX($S$416:$V$427,MONTH(A33),2)+(C33^2)*INDEX($S$416:$V$427,MONTH(A33),3))+INDEX($W$416:$W$427,MONTH(A33)))))</x:f>
        <x:v>5.260916036824656</x:v>
      </x:c>
      <x:c r="I33" s="3"/>
      <x:c r="J33" s="10" t="n">
        <x:v>45884</x:v>
      </x:c>
      <x:c r="K33" s="8" t="n">
        <x:f>INDEX('Сводка'!$S$3:$S$397,U33)</x:f>
        <x:v>329</x:v>
      </x:c>
      <x:c r="L33" s="8" t="n">
        <x:f>INDEX('Сводка'!$S$3:$S$397,V33)</x:f>
        <x:v>327</x:v>
      </x:c>
      <x:c r="M33" s="8" t="n">
        <x:f>INDEX($K$388:$N$400,W33,1)+INDEX($K$388:$N$400,W33,2)*(2*(J33-$T$405)/(T33-$T$405)-1)^1+INDEX($K$388:$N$400,W33,3)*(2*(J33-$T$405)/(T33-$T$405)-1)^2+INDEX($O$388:$Z$400,W33,MONTH(J33))</x:f>
        <x:v>336.14177020560845</x:v>
      </x:c>
      <x:c r="N33" s="8" t="n">
        <x:f>K33-M33</x:f>
        <x:v>-7.141770205608452</x:v>
      </x:c>
      <x:c r="O33" s="8" t="n">
        <x:f>ABS(N33)</x:f>
        <x:v>7.141770205608452</x:v>
      </x:c>
      <x:c r="P33" s="8" t="n">
        <x:f>N33^2</x:f>
        <x:v>51.004881669716596</x:v>
      </x:c>
      <x:c r="Q33" s="8" t="n">
        <x:f>K33-L33</x:f>
        <x:v>2</x:v>
      </x:c>
      <x:c r="R33" s="9" t="n">
        <x:f>IF(AND(INDEX('Сводка'!$T$3:$T$397,U33)=0,INDEX('Сводка'!$T$3:$T$397,V33)=0),1,0)</x:f>
        <x:v>1</x:v>
      </x:c>
      <x:c r="S33" s="9" t="n">
        <x:f>IF(AND(R33=1,O33&lt;=$G$13),1,0)</x:f>
        <x:v>1</x:v>
      </x:c>
      <x:c r="T33" s="10" t="n">
        <x:f>EOMONTH(J33-'Сводка'!$B$11,-1)</x:f>
        <x:v>45869</x:v>
      </x:c>
      <x:c r="U33" s="4" t="n">
        <x:f>MATCH(J33,'Сводка'!$R$3:$R$397,0)</x:f>
        <x:v>44</x:v>
      </x:c>
      <x:c r="V33" s="4" t="n">
        <x:f>MATCH(J33-'Сводка'!$B$11,'Сводка'!$R$3:$R$397,0)</x:f>
        <x:v>43</x:v>
      </x:c>
      <x:c r="W33" s="4" t="n">
        <x:f>MATCH(T33,$J$388:$J$400,0)</x:f>
        <x:v>2</x:v>
      </x:c>
      <x:c r="X33" s="3"/>
      <x:c r="Y33" s="3"/>
      <x:c r="Z33" s="3"/>
    </x:row>
    <x:row r="34" ht="15" customHeight="1">
      <x:c r="A34" s="10" t="n">
        <x:f>IF(16&lt;='Сводка'!$B$3,'Сводка'!$B$4+16,"")</x:f>
        <x:v>46251</x:v>
      </x:c>
      <x:c r="B34" s="19" t="n">
        <x:f>IF($A34="","",(A34-$T$405+1)/1000)</x:f>
        <x:v>8.995</x:v>
      </x:c>
      <x:c r="C34" s="19" t="n">
        <x:f>IF($A34="","",2*(A34-$T$405)/$T$406-1)</x:f>
        <x:v>1.003564268211183</x:v>
      </x:c>
      <x:c r="D34" s="8" t="n">
        <x:f>IF($A34="","",$B$4+$B$5*C34^1+$B$6*C34^2+INDEX($E$4:$E$15,MONTH(A34)))</x:f>
        <x:v>317.1945192361526</x:v>
      </x:c>
      <x:c r="E34" s="8" t="n">
        <x:f>IF($A34="","",SQRT($T$403^2+H34^2))</x:f>
        <x:v>108.8771206472596</x:v>
      </x:c>
      <x:c r="F34" s="8" t="n">
        <x:f>IF($A34="","",D34-$T$404*E34)</x:f>
        <x:v>103.7691800908413</x:v>
      </x:c>
      <x:c r="G34" s="8" t="n">
        <x:f>IF($A34="","",D34+$T$404*E34)</x:f>
        <x:v>530.6198583814639</x:v>
      </x:c>
      <x:c r="H34" s="8" t="n">
        <x:f>IF($A34="","",SQRT(MAX(0,(1)*$S$409*(1)+(1)*$T$409*(C34^1)+(1)*$U$409*(C34^2)+(C34^1)*$S$410*(1)+(C34^1)*$T$410*(C34^1)+(C34^1)*$U$410*(C34^2)+(C34^2)*$S$411*(1)+(C34^2)*$T$411*(C34^1)+(C34^2)*$U$411*(C34^2)+2*((1)*INDEX($S$416:$V$427,MONTH(A34),1)+(C34^1)*INDEX($S$416:$V$427,MONTH(A34),2)+(C34^2)*INDEX($S$416:$V$427,MONTH(A34),3))+INDEX($W$416:$W$427,MONTH(A34)))))</x:f>
        <x:v>5.262005470625086</x:v>
      </x:c>
      <x:c r="I34" s="3"/>
      <x:c r="J34" s="10" t="n">
        <x:v>45885</x:v>
      </x:c>
      <x:c r="K34" s="8" t="n">
        <x:f>INDEX('Сводка'!$S$3:$S$397,U34)</x:f>
        <x:v>329</x:v>
      </x:c>
      <x:c r="L34" s="8" t="n">
        <x:f>INDEX('Сводка'!$S$3:$S$397,V34)</x:f>
        <x:v>329</x:v>
      </x:c>
      <x:c r="M34" s="8" t="n">
        <x:f>INDEX($K$388:$N$400,W34,1)+INDEX($K$388:$N$400,W34,2)*(2*(J34-$T$405)/(T34-$T$405)-1)^1+INDEX($K$388:$N$400,W34,3)*(2*(J34-$T$405)/(T34-$T$405)-1)^2+INDEX($O$388:$Z$400,W34,MONTH(J34))</x:f>
        <x:v>336.139637716146</x:v>
      </x:c>
      <x:c r="N34" s="8" t="n">
        <x:f>K34-M34</x:f>
        <x:v>-7.139637716146012</x:v>
      </x:c>
      <x:c r="O34" s="8" t="n">
        <x:f>ABS(N34)</x:f>
        <x:v>7.139637716146012</x:v>
      </x:c>
      <x:c r="P34" s="8" t="n">
        <x:f>N34^2</x:f>
        <x:v>50.974426717814644</x:v>
      </x:c>
      <x:c r="Q34" s="8" t="n">
        <x:f>K34-L34</x:f>
        <x:v>0</x:v>
      </x:c>
      <x:c r="R34" s="9" t="n">
        <x:f>IF(AND(INDEX('Сводка'!$T$3:$T$397,U34)=0,INDEX('Сводка'!$T$3:$T$397,V34)=0),1,0)</x:f>
        <x:v>1</x:v>
      </x:c>
      <x:c r="S34" s="9" t="n">
        <x:f>IF(AND(R34=1,O34&lt;=$G$13),1,0)</x:f>
        <x:v>1</x:v>
      </x:c>
      <x:c r="T34" s="10" t="n">
        <x:f>EOMONTH(J34-'Сводка'!$B$11,-1)</x:f>
        <x:v>45869</x:v>
      </x:c>
      <x:c r="U34" s="4" t="n">
        <x:f>MATCH(J34,'Сводка'!$R$3:$R$397,0)</x:f>
        <x:v>45</x:v>
      </x:c>
      <x:c r="V34" s="4" t="n">
        <x:f>MATCH(J34-'Сводка'!$B$11,'Сводка'!$R$3:$R$397,0)</x:f>
        <x:v>44</x:v>
      </x:c>
      <x:c r="W34" s="4" t="n">
        <x:f>MATCH(T34,$J$388:$J$400,0)</x:f>
        <x:v>2</x:v>
      </x:c>
      <x:c r="X34" s="3"/>
      <x:c r="Y34" s="3"/>
      <x:c r="Z34" s="3"/>
    </x:row>
    <x:row r="35" ht="15" customHeight="1">
      <x:c r="A35" s="10" t="n">
        <x:f>IF(17&lt;='Сводка'!$B$3,'Сводка'!$B$4+17,"")</x:f>
        <x:v>46252</x:v>
      </x:c>
      <x:c r="B35" s="19" t="n">
        <x:f>IF($A35="","",(A35-$T$405+1)/1000)</x:f>
        <x:v>8.996</x:v>
      </x:c>
      <x:c r="C35" s="19" t="n">
        <x:f>IF($A35="","",2*(A35-$T$405)/$T$406-1)</x:f>
        <x:v>1.003787034974382</x:v>
      </x:c>
      <x:c r="D35" s="8" t="n">
        <x:f>IF($A35="","",$B$4+$B$5*C35^1+$B$6*C35^2+INDEX($E$4:$E$15,MONTH(A35)))</x:f>
        <x:v>317.1832365450628</x:v>
      </x:c>
      <x:c r="E35" s="8" t="n">
        <x:f>IF($A35="","",SQRT($T$403^2+H35^2))</x:f>
        <x:v>108.8771733337664</x:v>
      </x:c>
      <x:c r="F35" s="8" t="n">
        <x:f>IF($A35="","",D35-$T$404*E35)</x:f>
        <x:v>103.7577941215282</x:v>
      </x:c>
      <x:c r="G35" s="8" t="n">
        <x:f>IF($A35="","",D35+$T$404*E35)</x:f>
        <x:v>530.6086789685974</x:v>
      </x:c>
      <x:c r="H35" s="8" t="n">
        <x:f>IF($A35="","",SQRT(MAX(0,(1)*$S$409*(1)+(1)*$T$409*(C35^1)+(1)*$U$409*(C35^2)+(C35^1)*$S$410*(1)+(C35^1)*$T$410*(C35^1)+(C35^1)*$U$410*(C35^2)+(C35^2)*$S$411*(1)+(C35^2)*$T$411*(C35^1)+(C35^2)*$U$411*(C35^2)+2*((1)*INDEX($S$416:$V$427,MONTH(A35),1)+(C35^1)*INDEX($S$416:$V$427,MONTH(A35),2)+(C35^2)*INDEX($S$416:$V$427,MONTH(A35),3))+INDEX($W$416:$W$427,MONTH(A35)))))</x:f>
        <x:v>5.263095504166503</x:v>
      </x:c>
      <x:c r="I35" s="3"/>
      <x:c r="J35" s="10" t="n">
        <x:v>45886</x:v>
      </x:c>
      <x:c r="K35" s="8" t="n">
        <x:f>INDEX('Сводка'!$S$3:$S$397,U35)</x:f>
        <x:v>325</x:v>
      </x:c>
      <x:c r="L35" s="8" t="n">
        <x:f>INDEX('Сводка'!$S$3:$S$397,V35)</x:f>
        <x:v>329</x:v>
      </x:c>
      <x:c r="M35" s="8" t="n">
        <x:f>INDEX($K$388:$N$400,W35,1)+INDEX($K$388:$N$400,W35,2)*(2*(J35-$T$405)/(T35-$T$405)-1)^1+INDEX($K$388:$N$400,W35,3)*(2*(J35-$T$405)/(T35-$T$405)-1)^2+INDEX($O$388:$Z$400,W35,MONTH(J35))</x:f>
        <x:v>336.1374997928285</x:v>
      </x:c>
      <x:c r="N35" s="8" t="n">
        <x:f>K35-M35</x:f>
        <x:v>-11.137499792828521</x:v>
      </x:c>
      <x:c r="O35" s="8" t="n">
        <x:f>ABS(N35)</x:f>
        <x:v>11.137499792828521</x:v>
      </x:c>
      <x:c r="P35" s="8" t="n">
        <x:f>N35^2</x:f>
        <x:v>124.04390163525535</x:v>
      </x:c>
      <x:c r="Q35" s="8" t="n">
        <x:f>K35-L35</x:f>
        <x:v>-4</x:v>
      </x:c>
      <x:c r="R35" s="9" t="n">
        <x:f>IF(AND(INDEX('Сводка'!$T$3:$T$397,U35)=0,INDEX('Сводка'!$T$3:$T$397,V35)=0),1,0)</x:f>
        <x:v>1</x:v>
      </x:c>
      <x:c r="S35" s="9" t="n">
        <x:f>IF(AND(R35=1,O35&lt;=$G$13),1,0)</x:f>
        <x:v>0</x:v>
      </x:c>
      <x:c r="T35" s="10" t="n">
        <x:f>EOMONTH(J35-'Сводка'!$B$11,-1)</x:f>
        <x:v>45869</x:v>
      </x:c>
      <x:c r="U35" s="4" t="n">
        <x:f>MATCH(J35,'Сводка'!$R$3:$R$397,0)</x:f>
        <x:v>46</x:v>
      </x:c>
      <x:c r="V35" s="4" t="n">
        <x:f>MATCH(J35-'Сводка'!$B$11,'Сводка'!$R$3:$R$397,0)</x:f>
        <x:v>45</x:v>
      </x:c>
      <x:c r="W35" s="4" t="n">
        <x:f>MATCH(T35,$J$388:$J$400,0)</x:f>
        <x:v>2</x:v>
      </x:c>
      <x:c r="X35" s="3"/>
      <x:c r="Y35" s="3"/>
      <x:c r="Z35" s="3"/>
    </x:row>
    <x:row r="36" ht="15" customHeight="1">
      <x:c r="A36" s="10" t="n">
        <x:f>IF(18&lt;='Сводка'!$B$3,'Сводка'!$B$4+18,"")</x:f>
        <x:v>46253</x:v>
      </x:c>
      <x:c r="B36" s="19" t="n">
        <x:f>IF($A36="","",(A36-$T$405+1)/1000)</x:f>
        <x:v>8.997</x:v>
      </x:c>
      <x:c r="C36" s="19" t="n">
        <x:f>IF($A36="","",2*(A36-$T$405)/$T$406-1)</x:f>
        <x:v>1.0040098017375807</x:v>
      </x:c>
      <x:c r="D36" s="8" t="n">
        <x:f>IF($A36="","",$B$4+$B$5*C36^1+$B$6*C36^2+INDEX($E$4:$E$15,MONTH(A36)))</x:f>
        <x:v>317.1719471291227</x:v>
      </x:c>
      <x:c r="E36" s="8" t="n">
        <x:f>IF($A36="","",SQRT($T$403^2+H36^2))</x:f>
        <x:v>108.87722606015872</x:v>
      </x:c>
      <x:c r="F36" s="8" t="n">
        <x:f>IF($A36="","",D36-$T$404*E36)</x:f>
        <x:v>103.74640134917954</x:v>
      </x:c>
      <x:c r="G36" s="8" t="n">
        <x:f>IF($A36="","",D36+$T$404*E36)</x:f>
        <x:v>530.5974929090659</x:v>
      </x:c>
      <x:c r="H36" s="8" t="n">
        <x:f>IF($A36="","",SQRT(MAX(0,(1)*$S$409*(1)+(1)*$T$409*(C36^1)+(1)*$U$409*(C36^2)+(C36^1)*$S$410*(1)+(C36^1)*$T$410*(C36^1)+(C36^1)*$U$410*(C36^2)+(C36^2)*$S$411*(1)+(C36^2)*$T$411*(C36^1)+(C36^2)*$U$411*(C36^2)+2*((1)*INDEX($S$416:$V$427,MONTH(A36),1)+(C36^1)*INDEX($S$416:$V$427,MONTH(A36),2)+(C36^2)*INDEX($S$416:$V$427,MONTH(A36),3))+INDEX($W$416:$W$427,MONTH(A36)))))</x:f>
        <x:v>5.264186137464301</x:v>
      </x:c>
      <x:c r="I36" s="3"/>
      <x:c r="J36" s="10" t="n">
        <x:v>45887</x:v>
      </x:c>
      <x:c r="K36" s="8" t="n">
        <x:f>INDEX('Сводка'!$S$3:$S$397,U36)</x:f>
        <x:v>320</x:v>
      </x:c>
      <x:c r="L36" s="8" t="n">
        <x:f>INDEX('Сводка'!$S$3:$S$397,V36)</x:f>
        <x:v>325</x:v>
      </x:c>
      <x:c r="M36" s="8" t="n">
        <x:f>INDEX($K$388:$N$400,W36,1)+INDEX($K$388:$N$400,W36,2)*(2*(J36-$T$405)/(T36-$T$405)-1)^1+INDEX($K$388:$N$400,W36,3)*(2*(J36-$T$405)/(T36-$T$405)-1)^2+INDEX($O$388:$Z$400,W36,MONTH(J36))</x:f>
        <x:v>336.135356435656</x:v>
      </x:c>
      <x:c r="N36" s="8" t="n">
        <x:f>K36-M36</x:f>
        <x:v>-16.13535643565598</x:v>
      </x:c>
      <x:c r="O36" s="8" t="n">
        <x:f>ABS(N36)</x:f>
        <x:v>16.13535643565598</x:v>
      </x:c>
      <x:c r="P36" s="8" t="n">
        <x:f>N36^2</x:f>
        <x:v>260.3497273056648</x:v>
      </x:c>
      <x:c r="Q36" s="8" t="n">
        <x:f>K36-L36</x:f>
        <x:v>-5</x:v>
      </x:c>
      <x:c r="R36" s="9" t="n">
        <x:f>IF(AND(INDEX('Сводка'!$T$3:$T$397,U36)=0,INDEX('Сводка'!$T$3:$T$397,V36)=0),1,0)</x:f>
        <x:v>1</x:v>
      </x:c>
      <x:c r="S36" s="9" t="n">
        <x:f>IF(AND(R36=1,O36&lt;=$G$13),1,0)</x:f>
        <x:v>0</x:v>
      </x:c>
      <x:c r="T36" s="10" t="n">
        <x:f>EOMONTH(J36-'Сводка'!$B$11,-1)</x:f>
        <x:v>45869</x:v>
      </x:c>
      <x:c r="U36" s="4" t="n">
        <x:f>MATCH(J36,'Сводка'!$R$3:$R$397,0)</x:f>
        <x:v>47</x:v>
      </x:c>
      <x:c r="V36" s="4" t="n">
        <x:f>MATCH(J36-'Сводка'!$B$11,'Сводка'!$R$3:$R$397,0)</x:f>
        <x:v>46</x:v>
      </x:c>
      <x:c r="W36" s="4" t="n">
        <x:f>MATCH(T36,$J$388:$J$400,0)</x:f>
        <x:v>2</x:v>
      </x:c>
      <x:c r="X36" s="3"/>
      <x:c r="Y36" s="3"/>
      <x:c r="Z36" s="3"/>
    </x:row>
    <x:row r="37" ht="15" customHeight="1">
      <x:c r="A37" s="10" t="n">
        <x:f>IF(19&lt;='Сводка'!$B$3,'Сводка'!$B$4+19,"")</x:f>
        <x:v>46254</x:v>
      </x:c>
      <x:c r="B37" s="19" t="n">
        <x:f>IF($A37="","",(A37-$T$405+1)/1000)</x:f>
        <x:v>8.998</x:v>
      </x:c>
      <x:c r="C37" s="19" t="n">
        <x:f>IF($A37="","",2*(A37-$T$405)/$T$406-1)</x:f>
        <x:v>1.0042325685007798</x:v>
      </x:c>
      <x:c r="D37" s="8" t="n">
        <x:f>IF($A37="","",$B$4+$B$5*C37^1+$B$6*C37^2+INDEX($E$4:$E$15,MONTH(A37)))</x:f>
        <x:v>317.16065098833235</x:v>
      </x:c>
      <x:c r="E37" s="8" t="n">
        <x:f>IF($A37="","",SQRT($T$403^2+H37^2))</x:f>
        <x:v>108.8772788264553</x:v>
      </x:c>
      <x:c r="F37" s="8" t="n">
        <x:f>IF($A37="","",D37-$T$404*E37)</x:f>
        <x:v>103.73500177375871</x:v>
      </x:c>
      <x:c r="G37" s="8" t="n">
        <x:f>IF($A37="","",D37+$T$404*E37)</x:f>
        <x:v>530.5863002029059</x:v>
      </x:c>
      <x:c r="H37" s="8" t="n">
        <x:f>IF($A37="","",SQRT(MAX(0,(1)*$S$409*(1)+(1)*$T$409*(C37^1)+(1)*$U$409*(C37^2)+(C37^1)*$S$410*(1)+(C37^1)*$T$410*(C37^1)+(C37^1)*$U$410*(C37^2)+(C37^2)*$S$411*(1)+(C37^2)*$T$411*(C37^1)+(C37^2)*$U$411*(C37^2)+2*((1)*INDEX($S$416:$V$427,MONTH(A37),1)+(C37^1)*INDEX($S$416:$V$427,MONTH(A37),2)+(C37^2)*INDEX($S$416:$V$427,MONTH(A37),3))+INDEX($W$416:$W$427,MONTH(A37)))))</x:f>
        <x:v>5.265277370533745</x:v>
      </x:c>
      <x:c r="I37" s="3"/>
      <x:c r="J37" s="10" t="n">
        <x:v>45888</x:v>
      </x:c>
      <x:c r="K37" s="8" t="n">
        <x:f>INDEX('Сводка'!$S$3:$S$397,U37)</x:f>
        <x:v>309</x:v>
      </x:c>
      <x:c r="L37" s="8" t="n">
        <x:f>INDEX('Сводка'!$S$3:$S$397,V37)</x:f>
        <x:v>320</x:v>
      </x:c>
      <x:c r="M37" s="8" t="n">
        <x:f>INDEX($K$388:$N$400,W37,1)+INDEX($K$388:$N$400,W37,2)*(2*(J37-$T$405)/(T37-$T$405)-1)^1+INDEX($K$388:$N$400,W37,3)*(2*(J37-$T$405)/(T37-$T$405)-1)^2+INDEX($O$388:$Z$400,W37,MONTH(J37))</x:f>
        <x:v>336.1332076446284</x:v>
      </x:c>
      <x:c r="N37" s="8" t="n">
        <x:f>K37-M37</x:f>
        <x:v>-27.133207644628385</x:v>
      </x:c>
      <x:c r="O37" s="8" t="n">
        <x:f>ABS(N37)</x:f>
        <x:v>27.133207644628385</x:v>
      </x:c>
      <x:c r="P37" s="8" t="n">
        <x:f>N37^2</x:f>
        <x:v>736.2109570865202</x:v>
      </x:c>
      <x:c r="Q37" s="8" t="n">
        <x:f>K37-L37</x:f>
        <x:v>-11</x:v>
      </x:c>
      <x:c r="R37" s="9" t="n">
        <x:f>IF(AND(INDEX('Сводка'!$T$3:$T$397,U37)=0,INDEX('Сводка'!$T$3:$T$397,V37)=0),1,0)</x:f>
        <x:v>1</x:v>
      </x:c>
      <x:c r="S37" s="9" t="n">
        <x:f>IF(AND(R37=1,O37&lt;=$G$13),1,0)</x:f>
        <x:v>0</x:v>
      </x:c>
      <x:c r="T37" s="10" t="n">
        <x:f>EOMONTH(J37-'Сводка'!$B$11,-1)</x:f>
        <x:v>45869</x:v>
      </x:c>
      <x:c r="U37" s="4" t="n">
        <x:f>MATCH(J37,'Сводка'!$R$3:$R$397,0)</x:f>
        <x:v>48</x:v>
      </x:c>
      <x:c r="V37" s="4" t="n">
        <x:f>MATCH(J37-'Сводка'!$B$11,'Сводка'!$R$3:$R$397,0)</x:f>
        <x:v>47</x:v>
      </x:c>
      <x:c r="W37" s="4" t="n">
        <x:f>MATCH(T37,$J$388:$J$400,0)</x:f>
        <x:v>2</x:v>
      </x:c>
      <x:c r="X37" s="3"/>
      <x:c r="Y37" s="3"/>
      <x:c r="Z37" s="3"/>
    </x:row>
    <x:row r="38" ht="15" customHeight="1">
      <x:c r="A38" s="10" t="n">
        <x:f>IF(20&lt;='Сводка'!$B$3,'Сводка'!$B$4+20,"")</x:f>
        <x:v>46255</x:v>
      </x:c>
      <x:c r="B38" s="19" t="n">
        <x:f>IF($A38="","",(A38-$T$405+1)/1000)</x:f>
        <x:v>8.999</x:v>
      </x:c>
      <x:c r="C38" s="19" t="n">
        <x:f>IF($A38="","",2*(A38-$T$405)/$T$406-1)</x:f>
        <x:v>1.0044553352639785</x:v>
      </x:c>
      <x:c r="D38" s="8" t="n">
        <x:f>IF($A38="","",$B$4+$B$5*C38^1+$B$6*C38^2+INDEX($E$4:$E$15,MONTH(A38)))</x:f>
        <x:v>317.1493481226917</x:v>
      </x:c>
      <x:c r="E38" s="8" t="n">
        <x:f>IF($A38="","",SQRT($T$403^2+H38^2))</x:f>
        <x:v>108.87733163267481</x:v>
      </x:c>
      <x:c r="F38" s="8" t="n">
        <x:f>IF($A38="","",D38-$T$404*E38)</x:f>
        <x:v>103.72359539522901</x:v>
      </x:c>
      <x:c r="G38" s="8" t="n">
        <x:f>IF($A38="","",D38+$T$404*E38)</x:f>
        <x:v>530.5751008501544</x:v>
      </x:c>
      <x:c r="H38" s="8" t="n">
        <x:f>IF($A38="","",SQRT(MAX(0,(1)*$S$409*(1)+(1)*$T$409*(C38^1)+(1)*$U$409*(C38^2)+(C38^1)*$S$410*(1)+(C38^1)*$T$410*(C38^1)+(C38^1)*$U$410*(C38^2)+(C38^2)*$S$411*(1)+(C38^2)*$T$411*(C38^1)+(C38^2)*$U$411*(C38^2)+2*((1)*INDEX($S$416:$V$427,MONTH(A38),1)+(C38^1)*INDEX($S$416:$V$427,MONTH(A38),2)+(C38^2)*INDEX($S$416:$V$427,MONTH(A38),3))+INDEX($W$416:$W$427,MONTH(A38)))))</x:f>
        <x:v>5.266369203389965</x:v>
      </x:c>
      <x:c r="I38" s="3"/>
      <x:c r="J38" s="10" t="n">
        <x:v>45889</x:v>
      </x:c>
      <x:c r="K38" s="8" t="n">
        <x:f>INDEX('Сводка'!$S$3:$S$397,U38)</x:f>
        <x:v>296</x:v>
      </x:c>
      <x:c r="L38" s="8" t="n">
        <x:f>INDEX('Сводка'!$S$3:$S$397,V38)</x:f>
        <x:v>309</x:v>
      </x:c>
      <x:c r="M38" s="8" t="n">
        <x:f>INDEX($K$388:$N$400,W38,1)+INDEX($K$388:$N$400,W38,2)*(2*(J38-$T$405)/(T38-$T$405)-1)^1+INDEX($K$388:$N$400,W38,3)*(2*(J38-$T$405)/(T38-$T$405)-1)^2+INDEX($O$388:$Z$400,W38,MONTH(J38))</x:f>
        <x:v>336.13105341974574</x:v>
      </x:c>
      <x:c r="N38" s="8" t="n">
        <x:f>K38-M38</x:f>
        <x:v>-40.13105341974574</x:v>
      </x:c>
      <x:c r="O38" s="8" t="n">
        <x:f>ABS(N38)</x:f>
        <x:v>40.13105341974574</x:v>
      </x:c>
      <x:c r="P38" s="8" t="n">
        <x:f>N38^2</x:f>
        <x:v>1610.5014485784864</x:v>
      </x:c>
      <x:c r="Q38" s="8" t="n">
        <x:f>K38-L38</x:f>
        <x:v>-13</x:v>
      </x:c>
      <x:c r="R38" s="9" t="n">
        <x:f>IF(AND(INDEX('Сводка'!$T$3:$T$397,U38)=0,INDEX('Сводка'!$T$3:$T$397,V38)=0),1,0)</x:f>
        <x:v>1</x:v>
      </x:c>
      <x:c r="S38" s="9" t="n">
        <x:f>IF(AND(R38=1,O38&lt;=$G$13),1,0)</x:f>
        <x:v>0</x:v>
      </x:c>
      <x:c r="T38" s="10" t="n">
        <x:f>EOMONTH(J38-'Сводка'!$B$11,-1)</x:f>
        <x:v>45869</x:v>
      </x:c>
      <x:c r="U38" s="4" t="n">
        <x:f>MATCH(J38,'Сводка'!$R$3:$R$397,0)</x:f>
        <x:v>49</x:v>
      </x:c>
      <x:c r="V38" s="4" t="n">
        <x:f>MATCH(J38-'Сводка'!$B$11,'Сводка'!$R$3:$R$397,0)</x:f>
        <x:v>48</x:v>
      </x:c>
      <x:c r="W38" s="4" t="n">
        <x:f>MATCH(T38,$J$388:$J$400,0)</x:f>
        <x:v>2</x:v>
      </x:c>
      <x:c r="X38" s="3"/>
      <x:c r="Y38" s="3"/>
      <x:c r="Z38" s="3"/>
    </x:row>
    <x:row r="39" ht="15" customHeight="1">
      <x:c r="A39" s="10" t="n">
        <x:f>IF(21&lt;='Сводка'!$B$3,'Сводка'!$B$4+21,"")</x:f>
        <x:v>46256</x:v>
      </x:c>
      <x:c r="B39" s="19" t="n">
        <x:f>IF($A39="","",(A39-$T$405+1)/1000)</x:f>
        <x:v>9</x:v>
      </x:c>
      <x:c r="C39" s="19" t="n">
        <x:f>IF($A39="","",2*(A39-$T$405)/$T$406-1)</x:f>
        <x:v>1.0046781020271776</x:v>
      </x:c>
      <x:c r="D39" s="8" t="n">
        <x:f>IF($A39="","",$B$4+$B$5*C39^1+$B$6*C39^2+INDEX($E$4:$E$15,MONTH(A39)))</x:f>
        <x:v>317.13803853220077</x:v>
      </x:c>
      <x:c r="E39" s="8" t="n">
        <x:f>IF($A39="","",SQRT($T$403^2+H39^2))</x:f>
        <x:v>108.87738447883596</x:v>
      </x:c>
      <x:c r="F39" s="8" t="n">
        <x:f>IF($A39="","",D39-$T$404*E39)</x:f>
        <x:v>103.7121822135538</x:v>
      </x:c>
      <x:c r="G39" s="8" t="n">
        <x:f>IF($A39="","",D39+$T$404*E39)</x:f>
        <x:v>530.5638948508478</x:v>
      </x:c>
      <x:c r="H39" s="8" t="n">
        <x:f>IF($A39="","",SQRT(MAX(0,(1)*$S$409*(1)+(1)*$T$409*(C39^1)+(1)*$U$409*(C39^2)+(C39^1)*$S$410*(1)+(C39^1)*$T$410*(C39^1)+(C39^1)*$U$410*(C39^2)+(C39^2)*$S$411*(1)+(C39^2)*$T$411*(C39^1)+(C39^2)*$U$411*(C39^2)+2*((1)*INDEX($S$416:$V$427,MONTH(A39),1)+(C39^1)*INDEX($S$416:$V$427,MONTH(A39),2)+(C39^2)*INDEX($S$416:$V$427,MONTH(A39),3))+INDEX($W$416:$W$427,MONTH(A39)))))</x:f>
        <x:v>5.267461636047964</x:v>
      </x:c>
      <x:c r="I39" s="3"/>
      <x:c r="J39" s="10" t="n">
        <x:v>45890</x:v>
      </x:c>
      <x:c r="K39" s="8" t="n">
        <x:f>INDEX('Сводка'!$S$3:$S$397,U39)</x:f>
        <x:v>282</x:v>
      </x:c>
      <x:c r="L39" s="8" t="n">
        <x:f>INDEX('Сводка'!$S$3:$S$397,V39)</x:f>
        <x:v>296</x:v>
      </x:c>
      <x:c r="M39" s="8" t="n">
        <x:f>INDEX($K$388:$N$400,W39,1)+INDEX($K$388:$N$400,W39,2)*(2*(J39-$T$405)/(T39-$T$405)-1)^1+INDEX($K$388:$N$400,W39,3)*(2*(J39-$T$405)/(T39-$T$405)-1)^2+INDEX($O$388:$Z$400,W39,MONTH(J39))</x:f>
        <x:v>336.128893761008</x:v>
      </x:c>
      <x:c r="N39" s="8" t="n">
        <x:f>K39-M39</x:f>
        <x:v>-54.12889376100799</x:v>
      </x:c>
      <x:c r="O39" s="8" t="n">
        <x:f>ABS(N39)</x:f>
        <x:v>54.12889376100799</x:v>
      </x:c>
      <x:c r="P39" s="8" t="n">
        <x:f>N39^2</x:f>
        <x:v>2929.9371397904893</x:v>
      </x:c>
      <x:c r="Q39" s="8" t="n">
        <x:f>K39-L39</x:f>
        <x:v>-14</x:v>
      </x:c>
      <x:c r="R39" s="9" t="n">
        <x:f>IF(AND(INDEX('Сводка'!$T$3:$T$397,U39)=0,INDEX('Сводка'!$T$3:$T$397,V39)=0),1,0)</x:f>
        <x:v>1</x:v>
      </x:c>
      <x:c r="S39" s="9" t="n">
        <x:f>IF(AND(R39=1,O39&lt;=$G$13),1,0)</x:f>
        <x:v>0</x:v>
      </x:c>
      <x:c r="T39" s="10" t="n">
        <x:f>EOMONTH(J39-'Сводка'!$B$11,-1)</x:f>
        <x:v>45869</x:v>
      </x:c>
      <x:c r="U39" s="4" t="n">
        <x:f>MATCH(J39,'Сводка'!$R$3:$R$397,0)</x:f>
        <x:v>50</x:v>
      </x:c>
      <x:c r="V39" s="4" t="n">
        <x:f>MATCH(J39-'Сводка'!$B$11,'Сводка'!$R$3:$R$397,0)</x:f>
        <x:v>49</x:v>
      </x:c>
      <x:c r="W39" s="4" t="n">
        <x:f>MATCH(T39,$J$388:$J$400,0)</x:f>
        <x:v>2</x:v>
      </x:c>
      <x:c r="X39" s="3"/>
      <x:c r="Y39" s="3"/>
      <x:c r="Z39" s="3"/>
    </x:row>
    <x:row r="40" ht="15" customHeight="1">
      <x:c r="A40" s="10" t="n">
        <x:f>IF(22&lt;='Сводка'!$B$3,'Сводка'!$B$4+22,"")</x:f>
        <x:v>46257</x:v>
      </x:c>
      <x:c r="B40" s="19" t="n">
        <x:f>IF($A40="","",(A40-$T$405+1)/1000)</x:f>
        <x:v>9.001</x:v>
      </x:c>
      <x:c r="C40" s="19" t="n">
        <x:f>IF($A40="","",2*(A40-$T$405)/$T$406-1)</x:f>
        <x:v>1.0049008687903767</x:v>
      </x:c>
      <x:c r="D40" s="8" t="n">
        <x:f>IF($A40="","",$B$4+$B$5*C40^1+$B$6*C40^2+INDEX($E$4:$E$15,MONTH(A40)))</x:f>
        <x:v>317.12672221685955</x:v>
      </x:c>
      <x:c r="E40" s="8" t="n">
        <x:f>IF($A40="","",SQRT($T$403^2+H40^2))</x:f>
        <x:v>108.87743736495752</x:v>
      </x:c>
      <x:c r="F40" s="8" t="n">
        <x:f>IF($A40="","",D40-$T$404*E40)</x:f>
        <x:v>103.70076222869633</x:v>
      </x:c>
      <x:c r="G40" s="8" t="n">
        <x:f>IF($A40="","",D40+$T$404*E40)</x:f>
        <x:v>530.5526822050227</x:v>
      </x:c>
      <x:c r="H40" s="8" t="n">
        <x:f>IF($A40="","",SQRT(MAX(0,(1)*$S$409*(1)+(1)*$T$409*(C40^1)+(1)*$U$409*(C40^2)+(C40^1)*$S$410*(1)+(C40^1)*$T$410*(C40^1)+(C40^1)*$U$410*(C40^2)+(C40^2)*$S$411*(1)+(C40^2)*$T$411*(C40^1)+(C40^2)*$U$411*(C40^2)+2*((1)*INDEX($S$416:$V$427,MONTH(A40),1)+(C40^1)*INDEX($S$416:$V$427,MONTH(A40),2)+(C40^2)*INDEX($S$416:$V$427,MONTH(A40),3))+INDEX($W$416:$W$427,MONTH(A40)))))</x:f>
        <x:v>5.268554668522609</x:v>
      </x:c>
      <x:c r="I40" s="3"/>
      <x:c r="J40" s="10" t="n">
        <x:v>45891</x:v>
      </x:c>
      <x:c r="K40" s="8" t="n">
        <x:f>INDEX('Сводка'!$S$3:$S$397,U40)</x:f>
        <x:v>270</x:v>
      </x:c>
      <x:c r="L40" s="8" t="n">
        <x:f>INDEX('Сводка'!$S$3:$S$397,V40)</x:f>
        <x:v>282</x:v>
      </x:c>
      <x:c r="M40" s="8" t="n">
        <x:f>INDEX($K$388:$N$400,W40,1)+INDEX($K$388:$N$400,W40,2)*(2*(J40-$T$405)/(T40-$T$405)-1)^1+INDEX($K$388:$N$400,W40,3)*(2*(J40-$T$405)/(T40-$T$405)-1)^2+INDEX($O$388:$Z$400,W40,MONTH(J40))</x:f>
        <x:v>336.1267286684152</x:v>
      </x:c>
      <x:c r="N40" s="8" t="n">
        <x:f>K40-M40</x:f>
        <x:v>-66.12672866841518</x:v>
      </x:c>
      <x:c r="O40" s="8" t="n">
        <x:f>ABS(N40)</x:f>
        <x:v>66.12672866841518</x:v>
      </x:c>
      <x:c r="P40" s="8" t="n">
        <x:f>N40^2</x:f>
        <x:v>4372.744244386203</x:v>
      </x:c>
      <x:c r="Q40" s="8" t="n">
        <x:f>K40-L40</x:f>
        <x:v>-12</x:v>
      </x:c>
      <x:c r="R40" s="9" t="n">
        <x:f>IF(AND(INDEX('Сводка'!$T$3:$T$397,U40)=0,INDEX('Сводка'!$T$3:$T$397,V40)=0),1,0)</x:f>
        <x:v>1</x:v>
      </x:c>
      <x:c r="S40" s="9" t="n">
        <x:f>IF(AND(R40=1,O40&lt;=$G$13),1,0)</x:f>
        <x:v>0</x:v>
      </x:c>
      <x:c r="T40" s="10" t="n">
        <x:f>EOMONTH(J40-'Сводка'!$B$11,-1)</x:f>
        <x:v>45869</x:v>
      </x:c>
      <x:c r="U40" s="4" t="n">
        <x:f>MATCH(J40,'Сводка'!$R$3:$R$397,0)</x:f>
        <x:v>51</x:v>
      </x:c>
      <x:c r="V40" s="4" t="n">
        <x:f>MATCH(J40-'Сводка'!$B$11,'Сводка'!$R$3:$R$397,0)</x:f>
        <x:v>50</x:v>
      </x:c>
      <x:c r="W40" s="4" t="n">
        <x:f>MATCH(T40,$J$388:$J$400,0)</x:f>
        <x:v>2</x:v>
      </x:c>
      <x:c r="X40" s="3"/>
      <x:c r="Y40" s="3"/>
      <x:c r="Z40" s="3"/>
    </x:row>
    <x:row r="41" ht="15" customHeight="1">
      <x:c r="A41" s="10" t="n">
        <x:f>IF(23&lt;='Сводка'!$B$3,'Сводка'!$B$4+23,"")</x:f>
        <x:v>46258</x:v>
      </x:c>
      <x:c r="B41" s="19" t="n">
        <x:f>IF($A41="","",(A41-$T$405+1)/1000)</x:f>
        <x:v>9.002</x:v>
      </x:c>
      <x:c r="C41" s="19" t="n">
        <x:f>IF($A41="","",2*(A41-$T$405)/$T$406-1)</x:f>
        <x:v>1.0051236355535753</x:v>
      </x:c>
      <x:c r="D41" s="8" t="n">
        <x:f>IF($A41="","",$B$4+$B$5*C41^1+$B$6*C41^2+INDEX($E$4:$E$15,MONTH(A41)))</x:f>
        <x:v>317.1153991766681</x:v>
      </x:c>
      <x:c r="E41" s="8" t="n">
        <x:f>IF($A41="","",SQRT($T$403^2+H41^2))</x:f>
        <x:v>108.87749029105815</x:v>
      </x:c>
      <x:c r="F41" s="8" t="n">
        <x:f>IF($A41="","",D41-$T$404*E41)</x:f>
        <x:v>103.68933544062006</x:v>
      </x:c>
      <x:c r="G41" s="8" t="n">
        <x:f>IF($A41="","",D41+$T$404*E41)</x:f>
        <x:v>530.5414629127162</x:v>
      </x:c>
      <x:c r="H41" s="8" t="n">
        <x:f>IF($A41="","",SQRT(MAX(0,(1)*$S$409*(1)+(1)*$T$409*(C41^1)+(1)*$U$409*(C41^2)+(C41^1)*$S$410*(1)+(C41^1)*$T$410*(C41^1)+(C41^1)*$U$410*(C41^2)+(C41^2)*$S$411*(1)+(C41^2)*$T$411*(C41^1)+(C41^2)*$U$411*(C41^2)+2*((1)*INDEX($S$416:$V$427,MONTH(A41),1)+(C41^1)*INDEX($S$416:$V$427,MONTH(A41),2)+(C41^2)*INDEX($S$416:$V$427,MONTH(A41),3))+INDEX($W$416:$W$427,MONTH(A41)))))</x:f>
        <x:v>5.269648300828633</x:v>
      </x:c>
      <x:c r="I41" s="3"/>
      <x:c r="J41" s="10" t="n">
        <x:v>45892</x:v>
      </x:c>
      <x:c r="K41" s="8" t="n">
        <x:f>INDEX('Сводка'!$S$3:$S$397,U41)</x:f>
        <x:v>255</x:v>
      </x:c>
      <x:c r="L41" s="8" t="n">
        <x:f>INDEX('Сводка'!$S$3:$S$397,V41)</x:f>
        <x:v>270</x:v>
      </x:c>
      <x:c r="M41" s="8" t="n">
        <x:f>INDEX($K$388:$N$400,W41,1)+INDEX($K$388:$N$400,W41,2)*(2*(J41-$T$405)/(T41-$T$405)-1)^1+INDEX($K$388:$N$400,W41,3)*(2*(J41-$T$405)/(T41-$T$405)-1)^2+INDEX($O$388:$Z$400,W41,MONTH(J41))</x:f>
        <x:v>336.1245581419673</x:v>
      </x:c>
      <x:c r="N41" s="8" t="n">
        <x:f>K41-M41</x:f>
        <x:v>-81.12455814196733</x:v>
      </x:c>
      <x:c r="O41" s="8" t="n">
        <x:f>ABS(N41)</x:f>
        <x:v>81.12455814196733</x:v>
      </x:c>
      <x:c r="P41" s="8" t="n">
        <x:f>N41^2</x:f>
        <x:v>6581.193933729437</x:v>
      </x:c>
      <x:c r="Q41" s="8" t="n">
        <x:f>K41-L41</x:f>
        <x:v>-15</x:v>
      </x:c>
      <x:c r="R41" s="9" t="n">
        <x:f>IF(AND(INDEX('Сводка'!$T$3:$T$397,U41)=0,INDEX('Сводка'!$T$3:$T$397,V41)=0),1,0)</x:f>
        <x:v>1</x:v>
      </x:c>
      <x:c r="S41" s="9" t="n">
        <x:f>IF(AND(R41=1,O41&lt;=$G$13),1,0)</x:f>
        <x:v>0</x:v>
      </x:c>
      <x:c r="T41" s="10" t="n">
        <x:f>EOMONTH(J41-'Сводка'!$B$11,-1)</x:f>
        <x:v>45869</x:v>
      </x:c>
      <x:c r="U41" s="4" t="n">
        <x:f>MATCH(J41,'Сводка'!$R$3:$R$397,0)</x:f>
        <x:v>52</x:v>
      </x:c>
      <x:c r="V41" s="4" t="n">
        <x:f>MATCH(J41-'Сводка'!$B$11,'Сводка'!$R$3:$R$397,0)</x:f>
        <x:v>51</x:v>
      </x:c>
      <x:c r="W41" s="4" t="n">
        <x:f>MATCH(T41,$J$388:$J$400,0)</x:f>
        <x:v>2</x:v>
      </x:c>
      <x:c r="X41" s="3"/>
      <x:c r="Y41" s="3"/>
      <x:c r="Z41" s="3"/>
    </x:row>
    <x:row r="42" ht="15" customHeight="1">
      <x:c r="A42" s="10" t="n">
        <x:f>IF(24&lt;='Сводка'!$B$3,'Сводка'!$B$4+24,"")</x:f>
        <x:v>46259</x:v>
      </x:c>
      <x:c r="B42" s="19" t="n">
        <x:f>IF($A42="","",(A42-$T$405+1)/1000)</x:f>
        <x:v>9.003</x:v>
      </x:c>
      <x:c r="C42" s="19" t="n">
        <x:f>IF($A42="","",2*(A42-$T$405)/$T$406-1)</x:f>
        <x:v>1.0053464023167744</x:v>
      </x:c>
      <x:c r="D42" s="8" t="n">
        <x:f>IF($A42="","",$B$4+$B$5*C42^1+$B$6*C42^2+INDEX($E$4:$E$15,MONTH(A42)))</x:f>
        <x:v>317.1040694116263</x:v>
      </x:c>
      <x:c r="E42" s="8" t="n">
        <x:f>IF($A42="","",SQRT($T$403^2+H42^2))</x:f>
        <x:v>108.8775432571566</x:v>
      </x:c>
      <x:c r="F42" s="8" t="n">
        <x:f>IF($A42="","",D42-$T$404*E42)</x:f>
        <x:v>103.67790184928802</x:v>
      </x:c>
      <x:c r="G42" s="8" t="n">
        <x:f>IF($A42="","",D42+$T$404*E42)</x:f>
        <x:v>530.5302369739646</x:v>
      </x:c>
      <x:c r="H42" s="8" t="n">
        <x:f>IF($A42="","",SQRT(MAX(0,(1)*$S$409*(1)+(1)*$T$409*(C42^1)+(1)*$U$409*(C42^2)+(C42^1)*$S$410*(1)+(C42^1)*$T$410*(C42^1)+(C42^1)*$U$410*(C42^2)+(C42^2)*$S$411*(1)+(C42^2)*$T$411*(C42^1)+(C42^2)*$U$411*(C42^2)+2*((1)*INDEX($S$416:$V$427,MONTH(A42),1)+(C42^1)*INDEX($S$416:$V$427,MONTH(A42),2)+(C42^2)*INDEX($S$416:$V$427,MONTH(A42),3))+INDEX($W$416:$W$427,MONTH(A42)))))</x:f>
        <x:v>5.270742532980647</x:v>
      </x:c>
      <x:c r="I42" s="3"/>
      <x:c r="J42" s="10" t="n">
        <x:v>45893</x:v>
      </x:c>
      <x:c r="K42" s="8" t="n">
        <x:f>INDEX('Сводка'!$S$3:$S$397,U42)</x:f>
        <x:v>245</x:v>
      </x:c>
      <x:c r="L42" s="8" t="n">
        <x:f>INDEX('Сводка'!$S$3:$S$397,V42)</x:f>
        <x:v>255</x:v>
      </x:c>
      <x:c r="M42" s="8" t="n">
        <x:f>INDEX($K$388:$N$400,W42,1)+INDEX($K$388:$N$400,W42,2)*(2*(J42-$T$405)/(T42-$T$405)-1)^1+INDEX($K$388:$N$400,W42,3)*(2*(J42-$T$405)/(T42-$T$405)-1)^2+INDEX($O$388:$Z$400,W42,MONTH(J42))</x:f>
        <x:v>336.1223821816644</x:v>
      </x:c>
      <x:c r="N42" s="8" t="n">
        <x:f>K42-M42</x:f>
        <x:v>-91.12238218166442</x:v>
      </x:c>
      <x:c r="O42" s="8" t="n">
        <x:f>ABS(N42)</x:f>
        <x:v>91.12238218166442</x:v>
      </x:c>
      <x:c r="P42" s="8" t="n">
        <x:f>N42^2</x:f>
        <x:v>8303.288534461313</x:v>
      </x:c>
      <x:c r="Q42" s="8" t="n">
        <x:f>K42-L42</x:f>
        <x:v>-10</x:v>
      </x:c>
      <x:c r="R42" s="9" t="n">
        <x:f>IF(AND(INDEX('Сводка'!$T$3:$T$397,U42)=0,INDEX('Сводка'!$T$3:$T$397,V42)=0),1,0)</x:f>
        <x:v>1</x:v>
      </x:c>
      <x:c r="S42" s="9" t="n">
        <x:f>IF(AND(R42=1,O42&lt;=$G$13),1,0)</x:f>
        <x:v>0</x:v>
      </x:c>
      <x:c r="T42" s="10" t="n">
        <x:f>EOMONTH(J42-'Сводка'!$B$11,-1)</x:f>
        <x:v>45869</x:v>
      </x:c>
      <x:c r="U42" s="4" t="n">
        <x:f>MATCH(J42,'Сводка'!$R$3:$R$397,0)</x:f>
        <x:v>53</x:v>
      </x:c>
      <x:c r="V42" s="4" t="n">
        <x:f>MATCH(J42-'Сводка'!$B$11,'Сводка'!$R$3:$R$397,0)</x:f>
        <x:v>52</x:v>
      </x:c>
      <x:c r="W42" s="4" t="n">
        <x:f>MATCH(T42,$J$388:$J$400,0)</x:f>
        <x:v>2</x:v>
      </x:c>
      <x:c r="X42" s="3"/>
      <x:c r="Y42" s="3"/>
      <x:c r="Z42" s="3"/>
    </x:row>
    <x:row r="43" ht="15" customHeight="1">
      <x:c r="A43" s="10" t="n">
        <x:f>IF(25&lt;='Сводка'!$B$3,'Сводка'!$B$4+25,"")</x:f>
        <x:v>46260</x:v>
      </x:c>
      <x:c r="B43" s="19" t="n">
        <x:f>IF($A43="","",(A43-$T$405+1)/1000)</x:f>
        <x:v>9.004</x:v>
      </x:c>
      <x:c r="C43" s="19" t="n">
        <x:f>IF($A43="","",2*(A43-$T$405)/$T$406-1)</x:f>
        <x:v>1.005569169079973</x:v>
      </x:c>
      <x:c r="D43" s="8" t="n">
        <x:f>IF($A43="","",$B$4+$B$5*C43^1+$B$6*C43^2+INDEX($E$4:$E$15,MONTH(A43)))</x:f>
        <x:v>317.09273292173424</x:v>
      </x:c>
      <x:c r="E43" s="8" t="n">
        <x:f>IF($A43="","",SQRT($T$403^2+H43^2))</x:f>
        <x:v>108.8775962632716</x:v>
      </x:c>
      <x:c r="F43" s="8" t="n">
        <x:f>IF($A43="","",D43-$T$404*E43)</x:f>
        <x:v>103.6664614546637</x:v>
      </x:c>
      <x:c r="G43" s="8" t="n">
        <x:f>IF($A43="","",D43+$T$404*E43)</x:f>
        <x:v>530.5190043888048</x:v>
      </x:c>
      <x:c r="H43" s="8" t="n">
        <x:f>IF($A43="","",SQRT(MAX(0,(1)*$S$409*(1)+(1)*$T$409*(C43^1)+(1)*$U$409*(C43^2)+(C43^1)*$S$410*(1)+(C43^1)*$T$410*(C43^1)+(C43^1)*$U$410*(C43^2)+(C43^2)*$S$411*(1)+(C43^2)*$T$411*(C43^1)+(C43^2)*$U$411*(C43^2)+2*((1)*INDEX($S$416:$V$427,MONTH(A43),1)+(C43^1)*INDEX($S$416:$V$427,MONTH(A43),2)+(C43^2)*INDEX($S$416:$V$427,MONTH(A43),3))+INDEX($W$416:$W$427,MONTH(A43)))))</x:f>
        <x:v>5.271837364993123</x:v>
      </x:c>
      <x:c r="I43" s="3"/>
      <x:c r="J43" s="10" t="n">
        <x:v>45894</x:v>
      </x:c>
      <x:c r="K43" s="8" t="n">
        <x:f>INDEX('Сводка'!$S$3:$S$397,U43)</x:f>
        <x:v>235</x:v>
      </x:c>
      <x:c r="L43" s="8" t="n">
        <x:f>INDEX('Сводка'!$S$3:$S$397,V43)</x:f>
        <x:v>245</x:v>
      </x:c>
      <x:c r="M43" s="8" t="n">
        <x:f>INDEX($K$388:$N$400,W43,1)+INDEX($K$388:$N$400,W43,2)*(2*(J43-$T$405)/(T43-$T$405)-1)^1+INDEX($K$388:$N$400,W43,3)*(2*(J43-$T$405)/(T43-$T$405)-1)^2+INDEX($O$388:$Z$400,W43,MONTH(J43))</x:f>
        <x:v>336.12020078750646</x:v>
      </x:c>
      <x:c r="N43" s="8" t="n">
        <x:f>K43-M43</x:f>
        <x:v>-101.12020078750646</x:v>
      </x:c>
      <x:c r="O43" s="8" t="n">
        <x:f>ABS(N43)</x:f>
        <x:v>101.12020078750646</x:v>
      </x:c>
      <x:c r="P43" s="8" t="n">
        <x:f>N43^2</x:f>
        <x:v>10225.295007305622</x:v>
      </x:c>
      <x:c r="Q43" s="8" t="n">
        <x:f>K43-L43</x:f>
        <x:v>-10</x:v>
      </x:c>
      <x:c r="R43" s="9" t="n">
        <x:f>IF(AND(INDEX('Сводка'!$T$3:$T$397,U43)=0,INDEX('Сводка'!$T$3:$T$397,V43)=0),1,0)</x:f>
        <x:v>1</x:v>
      </x:c>
      <x:c r="S43" s="9" t="n">
        <x:f>IF(AND(R43=1,O43&lt;=$G$13),1,0)</x:f>
        <x:v>0</x:v>
      </x:c>
      <x:c r="T43" s="10" t="n">
        <x:f>EOMONTH(J43-'Сводка'!$B$11,-1)</x:f>
        <x:v>45869</x:v>
      </x:c>
      <x:c r="U43" s="4" t="n">
        <x:f>MATCH(J43,'Сводка'!$R$3:$R$397,0)</x:f>
        <x:v>54</x:v>
      </x:c>
      <x:c r="V43" s="4" t="n">
        <x:f>MATCH(J43-'Сводка'!$B$11,'Сводка'!$R$3:$R$397,0)</x:f>
        <x:v>53</x:v>
      </x:c>
      <x:c r="W43" s="4" t="n">
        <x:f>MATCH(T43,$J$388:$J$400,0)</x:f>
        <x:v>2</x:v>
      </x:c>
      <x:c r="X43" s="3"/>
      <x:c r="Y43" s="3"/>
      <x:c r="Z43" s="3"/>
    </x:row>
    <x:row r="44" ht="15" customHeight="1">
      <x:c r="A44" s="10" t="n">
        <x:f>IF(26&lt;='Сводка'!$B$3,'Сводка'!$B$4+26,"")</x:f>
        <x:v>46261</x:v>
      </x:c>
      <x:c r="B44" s="19" t="n">
        <x:f>IF($A44="","",(A44-$T$405+1)/1000)</x:f>
        <x:v>9.005</x:v>
      </x:c>
      <x:c r="C44" s="19" t="n">
        <x:f>IF($A44="","",2*(A44-$T$405)/$T$406-1)</x:f>
        <x:v>1.0057919358431722</x:v>
      </x:c>
      <x:c r="D44" s="8" t="n">
        <x:f>IF($A44="","",$B$4+$B$5*C44^1+$B$6*C44^2+INDEX($E$4:$E$15,MONTH(A44)))</x:f>
        <x:v>317.0813897069919</x:v>
      </x:c>
      <x:c r="E44" s="8" t="n">
        <x:f>IF($A44="","",SQRT($T$403^2+H44^2))</x:f>
        <x:v>108.87764930942187</x:v>
      </x:c>
      <x:c r="F44" s="8" t="n">
        <x:f>IF($A44="","",D44-$T$404*E44)</x:f>
        <x:v>103.65501425671033</x:v>
      </x:c>
      <x:c r="G44" s="8" t="n">
        <x:f>IF($A44="","",D44+$T$404*E44)</x:f>
        <x:v>530.5077651572735</x:v>
      </x:c>
      <x:c r="H44" s="8" t="n">
        <x:f>IF($A44="","",SQRT(MAX(0,(1)*$S$409*(1)+(1)*$T$409*(C44^1)+(1)*$U$409*(C44^2)+(C44^1)*$S$410*(1)+(C44^1)*$T$410*(C44^1)+(C44^1)*$U$410*(C44^2)+(C44^2)*$S$411*(1)+(C44^2)*$T$411*(C44^1)+(C44^2)*$U$411*(C44^2)+2*((1)*INDEX($S$416:$V$427,MONTH(A44),1)+(C44^1)*INDEX($S$416:$V$427,MONTH(A44),2)+(C44^2)*INDEX($S$416:$V$427,MONTH(A44),3))+INDEX($W$416:$W$427,MONTH(A44)))))</x:f>
        <x:v>5.272932796880407</x:v>
      </x:c>
      <x:c r="I44" s="3"/>
      <x:c r="J44" s="10" t="n">
        <x:v>45895</x:v>
      </x:c>
      <x:c r="K44" s="8" t="n">
        <x:f>INDEX('Сводка'!$S$3:$S$397,U44)</x:f>
        <x:v>227</x:v>
      </x:c>
      <x:c r="L44" s="8" t="n">
        <x:f>INDEX('Сводка'!$S$3:$S$397,V44)</x:f>
        <x:v>235</x:v>
      </x:c>
      <x:c r="M44" s="8" t="n">
        <x:f>INDEX($K$388:$N$400,W44,1)+INDEX($K$388:$N$400,W44,2)*(2*(J44-$T$405)/(T44-$T$405)-1)^1+INDEX($K$388:$N$400,W44,3)*(2*(J44-$T$405)/(T44-$T$405)-1)^2+INDEX($O$388:$Z$400,W44,MONTH(J44))</x:f>
        <x:v>336.1180139594934</x:v>
      </x:c>
      <x:c r="N44" s="8" t="n">
        <x:f>K44-M44</x:f>
        <x:v>-109.1180139594934</x:v>
      </x:c>
      <x:c r="O44" s="8" t="n">
        <x:f>ABS(N44)</x:f>
        <x:v>109.1180139594934</x:v>
      </x:c>
      <x:c r="P44" s="8" t="n">
        <x:f>N44^2</x:f>
        <x:v>11906.740970464196</x:v>
      </x:c>
      <x:c r="Q44" s="8" t="n">
        <x:f>K44-L44</x:f>
        <x:v>-8</x:v>
      </x:c>
      <x:c r="R44" s="9" t="n">
        <x:f>IF(AND(INDEX('Сводка'!$T$3:$T$397,U44)=0,INDEX('Сводка'!$T$3:$T$397,V44)=0),1,0)</x:f>
        <x:v>1</x:v>
      </x:c>
      <x:c r="S44" s="9" t="n">
        <x:f>IF(AND(R44=1,O44&lt;=$G$13),1,0)</x:f>
        <x:v>0</x:v>
      </x:c>
      <x:c r="T44" s="10" t="n">
        <x:f>EOMONTH(J44-'Сводка'!$B$11,-1)</x:f>
        <x:v>45869</x:v>
      </x:c>
      <x:c r="U44" s="4" t="n">
        <x:f>MATCH(J44,'Сводка'!$R$3:$R$397,0)</x:f>
        <x:v>55</x:v>
      </x:c>
      <x:c r="V44" s="4" t="n">
        <x:f>MATCH(J44-'Сводка'!$B$11,'Сводка'!$R$3:$R$397,0)</x:f>
        <x:v>54</x:v>
      </x:c>
      <x:c r="W44" s="4" t="n">
        <x:f>MATCH(T44,$J$388:$J$400,0)</x:f>
        <x:v>2</x:v>
      </x:c>
      <x:c r="X44" s="3"/>
      <x:c r="Y44" s="3"/>
      <x:c r="Z44" s="3"/>
    </x:row>
    <x:row r="45" ht="15" customHeight="1">
      <x:c r="A45" s="10" t="n">
        <x:f>IF(27&lt;='Сводка'!$B$3,'Сводка'!$B$4+27,"")</x:f>
        <x:v>46262</x:v>
      </x:c>
      <x:c r="B45" s="19" t="n">
        <x:f>IF($A45="","",(A45-$T$405+1)/1000)</x:f>
        <x:v>9.006</x:v>
      </x:c>
      <x:c r="C45" s="19" t="n">
        <x:f>IF($A45="","",2*(A45-$T$405)/$T$406-1)</x:f>
        <x:v>1.0060147026063713</x:v>
      </x:c>
      <x:c r="D45" s="8" t="n">
        <x:f>IF($A45="","",$B$4+$B$5*C45^1+$B$6*C45^2+INDEX($E$4:$E$15,MONTH(A45)))</x:f>
        <x:v>317.07003976739924</x:v>
      </x:c>
      <x:c r="E45" s="8" t="n">
        <x:f>IF($A45="","",SQRT($T$403^2+H45^2))</x:f>
        <x:v>108.87770239562616</x:v>
      </x:c>
      <x:c r="F45" s="8" t="n">
        <x:f>IF($A45="","",D45-$T$404*E45)</x:f>
        <x:v>103.64356025539115</x:v>
      </x:c>
      <x:c r="G45" s="8" t="n">
        <x:f>IF($A45="","",D45+$T$404*E45)</x:f>
        <x:v>530.4965192794073</x:v>
      </x:c>
      <x:c r="H45" s="8" t="n">
        <x:f>IF($A45="","",SQRT(MAX(0,(1)*$S$409*(1)+(1)*$T$409*(C45^1)+(1)*$U$409*(C45^2)+(C45^1)*$S$410*(1)+(C45^1)*$T$410*(C45^1)+(C45^1)*$U$410*(C45^2)+(C45^2)*$S$411*(1)+(C45^2)*$T$411*(C45^1)+(C45^2)*$U$411*(C45^2)+2*((1)*INDEX($S$416:$V$427,MONTH(A45),1)+(C45^1)*INDEX($S$416:$V$427,MONTH(A45),2)+(C45^2)*INDEX($S$416:$V$427,MONTH(A45),3))+INDEX($W$416:$W$427,MONTH(A45)))))</x:f>
        <x:v>5.274028828656708</x:v>
      </x:c>
      <x:c r="I45" s="3"/>
      <x:c r="J45" s="10" t="n">
        <x:v>45896</x:v>
      </x:c>
      <x:c r="K45" s="8" t="n">
        <x:f>INDEX('Сводка'!$S$3:$S$397,U45)</x:f>
        <x:v>226</x:v>
      </x:c>
      <x:c r="L45" s="8" t="n">
        <x:f>INDEX('Сводка'!$S$3:$S$397,V45)</x:f>
        <x:v>227</x:v>
      </x:c>
      <x:c r="M45" s="8" t="n">
        <x:f>INDEX($K$388:$N$400,W45,1)+INDEX($K$388:$N$400,W45,2)*(2*(J45-$T$405)/(T45-$T$405)-1)^1+INDEX($K$388:$N$400,W45,3)*(2*(J45-$T$405)/(T45-$T$405)-1)^2+INDEX($O$388:$Z$400,W45,MONTH(J45))</x:f>
        <x:v>336.1158216976253</x:v>
      </x:c>
      <x:c r="N45" s="8" t="n">
        <x:f>K45-M45</x:f>
        <x:v>-110.11582169762528</x:v>
      </x:c>
      <x:c r="O45" s="8" t="n">
        <x:f>ABS(N45)</x:f>
        <x:v>110.11582169762528</x:v>
      </x:c>
      <x:c r="P45" s="8" t="n">
        <x:f>N45^2</x:f>
        <x:v>12125.494188143202</x:v>
      </x:c>
      <x:c r="Q45" s="8" t="n">
        <x:f>K45-L45</x:f>
        <x:v>-1</x:v>
      </x:c>
      <x:c r="R45" s="9" t="n">
        <x:f>IF(AND(INDEX('Сводка'!$T$3:$T$397,U45)=0,INDEX('Сводка'!$T$3:$T$397,V45)=0),1,0)</x:f>
        <x:v>1</x:v>
      </x:c>
      <x:c r="S45" s="9" t="n">
        <x:f>IF(AND(R45=1,O45&lt;=$G$13),1,0)</x:f>
        <x:v>0</x:v>
      </x:c>
      <x:c r="T45" s="10" t="n">
        <x:f>EOMONTH(J45-'Сводка'!$B$11,-1)</x:f>
        <x:v>45869</x:v>
      </x:c>
      <x:c r="U45" s="4" t="n">
        <x:f>MATCH(J45,'Сводка'!$R$3:$R$397,0)</x:f>
        <x:v>56</x:v>
      </x:c>
      <x:c r="V45" s="4" t="n">
        <x:f>MATCH(J45-'Сводка'!$B$11,'Сводка'!$R$3:$R$397,0)</x:f>
        <x:v>55</x:v>
      </x:c>
      <x:c r="W45" s="4" t="n">
        <x:f>MATCH(T45,$J$388:$J$400,0)</x:f>
        <x:v>2</x:v>
      </x:c>
      <x:c r="X45" s="3"/>
      <x:c r="Y45" s="3"/>
      <x:c r="Z45" s="3"/>
    </x:row>
    <x:row r="46" ht="15" customHeight="1">
      <x:c r="A46" s="10" t="n">
        <x:f>IF(28&lt;='Сводка'!$B$3,'Сводка'!$B$4+28,"")</x:f>
        <x:v>46263</x:v>
      </x:c>
      <x:c r="B46" s="19" t="n">
        <x:f>IF($A46="","",(A46-$T$405+1)/1000)</x:f>
        <x:v>9.007</x:v>
      </x:c>
      <x:c r="C46" s="19" t="n">
        <x:f>IF($A46="","",2*(A46-$T$405)/$T$406-1)</x:f>
        <x:v>1.00623746936957</x:v>
      </x:c>
      <x:c r="D46" s="8" t="n">
        <x:f>IF($A46="","",$B$4+$B$5*C46^1+$B$6*C46^2+INDEX($E$4:$E$15,MONTH(A46)))</x:f>
        <x:v>317.0586831029563</x:v>
      </x:c>
      <x:c r="E46" s="8" t="n">
        <x:f>IF($A46="","",SQRT($T$403^2+H46^2))</x:f>
        <x:v>108.8777555219032</x:v>
      </x:c>
      <x:c r="F46" s="8" t="n">
        <x:f>IF($A46="","",D46-$T$404*E46)</x:f>
        <x:v>103.63209945066944</x:v>
      </x:c>
      <x:c r="G46" s="8" t="n">
        <x:f>IF($A46="","",D46+$T$404*E46)</x:f>
        <x:v>530.4852667552432</x:v>
      </x:c>
      <x:c r="H46" s="8" t="n">
        <x:f>IF($A46="","",SQRT(MAX(0,(1)*$S$409*(1)+(1)*$T$409*(C46^1)+(1)*$U$409*(C46^2)+(C46^1)*$S$410*(1)+(C46^1)*$T$410*(C46^1)+(C46^1)*$U$410*(C46^2)+(C46^2)*$S$411*(1)+(C46^2)*$T$411*(C46^1)+(C46^2)*$U$411*(C46^2)+2*((1)*INDEX($S$416:$V$427,MONTH(A46),1)+(C46^1)*INDEX($S$416:$V$427,MONTH(A46),2)+(C46^2)*INDEX($S$416:$V$427,MONTH(A46),3))+INDEX($W$416:$W$427,MONTH(A46)))))</x:f>
        <x:v>5.275125460336108</x:v>
      </x:c>
      <x:c r="I46" s="3"/>
      <x:c r="J46" s="10" t="n">
        <x:v>45897</x:v>
      </x:c>
      <x:c r="K46" s="8" t="n">
        <x:f>INDEX('Сводка'!$S$3:$S$397,U46)</x:f>
        <x:v>229</x:v>
      </x:c>
      <x:c r="L46" s="8" t="n">
        <x:f>INDEX('Сводка'!$S$3:$S$397,V46)</x:f>
        <x:v>226</x:v>
      </x:c>
      <x:c r="M46" s="8" t="n">
        <x:f>INDEX($K$388:$N$400,W46,1)+INDEX($K$388:$N$400,W46,2)*(2*(J46-$T$405)/(T46-$T$405)-1)^1+INDEX($K$388:$N$400,W46,3)*(2*(J46-$T$405)/(T46-$T$405)-1)^2+INDEX($O$388:$Z$400,W46,MONTH(J46))</x:f>
        <x:v>336.11362400190217</x:v>
      </x:c>
      <x:c r="N46" s="8" t="n">
        <x:f>K46-M46</x:f>
        <x:v>-107.11362400190217</x:v>
      </x:c>
      <x:c r="O46" s="8" t="n">
        <x:f>ABS(N46)</x:f>
        <x:v>107.11362400190217</x:v>
      </x:c>
      <x:c r="P46" s="8" t="n">
        <x:f>N46^2</x:f>
        <x:v>11473.328446820871</x:v>
      </x:c>
      <x:c r="Q46" s="8" t="n">
        <x:f>K46-L46</x:f>
        <x:v>3</x:v>
      </x:c>
      <x:c r="R46" s="9" t="n">
        <x:f>IF(AND(INDEX('Сводка'!$T$3:$T$397,U46)=0,INDEX('Сводка'!$T$3:$T$397,V46)=0),1,0)</x:f>
        <x:v>1</x:v>
      </x:c>
      <x:c r="S46" s="9" t="n">
        <x:f>IF(AND(R46=1,O46&lt;=$G$13),1,0)</x:f>
        <x:v>0</x:v>
      </x:c>
      <x:c r="T46" s="10" t="n">
        <x:f>EOMONTH(J46-'Сводка'!$B$11,-1)</x:f>
        <x:v>45869</x:v>
      </x:c>
      <x:c r="U46" s="4" t="n">
        <x:f>MATCH(J46,'Сводка'!$R$3:$R$397,0)</x:f>
        <x:v>57</x:v>
      </x:c>
      <x:c r="V46" s="4" t="n">
        <x:f>MATCH(J46-'Сводка'!$B$11,'Сводка'!$R$3:$R$397,0)</x:f>
        <x:v>56</x:v>
      </x:c>
      <x:c r="W46" s="4" t="n">
        <x:f>MATCH(T46,$J$388:$J$400,0)</x:f>
        <x:v>2</x:v>
      </x:c>
      <x:c r="X46" s="3"/>
      <x:c r="Y46" s="3"/>
      <x:c r="Z46" s="3"/>
    </x:row>
    <x:row r="47" ht="15" customHeight="1">
      <x:c r="A47" s="10" t="n">
        <x:f>IF(29&lt;='Сводка'!$B$3,'Сводка'!$B$4+29,"")</x:f>
        <x:v>46264</x:v>
      </x:c>
      <x:c r="B47" s="19" t="n">
        <x:f>IF($A47="","",(A47-$T$405+1)/1000)</x:f>
        <x:v>9.008</x:v>
      </x:c>
      <x:c r="C47" s="19" t="n">
        <x:f>IF($A47="","",2*(A47-$T$405)/$T$406-1)</x:f>
        <x:v>1.006460236132769</x:v>
      </x:c>
      <x:c r="D47" s="8" t="n">
        <x:f>IF($A47="","",$B$4+$B$5*C47^1+$B$6*C47^2+INDEX($E$4:$E$15,MONTH(A47)))</x:f>
        <x:v>317.0473197136631</x:v>
      </x:c>
      <x:c r="E47" s="8" t="n">
        <x:f>IF($A47="","",SQRT($T$403^2+H47^2))</x:f>
        <x:v>108.87780868827173</x:v>
      </x:c>
      <x:c r="F47" s="8" t="n">
        <x:f>IF($A47="","",D47-$T$404*E47)</x:f>
        <x:v>103.62063184250854</x:v>
      </x:c>
      <x:c r="G47" s="8" t="n">
        <x:f>IF($A47="","",D47+$T$404*E47)</x:f>
        <x:v>530.4740075848176</x:v>
      </x:c>
      <x:c r="H47" s="8" t="n">
        <x:f>IF($A47="","",SQRT(MAX(0,(1)*$S$409*(1)+(1)*$T$409*(C47^1)+(1)*$U$409*(C47^2)+(C47^1)*$S$410*(1)+(C47^1)*$T$410*(C47^1)+(C47^1)*$U$410*(C47^2)+(C47^2)*$S$411*(1)+(C47^2)*$T$411*(C47^1)+(C47^2)*$U$411*(C47^2)+2*((1)*INDEX($S$416:$V$427,MONTH(A47),1)+(C47^1)*INDEX($S$416:$V$427,MONTH(A47),2)+(C47^2)*INDEX($S$416:$V$427,MONTH(A47),3))+INDEX($W$416:$W$427,MONTH(A47)))))</x:f>
        <x:v>5.27622269193256</x:v>
      </x:c>
      <x:c r="I47" s="3"/>
      <x:c r="J47" s="10" t="n">
        <x:v>45898</x:v>
      </x:c>
      <x:c r="K47" s="8" t="n">
        <x:f>INDEX('Сводка'!$S$3:$S$397,U47)</x:f>
        <x:v>233</x:v>
      </x:c>
      <x:c r="L47" s="8" t="n">
        <x:f>INDEX('Сводка'!$S$3:$S$397,V47)</x:f>
        <x:v>229</x:v>
      </x:c>
      <x:c r="M47" s="8" t="n">
        <x:f>INDEX($K$388:$N$400,W47,1)+INDEX($K$388:$N$400,W47,2)*(2*(J47-$T$405)/(T47-$T$405)-1)^1+INDEX($K$388:$N$400,W47,3)*(2*(J47-$T$405)/(T47-$T$405)-1)^2+INDEX($O$388:$Z$400,W47,MONTH(J47))</x:f>
        <x:v>336.1114208723239</x:v>
      </x:c>
      <x:c r="N47" s="8" t="n">
        <x:f>K47-M47</x:f>
        <x:v>-103.11142087232389</x:v>
      </x:c>
      <x:c r="O47" s="8" t="n">
        <x:f>ABS(N47)</x:f>
        <x:v>103.11142087232389</x:v>
      </x:c>
      <x:c r="P47" s="8" t="n">
        <x:f>N47^2</x:f>
        <x:v>10631.96511430951</x:v>
      </x:c>
      <x:c r="Q47" s="8" t="n">
        <x:f>K47-L47</x:f>
        <x:v>4</x:v>
      </x:c>
      <x:c r="R47" s="9" t="n">
        <x:f>IF(AND(INDEX('Сводка'!$T$3:$T$397,U47)=0,INDEX('Сводка'!$T$3:$T$397,V47)=0),1,0)</x:f>
        <x:v>1</x:v>
      </x:c>
      <x:c r="S47" s="9" t="n">
        <x:f>IF(AND(R47=1,O47&lt;=$G$13),1,0)</x:f>
        <x:v>0</x:v>
      </x:c>
      <x:c r="T47" s="10" t="n">
        <x:f>EOMONTH(J47-'Сводка'!$B$11,-1)</x:f>
        <x:v>45869</x:v>
      </x:c>
      <x:c r="U47" s="4" t="n">
        <x:f>MATCH(J47,'Сводка'!$R$3:$R$397,0)</x:f>
        <x:v>58</x:v>
      </x:c>
      <x:c r="V47" s="4" t="n">
        <x:f>MATCH(J47-'Сводка'!$B$11,'Сводка'!$R$3:$R$397,0)</x:f>
        <x:v>57</x:v>
      </x:c>
      <x:c r="W47" s="4" t="n">
        <x:f>MATCH(T47,$J$388:$J$400,0)</x:f>
        <x:v>2</x:v>
      </x:c>
      <x:c r="X47" s="3"/>
      <x:c r="Y47" s="3"/>
      <x:c r="Z47" s="3"/>
    </x:row>
    <x:row r="48" ht="15" customHeight="1">
      <x:c r="A48" s="10" t="n">
        <x:f>IF(30&lt;='Сводка'!$B$3,'Сводка'!$B$4+30,"")</x:f>
        <x:v>46265</x:v>
      </x:c>
      <x:c r="B48" s="19" t="n">
        <x:f>IF($A48="","",(A48-$T$405+1)/1000)</x:f>
        <x:v>9.009</x:v>
      </x:c>
      <x:c r="C48" s="19" t="n">
        <x:f>IF($A48="","",2*(A48-$T$405)/$T$406-1)</x:f>
        <x:v>1.0066830028959681</x:v>
      </x:c>
      <x:c r="D48" s="8" t="n">
        <x:f>IF($A48="","",$B$4+$B$5*C48^1+$B$6*C48^2+INDEX($E$4:$E$15,MONTH(A48)))</x:f>
        <x:v>317.0359495995196</x:v>
      </x:c>
      <x:c r="E48" s="8" t="n">
        <x:f>IF($A48="","",SQRT($T$403^2+H48^2))</x:f>
        <x:v>108.87786189475052</x:v>
      </x:c>
      <x:c r="F48" s="8" t="n">
        <x:f>IF($A48="","",D48-$T$404*E48)</x:f>
        <x:v>103.60915743087153</x:v>
      </x:c>
      <x:c r="G48" s="8" t="n">
        <x:f>IF($A48="","",D48+$T$404*E48)</x:f>
        <x:v>530.4627417681677</x:v>
      </x:c>
      <x:c r="H48" s="8" t="n">
        <x:f>IF($A48="","",SQRT(MAX(0,(1)*$S$409*(1)+(1)*$T$409*(C48^1)+(1)*$U$409*(C48^2)+(C48^1)*$S$410*(1)+(C48^1)*$T$410*(C48^1)+(C48^1)*$U$410*(C48^2)+(C48^2)*$S$411*(1)+(C48^2)*$T$411*(C48^1)+(C48^2)*$U$411*(C48^2)+2*((1)*INDEX($S$416:$V$427,MONTH(A48),1)+(C48^1)*INDEX($S$416:$V$427,MONTH(A48),2)+(C48^2)*INDEX($S$416:$V$427,MONTH(A48),3))+INDEX($W$416:$W$427,MONTH(A48)))))</x:f>
        <x:v>5.277320523459884</x:v>
      </x:c>
      <x:c r="I48" s="3"/>
      <x:c r="J48" s="10" t="n">
        <x:v>45899</x:v>
      </x:c>
      <x:c r="K48" s="8" t="n">
        <x:f>INDEX('Сводка'!$S$3:$S$397,U48)</x:f>
        <x:v>238</x:v>
      </x:c>
      <x:c r="L48" s="8" t="n">
        <x:f>INDEX('Сводка'!$S$3:$S$397,V48)</x:f>
        <x:v>233</x:v>
      </x:c>
      <x:c r="M48" s="8" t="n">
        <x:f>INDEX($K$388:$N$400,W48,1)+INDEX($K$388:$N$400,W48,2)*(2*(J48-$T$405)/(T48-$T$405)-1)^1+INDEX($K$388:$N$400,W48,3)*(2*(J48-$T$405)/(T48-$T$405)-1)^2+INDEX($O$388:$Z$400,W48,MONTH(J48))</x:f>
        <x:v>336.1092123088906</x:v>
      </x:c>
      <x:c r="N48" s="8" t="n">
        <x:f>K48-M48</x:f>
        <x:v>-98.10921230889062</x:v>
      </x:c>
      <x:c r="O48" s="8" t="n">
        <x:f>ABS(N48)</x:f>
        <x:v>98.10921230889062</x:v>
      </x:c>
      <x:c r="P48" s="8" t="n">
        <x:f>N48^2</x:f>
        <x:v>9625.417539870974</x:v>
      </x:c>
      <x:c r="Q48" s="8" t="n">
        <x:f>K48-L48</x:f>
        <x:v>5</x:v>
      </x:c>
      <x:c r="R48" s="9" t="n">
        <x:f>IF(AND(INDEX('Сводка'!$T$3:$T$397,U48)=0,INDEX('Сводка'!$T$3:$T$397,V48)=0),1,0)</x:f>
        <x:v>1</x:v>
      </x:c>
      <x:c r="S48" s="9" t="n">
        <x:f>IF(AND(R48=1,O48&lt;=$G$13),1,0)</x:f>
        <x:v>0</x:v>
      </x:c>
      <x:c r="T48" s="10" t="n">
        <x:f>EOMONTH(J48-'Сводка'!$B$11,-1)</x:f>
        <x:v>45869</x:v>
      </x:c>
      <x:c r="U48" s="4" t="n">
        <x:f>MATCH(J48,'Сводка'!$R$3:$R$397,0)</x:f>
        <x:v>59</x:v>
      </x:c>
      <x:c r="V48" s="4" t="n">
        <x:f>MATCH(J48-'Сводка'!$B$11,'Сводка'!$R$3:$R$397,0)</x:f>
        <x:v>58</x:v>
      </x:c>
      <x:c r="W48" s="4" t="n">
        <x:f>MATCH(T48,$J$388:$J$400,0)</x:f>
        <x:v>2</x:v>
      </x:c>
      <x:c r="X48" s="3"/>
      <x:c r="Y48" s="3"/>
      <x:c r="Z48" s="3"/>
    </x:row>
    <x:row r="49" ht="15" customHeight="1">
      <x:c r="A49" s="7" t="str">
        <x:f>IF(31&lt;='Сводка'!$B$3,'Сводка'!$B$4+31,"")</x:f>
      </x:c>
      <x:c r="B49" s="20" t="str">
        <x:f>IF($A49="","",(A49-$T$405+1)/1000)</x:f>
      </x:c>
      <x:c r="C49" s="20" t="str">
        <x:f>IF($A49="","",2*(A49-$T$405)/$T$406-1)</x:f>
      </x:c>
      <x:c r="D49" s="3" t="str">
        <x:f>IF($A49="","",$B$4+$B$5*C49^1+$B$6*C49^2+INDEX($E$4:$E$15,MONTH(A49)))</x:f>
      </x:c>
      <x:c r="E49" s="3" t="str">
        <x:f>IF($A49="","",SQRT($T$403^2+H49^2))</x:f>
      </x:c>
      <x:c r="F49" s="3" t="str">
        <x:f>IF($A49="","",D49-$T$404*E49)</x:f>
      </x:c>
      <x:c r="G49" s="3" t="str">
        <x:f>IF($A49="","",D49+$T$404*E49)</x:f>
      </x:c>
      <x:c r="H49" s="3" t="str">
        <x:f>IF($A49="","",SQRT(MAX(0,(1)*$S$409*(1)+(1)*$T$409*(C49^1)+(1)*$U$409*(C49^2)+(C49^1)*$S$410*(1)+(C49^1)*$T$410*(C49^1)+(C49^1)*$U$410*(C49^2)+(C49^2)*$S$411*(1)+(C49^2)*$T$411*(C49^1)+(C49^2)*$U$411*(C49^2)+2*((1)*INDEX($S$416:$V$427,MONTH(A49),1)+(C49^1)*INDEX($S$416:$V$427,MONTH(A49),2)+(C49^2)*INDEX($S$416:$V$427,MONTH(A49),3))+INDEX($W$416:$W$427,MONTH(A49)))))</x:f>
      </x:c>
      <x:c r="I49" s="3"/>
      <x:c r="J49" s="10" t="n">
        <x:v>45900</x:v>
      </x:c>
      <x:c r="K49" s="8" t="n">
        <x:f>INDEX('Сводка'!$S$3:$S$397,U49)</x:f>
        <x:v>238</x:v>
      </x:c>
      <x:c r="L49" s="8" t="n">
        <x:f>INDEX('Сводка'!$S$3:$S$397,V49)</x:f>
        <x:v>238</x:v>
      </x:c>
      <x:c r="M49" s="8" t="n">
        <x:f>INDEX($K$388:$N$400,W49,1)+INDEX($K$388:$N$400,W49,2)*(2*(J49-$T$405)/(T49-$T$405)-1)^1+INDEX($K$388:$N$400,W49,3)*(2*(J49-$T$405)/(T49-$T$405)-1)^2+INDEX($O$388:$Z$400,W49,MONTH(J49))</x:f>
        <x:v>336.10699831160224</x:v>
      </x:c>
      <x:c r="N49" s="8" t="n">
        <x:f>K49-M49</x:f>
        <x:v>-98.10699831160224</x:v>
      </x:c>
      <x:c r="O49" s="8" t="n">
        <x:f>ABS(N49)</x:f>
        <x:v>98.10699831160224</x:v>
      </x:c>
      <x:c r="P49" s="8" t="n">
        <x:f>N49^2</x:f>
        <x:v>9624.983117712725</x:v>
      </x:c>
      <x:c r="Q49" s="8" t="n">
        <x:f>K49-L49</x:f>
        <x:v>0</x:v>
      </x:c>
      <x:c r="R49" s="9" t="n">
        <x:f>IF(AND(INDEX('Сводка'!$T$3:$T$397,U49)=0,INDEX('Сводка'!$T$3:$T$397,V49)=0),1,0)</x:f>
        <x:v>1</x:v>
      </x:c>
      <x:c r="S49" s="9" t="n">
        <x:f>IF(AND(R49=1,O49&lt;=$G$13),1,0)</x:f>
        <x:v>0</x:v>
      </x:c>
      <x:c r="T49" s="10" t="n">
        <x:f>EOMONTH(J49-'Сводка'!$B$11,-1)</x:f>
        <x:v>45869</x:v>
      </x:c>
      <x:c r="U49" s="4" t="n">
        <x:f>MATCH(J49,'Сводка'!$R$3:$R$397,0)</x:f>
        <x:v>60</x:v>
      </x:c>
      <x:c r="V49" s="4" t="n">
        <x:f>MATCH(J49-'Сводка'!$B$11,'Сводка'!$R$3:$R$397,0)</x:f>
        <x:v>59</x:v>
      </x:c>
      <x:c r="W49" s="4" t="n">
        <x:f>MATCH(T49,$J$388:$J$400,0)</x:f>
        <x:v>2</x:v>
      </x:c>
      <x:c r="X49" s="3"/>
      <x:c r="Y49" s="3"/>
      <x:c r="Z49" s="3"/>
    </x:row>
    <x:row r="50" ht="15" customHeight="1">
      <x:c r="A50" s="7" t="str">
        <x:f>IF(32&lt;='Сводка'!$B$3,'Сводка'!$B$4+32,"")</x:f>
      </x:c>
      <x:c r="B50" s="20" t="str">
        <x:f>IF($A50="","",(A50-$T$405+1)/1000)</x:f>
      </x:c>
      <x:c r="C50" s="20" t="str">
        <x:f>IF($A50="","",2*(A50-$T$405)/$T$406-1)</x:f>
      </x:c>
      <x:c r="D50" s="3" t="str">
        <x:f>IF($A50="","",$B$4+$B$5*C50^1+$B$6*C50^2+INDEX($E$4:$E$15,MONTH(A50)))</x:f>
      </x:c>
      <x:c r="E50" s="3" t="str">
        <x:f>IF($A50="","",SQRT($T$403^2+H50^2))</x:f>
      </x:c>
      <x:c r="F50" s="3" t="str">
        <x:f>IF($A50="","",D50-$T$404*E50)</x:f>
      </x:c>
      <x:c r="G50" s="3" t="str">
        <x:f>IF($A50="","",D50+$T$404*E50)</x:f>
      </x:c>
      <x:c r="H50" s="3" t="str">
        <x:f>IF($A50="","",SQRT(MAX(0,(1)*$S$409*(1)+(1)*$T$409*(C50^1)+(1)*$U$409*(C50^2)+(C50^1)*$S$410*(1)+(C50^1)*$T$410*(C50^1)+(C50^1)*$U$410*(C50^2)+(C50^2)*$S$411*(1)+(C50^2)*$T$411*(C50^1)+(C50^2)*$U$411*(C50^2)+2*((1)*INDEX($S$416:$V$427,MONTH(A50),1)+(C50^1)*INDEX($S$416:$V$427,MONTH(A50),2)+(C50^2)*INDEX($S$416:$V$427,MONTH(A50),3))+INDEX($W$416:$W$427,MONTH(A50)))))</x:f>
      </x:c>
      <x:c r="I50" s="3"/>
      <x:c r="J50" s="10" t="n">
        <x:v>45901</x:v>
      </x:c>
      <x:c r="K50" s="8" t="n">
        <x:f>INDEX('Сводка'!$S$3:$S$397,U50)</x:f>
        <x:v>238</x:v>
      </x:c>
      <x:c r="L50" s="8" t="n">
        <x:f>INDEX('Сводка'!$S$3:$S$397,V50)</x:f>
        <x:v>238</x:v>
      </x:c>
      <x:c r="M50" s="8" t="n">
        <x:f>INDEX($K$388:$N$400,W50,1)+INDEX($K$388:$N$400,W50,2)*(2*(J50-$T$405)/(T50-$T$405)-1)^1+INDEX($K$388:$N$400,W50,3)*(2*(J50-$T$405)/(T50-$T$405)-1)^2+INDEX($O$388:$Z$400,W50,MONTH(J50))</x:f>
        <x:v>295.86728056560173</x:v>
      </x:c>
      <x:c r="N50" s="8" t="n">
        <x:f>K50-M50</x:f>
        <x:v>-57.86728056560173</x:v>
      </x:c>
      <x:c r="O50" s="8" t="n">
        <x:f>ABS(N50)</x:f>
        <x:v>57.86728056560173</x:v>
      </x:c>
      <x:c r="P50" s="8" t="n">
        <x:f>N50^2</x:f>
        <x:v>3348.622160058068</x:v>
      </x:c>
      <x:c r="Q50" s="8" t="n">
        <x:f>K50-L50</x:f>
        <x:v>0</x:v>
      </x:c>
      <x:c r="R50" s="9" t="n">
        <x:f>IF(AND(INDEX('Сводка'!$T$3:$T$397,U50)=0,INDEX('Сводка'!$T$3:$T$397,V50)=0),1,0)</x:f>
        <x:v>1</x:v>
      </x:c>
      <x:c r="S50" s="9" t="n">
        <x:f>IF(AND(R50=1,O50&lt;=$G$13),1,0)</x:f>
        <x:v>0</x:v>
      </x:c>
      <x:c r="T50" s="10" t="n">
        <x:f>EOMONTH(J50-'Сводка'!$B$11,-1)</x:f>
        <x:v>45869</x:v>
      </x:c>
      <x:c r="U50" s="4" t="n">
        <x:f>MATCH(J50,'Сводка'!$R$3:$R$397,0)</x:f>
        <x:v>61</x:v>
      </x:c>
      <x:c r="V50" s="4" t="n">
        <x:f>MATCH(J50-'Сводка'!$B$11,'Сводка'!$R$3:$R$397,0)</x:f>
        <x:v>60</x:v>
      </x:c>
      <x:c r="W50" s="4" t="n">
        <x:f>MATCH(T50,$J$388:$J$400,0)</x:f>
        <x:v>2</x:v>
      </x:c>
      <x:c r="X50" s="3"/>
      <x:c r="Y50" s="3"/>
      <x:c r="Z50" s="3"/>
    </x:row>
    <x:row r="51" ht="15" customHeight="1">
      <x:c r="A51" s="7" t="str">
        <x:f>IF(33&lt;='Сводка'!$B$3,'Сводка'!$B$4+33,"")</x:f>
      </x:c>
      <x:c r="B51" s="20" t="str">
        <x:f>IF($A51="","",(A51-$T$405+1)/1000)</x:f>
      </x:c>
      <x:c r="C51" s="20" t="str">
        <x:f>IF($A51="","",2*(A51-$T$405)/$T$406-1)</x:f>
      </x:c>
      <x:c r="D51" s="3" t="str">
        <x:f>IF($A51="","",$B$4+$B$5*C51^1+$B$6*C51^2+INDEX($E$4:$E$15,MONTH(A51)))</x:f>
      </x:c>
      <x:c r="E51" s="3" t="str">
        <x:f>IF($A51="","",SQRT($T$403^2+H51^2))</x:f>
      </x:c>
      <x:c r="F51" s="3" t="str">
        <x:f>IF($A51="","",D51-$T$404*E51)</x:f>
      </x:c>
      <x:c r="G51" s="3" t="str">
        <x:f>IF($A51="","",D51+$T$404*E51)</x:f>
      </x:c>
      <x:c r="H51" s="3" t="str">
        <x:f>IF($A51="","",SQRT(MAX(0,(1)*$S$409*(1)+(1)*$T$409*(C51^1)+(1)*$U$409*(C51^2)+(C51^1)*$S$410*(1)+(C51^1)*$T$410*(C51^1)+(C51^1)*$U$410*(C51^2)+(C51^2)*$S$411*(1)+(C51^2)*$T$411*(C51^1)+(C51^2)*$U$411*(C51^2)+2*((1)*INDEX($S$416:$V$427,MONTH(A51),1)+(C51^1)*INDEX($S$416:$V$427,MONTH(A51),2)+(C51^2)*INDEX($S$416:$V$427,MONTH(A51),3))+INDEX($W$416:$W$427,MONTH(A51)))))</x:f>
      </x:c>
      <x:c r="I51" s="3"/>
      <x:c r="J51" s="10" t="n">
        <x:v>45902</x:v>
      </x:c>
      <x:c r="K51" s="8" t="n">
        <x:f>INDEX('Сводка'!$S$3:$S$397,U51)</x:f>
        <x:v>233</x:v>
      </x:c>
      <x:c r="L51" s="8" t="n">
        <x:f>INDEX('Сводка'!$S$3:$S$397,V51)</x:f>
        <x:v>238</x:v>
      </x:c>
      <x:c r="M51" s="8" t="n">
        <x:f>INDEX($K$388:$N$400,W51,1)+INDEX($K$388:$N$400,W51,2)*(2*(J51-$T$405)/(T51-$T$405)-1)^1+INDEX($K$388:$N$400,W51,3)*(2*(J51-$T$405)/(T51-$T$405)-1)^2+INDEX($O$388:$Z$400,W51,MONTH(J51))</x:f>
        <x:v>293.7432015566109</x:v>
      </x:c>
      <x:c r="N51" s="8" t="n">
        <x:f>K51-M51</x:f>
        <x:v>-60.74320155661093</x:v>
      </x:c>
      <x:c r="O51" s="8" t="n">
        <x:f>ABS(N51)</x:f>
        <x:v>60.74320155661093</x:v>
      </x:c>
      <x:c r="P51" s="8" t="n">
        <x:f>N51^2</x:f>
        <x:v>3689.73653534706</x:v>
      </x:c>
      <x:c r="Q51" s="8" t="n">
        <x:f>K51-L51</x:f>
        <x:v>-5</x:v>
      </x:c>
      <x:c r="R51" s="9" t="n">
        <x:f>IF(AND(INDEX('Сводка'!$T$3:$T$397,U51)=0,INDEX('Сводка'!$T$3:$T$397,V51)=0),1,0)</x:f>
        <x:v>1</x:v>
      </x:c>
      <x:c r="S51" s="9" t="n">
        <x:f>IF(AND(R51=1,O51&lt;=$G$13),1,0)</x:f>
        <x:v>0</x:v>
      </x:c>
      <x:c r="T51" s="10" t="n">
        <x:f>EOMONTH(J51-'Сводка'!$B$11,-1)</x:f>
        <x:v>45900</x:v>
      </x:c>
      <x:c r="U51" s="4" t="n">
        <x:f>MATCH(J51,'Сводка'!$R$3:$R$397,0)</x:f>
        <x:v>62</x:v>
      </x:c>
      <x:c r="V51" s="4" t="n">
        <x:f>MATCH(J51-'Сводка'!$B$11,'Сводка'!$R$3:$R$397,0)</x:f>
        <x:v>61</x:v>
      </x:c>
      <x:c r="W51" s="4" t="n">
        <x:f>MATCH(T51,$J$388:$J$400,0)</x:f>
        <x:v>3</x:v>
      </x:c>
      <x:c r="X51" s="3"/>
      <x:c r="Y51" s="3"/>
      <x:c r="Z51" s="3"/>
    </x:row>
    <x:row r="52" ht="15" customHeight="1">
      <x:c r="A52" s="7" t="str">
        <x:f>IF(34&lt;='Сводка'!$B$3,'Сводка'!$B$4+34,"")</x:f>
      </x:c>
      <x:c r="B52" s="20" t="str">
        <x:f>IF($A52="","",(A52-$T$405+1)/1000)</x:f>
      </x:c>
      <x:c r="C52" s="20" t="str">
        <x:f>IF($A52="","",2*(A52-$T$405)/$T$406-1)</x:f>
      </x:c>
      <x:c r="D52" s="3" t="str">
        <x:f>IF($A52="","",$B$4+$B$5*C52^1+$B$6*C52^2+INDEX($E$4:$E$15,MONTH(A52)))</x:f>
      </x:c>
      <x:c r="E52" s="3" t="str">
        <x:f>IF($A52="","",SQRT($T$403^2+H52^2))</x:f>
      </x:c>
      <x:c r="F52" s="3" t="str">
        <x:f>IF($A52="","",D52-$T$404*E52)</x:f>
      </x:c>
      <x:c r="G52" s="3" t="str">
        <x:f>IF($A52="","",D52+$T$404*E52)</x:f>
      </x:c>
      <x:c r="H52" s="3" t="str">
        <x:f>IF($A52="","",SQRT(MAX(0,(1)*$S$409*(1)+(1)*$T$409*(C52^1)+(1)*$U$409*(C52^2)+(C52^1)*$S$410*(1)+(C52^1)*$T$410*(C52^1)+(C52^1)*$U$410*(C52^2)+(C52^2)*$S$411*(1)+(C52^2)*$T$411*(C52^1)+(C52^2)*$U$411*(C52^2)+2*((1)*INDEX($S$416:$V$427,MONTH(A52),1)+(C52^1)*INDEX($S$416:$V$427,MONTH(A52),2)+(C52^2)*INDEX($S$416:$V$427,MONTH(A52),3))+INDEX($W$416:$W$427,MONTH(A52)))))</x:f>
      </x:c>
      <x:c r="I52" s="3"/>
      <x:c r="J52" s="10" t="n">
        <x:v>45903</x:v>
      </x:c>
      <x:c r="K52" s="8" t="n">
        <x:f>INDEX('Сводка'!$S$3:$S$397,U52)</x:f>
        <x:v>228</x:v>
      </x:c>
      <x:c r="L52" s="8" t="n">
        <x:f>INDEX('Сводка'!$S$3:$S$397,V52)</x:f>
        <x:v>233</x:v>
      </x:c>
      <x:c r="M52" s="8" t="n">
        <x:f>INDEX($K$388:$N$400,W52,1)+INDEX($K$388:$N$400,W52,2)*(2*(J52-$T$405)/(T52-$T$405)-1)^1+INDEX($K$388:$N$400,W52,3)*(2*(J52-$T$405)/(T52-$T$405)-1)^2+INDEX($O$388:$Z$400,W52,MONTH(J52))</x:f>
        <x:v>293.73990179479745</x:v>
      </x:c>
      <x:c r="N52" s="8" t="n">
        <x:f>K52-M52</x:f>
        <x:v>-65.73990179479745</x:v>
      </x:c>
      <x:c r="O52" s="8" t="n">
        <x:f>ABS(N52)</x:f>
        <x:v>65.73990179479745</x:v>
      </x:c>
      <x:c r="P52" s="8" t="n">
        <x:f>N52^2</x:f>
        <x:v>4321.734687989612</x:v>
      </x:c>
      <x:c r="Q52" s="8" t="n">
        <x:f>K52-L52</x:f>
        <x:v>-5</x:v>
      </x:c>
      <x:c r="R52" s="9" t="n">
        <x:f>IF(AND(INDEX('Сводка'!$T$3:$T$397,U52)=0,INDEX('Сводка'!$T$3:$T$397,V52)=0),1,0)</x:f>
        <x:v>1</x:v>
      </x:c>
      <x:c r="S52" s="9" t="n">
        <x:f>IF(AND(R52=1,O52&lt;=$G$13),1,0)</x:f>
        <x:v>0</x:v>
      </x:c>
      <x:c r="T52" s="10" t="n">
        <x:f>EOMONTH(J52-'Сводка'!$B$11,-1)</x:f>
        <x:v>45900</x:v>
      </x:c>
      <x:c r="U52" s="4" t="n">
        <x:f>MATCH(J52,'Сводка'!$R$3:$R$397,0)</x:f>
        <x:v>63</x:v>
      </x:c>
      <x:c r="V52" s="4" t="n">
        <x:f>MATCH(J52-'Сводка'!$B$11,'Сводка'!$R$3:$R$397,0)</x:f>
        <x:v>62</x:v>
      </x:c>
      <x:c r="W52" s="4" t="n">
        <x:f>MATCH(T52,$J$388:$J$400,0)</x:f>
        <x:v>3</x:v>
      </x:c>
      <x:c r="X52" s="3"/>
      <x:c r="Y52" s="3"/>
      <x:c r="Z52" s="3"/>
    </x:row>
    <x:row r="53" ht="15" customHeight="1">
      <x:c r="A53" s="7" t="str">
        <x:f>IF(35&lt;='Сводка'!$B$3,'Сводка'!$B$4+35,"")</x:f>
      </x:c>
      <x:c r="B53" s="20" t="str">
        <x:f>IF($A53="","",(A53-$T$405+1)/1000)</x:f>
      </x:c>
      <x:c r="C53" s="20" t="str">
        <x:f>IF($A53="","",2*(A53-$T$405)/$T$406-1)</x:f>
      </x:c>
      <x:c r="D53" s="3" t="str">
        <x:f>IF($A53="","",$B$4+$B$5*C53^1+$B$6*C53^2+INDEX($E$4:$E$15,MONTH(A53)))</x:f>
      </x:c>
      <x:c r="E53" s="3" t="str">
        <x:f>IF($A53="","",SQRT($T$403^2+H53^2))</x:f>
      </x:c>
      <x:c r="F53" s="3" t="str">
        <x:f>IF($A53="","",D53-$T$404*E53)</x:f>
      </x:c>
      <x:c r="G53" s="3" t="str">
        <x:f>IF($A53="","",D53+$T$404*E53)</x:f>
      </x:c>
      <x:c r="H53" s="3" t="str">
        <x:f>IF($A53="","",SQRT(MAX(0,(1)*$S$409*(1)+(1)*$T$409*(C53^1)+(1)*$U$409*(C53^2)+(C53^1)*$S$410*(1)+(C53^1)*$T$410*(C53^1)+(C53^1)*$U$410*(C53^2)+(C53^2)*$S$411*(1)+(C53^2)*$T$411*(C53^1)+(C53^2)*$U$411*(C53^2)+2*((1)*INDEX($S$416:$V$427,MONTH(A53),1)+(C53^1)*INDEX($S$416:$V$427,MONTH(A53),2)+(C53^2)*INDEX($S$416:$V$427,MONTH(A53),3))+INDEX($W$416:$W$427,MONTH(A53)))))</x:f>
      </x:c>
      <x:c r="I53" s="3"/>
      <x:c r="J53" s="10" t="n">
        <x:v>45904</x:v>
      </x:c>
      <x:c r="K53" s="8" t="n">
        <x:f>INDEX('Сводка'!$S$3:$S$397,U53)</x:f>
        <x:v>226</x:v>
      </x:c>
      <x:c r="L53" s="8" t="n">
        <x:f>INDEX('Сводка'!$S$3:$S$397,V53)</x:f>
        <x:v>228</x:v>
      </x:c>
      <x:c r="M53" s="8" t="n">
        <x:f>INDEX($K$388:$N$400,W53,1)+INDEX($K$388:$N$400,W53,2)*(2*(J53-$T$405)/(T53-$T$405)-1)^1+INDEX($K$388:$N$400,W53,3)*(2*(J53-$T$405)/(T53-$T$405)-1)^2+INDEX($O$388:$Z$400,W53,MONTH(J53))</x:f>
        <x:v>293.7365963947736</x:v>
      </x:c>
      <x:c r="N53" s="8" t="n">
        <x:f>K53-M53</x:f>
        <x:v>-67.73659639477358</x:v>
      </x:c>
      <x:c r="O53" s="8" t="n">
        <x:f>ABS(N53)</x:f>
        <x:v>67.73659639477358</x:v>
      </x:c>
      <x:c r="P53" s="8" t="n">
        <x:f>N53^2</x:f>
        <x:v>4588.246491148454</x:v>
      </x:c>
      <x:c r="Q53" s="8" t="n">
        <x:f>K53-L53</x:f>
        <x:v>-2</x:v>
      </x:c>
      <x:c r="R53" s="9" t="n">
        <x:f>IF(AND(INDEX('Сводка'!$T$3:$T$397,U53)=0,INDEX('Сводка'!$T$3:$T$397,V53)=0),1,0)</x:f>
        <x:v>1</x:v>
      </x:c>
      <x:c r="S53" s="9" t="n">
        <x:f>IF(AND(R53=1,O53&lt;=$G$13),1,0)</x:f>
        <x:v>0</x:v>
      </x:c>
      <x:c r="T53" s="10" t="n">
        <x:f>EOMONTH(J53-'Сводка'!$B$11,-1)</x:f>
        <x:v>45900</x:v>
      </x:c>
      <x:c r="U53" s="4" t="n">
        <x:f>MATCH(J53,'Сводка'!$R$3:$R$397,0)</x:f>
        <x:v>64</x:v>
      </x:c>
      <x:c r="V53" s="4" t="n">
        <x:f>MATCH(J53-'Сводка'!$B$11,'Сводка'!$R$3:$R$397,0)</x:f>
        <x:v>63</x:v>
      </x:c>
      <x:c r="W53" s="4" t="n">
        <x:f>MATCH(T53,$J$388:$J$400,0)</x:f>
        <x:v>3</x:v>
      </x:c>
      <x:c r="X53" s="3"/>
      <x:c r="Y53" s="3"/>
      <x:c r="Z53" s="3"/>
    </x:row>
    <x:row r="54" ht="15" customHeight="1">
      <x:c r="A54" s="7" t="str">
        <x:f>IF(36&lt;='Сводка'!$B$3,'Сводка'!$B$4+36,"")</x:f>
      </x:c>
      <x:c r="B54" s="20" t="str">
        <x:f>IF($A54="","",(A54-$T$405+1)/1000)</x:f>
      </x:c>
      <x:c r="C54" s="20" t="str">
        <x:f>IF($A54="","",2*(A54-$T$405)/$T$406-1)</x:f>
      </x:c>
      <x:c r="D54" s="3" t="str">
        <x:f>IF($A54="","",$B$4+$B$5*C54^1+$B$6*C54^2+INDEX($E$4:$E$15,MONTH(A54)))</x:f>
      </x:c>
      <x:c r="E54" s="3" t="str">
        <x:f>IF($A54="","",SQRT($T$403^2+H54^2))</x:f>
      </x:c>
      <x:c r="F54" s="3" t="str">
        <x:f>IF($A54="","",D54-$T$404*E54)</x:f>
      </x:c>
      <x:c r="G54" s="3" t="str">
        <x:f>IF($A54="","",D54+$T$404*E54)</x:f>
      </x:c>
      <x:c r="H54" s="3" t="str">
        <x:f>IF($A54="","",SQRT(MAX(0,(1)*$S$409*(1)+(1)*$T$409*(C54^1)+(1)*$U$409*(C54^2)+(C54^1)*$S$410*(1)+(C54^1)*$T$410*(C54^1)+(C54^1)*$U$410*(C54^2)+(C54^2)*$S$411*(1)+(C54^2)*$T$411*(C54^1)+(C54^2)*$U$411*(C54^2)+2*((1)*INDEX($S$416:$V$427,MONTH(A54),1)+(C54^1)*INDEX($S$416:$V$427,MONTH(A54),2)+(C54^2)*INDEX($S$416:$V$427,MONTH(A54),3))+INDEX($W$416:$W$427,MONTH(A54)))))</x:f>
      </x:c>
      <x:c r="I54" s="3"/>
      <x:c r="J54" s="10" t="n">
        <x:v>45905</x:v>
      </x:c>
      <x:c r="K54" s="8" t="n">
        <x:f>INDEX('Сводка'!$S$3:$S$397,U54)</x:f>
        <x:v>226</x:v>
      </x:c>
      <x:c r="L54" s="8" t="n">
        <x:f>INDEX('Сводка'!$S$3:$S$397,V54)</x:f>
        <x:v>226</x:v>
      </x:c>
      <x:c r="M54" s="8" t="n">
        <x:f>INDEX($K$388:$N$400,W54,1)+INDEX($K$388:$N$400,W54,2)*(2*(J54-$T$405)/(T54-$T$405)-1)^1+INDEX($K$388:$N$400,W54,3)*(2*(J54-$T$405)/(T54-$T$405)-1)^2+INDEX($O$388:$Z$400,W54,MONTH(J54))</x:f>
        <x:v>293.73328535653934</x:v>
      </x:c>
      <x:c r="N54" s="8" t="n">
        <x:f>K54-M54</x:f>
        <x:v>-67.73328535653934</x:v>
      </x:c>
      <x:c r="O54" s="8" t="n">
        <x:f>ABS(N54)</x:f>
        <x:v>67.73328535653934</x:v>
      </x:c>
      <x:c r="P54" s="8" t="n">
        <x:f>N54^2</x:f>
        <x:v>4587.797945190387</x:v>
      </x:c>
      <x:c r="Q54" s="8" t="n">
        <x:f>K54-L54</x:f>
        <x:v>0</x:v>
      </x:c>
      <x:c r="R54" s="9" t="n">
        <x:f>IF(AND(INDEX('Сводка'!$T$3:$T$397,U54)=0,INDEX('Сводка'!$T$3:$T$397,V54)=0),1,0)</x:f>
        <x:v>1</x:v>
      </x:c>
      <x:c r="S54" s="9" t="n">
        <x:f>IF(AND(R54=1,O54&lt;=$G$13),1,0)</x:f>
        <x:v>0</x:v>
      </x:c>
      <x:c r="T54" s="10" t="n">
        <x:f>EOMONTH(J54-'Сводка'!$B$11,-1)</x:f>
        <x:v>45900</x:v>
      </x:c>
      <x:c r="U54" s="4" t="n">
        <x:f>MATCH(J54,'Сводка'!$R$3:$R$397,0)</x:f>
        <x:v>65</x:v>
      </x:c>
      <x:c r="V54" s="4" t="n">
        <x:f>MATCH(J54-'Сводка'!$B$11,'Сводка'!$R$3:$R$397,0)</x:f>
        <x:v>64</x:v>
      </x:c>
      <x:c r="W54" s="4" t="n">
        <x:f>MATCH(T54,$J$388:$J$400,0)</x:f>
        <x:v>3</x:v>
      </x:c>
      <x:c r="X54" s="3"/>
      <x:c r="Y54" s="3"/>
      <x:c r="Z54" s="3"/>
    </x:row>
    <x:row r="55" ht="15" customHeight="1">
      <x:c r="A55" s="7" t="str">
        <x:f>IF(37&lt;='Сводка'!$B$3,'Сводка'!$B$4+37,"")</x:f>
      </x:c>
      <x:c r="B55" s="20" t="str">
        <x:f>IF($A55="","",(A55-$T$405+1)/1000)</x:f>
      </x:c>
      <x:c r="C55" s="20" t="str">
        <x:f>IF($A55="","",2*(A55-$T$405)/$T$406-1)</x:f>
      </x:c>
      <x:c r="D55" s="3" t="str">
        <x:f>IF($A55="","",$B$4+$B$5*C55^1+$B$6*C55^2+INDEX($E$4:$E$15,MONTH(A55)))</x:f>
      </x:c>
      <x:c r="E55" s="3" t="str">
        <x:f>IF($A55="","",SQRT($T$403^2+H55^2))</x:f>
      </x:c>
      <x:c r="F55" s="3" t="str">
        <x:f>IF($A55="","",D55-$T$404*E55)</x:f>
      </x:c>
      <x:c r="G55" s="3" t="str">
        <x:f>IF($A55="","",D55+$T$404*E55)</x:f>
      </x:c>
      <x:c r="H55" s="3" t="str">
        <x:f>IF($A55="","",SQRT(MAX(0,(1)*$S$409*(1)+(1)*$T$409*(C55^1)+(1)*$U$409*(C55^2)+(C55^1)*$S$410*(1)+(C55^1)*$T$410*(C55^1)+(C55^1)*$U$410*(C55^2)+(C55^2)*$S$411*(1)+(C55^2)*$T$411*(C55^1)+(C55^2)*$U$411*(C55^2)+2*((1)*INDEX($S$416:$V$427,MONTH(A55),1)+(C55^1)*INDEX($S$416:$V$427,MONTH(A55),2)+(C55^2)*INDEX($S$416:$V$427,MONTH(A55),3))+INDEX($W$416:$W$427,MONTH(A55)))))</x:f>
      </x:c>
      <x:c r="I55" s="3"/>
      <x:c r="J55" s="10" t="n">
        <x:v>45906</x:v>
      </x:c>
      <x:c r="K55" s="8" t="n">
        <x:f>INDEX('Сводка'!$S$3:$S$397,U55)</x:f>
        <x:v>226</x:v>
      </x:c>
      <x:c r="L55" s="8" t="n">
        <x:f>INDEX('Сводка'!$S$3:$S$397,V55)</x:f>
        <x:v>226</x:v>
      </x:c>
      <x:c r="M55" s="8" t="n">
        <x:f>INDEX($K$388:$N$400,W55,1)+INDEX($K$388:$N$400,W55,2)*(2*(J55-$T$405)/(T55-$T$405)-1)^1+INDEX($K$388:$N$400,W55,3)*(2*(J55-$T$405)/(T55-$T$405)-1)^2+INDEX($O$388:$Z$400,W55,MONTH(J55))</x:f>
        <x:v>293.7299686800947</x:v>
      </x:c>
      <x:c r="N55" s="8" t="n">
        <x:f>K55-M55</x:f>
        <x:v>-67.72996868009471</x:v>
      </x:c>
      <x:c r="O55" s="8" t="n">
        <x:f>ABS(N55)</x:f>
        <x:v>67.72996868009471</x:v>
      </x:c>
      <x:c r="P55" s="8" t="n">
        <x:f>N55^2</x:f>
        <x:v>4587.348657406611</x:v>
      </x:c>
      <x:c r="Q55" s="8" t="n">
        <x:f>K55-L55</x:f>
        <x:v>0</x:v>
      </x:c>
      <x:c r="R55" s="9" t="n">
        <x:f>IF(AND(INDEX('Сводка'!$T$3:$T$397,U55)=0,INDEX('Сводка'!$T$3:$T$397,V55)=0),1,0)</x:f>
        <x:v>1</x:v>
      </x:c>
      <x:c r="S55" s="9" t="n">
        <x:f>IF(AND(R55=1,O55&lt;=$G$13),1,0)</x:f>
        <x:v>0</x:v>
      </x:c>
      <x:c r="T55" s="10" t="n">
        <x:f>EOMONTH(J55-'Сводка'!$B$11,-1)</x:f>
        <x:v>45900</x:v>
      </x:c>
      <x:c r="U55" s="4" t="n">
        <x:f>MATCH(J55,'Сводка'!$R$3:$R$397,0)</x:f>
        <x:v>66</x:v>
      </x:c>
      <x:c r="V55" s="4" t="n">
        <x:f>MATCH(J55-'Сводка'!$B$11,'Сводка'!$R$3:$R$397,0)</x:f>
        <x:v>65</x:v>
      </x:c>
      <x:c r="W55" s="4" t="n">
        <x:f>MATCH(T55,$J$388:$J$400,0)</x:f>
        <x:v>3</x:v>
      </x:c>
      <x:c r="X55" s="3"/>
      <x:c r="Y55" s="3"/>
      <x:c r="Z55" s="3"/>
    </x:row>
    <x:row r="56" ht="15" customHeight="1">
      <x:c r="A56" s="7" t="str">
        <x:f>IF(38&lt;='Сводка'!$B$3,'Сводка'!$B$4+38,"")</x:f>
      </x:c>
      <x:c r="B56" s="20" t="str">
        <x:f>IF($A56="","",(A56-$T$405+1)/1000)</x:f>
      </x:c>
      <x:c r="C56" s="20" t="str">
        <x:f>IF($A56="","",2*(A56-$T$405)/$T$406-1)</x:f>
      </x:c>
      <x:c r="D56" s="3" t="str">
        <x:f>IF($A56="","",$B$4+$B$5*C56^1+$B$6*C56^2+INDEX($E$4:$E$15,MONTH(A56)))</x:f>
      </x:c>
      <x:c r="E56" s="3" t="str">
        <x:f>IF($A56="","",SQRT($T$403^2+H56^2))</x:f>
      </x:c>
      <x:c r="F56" s="3" t="str">
        <x:f>IF($A56="","",D56-$T$404*E56)</x:f>
      </x:c>
      <x:c r="G56" s="3" t="str">
        <x:f>IF($A56="","",D56+$T$404*E56)</x:f>
      </x:c>
      <x:c r="H56" s="3" t="str">
        <x:f>IF($A56="","",SQRT(MAX(0,(1)*$S$409*(1)+(1)*$T$409*(C56^1)+(1)*$U$409*(C56^2)+(C56^1)*$S$410*(1)+(C56^1)*$T$410*(C56^1)+(C56^1)*$U$410*(C56^2)+(C56^2)*$S$411*(1)+(C56^2)*$T$411*(C56^1)+(C56^2)*$U$411*(C56^2)+2*((1)*INDEX($S$416:$V$427,MONTH(A56),1)+(C56^1)*INDEX($S$416:$V$427,MONTH(A56),2)+(C56^2)*INDEX($S$416:$V$427,MONTH(A56),3))+INDEX($W$416:$W$427,MONTH(A56)))))</x:f>
      </x:c>
      <x:c r="I56" s="3"/>
      <x:c r="J56" s="10" t="n">
        <x:v>45907</x:v>
      </x:c>
      <x:c r="K56" s="8" t="n">
        <x:f>INDEX('Сводка'!$S$3:$S$397,U56)</x:f>
        <x:v>226</x:v>
      </x:c>
      <x:c r="L56" s="8" t="n">
        <x:f>INDEX('Сводка'!$S$3:$S$397,V56)</x:f>
        <x:v>226</x:v>
      </x:c>
      <x:c r="M56" s="8" t="n">
        <x:f>INDEX($K$388:$N$400,W56,1)+INDEX($K$388:$N$400,W56,2)*(2*(J56-$T$405)/(T56-$T$405)-1)^1+INDEX($K$388:$N$400,W56,3)*(2*(J56-$T$405)/(T56-$T$405)-1)^2+INDEX($O$388:$Z$400,W56,MONTH(J56))</x:f>
        <x:v>293.7266463654397</x:v>
      </x:c>
      <x:c r="N56" s="8" t="n">
        <x:f>K56-M56</x:f>
        <x:v>-67.7266463654397</x:v>
      </x:c>
      <x:c r="O56" s="8" t="n">
        <x:f>ABS(N56)</x:f>
        <x:v>67.7266463654397</x:v>
      </x:c>
      <x:c r="P56" s="8" t="n">
        <x:f>N56^2</x:f>
        <x:v>4586.898627909327</x:v>
      </x:c>
      <x:c r="Q56" s="8" t="n">
        <x:f>K56-L56</x:f>
        <x:v>0</x:v>
      </x:c>
      <x:c r="R56" s="9" t="n">
        <x:f>IF(AND(INDEX('Сводка'!$T$3:$T$397,U56)=0,INDEX('Сводка'!$T$3:$T$397,V56)=0),1,0)</x:f>
        <x:v>1</x:v>
      </x:c>
      <x:c r="S56" s="9" t="n">
        <x:f>IF(AND(R56=1,O56&lt;=$G$13),1,0)</x:f>
        <x:v>0</x:v>
      </x:c>
      <x:c r="T56" s="10" t="n">
        <x:f>EOMONTH(J56-'Сводка'!$B$11,-1)</x:f>
        <x:v>45900</x:v>
      </x:c>
      <x:c r="U56" s="4" t="n">
        <x:f>MATCH(J56,'Сводка'!$R$3:$R$397,0)</x:f>
        <x:v>67</x:v>
      </x:c>
      <x:c r="V56" s="4" t="n">
        <x:f>MATCH(J56-'Сводка'!$B$11,'Сводка'!$R$3:$R$397,0)</x:f>
        <x:v>66</x:v>
      </x:c>
      <x:c r="W56" s="4" t="n">
        <x:f>MATCH(T56,$J$388:$J$400,0)</x:f>
        <x:v>3</x:v>
      </x:c>
      <x:c r="X56" s="3"/>
      <x:c r="Y56" s="3"/>
      <x:c r="Z56" s="3"/>
    </x:row>
    <x:row r="57" ht="15" customHeight="1">
      <x:c r="A57" s="7" t="str">
        <x:f>IF(39&lt;='Сводка'!$B$3,'Сводка'!$B$4+39,"")</x:f>
      </x:c>
      <x:c r="B57" s="20" t="str">
        <x:f>IF($A57="","",(A57-$T$405+1)/1000)</x:f>
      </x:c>
      <x:c r="C57" s="20" t="str">
        <x:f>IF($A57="","",2*(A57-$T$405)/$T$406-1)</x:f>
      </x:c>
      <x:c r="D57" s="3" t="str">
        <x:f>IF($A57="","",$B$4+$B$5*C57^1+$B$6*C57^2+INDEX($E$4:$E$15,MONTH(A57)))</x:f>
      </x:c>
      <x:c r="E57" s="3" t="str">
        <x:f>IF($A57="","",SQRT($T$403^2+H57^2))</x:f>
      </x:c>
      <x:c r="F57" s="3" t="str">
        <x:f>IF($A57="","",D57-$T$404*E57)</x:f>
      </x:c>
      <x:c r="G57" s="3" t="str">
        <x:f>IF($A57="","",D57+$T$404*E57)</x:f>
      </x:c>
      <x:c r="H57" s="3" t="str">
        <x:f>IF($A57="","",SQRT(MAX(0,(1)*$S$409*(1)+(1)*$T$409*(C57^1)+(1)*$U$409*(C57^2)+(C57^1)*$S$410*(1)+(C57^1)*$T$410*(C57^1)+(C57^1)*$U$410*(C57^2)+(C57^2)*$S$411*(1)+(C57^2)*$T$411*(C57^1)+(C57^2)*$U$411*(C57^2)+2*((1)*INDEX($S$416:$V$427,MONTH(A57),1)+(C57^1)*INDEX($S$416:$V$427,MONTH(A57),2)+(C57^2)*INDEX($S$416:$V$427,MONTH(A57),3))+INDEX($W$416:$W$427,MONTH(A57)))))</x:f>
      </x:c>
      <x:c r="I57" s="3"/>
      <x:c r="J57" s="10" t="n">
        <x:v>45908</x:v>
      </x:c>
      <x:c r="K57" s="8" t="n">
        <x:f>INDEX('Сводка'!$S$3:$S$397,U57)</x:f>
        <x:v>222</x:v>
      </x:c>
      <x:c r="L57" s="8" t="n">
        <x:f>INDEX('Сводка'!$S$3:$S$397,V57)</x:f>
        <x:v>226</x:v>
      </x:c>
      <x:c r="M57" s="8" t="n">
        <x:f>INDEX($K$388:$N$400,W57,1)+INDEX($K$388:$N$400,W57,2)*(2*(J57-$T$405)/(T57-$T$405)-1)^1+INDEX($K$388:$N$400,W57,3)*(2*(J57-$T$405)/(T57-$T$405)-1)^2+INDEX($O$388:$Z$400,W57,MONTH(J57))</x:f>
        <x:v>293.7233184125744</x:v>
      </x:c>
      <x:c r="N57" s="8" t="n">
        <x:f>K57-M57</x:f>
        <x:v>-71.72331841257437</x:v>
      </x:c>
      <x:c r="O57" s="8" t="n">
        <x:f>ABS(N57)</x:f>
        <x:v>71.72331841257437</x:v>
      </x:c>
      <x:c r="P57" s="8" t="n">
        <x:f>N57^2</x:f>
        <x:v>5144.23440411153</x:v>
      </x:c>
      <x:c r="Q57" s="8" t="n">
        <x:f>K57-L57</x:f>
        <x:v>-4</x:v>
      </x:c>
      <x:c r="R57" s="9" t="n">
        <x:f>IF(AND(INDEX('Сводка'!$T$3:$T$397,U57)=0,INDEX('Сводка'!$T$3:$T$397,V57)=0),1,0)</x:f>
        <x:v>1</x:v>
      </x:c>
      <x:c r="S57" s="9" t="n">
        <x:f>IF(AND(R57=1,O57&lt;=$G$13),1,0)</x:f>
        <x:v>0</x:v>
      </x:c>
      <x:c r="T57" s="10" t="n">
        <x:f>EOMONTH(J57-'Сводка'!$B$11,-1)</x:f>
        <x:v>45900</x:v>
      </x:c>
      <x:c r="U57" s="4" t="n">
        <x:f>MATCH(J57,'Сводка'!$R$3:$R$397,0)</x:f>
        <x:v>68</x:v>
      </x:c>
      <x:c r="V57" s="4" t="n">
        <x:f>MATCH(J57-'Сводка'!$B$11,'Сводка'!$R$3:$R$397,0)</x:f>
        <x:v>67</x:v>
      </x:c>
      <x:c r="W57" s="4" t="n">
        <x:f>MATCH(T57,$J$388:$J$400,0)</x:f>
        <x:v>3</x:v>
      </x:c>
      <x:c r="X57" s="3"/>
      <x:c r="Y57" s="3"/>
      <x:c r="Z57" s="3"/>
    </x:row>
    <x:row r="58" ht="15" customHeight="1">
      <x:c r="A58" s="7" t="str">
        <x:f>IF(40&lt;='Сводка'!$B$3,'Сводка'!$B$4+40,"")</x:f>
      </x:c>
      <x:c r="B58" s="20" t="str">
        <x:f>IF($A58="","",(A58-$T$405+1)/1000)</x:f>
      </x:c>
      <x:c r="C58" s="20" t="str">
        <x:f>IF($A58="","",2*(A58-$T$405)/$T$406-1)</x:f>
      </x:c>
      <x:c r="D58" s="3" t="str">
        <x:f>IF($A58="","",$B$4+$B$5*C58^1+$B$6*C58^2+INDEX($E$4:$E$15,MONTH(A58)))</x:f>
      </x:c>
      <x:c r="E58" s="3" t="str">
        <x:f>IF($A58="","",SQRT($T$403^2+H58^2))</x:f>
      </x:c>
      <x:c r="F58" s="3" t="str">
        <x:f>IF($A58="","",D58-$T$404*E58)</x:f>
      </x:c>
      <x:c r="G58" s="3" t="str">
        <x:f>IF($A58="","",D58+$T$404*E58)</x:f>
      </x:c>
      <x:c r="H58" s="3" t="str">
        <x:f>IF($A58="","",SQRT(MAX(0,(1)*$S$409*(1)+(1)*$T$409*(C58^1)+(1)*$U$409*(C58^2)+(C58^1)*$S$410*(1)+(C58^1)*$T$410*(C58^1)+(C58^1)*$U$410*(C58^2)+(C58^2)*$S$411*(1)+(C58^2)*$T$411*(C58^1)+(C58^2)*$U$411*(C58^2)+2*((1)*INDEX($S$416:$V$427,MONTH(A58),1)+(C58^1)*INDEX($S$416:$V$427,MONTH(A58),2)+(C58^2)*INDEX($S$416:$V$427,MONTH(A58),3))+INDEX($W$416:$W$427,MONTH(A58)))))</x:f>
      </x:c>
      <x:c r="I58" s="3"/>
      <x:c r="J58" s="10" t="n">
        <x:v>45909</x:v>
      </x:c>
      <x:c r="K58" s="8" t="n">
        <x:f>INDEX('Сводка'!$S$3:$S$397,U58)</x:f>
        <x:v>218</x:v>
      </x:c>
      <x:c r="L58" s="8" t="n">
        <x:f>INDEX('Сводка'!$S$3:$S$397,V58)</x:f>
        <x:v>222</x:v>
      </x:c>
      <x:c r="M58" s="8" t="n">
        <x:f>INDEX($K$388:$N$400,W58,1)+INDEX($K$388:$N$400,W58,2)*(2*(J58-$T$405)/(T58-$T$405)-1)^1+INDEX($K$388:$N$400,W58,3)*(2*(J58-$T$405)/(T58-$T$405)-1)^2+INDEX($O$388:$Z$400,W58,MONTH(J58))</x:f>
        <x:v>293.7199848214986</x:v>
      </x:c>
      <x:c r="N58" s="8" t="n">
        <x:f>K58-M58</x:f>
        <x:v>-75.7199848214986</x:v>
      </x:c>
      <x:c r="O58" s="8" t="n">
        <x:f>ABS(N58)</x:f>
        <x:v>75.7199848214986</x:v>
      </x:c>
      <x:c r="P58" s="8" t="n">
        <x:f>N58^2</x:f>
        <x:v>5733.516101367978</x:v>
      </x:c>
      <x:c r="Q58" s="8" t="n">
        <x:f>K58-L58</x:f>
        <x:v>-4</x:v>
      </x:c>
      <x:c r="R58" s="9" t="n">
        <x:f>IF(AND(INDEX('Сводка'!$T$3:$T$397,U58)=0,INDEX('Сводка'!$T$3:$T$397,V58)=0),1,0)</x:f>
        <x:v>1</x:v>
      </x:c>
      <x:c r="S58" s="9" t="n">
        <x:f>IF(AND(R58=1,O58&lt;=$G$13),1,0)</x:f>
        <x:v>0</x:v>
      </x:c>
      <x:c r="T58" s="10" t="n">
        <x:f>EOMONTH(J58-'Сводка'!$B$11,-1)</x:f>
        <x:v>45900</x:v>
      </x:c>
      <x:c r="U58" s="4" t="n">
        <x:f>MATCH(J58,'Сводка'!$R$3:$R$397,0)</x:f>
        <x:v>69</x:v>
      </x:c>
      <x:c r="V58" s="4" t="n">
        <x:f>MATCH(J58-'Сводка'!$B$11,'Сводка'!$R$3:$R$397,0)</x:f>
        <x:v>68</x:v>
      </x:c>
      <x:c r="W58" s="4" t="n">
        <x:f>MATCH(T58,$J$388:$J$400,0)</x:f>
        <x:v>3</x:v>
      </x:c>
      <x:c r="X58" s="3"/>
      <x:c r="Y58" s="3"/>
      <x:c r="Z58" s="3"/>
    </x:row>
    <x:row r="59" ht="15" customHeight="1">
      <x:c r="A59" s="7" t="str">
        <x:f>IF(41&lt;='Сводка'!$B$3,'Сводка'!$B$4+41,"")</x:f>
      </x:c>
      <x:c r="B59" s="20" t="str">
        <x:f>IF($A59="","",(A59-$T$405+1)/1000)</x:f>
      </x:c>
      <x:c r="C59" s="20" t="str">
        <x:f>IF($A59="","",2*(A59-$T$405)/$T$406-1)</x:f>
      </x:c>
      <x:c r="D59" s="3" t="str">
        <x:f>IF($A59="","",$B$4+$B$5*C59^1+$B$6*C59^2+INDEX($E$4:$E$15,MONTH(A59)))</x:f>
      </x:c>
      <x:c r="E59" s="3" t="str">
        <x:f>IF($A59="","",SQRT($T$403^2+H59^2))</x:f>
      </x:c>
      <x:c r="F59" s="3" t="str">
        <x:f>IF($A59="","",D59-$T$404*E59)</x:f>
      </x:c>
      <x:c r="G59" s="3" t="str">
        <x:f>IF($A59="","",D59+$T$404*E59)</x:f>
      </x:c>
      <x:c r="H59" s="3" t="str">
        <x:f>IF($A59="","",SQRT(MAX(0,(1)*$S$409*(1)+(1)*$T$409*(C59^1)+(1)*$U$409*(C59^2)+(C59^1)*$S$410*(1)+(C59^1)*$T$410*(C59^1)+(C59^1)*$U$410*(C59^2)+(C59^2)*$S$411*(1)+(C59^2)*$T$411*(C59^1)+(C59^2)*$U$411*(C59^2)+2*((1)*INDEX($S$416:$V$427,MONTH(A59),1)+(C59^1)*INDEX($S$416:$V$427,MONTH(A59),2)+(C59^2)*INDEX($S$416:$V$427,MONTH(A59),3))+INDEX($W$416:$W$427,MONTH(A59)))))</x:f>
      </x:c>
      <x:c r="I59" s="3"/>
      <x:c r="J59" s="10" t="n">
        <x:v>45910</x:v>
      </x:c>
      <x:c r="K59" s="8" t="n">
        <x:f>INDEX('Сводка'!$S$3:$S$397,U59)</x:f>
        <x:v>209</x:v>
      </x:c>
      <x:c r="L59" s="8" t="n">
        <x:f>INDEX('Сводка'!$S$3:$S$397,V59)</x:f>
        <x:v>218</x:v>
      </x:c>
      <x:c r="M59" s="8" t="n">
        <x:f>INDEX($K$388:$N$400,W59,1)+INDEX($K$388:$N$400,W59,2)*(2*(J59-$T$405)/(T59-$T$405)-1)^1+INDEX($K$388:$N$400,W59,3)*(2*(J59-$T$405)/(T59-$T$405)-1)^2+INDEX($O$388:$Z$400,W59,MONTH(J59))</x:f>
        <x:v>293.7166455922125</x:v>
      </x:c>
      <x:c r="N59" s="8" t="n">
        <x:f>K59-M59</x:f>
        <x:v>-84.7166455922125</x:v>
      </x:c>
      <x:c r="O59" s="8" t="n">
        <x:f>ABS(N59)</x:f>
        <x:v>84.7166455922125</x:v>
      </x:c>
      <x:c r="P59" s="8" t="n">
        <x:f>N59^2</x:f>
        <x:v>7176.910040396538</x:v>
      </x:c>
      <x:c r="Q59" s="8" t="n">
        <x:f>K59-L59</x:f>
        <x:v>-9</x:v>
      </x:c>
      <x:c r="R59" s="9" t="n">
        <x:f>IF(AND(INDEX('Сводка'!$T$3:$T$397,U59)=0,INDEX('Сводка'!$T$3:$T$397,V59)=0),1,0)</x:f>
        <x:v>1</x:v>
      </x:c>
      <x:c r="S59" s="9" t="n">
        <x:f>IF(AND(R59=1,O59&lt;=$G$13),1,0)</x:f>
        <x:v>0</x:v>
      </x:c>
      <x:c r="T59" s="10" t="n">
        <x:f>EOMONTH(J59-'Сводка'!$B$11,-1)</x:f>
        <x:v>45900</x:v>
      </x:c>
      <x:c r="U59" s="4" t="n">
        <x:f>MATCH(J59,'Сводка'!$R$3:$R$397,0)</x:f>
        <x:v>70</x:v>
      </x:c>
      <x:c r="V59" s="4" t="n">
        <x:f>MATCH(J59-'Сводка'!$B$11,'Сводка'!$R$3:$R$397,0)</x:f>
        <x:v>69</x:v>
      </x:c>
      <x:c r="W59" s="4" t="n">
        <x:f>MATCH(T59,$J$388:$J$400,0)</x:f>
        <x:v>3</x:v>
      </x:c>
      <x:c r="X59" s="3"/>
      <x:c r="Y59" s="3"/>
      <x:c r="Z59" s="3"/>
    </x:row>
    <x:row r="60" ht="15" customHeight="1">
      <x:c r="A60" s="7" t="str">
        <x:f>IF(42&lt;='Сводка'!$B$3,'Сводка'!$B$4+42,"")</x:f>
      </x:c>
      <x:c r="B60" s="20" t="str">
        <x:f>IF($A60="","",(A60-$T$405+1)/1000)</x:f>
      </x:c>
      <x:c r="C60" s="20" t="str">
        <x:f>IF($A60="","",2*(A60-$T$405)/$T$406-1)</x:f>
      </x:c>
      <x:c r="D60" s="3" t="str">
        <x:f>IF($A60="","",$B$4+$B$5*C60^1+$B$6*C60^2+INDEX($E$4:$E$15,MONTH(A60)))</x:f>
      </x:c>
      <x:c r="E60" s="3" t="str">
        <x:f>IF($A60="","",SQRT($T$403^2+H60^2))</x:f>
      </x:c>
      <x:c r="F60" s="3" t="str">
        <x:f>IF($A60="","",D60-$T$404*E60)</x:f>
      </x:c>
      <x:c r="G60" s="3" t="str">
        <x:f>IF($A60="","",D60+$T$404*E60)</x:f>
      </x:c>
      <x:c r="H60" s="3" t="str">
        <x:f>IF($A60="","",SQRT(MAX(0,(1)*$S$409*(1)+(1)*$T$409*(C60^1)+(1)*$U$409*(C60^2)+(C60^1)*$S$410*(1)+(C60^1)*$T$410*(C60^1)+(C60^1)*$U$410*(C60^2)+(C60^2)*$S$411*(1)+(C60^2)*$T$411*(C60^1)+(C60^2)*$U$411*(C60^2)+2*((1)*INDEX($S$416:$V$427,MONTH(A60),1)+(C60^1)*INDEX($S$416:$V$427,MONTH(A60),2)+(C60^2)*INDEX($S$416:$V$427,MONTH(A60),3))+INDEX($W$416:$W$427,MONTH(A60)))))</x:f>
      </x:c>
      <x:c r="I60" s="3"/>
      <x:c r="J60" s="10" t="n">
        <x:v>45911</x:v>
      </x:c>
      <x:c r="K60" s="8" t="n">
        <x:f>INDEX('Сводка'!$S$3:$S$397,U60)</x:f>
        <x:v>207</x:v>
      </x:c>
      <x:c r="L60" s="8" t="n">
        <x:f>INDEX('Сводка'!$S$3:$S$397,V60)</x:f>
        <x:v>209</x:v>
      </x:c>
      <x:c r="M60" s="8" t="n">
        <x:f>INDEX($K$388:$N$400,W60,1)+INDEX($K$388:$N$400,W60,2)*(2*(J60-$T$405)/(T60-$T$405)-1)^1+INDEX($K$388:$N$400,W60,3)*(2*(J60-$T$405)/(T60-$T$405)-1)^2+INDEX($O$388:$Z$400,W60,MONTH(J60))</x:f>
        <x:v>293.713300724716</x:v>
      </x:c>
      <x:c r="N60" s="8" t="n">
        <x:f>K60-M60</x:f>
        <x:v>-86.71330072471602</x:v>
      </x:c>
      <x:c r="O60" s="8" t="n">
        <x:f>ABS(N60)</x:f>
        <x:v>86.71330072471602</x:v>
      </x:c>
      <x:c r="P60" s="8" t="n">
        <x:f>N60^2</x:f>
        <x:v>7519.196522575036</x:v>
      </x:c>
      <x:c r="Q60" s="8" t="n">
        <x:f>K60-L60</x:f>
        <x:v>-2</x:v>
      </x:c>
      <x:c r="R60" s="9" t="n">
        <x:f>IF(AND(INDEX('Сводка'!$T$3:$T$397,U60)=0,INDEX('Сводка'!$T$3:$T$397,V60)=0),1,0)</x:f>
        <x:v>1</x:v>
      </x:c>
      <x:c r="S60" s="9" t="n">
        <x:f>IF(AND(R60=1,O60&lt;=$G$13),1,0)</x:f>
        <x:v>0</x:v>
      </x:c>
      <x:c r="T60" s="10" t="n">
        <x:f>EOMONTH(J60-'Сводка'!$B$11,-1)</x:f>
        <x:v>45900</x:v>
      </x:c>
      <x:c r="U60" s="4" t="n">
        <x:f>MATCH(J60,'Сводка'!$R$3:$R$397,0)</x:f>
        <x:v>71</x:v>
      </x:c>
      <x:c r="V60" s="4" t="n">
        <x:f>MATCH(J60-'Сводка'!$B$11,'Сводка'!$R$3:$R$397,0)</x:f>
        <x:v>70</x:v>
      </x:c>
      <x:c r="W60" s="4" t="n">
        <x:f>MATCH(T60,$J$388:$J$400,0)</x:f>
        <x:v>3</x:v>
      </x:c>
      <x:c r="X60" s="3"/>
      <x:c r="Y60" s="3"/>
      <x:c r="Z60" s="3"/>
    </x:row>
    <x:row r="61" ht="15" customHeight="1">
      <x:c r="A61" s="7" t="str">
        <x:f>IF(43&lt;='Сводка'!$B$3,'Сводка'!$B$4+43,"")</x:f>
      </x:c>
      <x:c r="B61" s="20" t="str">
        <x:f>IF($A61="","",(A61-$T$405+1)/1000)</x:f>
      </x:c>
      <x:c r="C61" s="20" t="str">
        <x:f>IF($A61="","",2*(A61-$T$405)/$T$406-1)</x:f>
      </x:c>
      <x:c r="D61" s="3" t="str">
        <x:f>IF($A61="","",$B$4+$B$5*C61^1+$B$6*C61^2+INDEX($E$4:$E$15,MONTH(A61)))</x:f>
      </x:c>
      <x:c r="E61" s="3" t="str">
        <x:f>IF($A61="","",SQRT($T$403^2+H61^2))</x:f>
      </x:c>
      <x:c r="F61" s="3" t="str">
        <x:f>IF($A61="","",D61-$T$404*E61)</x:f>
      </x:c>
      <x:c r="G61" s="3" t="str">
        <x:f>IF($A61="","",D61+$T$404*E61)</x:f>
      </x:c>
      <x:c r="H61" s="3" t="str">
        <x:f>IF($A61="","",SQRT(MAX(0,(1)*$S$409*(1)+(1)*$T$409*(C61^1)+(1)*$U$409*(C61^2)+(C61^1)*$S$410*(1)+(C61^1)*$T$410*(C61^1)+(C61^1)*$U$410*(C61^2)+(C61^2)*$S$411*(1)+(C61^2)*$T$411*(C61^1)+(C61^2)*$U$411*(C61^2)+2*((1)*INDEX($S$416:$V$427,MONTH(A61),1)+(C61^1)*INDEX($S$416:$V$427,MONTH(A61),2)+(C61^2)*INDEX($S$416:$V$427,MONTH(A61),3))+INDEX($W$416:$W$427,MONTH(A61)))))</x:f>
      </x:c>
      <x:c r="I61" s="3"/>
      <x:c r="J61" s="10" t="n">
        <x:v>45912</x:v>
      </x:c>
      <x:c r="K61" s="8" t="n">
        <x:f>INDEX('Сводка'!$S$3:$S$397,U61)</x:f>
        <x:v>204</x:v>
      </x:c>
      <x:c r="L61" s="8" t="n">
        <x:f>INDEX('Сводка'!$S$3:$S$397,V61)</x:f>
        <x:v>207</x:v>
      </x:c>
      <x:c r="M61" s="8" t="n">
        <x:f>INDEX($K$388:$N$400,W61,1)+INDEX($K$388:$N$400,W61,2)*(2*(J61-$T$405)/(T61-$T$405)-1)^1+INDEX($K$388:$N$400,W61,3)*(2*(J61-$T$405)/(T61-$T$405)-1)^2+INDEX($O$388:$Z$400,W61,MONTH(J61))</x:f>
        <x:v>293.70995021900916</x:v>
      </x:c>
      <x:c r="N61" s="8" t="n">
        <x:f>K61-M61</x:f>
        <x:v>-89.70995021900916</x:v>
      </x:c>
      <x:c r="O61" s="8" t="n">
        <x:f>ABS(N61)</x:f>
        <x:v>89.70995021900916</x:v>
      </x:c>
      <x:c r="P61" s="8" t="n">
        <x:f>N61^2</x:f>
        <x:v>8047.8751682971015</x:v>
      </x:c>
      <x:c r="Q61" s="8" t="n">
        <x:f>K61-L61</x:f>
        <x:v>-3</x:v>
      </x:c>
      <x:c r="R61" s="9" t="n">
        <x:f>IF(AND(INDEX('Сводка'!$T$3:$T$397,U61)=0,INDEX('Сводка'!$T$3:$T$397,V61)=0),1,0)</x:f>
        <x:v>1</x:v>
      </x:c>
      <x:c r="S61" s="9" t="n">
        <x:f>IF(AND(R61=1,O61&lt;=$G$13),1,0)</x:f>
        <x:v>0</x:v>
      </x:c>
      <x:c r="T61" s="10" t="n">
        <x:f>EOMONTH(J61-'Сводка'!$B$11,-1)</x:f>
        <x:v>45900</x:v>
      </x:c>
      <x:c r="U61" s="4" t="n">
        <x:f>MATCH(J61,'Сводка'!$R$3:$R$397,0)</x:f>
        <x:v>72</x:v>
      </x:c>
      <x:c r="V61" s="4" t="n">
        <x:f>MATCH(J61-'Сводка'!$B$11,'Сводка'!$R$3:$R$397,0)</x:f>
        <x:v>71</x:v>
      </x:c>
      <x:c r="W61" s="4" t="n">
        <x:f>MATCH(T61,$J$388:$J$400,0)</x:f>
        <x:v>3</x:v>
      </x:c>
      <x:c r="X61" s="3"/>
      <x:c r="Y61" s="3"/>
      <x:c r="Z61" s="3"/>
    </x:row>
    <x:row r="62" ht="15" customHeight="1">
      <x:c r="A62" s="7" t="str">
        <x:f>IF(44&lt;='Сводка'!$B$3,'Сводка'!$B$4+44,"")</x:f>
      </x:c>
      <x:c r="B62" s="20" t="str">
        <x:f>IF($A62="","",(A62-$T$405+1)/1000)</x:f>
      </x:c>
      <x:c r="C62" s="20" t="str">
        <x:f>IF($A62="","",2*(A62-$T$405)/$T$406-1)</x:f>
      </x:c>
      <x:c r="D62" s="3" t="str">
        <x:f>IF($A62="","",$B$4+$B$5*C62^1+$B$6*C62^2+INDEX($E$4:$E$15,MONTH(A62)))</x:f>
      </x:c>
      <x:c r="E62" s="3" t="str">
        <x:f>IF($A62="","",SQRT($T$403^2+H62^2))</x:f>
      </x:c>
      <x:c r="F62" s="3" t="str">
        <x:f>IF($A62="","",D62-$T$404*E62)</x:f>
      </x:c>
      <x:c r="G62" s="3" t="str">
        <x:f>IF($A62="","",D62+$T$404*E62)</x:f>
      </x:c>
      <x:c r="H62" s="3" t="str">
        <x:f>IF($A62="","",SQRT(MAX(0,(1)*$S$409*(1)+(1)*$T$409*(C62^1)+(1)*$U$409*(C62^2)+(C62^1)*$S$410*(1)+(C62^1)*$T$410*(C62^1)+(C62^1)*$U$410*(C62^2)+(C62^2)*$S$411*(1)+(C62^2)*$T$411*(C62^1)+(C62^2)*$U$411*(C62^2)+2*((1)*INDEX($S$416:$V$427,MONTH(A62),1)+(C62^1)*INDEX($S$416:$V$427,MONTH(A62),2)+(C62^2)*INDEX($S$416:$V$427,MONTH(A62),3))+INDEX($W$416:$W$427,MONTH(A62)))))</x:f>
      </x:c>
      <x:c r="I62" s="3"/>
      <x:c r="J62" s="10" t="n">
        <x:v>45913</x:v>
      </x:c>
      <x:c r="K62" s="8" t="n">
        <x:f>INDEX('Сводка'!$S$3:$S$397,U62)</x:f>
        <x:v>201</x:v>
      </x:c>
      <x:c r="L62" s="8" t="n">
        <x:f>INDEX('Сводка'!$S$3:$S$397,V62)</x:f>
        <x:v>204</x:v>
      </x:c>
      <x:c r="M62" s="8" t="n">
        <x:f>INDEX($K$388:$N$400,W62,1)+INDEX($K$388:$N$400,W62,2)*(2*(J62-$T$405)/(T62-$T$405)-1)^1+INDEX($K$388:$N$400,W62,3)*(2*(J62-$T$405)/(T62-$T$405)-1)^2+INDEX($O$388:$Z$400,W62,MONTH(J62))</x:f>
        <x:v>293.7065940750919</x:v>
      </x:c>
      <x:c r="N62" s="8" t="n">
        <x:f>K62-M62</x:f>
        <x:v>-92.70659407509191</x:v>
      </x:c>
      <x:c r="O62" s="8" t="n">
        <x:f>ABS(N62)</x:f>
        <x:v>92.70659407509191</x:v>
      </x:c>
      <x:c r="P62" s="8" t="n">
        <x:f>N62^2</x:f>
        <x:v>8594.512585003868</x:v>
      </x:c>
      <x:c r="Q62" s="8" t="n">
        <x:f>K62-L62</x:f>
        <x:v>-3</x:v>
      </x:c>
      <x:c r="R62" s="9" t="n">
        <x:f>IF(AND(INDEX('Сводка'!$T$3:$T$397,U62)=0,INDEX('Сводка'!$T$3:$T$397,V62)=0),1,0)</x:f>
        <x:v>1</x:v>
      </x:c>
      <x:c r="S62" s="9" t="n">
        <x:f>IF(AND(R62=1,O62&lt;=$G$13),1,0)</x:f>
        <x:v>0</x:v>
      </x:c>
      <x:c r="T62" s="10" t="n">
        <x:f>EOMONTH(J62-'Сводка'!$B$11,-1)</x:f>
        <x:v>45900</x:v>
      </x:c>
      <x:c r="U62" s="4" t="n">
        <x:f>MATCH(J62,'Сводка'!$R$3:$R$397,0)</x:f>
        <x:v>73</x:v>
      </x:c>
      <x:c r="V62" s="4" t="n">
        <x:f>MATCH(J62-'Сводка'!$B$11,'Сводка'!$R$3:$R$397,0)</x:f>
        <x:v>72</x:v>
      </x:c>
      <x:c r="W62" s="4" t="n">
        <x:f>MATCH(T62,$J$388:$J$400,0)</x:f>
        <x:v>3</x:v>
      </x:c>
      <x:c r="X62" s="3"/>
      <x:c r="Y62" s="3"/>
      <x:c r="Z62" s="3"/>
    </x:row>
    <x:row r="63" ht="15" customHeight="1">
      <x:c r="A63" s="7" t="str">
        <x:f>IF(45&lt;='Сводка'!$B$3,'Сводка'!$B$4+45,"")</x:f>
      </x:c>
      <x:c r="B63" s="20" t="str">
        <x:f>IF($A63="","",(A63-$T$405+1)/1000)</x:f>
      </x:c>
      <x:c r="C63" s="20" t="str">
        <x:f>IF($A63="","",2*(A63-$T$405)/$T$406-1)</x:f>
      </x:c>
      <x:c r="D63" s="3" t="str">
        <x:f>IF($A63="","",$B$4+$B$5*C63^1+$B$6*C63^2+INDEX($E$4:$E$15,MONTH(A63)))</x:f>
      </x:c>
      <x:c r="E63" s="3" t="str">
        <x:f>IF($A63="","",SQRT($T$403^2+H63^2))</x:f>
      </x:c>
      <x:c r="F63" s="3" t="str">
        <x:f>IF($A63="","",D63-$T$404*E63)</x:f>
      </x:c>
      <x:c r="G63" s="3" t="str">
        <x:f>IF($A63="","",D63+$T$404*E63)</x:f>
      </x:c>
      <x:c r="H63" s="3" t="str">
        <x:f>IF($A63="","",SQRT(MAX(0,(1)*$S$409*(1)+(1)*$T$409*(C63^1)+(1)*$U$409*(C63^2)+(C63^1)*$S$410*(1)+(C63^1)*$T$410*(C63^1)+(C63^1)*$U$410*(C63^2)+(C63^2)*$S$411*(1)+(C63^2)*$T$411*(C63^1)+(C63^2)*$U$411*(C63^2)+2*((1)*INDEX($S$416:$V$427,MONTH(A63),1)+(C63^1)*INDEX($S$416:$V$427,MONTH(A63),2)+(C63^2)*INDEX($S$416:$V$427,MONTH(A63),3))+INDEX($W$416:$W$427,MONTH(A63)))))</x:f>
      </x:c>
      <x:c r="I63" s="3"/>
      <x:c r="J63" s="10" t="n">
        <x:v>45914</x:v>
      </x:c>
      <x:c r="K63" s="8" t="n">
        <x:f>INDEX('Сводка'!$S$3:$S$397,U63)</x:f>
        <x:v>202</x:v>
      </x:c>
      <x:c r="L63" s="8" t="n">
        <x:f>INDEX('Сводка'!$S$3:$S$397,V63)</x:f>
        <x:v>201</x:v>
      </x:c>
      <x:c r="M63" s="8" t="n">
        <x:f>INDEX($K$388:$N$400,W63,1)+INDEX($K$388:$N$400,W63,2)*(2*(J63-$T$405)/(T63-$T$405)-1)^1+INDEX($K$388:$N$400,W63,3)*(2*(J63-$T$405)/(T63-$T$405)-1)^2+INDEX($O$388:$Z$400,W63,MONTH(J63))</x:f>
        <x:v>293.70323229296434</x:v>
      </x:c>
      <x:c r="N63" s="8" t="n">
        <x:f>K63-M63</x:f>
        <x:v>-91.70323229296434</x:v>
      </x:c>
      <x:c r="O63" s="8" t="n">
        <x:f>ABS(N63)</x:f>
        <x:v>91.70323229296434</x:v>
      </x:c>
      <x:c r="P63" s="8" t="n">
        <x:f>N63^2</x:f>
        <x:v>8409.482812977378</x:v>
      </x:c>
      <x:c r="Q63" s="8" t="n">
        <x:f>K63-L63</x:f>
        <x:v>1</x:v>
      </x:c>
      <x:c r="R63" s="9" t="n">
        <x:f>IF(AND(INDEX('Сводка'!$T$3:$T$397,U63)=0,INDEX('Сводка'!$T$3:$T$397,V63)=0),1,0)</x:f>
        <x:v>1</x:v>
      </x:c>
      <x:c r="S63" s="9" t="n">
        <x:f>IF(AND(R63=1,O63&lt;=$G$13),1,0)</x:f>
        <x:v>0</x:v>
      </x:c>
      <x:c r="T63" s="10" t="n">
        <x:f>EOMONTH(J63-'Сводка'!$B$11,-1)</x:f>
        <x:v>45900</x:v>
      </x:c>
      <x:c r="U63" s="4" t="n">
        <x:f>MATCH(J63,'Сводка'!$R$3:$R$397,0)</x:f>
        <x:v>74</x:v>
      </x:c>
      <x:c r="V63" s="4" t="n">
        <x:f>MATCH(J63-'Сводка'!$B$11,'Сводка'!$R$3:$R$397,0)</x:f>
        <x:v>73</x:v>
      </x:c>
      <x:c r="W63" s="4" t="n">
        <x:f>MATCH(T63,$J$388:$J$400,0)</x:f>
        <x:v>3</x:v>
      </x:c>
      <x:c r="X63" s="3"/>
      <x:c r="Y63" s="3"/>
      <x:c r="Z63" s="3"/>
    </x:row>
    <x:row r="64" ht="15" customHeight="1">
      <x:c r="A64" s="7" t="str">
        <x:f>IF(46&lt;='Сводка'!$B$3,'Сводка'!$B$4+46,"")</x:f>
      </x:c>
      <x:c r="B64" s="20" t="str">
        <x:f>IF($A64="","",(A64-$T$405+1)/1000)</x:f>
      </x:c>
      <x:c r="C64" s="20" t="str">
        <x:f>IF($A64="","",2*(A64-$T$405)/$T$406-1)</x:f>
      </x:c>
      <x:c r="D64" s="3" t="str">
        <x:f>IF($A64="","",$B$4+$B$5*C64^1+$B$6*C64^2+INDEX($E$4:$E$15,MONTH(A64)))</x:f>
      </x:c>
      <x:c r="E64" s="3" t="str">
        <x:f>IF($A64="","",SQRT($T$403^2+H64^2))</x:f>
      </x:c>
      <x:c r="F64" s="3" t="str">
        <x:f>IF($A64="","",D64-$T$404*E64)</x:f>
      </x:c>
      <x:c r="G64" s="3" t="str">
        <x:f>IF($A64="","",D64+$T$404*E64)</x:f>
      </x:c>
      <x:c r="H64" s="3" t="str">
        <x:f>IF($A64="","",SQRT(MAX(0,(1)*$S$409*(1)+(1)*$T$409*(C64^1)+(1)*$U$409*(C64^2)+(C64^1)*$S$410*(1)+(C64^1)*$T$410*(C64^1)+(C64^1)*$U$410*(C64^2)+(C64^2)*$S$411*(1)+(C64^2)*$T$411*(C64^1)+(C64^2)*$U$411*(C64^2)+2*((1)*INDEX($S$416:$V$427,MONTH(A64),1)+(C64^1)*INDEX($S$416:$V$427,MONTH(A64),2)+(C64^2)*INDEX($S$416:$V$427,MONTH(A64),3))+INDEX($W$416:$W$427,MONTH(A64)))))</x:f>
      </x:c>
      <x:c r="I64" s="3"/>
      <x:c r="J64" s="10" t="n">
        <x:v>45915</x:v>
      </x:c>
      <x:c r="K64" s="8" t="n">
        <x:f>INDEX('Сводка'!$S$3:$S$397,U64)</x:f>
        <x:v>204</x:v>
      </x:c>
      <x:c r="L64" s="8" t="n">
        <x:f>INDEX('Сводка'!$S$3:$S$397,V64)</x:f>
        <x:v>202</x:v>
      </x:c>
      <x:c r="M64" s="8" t="n">
        <x:f>INDEX($K$388:$N$400,W64,1)+INDEX($K$388:$N$400,W64,2)*(2*(J64-$T$405)/(T64-$T$405)-1)^1+INDEX($K$388:$N$400,W64,3)*(2*(J64-$T$405)/(T64-$T$405)-1)^2+INDEX($O$388:$Z$400,W64,MONTH(J64))</x:f>
        <x:v>293.69986487262634</x:v>
      </x:c>
      <x:c r="N64" s="8" t="n">
        <x:f>K64-M64</x:f>
        <x:v>-89.69986487262634</x:v>
      </x:c>
      <x:c r="O64" s="8" t="n">
        <x:f>ABS(N64)</x:f>
        <x:v>89.69986487262634</x:v>
      </x:c>
      <x:c r="P64" s="8" t="n">
        <x:f>N64^2</x:f>
        <x:v>8046.065758167424</x:v>
      </x:c>
      <x:c r="Q64" s="8" t="n">
        <x:f>K64-L64</x:f>
        <x:v>2</x:v>
      </x:c>
      <x:c r="R64" s="9" t="n">
        <x:f>IF(AND(INDEX('Сводка'!$T$3:$T$397,U64)=0,INDEX('Сводка'!$T$3:$T$397,V64)=0),1,0)</x:f>
        <x:v>1</x:v>
      </x:c>
      <x:c r="S64" s="9" t="n">
        <x:f>IF(AND(R64=1,O64&lt;=$G$13),1,0)</x:f>
        <x:v>0</x:v>
      </x:c>
      <x:c r="T64" s="10" t="n">
        <x:f>EOMONTH(J64-'Сводка'!$B$11,-1)</x:f>
        <x:v>45900</x:v>
      </x:c>
      <x:c r="U64" s="4" t="n">
        <x:f>MATCH(J64,'Сводка'!$R$3:$R$397,0)</x:f>
        <x:v>75</x:v>
      </x:c>
      <x:c r="V64" s="4" t="n">
        <x:f>MATCH(J64-'Сводка'!$B$11,'Сводка'!$R$3:$R$397,0)</x:f>
        <x:v>74</x:v>
      </x:c>
      <x:c r="W64" s="4" t="n">
        <x:f>MATCH(T64,$J$388:$J$400,0)</x:f>
        <x:v>3</x:v>
      </x:c>
      <x:c r="X64" s="3"/>
      <x:c r="Y64" s="3"/>
      <x:c r="Z64" s="3"/>
    </x:row>
    <x:row r="65" ht="15" customHeight="1">
      <x:c r="A65" s="7" t="str">
        <x:f>IF(47&lt;='Сводка'!$B$3,'Сводка'!$B$4+47,"")</x:f>
      </x:c>
      <x:c r="B65" s="20" t="str">
        <x:f>IF($A65="","",(A65-$T$405+1)/1000)</x:f>
      </x:c>
      <x:c r="C65" s="20" t="str">
        <x:f>IF($A65="","",2*(A65-$T$405)/$T$406-1)</x:f>
      </x:c>
      <x:c r="D65" s="3" t="str">
        <x:f>IF($A65="","",$B$4+$B$5*C65^1+$B$6*C65^2+INDEX($E$4:$E$15,MONTH(A65)))</x:f>
      </x:c>
      <x:c r="E65" s="3" t="str">
        <x:f>IF($A65="","",SQRT($T$403^2+H65^2))</x:f>
      </x:c>
      <x:c r="F65" s="3" t="str">
        <x:f>IF($A65="","",D65-$T$404*E65)</x:f>
      </x:c>
      <x:c r="G65" s="3" t="str">
        <x:f>IF($A65="","",D65+$T$404*E65)</x:f>
      </x:c>
      <x:c r="H65" s="3" t="str">
        <x:f>IF($A65="","",SQRT(MAX(0,(1)*$S$409*(1)+(1)*$T$409*(C65^1)+(1)*$U$409*(C65^2)+(C65^1)*$S$410*(1)+(C65^1)*$T$410*(C65^1)+(C65^1)*$U$410*(C65^2)+(C65^2)*$S$411*(1)+(C65^2)*$T$411*(C65^1)+(C65^2)*$U$411*(C65^2)+2*((1)*INDEX($S$416:$V$427,MONTH(A65),1)+(C65^1)*INDEX($S$416:$V$427,MONTH(A65),2)+(C65^2)*INDEX($S$416:$V$427,MONTH(A65),3))+INDEX($W$416:$W$427,MONTH(A65)))))</x:f>
      </x:c>
      <x:c r="I65" s="3"/>
      <x:c r="J65" s="10" t="n">
        <x:v>45916</x:v>
      </x:c>
      <x:c r="K65" s="8" t="n">
        <x:f>INDEX('Сводка'!$S$3:$S$397,U65)</x:f>
        <x:v>213</x:v>
      </x:c>
      <x:c r="L65" s="8" t="n">
        <x:f>INDEX('Сводка'!$S$3:$S$397,V65)</x:f>
        <x:v>204</x:v>
      </x:c>
      <x:c r="M65" s="8" t="n">
        <x:f>INDEX($K$388:$N$400,W65,1)+INDEX($K$388:$N$400,W65,2)*(2*(J65-$T$405)/(T65-$T$405)-1)^1+INDEX($K$388:$N$400,W65,3)*(2*(J65-$T$405)/(T65-$T$405)-1)^2+INDEX($O$388:$Z$400,W65,MONTH(J65))</x:f>
        <x:v>293.69649181407794</x:v>
      </x:c>
      <x:c r="N65" s="8" t="n">
        <x:f>K65-M65</x:f>
        <x:v>-80.69649181407794</x:v>
      </x:c>
      <x:c r="O65" s="8" t="n">
        <x:f>ABS(N65)</x:f>
        <x:v>80.69649181407794</x:v>
      </x:c>
      <x:c r="P65" s="8" t="n">
        <x:f>N65^2</x:f>
        <x:v>6511.923791099549</x:v>
      </x:c>
      <x:c r="Q65" s="8" t="n">
        <x:f>K65-L65</x:f>
        <x:v>9</x:v>
      </x:c>
      <x:c r="R65" s="9" t="n">
        <x:f>IF(AND(INDEX('Сводка'!$T$3:$T$397,U65)=0,INDEX('Сводка'!$T$3:$T$397,V65)=0),1,0)</x:f>
        <x:v>1</x:v>
      </x:c>
      <x:c r="S65" s="9" t="n">
        <x:f>IF(AND(R65=1,O65&lt;=$G$13),1,0)</x:f>
        <x:v>0</x:v>
      </x:c>
      <x:c r="T65" s="10" t="n">
        <x:f>EOMONTH(J65-'Сводка'!$B$11,-1)</x:f>
        <x:v>45900</x:v>
      </x:c>
      <x:c r="U65" s="4" t="n">
        <x:f>MATCH(J65,'Сводка'!$R$3:$R$397,0)</x:f>
        <x:v>76</x:v>
      </x:c>
      <x:c r="V65" s="4" t="n">
        <x:f>MATCH(J65-'Сводка'!$B$11,'Сводка'!$R$3:$R$397,0)</x:f>
        <x:v>75</x:v>
      </x:c>
      <x:c r="W65" s="4" t="n">
        <x:f>MATCH(T65,$J$388:$J$400,0)</x:f>
        <x:v>3</x:v>
      </x:c>
      <x:c r="X65" s="3"/>
      <x:c r="Y65" s="3"/>
      <x:c r="Z65" s="3"/>
    </x:row>
    <x:row r="66" ht="15" customHeight="1">
      <x:c r="A66" s="7" t="str">
        <x:f>IF(48&lt;='Сводка'!$B$3,'Сводка'!$B$4+48,"")</x:f>
      </x:c>
      <x:c r="B66" s="20" t="str">
        <x:f>IF($A66="","",(A66-$T$405+1)/1000)</x:f>
      </x:c>
      <x:c r="C66" s="20" t="str">
        <x:f>IF($A66="","",2*(A66-$T$405)/$T$406-1)</x:f>
      </x:c>
      <x:c r="D66" s="3" t="str">
        <x:f>IF($A66="","",$B$4+$B$5*C66^1+$B$6*C66^2+INDEX($E$4:$E$15,MONTH(A66)))</x:f>
      </x:c>
      <x:c r="E66" s="3" t="str">
        <x:f>IF($A66="","",SQRT($T$403^2+H66^2))</x:f>
      </x:c>
      <x:c r="F66" s="3" t="str">
        <x:f>IF($A66="","",D66-$T$404*E66)</x:f>
      </x:c>
      <x:c r="G66" s="3" t="str">
        <x:f>IF($A66="","",D66+$T$404*E66)</x:f>
      </x:c>
      <x:c r="H66" s="3" t="str">
        <x:f>IF($A66="","",SQRT(MAX(0,(1)*$S$409*(1)+(1)*$T$409*(C66^1)+(1)*$U$409*(C66^2)+(C66^1)*$S$410*(1)+(C66^1)*$T$410*(C66^1)+(C66^1)*$U$410*(C66^2)+(C66^2)*$S$411*(1)+(C66^2)*$T$411*(C66^1)+(C66^2)*$U$411*(C66^2)+2*((1)*INDEX($S$416:$V$427,MONTH(A66),1)+(C66^1)*INDEX($S$416:$V$427,MONTH(A66),2)+(C66^2)*INDEX($S$416:$V$427,MONTH(A66),3))+INDEX($W$416:$W$427,MONTH(A66)))))</x:f>
      </x:c>
      <x:c r="I66" s="3"/>
      <x:c r="J66" s="10" t="n">
        <x:v>45917</x:v>
      </x:c>
      <x:c r="K66" s="8" t="n">
        <x:f>INDEX('Сводка'!$S$3:$S$397,U66)</x:f>
        <x:v>219</x:v>
      </x:c>
      <x:c r="L66" s="8" t="n">
        <x:f>INDEX('Сводка'!$S$3:$S$397,V66)</x:f>
        <x:v>213</x:v>
      </x:c>
      <x:c r="M66" s="8" t="n">
        <x:f>INDEX($K$388:$N$400,W66,1)+INDEX($K$388:$N$400,W66,2)*(2*(J66-$T$405)/(T66-$T$405)-1)^1+INDEX($K$388:$N$400,W66,3)*(2*(J66-$T$405)/(T66-$T$405)-1)^2+INDEX($O$388:$Z$400,W66,MONTH(J66))</x:f>
        <x:v>293.69311311731923</x:v>
      </x:c>
      <x:c r="N66" s="8" t="n">
        <x:f>K66-M66</x:f>
        <x:v>-74.69311311731923</x:v>
      </x:c>
      <x:c r="O66" s="8" t="n">
        <x:f>ABS(N66)</x:f>
        <x:v>74.69311311731923</x:v>
      </x:c>
      <x:c r="P66" s="8" t="n">
        <x:f>N66^2</x:f>
        <x:v>5579.061147156645</x:v>
      </x:c>
      <x:c r="Q66" s="8" t="n">
        <x:f>K66-L66</x:f>
        <x:v>6</x:v>
      </x:c>
      <x:c r="R66" s="9" t="n">
        <x:f>IF(AND(INDEX('Сводка'!$T$3:$T$397,U66)=0,INDEX('Сводка'!$T$3:$T$397,V66)=0),1,0)</x:f>
        <x:v>1</x:v>
      </x:c>
      <x:c r="S66" s="9" t="n">
        <x:f>IF(AND(R66=1,O66&lt;=$G$13),1,0)</x:f>
        <x:v>0</x:v>
      </x:c>
      <x:c r="T66" s="10" t="n">
        <x:f>EOMONTH(J66-'Сводка'!$B$11,-1)</x:f>
        <x:v>45900</x:v>
      </x:c>
      <x:c r="U66" s="4" t="n">
        <x:f>MATCH(J66,'Сводка'!$R$3:$R$397,0)</x:f>
        <x:v>77</x:v>
      </x:c>
      <x:c r="V66" s="4" t="n">
        <x:f>MATCH(J66-'Сводка'!$B$11,'Сводка'!$R$3:$R$397,0)</x:f>
        <x:v>76</x:v>
      </x:c>
      <x:c r="W66" s="4" t="n">
        <x:f>MATCH(T66,$J$388:$J$400,0)</x:f>
        <x:v>3</x:v>
      </x:c>
      <x:c r="X66" s="3"/>
      <x:c r="Y66" s="3"/>
      <x:c r="Z66" s="3"/>
    </x:row>
    <x:row r="67" ht="15" customHeight="1">
      <x:c r="A67" s="7" t="str">
        <x:f>IF(49&lt;='Сводка'!$B$3,'Сводка'!$B$4+49,"")</x:f>
      </x:c>
      <x:c r="B67" s="20" t="str">
        <x:f>IF($A67="","",(A67-$T$405+1)/1000)</x:f>
      </x:c>
      <x:c r="C67" s="20" t="str">
        <x:f>IF($A67="","",2*(A67-$T$405)/$T$406-1)</x:f>
      </x:c>
      <x:c r="D67" s="3" t="str">
        <x:f>IF($A67="","",$B$4+$B$5*C67^1+$B$6*C67^2+INDEX($E$4:$E$15,MONTH(A67)))</x:f>
      </x:c>
      <x:c r="E67" s="3" t="str">
        <x:f>IF($A67="","",SQRT($T$403^2+H67^2))</x:f>
      </x:c>
      <x:c r="F67" s="3" t="str">
        <x:f>IF($A67="","",D67-$T$404*E67)</x:f>
      </x:c>
      <x:c r="G67" s="3" t="str">
        <x:f>IF($A67="","",D67+$T$404*E67)</x:f>
      </x:c>
      <x:c r="H67" s="3" t="str">
        <x:f>IF($A67="","",SQRT(MAX(0,(1)*$S$409*(1)+(1)*$T$409*(C67^1)+(1)*$U$409*(C67^2)+(C67^1)*$S$410*(1)+(C67^1)*$T$410*(C67^1)+(C67^1)*$U$410*(C67^2)+(C67^2)*$S$411*(1)+(C67^2)*$T$411*(C67^1)+(C67^2)*$U$411*(C67^2)+2*((1)*INDEX($S$416:$V$427,MONTH(A67),1)+(C67^1)*INDEX($S$416:$V$427,MONTH(A67),2)+(C67^2)*INDEX($S$416:$V$427,MONTH(A67),3))+INDEX($W$416:$W$427,MONTH(A67)))))</x:f>
      </x:c>
      <x:c r="I67" s="3"/>
      <x:c r="J67" s="10" t="n">
        <x:v>45918</x:v>
      </x:c>
      <x:c r="K67" s="8" t="n">
        <x:f>INDEX('Сводка'!$S$3:$S$397,U67)</x:f>
        <x:v>227</x:v>
      </x:c>
      <x:c r="L67" s="8" t="n">
        <x:f>INDEX('Сводка'!$S$3:$S$397,V67)</x:f>
        <x:v>219</x:v>
      </x:c>
      <x:c r="M67" s="8" t="n">
        <x:f>INDEX($K$388:$N$400,W67,1)+INDEX($K$388:$N$400,W67,2)*(2*(J67-$T$405)/(T67-$T$405)-1)^1+INDEX($K$388:$N$400,W67,3)*(2*(J67-$T$405)/(T67-$T$405)-1)^2+INDEX($O$388:$Z$400,W67,MONTH(J67))</x:f>
        <x:v>293.68972878235013</x:v>
      </x:c>
      <x:c r="N67" s="8" t="n">
        <x:f>K67-M67</x:f>
        <x:v>-66.68972878235013</x:v>
      </x:c>
      <x:c r="O67" s="8" t="n">
        <x:f>ABS(N67)</x:f>
        <x:v>66.68972878235013</x:v>
      </x:c>
      <x:c r="P67" s="8" t="n">
        <x:f>N67^2</x:f>
        <x:v>4447.51992506342</x:v>
      </x:c>
      <x:c r="Q67" s="8" t="n">
        <x:f>K67-L67</x:f>
        <x:v>8</x:v>
      </x:c>
      <x:c r="R67" s="9" t="n">
        <x:f>IF(AND(INDEX('Сводка'!$T$3:$T$397,U67)=0,INDEX('Сводка'!$T$3:$T$397,V67)=0),1,0)</x:f>
        <x:v>1</x:v>
      </x:c>
      <x:c r="S67" s="9" t="n">
        <x:f>IF(AND(R67=1,O67&lt;=$G$13),1,0)</x:f>
        <x:v>0</x:v>
      </x:c>
      <x:c r="T67" s="10" t="n">
        <x:f>EOMONTH(J67-'Сводка'!$B$11,-1)</x:f>
        <x:v>45900</x:v>
      </x:c>
      <x:c r="U67" s="4" t="n">
        <x:f>MATCH(J67,'Сводка'!$R$3:$R$397,0)</x:f>
        <x:v>78</x:v>
      </x:c>
      <x:c r="V67" s="4" t="n">
        <x:f>MATCH(J67-'Сводка'!$B$11,'Сводка'!$R$3:$R$397,0)</x:f>
        <x:v>77</x:v>
      </x:c>
      <x:c r="W67" s="4" t="n">
        <x:f>MATCH(T67,$J$388:$J$400,0)</x:f>
        <x:v>3</x:v>
      </x:c>
      <x:c r="X67" s="3"/>
      <x:c r="Y67" s="3"/>
      <x:c r="Z67" s="3"/>
    </x:row>
    <x:row r="68" ht="15" customHeight="1">
      <x:c r="A68" s="7" t="str">
        <x:f>IF(50&lt;='Сводка'!$B$3,'Сводка'!$B$4+50,"")</x:f>
      </x:c>
      <x:c r="B68" s="20" t="str">
        <x:f>IF($A68="","",(A68-$T$405+1)/1000)</x:f>
      </x:c>
      <x:c r="C68" s="20" t="str">
        <x:f>IF($A68="","",2*(A68-$T$405)/$T$406-1)</x:f>
      </x:c>
      <x:c r="D68" s="3" t="str">
        <x:f>IF($A68="","",$B$4+$B$5*C68^1+$B$6*C68^2+INDEX($E$4:$E$15,MONTH(A68)))</x:f>
      </x:c>
      <x:c r="E68" s="3" t="str">
        <x:f>IF($A68="","",SQRT($T$403^2+H68^2))</x:f>
      </x:c>
      <x:c r="F68" s="3" t="str">
        <x:f>IF($A68="","",D68-$T$404*E68)</x:f>
      </x:c>
      <x:c r="G68" s="3" t="str">
        <x:f>IF($A68="","",D68+$T$404*E68)</x:f>
      </x:c>
      <x:c r="H68" s="3" t="str">
        <x:f>IF($A68="","",SQRT(MAX(0,(1)*$S$409*(1)+(1)*$T$409*(C68^1)+(1)*$U$409*(C68^2)+(C68^1)*$S$410*(1)+(C68^1)*$T$410*(C68^1)+(C68^1)*$U$410*(C68^2)+(C68^2)*$S$411*(1)+(C68^2)*$T$411*(C68^1)+(C68^2)*$U$411*(C68^2)+2*((1)*INDEX($S$416:$V$427,MONTH(A68),1)+(C68^1)*INDEX($S$416:$V$427,MONTH(A68),2)+(C68^2)*INDEX($S$416:$V$427,MONTH(A68),3))+INDEX($W$416:$W$427,MONTH(A68)))))</x:f>
      </x:c>
      <x:c r="I68" s="3"/>
      <x:c r="J68" s="10" t="n">
        <x:v>45919</x:v>
      </x:c>
      <x:c r="K68" s="8" t="n">
        <x:f>INDEX('Сводка'!$S$3:$S$397,U68)</x:f>
        <x:v>241</x:v>
      </x:c>
      <x:c r="L68" s="8" t="n">
        <x:f>INDEX('Сводка'!$S$3:$S$397,V68)</x:f>
        <x:v>227</x:v>
      </x:c>
      <x:c r="M68" s="8" t="n">
        <x:f>INDEX($K$388:$N$400,W68,1)+INDEX($K$388:$N$400,W68,2)*(2*(J68-$T$405)/(T68-$T$405)-1)^1+INDEX($K$388:$N$400,W68,3)*(2*(J68-$T$405)/(T68-$T$405)-1)^2+INDEX($O$388:$Z$400,W68,MONTH(J68))</x:f>
        <x:v>293.6863388091706</x:v>
      </x:c>
      <x:c r="N68" s="8" t="n">
        <x:f>K68-M68</x:f>
        <x:v>-52.68633880917059</x:v>
      </x:c>
      <x:c r="O68" s="8" t="n">
        <x:f>ABS(N68)</x:f>
        <x:v>52.68633880917059</x:v>
      </x:c>
      <x:c r="P68" s="8" t="n">
        <x:f>N68^2</x:f>
        <x:v>2775.8502971147154</x:v>
      </x:c>
      <x:c r="Q68" s="8" t="n">
        <x:f>K68-L68</x:f>
        <x:v>14</x:v>
      </x:c>
      <x:c r="R68" s="9" t="n">
        <x:f>IF(AND(INDEX('Сводка'!$T$3:$T$397,U68)=0,INDEX('Сводка'!$T$3:$T$397,V68)=0),1,0)</x:f>
        <x:v>1</x:v>
      </x:c>
      <x:c r="S68" s="9" t="n">
        <x:f>IF(AND(R68=1,O68&lt;=$G$13),1,0)</x:f>
        <x:v>0</x:v>
      </x:c>
      <x:c r="T68" s="10" t="n">
        <x:f>EOMONTH(J68-'Сводка'!$B$11,-1)</x:f>
        <x:v>45900</x:v>
      </x:c>
      <x:c r="U68" s="4" t="n">
        <x:f>MATCH(J68,'Сводка'!$R$3:$R$397,0)</x:f>
        <x:v>79</x:v>
      </x:c>
      <x:c r="V68" s="4" t="n">
        <x:f>MATCH(J68-'Сводка'!$B$11,'Сводка'!$R$3:$R$397,0)</x:f>
        <x:v>78</x:v>
      </x:c>
      <x:c r="W68" s="4" t="n">
        <x:f>MATCH(T68,$J$388:$J$400,0)</x:f>
        <x:v>3</x:v>
      </x:c>
      <x:c r="X68" s="3"/>
      <x:c r="Y68" s="3"/>
      <x:c r="Z68" s="3"/>
    </x:row>
    <x:row r="69" ht="15" customHeight="1">
      <x:c r="A69" s="7" t="str">
        <x:f>IF(51&lt;='Сводка'!$B$3,'Сводка'!$B$4+51,"")</x:f>
      </x:c>
      <x:c r="B69" s="20" t="str">
        <x:f>IF($A69="","",(A69-$T$405+1)/1000)</x:f>
      </x:c>
      <x:c r="C69" s="20" t="str">
        <x:f>IF($A69="","",2*(A69-$T$405)/$T$406-1)</x:f>
      </x:c>
      <x:c r="D69" s="3" t="str">
        <x:f>IF($A69="","",$B$4+$B$5*C69^1+$B$6*C69^2+INDEX($E$4:$E$15,MONTH(A69)))</x:f>
      </x:c>
      <x:c r="E69" s="3" t="str">
        <x:f>IF($A69="","",SQRT($T$403^2+H69^2))</x:f>
      </x:c>
      <x:c r="F69" s="3" t="str">
        <x:f>IF($A69="","",D69-$T$404*E69)</x:f>
      </x:c>
      <x:c r="G69" s="3" t="str">
        <x:f>IF($A69="","",D69+$T$404*E69)</x:f>
      </x:c>
      <x:c r="H69" s="3" t="str">
        <x:f>IF($A69="","",SQRT(MAX(0,(1)*$S$409*(1)+(1)*$T$409*(C69^1)+(1)*$U$409*(C69^2)+(C69^1)*$S$410*(1)+(C69^1)*$T$410*(C69^1)+(C69^1)*$U$410*(C69^2)+(C69^2)*$S$411*(1)+(C69^2)*$T$411*(C69^1)+(C69^2)*$U$411*(C69^2)+2*((1)*INDEX($S$416:$V$427,MONTH(A69),1)+(C69^1)*INDEX($S$416:$V$427,MONTH(A69),2)+(C69^2)*INDEX($S$416:$V$427,MONTH(A69),3))+INDEX($W$416:$W$427,MONTH(A69)))))</x:f>
      </x:c>
      <x:c r="I69" s="3"/>
      <x:c r="J69" s="10" t="n">
        <x:v>45920</x:v>
      </x:c>
      <x:c r="K69" s="8" t="n">
        <x:f>INDEX('Сводка'!$S$3:$S$397,U69)</x:f>
        <x:v>249</x:v>
      </x:c>
      <x:c r="L69" s="8" t="n">
        <x:f>INDEX('Сводка'!$S$3:$S$397,V69)</x:f>
        <x:v>241</x:v>
      </x:c>
      <x:c r="M69" s="8" t="n">
        <x:f>INDEX($K$388:$N$400,W69,1)+INDEX($K$388:$N$400,W69,2)*(2*(J69-$T$405)/(T69-$T$405)-1)^1+INDEX($K$388:$N$400,W69,3)*(2*(J69-$T$405)/(T69-$T$405)-1)^2+INDEX($O$388:$Z$400,W69,MONTH(J69))</x:f>
        <x:v>293.6829431977808</x:v>
      </x:c>
      <x:c r="N69" s="8" t="n">
        <x:f>K69-M69</x:f>
        <x:v>-44.68294319778079</x:v>
      </x:c>
      <x:c r="O69" s="8" t="n">
        <x:f>ABS(N69)</x:f>
        <x:v>44.68294319778079</x:v>
      </x:c>
      <x:c r="P69" s="8" t="n">
        <x:f>N69^2</x:f>
        <x:v>1996.5654128161043</x:v>
      </x:c>
      <x:c r="Q69" s="8" t="n">
        <x:f>K69-L69</x:f>
        <x:v>8</x:v>
      </x:c>
      <x:c r="R69" s="9" t="n">
        <x:f>IF(AND(INDEX('Сводка'!$T$3:$T$397,U69)=0,INDEX('Сводка'!$T$3:$T$397,V69)=0),1,0)</x:f>
        <x:v>1</x:v>
      </x:c>
      <x:c r="S69" s="9" t="n">
        <x:f>IF(AND(R69=1,O69&lt;=$G$13),1,0)</x:f>
        <x:v>0</x:v>
      </x:c>
      <x:c r="T69" s="10" t="n">
        <x:f>EOMONTH(J69-'Сводка'!$B$11,-1)</x:f>
        <x:v>45900</x:v>
      </x:c>
      <x:c r="U69" s="4" t="n">
        <x:f>MATCH(J69,'Сводка'!$R$3:$R$397,0)</x:f>
        <x:v>80</x:v>
      </x:c>
      <x:c r="V69" s="4" t="n">
        <x:f>MATCH(J69-'Сводка'!$B$11,'Сводка'!$R$3:$R$397,0)</x:f>
        <x:v>79</x:v>
      </x:c>
      <x:c r="W69" s="4" t="n">
        <x:f>MATCH(T69,$J$388:$J$400,0)</x:f>
        <x:v>3</x:v>
      </x:c>
      <x:c r="X69" s="3"/>
      <x:c r="Y69" s="3"/>
      <x:c r="Z69" s="3"/>
    </x:row>
    <x:row r="70" ht="15" customHeight="1">
      <x:c r="A70" s="7" t="str">
        <x:f>IF(52&lt;='Сводка'!$B$3,'Сводка'!$B$4+52,"")</x:f>
      </x:c>
      <x:c r="B70" s="20" t="str">
        <x:f>IF($A70="","",(A70-$T$405+1)/1000)</x:f>
      </x:c>
      <x:c r="C70" s="20" t="str">
        <x:f>IF($A70="","",2*(A70-$T$405)/$T$406-1)</x:f>
      </x:c>
      <x:c r="D70" s="3" t="str">
        <x:f>IF($A70="","",$B$4+$B$5*C70^1+$B$6*C70^2+INDEX($E$4:$E$15,MONTH(A70)))</x:f>
      </x:c>
      <x:c r="E70" s="3" t="str">
        <x:f>IF($A70="","",SQRT($T$403^2+H70^2))</x:f>
      </x:c>
      <x:c r="F70" s="3" t="str">
        <x:f>IF($A70="","",D70-$T$404*E70)</x:f>
      </x:c>
      <x:c r="G70" s="3" t="str">
        <x:f>IF($A70="","",D70+$T$404*E70)</x:f>
      </x:c>
      <x:c r="H70" s="3" t="str">
        <x:f>IF($A70="","",SQRT(MAX(0,(1)*$S$409*(1)+(1)*$T$409*(C70^1)+(1)*$U$409*(C70^2)+(C70^1)*$S$410*(1)+(C70^1)*$T$410*(C70^1)+(C70^1)*$U$410*(C70^2)+(C70^2)*$S$411*(1)+(C70^2)*$T$411*(C70^1)+(C70^2)*$U$411*(C70^2)+2*((1)*INDEX($S$416:$V$427,MONTH(A70),1)+(C70^1)*INDEX($S$416:$V$427,MONTH(A70),2)+(C70^2)*INDEX($S$416:$V$427,MONTH(A70),3))+INDEX($W$416:$W$427,MONTH(A70)))))</x:f>
      </x:c>
      <x:c r="I70" s="3"/>
      <x:c r="J70" s="10" t="n">
        <x:v>45921</x:v>
      </x:c>
      <x:c r="K70" s="8" t="n">
        <x:f>INDEX('Сводка'!$S$3:$S$397,U70)</x:f>
        <x:v>260</x:v>
      </x:c>
      <x:c r="L70" s="8" t="n">
        <x:f>INDEX('Сводка'!$S$3:$S$397,V70)</x:f>
        <x:v>249</x:v>
      </x:c>
      <x:c r="M70" s="8" t="n">
        <x:f>INDEX($K$388:$N$400,W70,1)+INDEX($K$388:$N$400,W70,2)*(2*(J70-$T$405)/(T70-$T$405)-1)^1+INDEX($K$388:$N$400,W70,3)*(2*(J70-$T$405)/(T70-$T$405)-1)^2+INDEX($O$388:$Z$400,W70,MONTH(J70))</x:f>
        <x:v>293.6795419481805</x:v>
      </x:c>
      <x:c r="N70" s="8" t="n">
        <x:f>K70-M70</x:f>
        <x:v>-33.679541948180486</x:v>
      </x:c>
      <x:c r="O70" s="8" t="n">
        <x:f>ABS(N70)</x:f>
        <x:v>33.679541948180486</x:v>
      </x:c>
      <x:c r="P70" s="8" t="n">
        <x:f>N70^2</x:f>
        <x:v>1134.311545839249</x:v>
      </x:c>
      <x:c r="Q70" s="8" t="n">
        <x:f>K70-L70</x:f>
        <x:v>11</x:v>
      </x:c>
      <x:c r="R70" s="9" t="n">
        <x:f>IF(AND(INDEX('Сводка'!$T$3:$T$397,U70)=0,INDEX('Сводка'!$T$3:$T$397,V70)=0),1,0)</x:f>
        <x:v>1</x:v>
      </x:c>
      <x:c r="S70" s="9" t="n">
        <x:f>IF(AND(R70=1,O70&lt;=$G$13),1,0)</x:f>
        <x:v>0</x:v>
      </x:c>
      <x:c r="T70" s="10" t="n">
        <x:f>EOMONTH(J70-'Сводка'!$B$11,-1)</x:f>
        <x:v>45900</x:v>
      </x:c>
      <x:c r="U70" s="4" t="n">
        <x:f>MATCH(J70,'Сводка'!$R$3:$R$397,0)</x:f>
        <x:v>81</x:v>
      </x:c>
      <x:c r="V70" s="4" t="n">
        <x:f>MATCH(J70-'Сводка'!$B$11,'Сводка'!$R$3:$R$397,0)</x:f>
        <x:v>80</x:v>
      </x:c>
      <x:c r="W70" s="4" t="n">
        <x:f>MATCH(T70,$J$388:$J$400,0)</x:f>
        <x:v>3</x:v>
      </x:c>
      <x:c r="X70" s="3"/>
      <x:c r="Y70" s="3"/>
      <x:c r="Z70" s="3"/>
    </x:row>
    <x:row r="71" ht="15" customHeight="1">
      <x:c r="A71" s="7" t="str">
        <x:f>IF(53&lt;='Сводка'!$B$3,'Сводка'!$B$4+53,"")</x:f>
      </x:c>
      <x:c r="B71" s="20" t="str">
        <x:f>IF($A71="","",(A71-$T$405+1)/1000)</x:f>
      </x:c>
      <x:c r="C71" s="20" t="str">
        <x:f>IF($A71="","",2*(A71-$T$405)/$T$406-1)</x:f>
      </x:c>
      <x:c r="D71" s="3" t="str">
        <x:f>IF($A71="","",$B$4+$B$5*C71^1+$B$6*C71^2+INDEX($E$4:$E$15,MONTH(A71)))</x:f>
      </x:c>
      <x:c r="E71" s="3" t="str">
        <x:f>IF($A71="","",SQRT($T$403^2+H71^2))</x:f>
      </x:c>
      <x:c r="F71" s="3" t="str">
        <x:f>IF($A71="","",D71-$T$404*E71)</x:f>
      </x:c>
      <x:c r="G71" s="3" t="str">
        <x:f>IF($A71="","",D71+$T$404*E71)</x:f>
      </x:c>
      <x:c r="H71" s="3" t="str">
        <x:f>IF($A71="","",SQRT(MAX(0,(1)*$S$409*(1)+(1)*$T$409*(C71^1)+(1)*$U$409*(C71^2)+(C71^1)*$S$410*(1)+(C71^1)*$T$410*(C71^1)+(C71^1)*$U$410*(C71^2)+(C71^2)*$S$411*(1)+(C71^2)*$T$411*(C71^1)+(C71^2)*$U$411*(C71^2)+2*((1)*INDEX($S$416:$V$427,MONTH(A71),1)+(C71^1)*INDEX($S$416:$V$427,MONTH(A71),2)+(C71^2)*INDEX($S$416:$V$427,MONTH(A71),3))+INDEX($W$416:$W$427,MONTH(A71)))))</x:f>
      </x:c>
      <x:c r="I71" s="3"/>
      <x:c r="J71" s="10" t="n">
        <x:v>45922</x:v>
      </x:c>
      <x:c r="K71" s="8" t="n">
        <x:f>INDEX('Сводка'!$S$3:$S$397,U71)</x:f>
        <x:v>272</x:v>
      </x:c>
      <x:c r="L71" s="8" t="n">
        <x:f>INDEX('Сводка'!$S$3:$S$397,V71)</x:f>
        <x:v>260</x:v>
      </x:c>
      <x:c r="M71" s="8" t="n">
        <x:f>INDEX($K$388:$N$400,W71,1)+INDEX($K$388:$N$400,W71,2)*(2*(J71-$T$405)/(T71-$T$405)-1)^1+INDEX($K$388:$N$400,W71,3)*(2*(J71-$T$405)/(T71-$T$405)-1)^2+INDEX($O$388:$Z$400,W71,MONTH(J71))</x:f>
        <x:v>293.6761350603699</x:v>
      </x:c>
      <x:c r="N71" s="8" t="n">
        <x:f>K71-M71</x:f>
        <x:v>-21.676135060369916</x:v>
      </x:c>
      <x:c r="O71" s="8" t="n">
        <x:f>ABS(N71)</x:f>
        <x:v>21.676135060369916</x:v>
      </x:c>
      <x:c r="P71" s="8" t="n">
        <x:f>N71^2</x:f>
        <x:v>469.8548311553979</x:v>
      </x:c>
      <x:c r="Q71" s="8" t="n">
        <x:f>K71-L71</x:f>
        <x:v>12</x:v>
      </x:c>
      <x:c r="R71" s="9" t="n">
        <x:f>IF(AND(INDEX('Сводка'!$T$3:$T$397,U71)=0,INDEX('Сводка'!$T$3:$T$397,V71)=0),1,0)</x:f>
        <x:v>1</x:v>
      </x:c>
      <x:c r="S71" s="9" t="n">
        <x:f>IF(AND(R71=1,O71&lt;=$G$13),1,0)</x:f>
        <x:v>0</x:v>
      </x:c>
      <x:c r="T71" s="10" t="n">
        <x:f>EOMONTH(J71-'Сводка'!$B$11,-1)</x:f>
        <x:v>45900</x:v>
      </x:c>
      <x:c r="U71" s="4" t="n">
        <x:f>MATCH(J71,'Сводка'!$R$3:$R$397,0)</x:f>
        <x:v>82</x:v>
      </x:c>
      <x:c r="V71" s="4" t="n">
        <x:f>MATCH(J71-'Сводка'!$B$11,'Сводка'!$R$3:$R$397,0)</x:f>
        <x:v>81</x:v>
      </x:c>
      <x:c r="W71" s="4" t="n">
        <x:f>MATCH(T71,$J$388:$J$400,0)</x:f>
        <x:v>3</x:v>
      </x:c>
      <x:c r="X71" s="3"/>
      <x:c r="Y71" s="3"/>
      <x:c r="Z71" s="3"/>
    </x:row>
    <x:row r="72" ht="15" customHeight="1">
      <x:c r="A72" s="7" t="str">
        <x:f>IF(54&lt;='Сводка'!$B$3,'Сводка'!$B$4+54,"")</x:f>
      </x:c>
      <x:c r="B72" s="20" t="str">
        <x:f>IF($A72="","",(A72-$T$405+1)/1000)</x:f>
      </x:c>
      <x:c r="C72" s="20" t="str">
        <x:f>IF($A72="","",2*(A72-$T$405)/$T$406-1)</x:f>
      </x:c>
      <x:c r="D72" s="3" t="str">
        <x:f>IF($A72="","",$B$4+$B$5*C72^1+$B$6*C72^2+INDEX($E$4:$E$15,MONTH(A72)))</x:f>
      </x:c>
      <x:c r="E72" s="3" t="str">
        <x:f>IF($A72="","",SQRT($T$403^2+H72^2))</x:f>
      </x:c>
      <x:c r="F72" s="3" t="str">
        <x:f>IF($A72="","",D72-$T$404*E72)</x:f>
      </x:c>
      <x:c r="G72" s="3" t="str">
        <x:f>IF($A72="","",D72+$T$404*E72)</x:f>
      </x:c>
      <x:c r="H72" s="3" t="str">
        <x:f>IF($A72="","",SQRT(MAX(0,(1)*$S$409*(1)+(1)*$T$409*(C72^1)+(1)*$U$409*(C72^2)+(C72^1)*$S$410*(1)+(C72^1)*$T$410*(C72^1)+(C72^1)*$U$410*(C72^2)+(C72^2)*$S$411*(1)+(C72^2)*$T$411*(C72^1)+(C72^2)*$U$411*(C72^2)+2*((1)*INDEX($S$416:$V$427,MONTH(A72),1)+(C72^1)*INDEX($S$416:$V$427,MONTH(A72),2)+(C72^2)*INDEX($S$416:$V$427,MONTH(A72),3))+INDEX($W$416:$W$427,MONTH(A72)))))</x:f>
      </x:c>
      <x:c r="I72" s="3"/>
      <x:c r="J72" s="10" t="n">
        <x:v>45923</x:v>
      </x:c>
      <x:c r="K72" s="8" t="n">
        <x:f>INDEX('Сводка'!$S$3:$S$397,U72)</x:f>
        <x:v>279</x:v>
      </x:c>
      <x:c r="L72" s="8" t="n">
        <x:f>INDEX('Сводка'!$S$3:$S$397,V72)</x:f>
        <x:v>272</x:v>
      </x:c>
      <x:c r="M72" s="8" t="n">
        <x:f>INDEX($K$388:$N$400,W72,1)+INDEX($K$388:$N$400,W72,2)*(2*(J72-$T$405)/(T72-$T$405)-1)^1+INDEX($K$388:$N$400,W72,3)*(2*(J72-$T$405)/(T72-$T$405)-1)^2+INDEX($O$388:$Z$400,W72,MONTH(J72))</x:f>
        <x:v>293.67272253434896</x:v>
      </x:c>
      <x:c r="N72" s="8" t="n">
        <x:f>K72-M72</x:f>
        <x:v>-14.672722534348964</x:v>
      </x:c>
      <x:c r="O72" s="8" t="n">
        <x:f>ABS(N72)</x:f>
        <x:v>14.672722534348964</x:v>
      </x:c>
      <x:c r="P72" s="8" t="n">
        <x:f>N72^2</x:f>
        <x:v>215.28878656999188</x:v>
      </x:c>
      <x:c r="Q72" s="8" t="n">
        <x:f>K72-L72</x:f>
        <x:v>7</x:v>
      </x:c>
      <x:c r="R72" s="9" t="n">
        <x:f>IF(AND(INDEX('Сводка'!$T$3:$T$397,U72)=0,INDEX('Сводка'!$T$3:$T$397,V72)=0),1,0)</x:f>
        <x:v>1</x:v>
      </x:c>
      <x:c r="S72" s="9" t="n">
        <x:f>IF(AND(R72=1,O72&lt;=$G$13),1,0)</x:f>
        <x:v>0</x:v>
      </x:c>
      <x:c r="T72" s="10" t="n">
        <x:f>EOMONTH(J72-'Сводка'!$B$11,-1)</x:f>
        <x:v>45900</x:v>
      </x:c>
      <x:c r="U72" s="4" t="n">
        <x:f>MATCH(J72,'Сводка'!$R$3:$R$397,0)</x:f>
        <x:v>83</x:v>
      </x:c>
      <x:c r="V72" s="4" t="n">
        <x:f>MATCH(J72-'Сводка'!$B$11,'Сводка'!$R$3:$R$397,0)</x:f>
        <x:v>82</x:v>
      </x:c>
      <x:c r="W72" s="4" t="n">
        <x:f>MATCH(T72,$J$388:$J$400,0)</x:f>
        <x:v>3</x:v>
      </x:c>
      <x:c r="X72" s="3"/>
      <x:c r="Y72" s="3"/>
      <x:c r="Z72" s="3"/>
    </x:row>
    <x:row r="73" ht="15" customHeight="1">
      <x:c r="A73" s="7" t="str">
        <x:f>IF(55&lt;='Сводка'!$B$3,'Сводка'!$B$4+55,"")</x:f>
      </x:c>
      <x:c r="B73" s="20" t="str">
        <x:f>IF($A73="","",(A73-$T$405+1)/1000)</x:f>
      </x:c>
      <x:c r="C73" s="20" t="str">
        <x:f>IF($A73="","",2*(A73-$T$405)/$T$406-1)</x:f>
      </x:c>
      <x:c r="D73" s="3" t="str">
        <x:f>IF($A73="","",$B$4+$B$5*C73^1+$B$6*C73^2+INDEX($E$4:$E$15,MONTH(A73)))</x:f>
      </x:c>
      <x:c r="E73" s="3" t="str">
        <x:f>IF($A73="","",SQRT($T$403^2+H73^2))</x:f>
      </x:c>
      <x:c r="F73" s="3" t="str">
        <x:f>IF($A73="","",D73-$T$404*E73)</x:f>
      </x:c>
      <x:c r="G73" s="3" t="str">
        <x:f>IF($A73="","",D73+$T$404*E73)</x:f>
      </x:c>
      <x:c r="H73" s="3" t="str">
        <x:f>IF($A73="","",SQRT(MAX(0,(1)*$S$409*(1)+(1)*$T$409*(C73^1)+(1)*$U$409*(C73^2)+(C73^1)*$S$410*(1)+(C73^1)*$T$410*(C73^1)+(C73^1)*$U$410*(C73^2)+(C73^2)*$S$411*(1)+(C73^2)*$T$411*(C73^1)+(C73^2)*$U$411*(C73^2)+2*((1)*INDEX($S$416:$V$427,MONTH(A73),1)+(C73^1)*INDEX($S$416:$V$427,MONTH(A73),2)+(C73^2)*INDEX($S$416:$V$427,MONTH(A73),3))+INDEX($W$416:$W$427,MONTH(A73)))))</x:f>
      </x:c>
      <x:c r="I73" s="3"/>
      <x:c r="J73" s="10" t="n">
        <x:v>45924</x:v>
      </x:c>
      <x:c r="K73" s="8" t="n">
        <x:f>INDEX('Сводка'!$S$3:$S$397,U73)</x:f>
        <x:v>284</x:v>
      </x:c>
      <x:c r="L73" s="8" t="n">
        <x:f>INDEX('Сводка'!$S$3:$S$397,V73)</x:f>
        <x:v>279</x:v>
      </x:c>
      <x:c r="M73" s="8" t="n">
        <x:f>INDEX($K$388:$N$400,W73,1)+INDEX($K$388:$N$400,W73,2)*(2*(J73-$T$405)/(T73-$T$405)-1)^1+INDEX($K$388:$N$400,W73,3)*(2*(J73-$T$405)/(T73-$T$405)-1)^2+INDEX($O$388:$Z$400,W73,MONTH(J73))</x:f>
        <x:v>293.6693043701176</x:v>
      </x:c>
      <x:c r="N73" s="8" t="n">
        <x:f>K73-M73</x:f>
        <x:v>-9.669304370117572</x:v>
      </x:c>
      <x:c r="O73" s="8" t="n">
        <x:f>ABS(N73)</x:f>
        <x:v>9.669304370117572</x:v>
      </x:c>
      <x:c r="P73" s="8" t="n">
        <x:f>N73^2</x:f>
        <x:v>93.49544700197478</x:v>
      </x:c>
      <x:c r="Q73" s="8" t="n">
        <x:f>K73-L73</x:f>
        <x:v>5</x:v>
      </x:c>
      <x:c r="R73" s="9" t="n">
        <x:f>IF(AND(INDEX('Сводка'!$T$3:$T$397,U73)=0,INDEX('Сводка'!$T$3:$T$397,V73)=0),1,0)</x:f>
        <x:v>1</x:v>
      </x:c>
      <x:c r="S73" s="9" t="n">
        <x:f>IF(AND(R73=1,O73&lt;=$G$13),1,0)</x:f>
        <x:v>0</x:v>
      </x:c>
      <x:c r="T73" s="10" t="n">
        <x:f>EOMONTH(J73-'Сводка'!$B$11,-1)</x:f>
        <x:v>45900</x:v>
      </x:c>
      <x:c r="U73" s="4" t="n">
        <x:f>MATCH(J73,'Сводка'!$R$3:$R$397,0)</x:f>
        <x:v>84</x:v>
      </x:c>
      <x:c r="V73" s="4" t="n">
        <x:f>MATCH(J73-'Сводка'!$B$11,'Сводка'!$R$3:$R$397,0)</x:f>
        <x:v>83</x:v>
      </x:c>
      <x:c r="W73" s="4" t="n">
        <x:f>MATCH(T73,$J$388:$J$400,0)</x:f>
        <x:v>3</x:v>
      </x:c>
      <x:c r="X73" s="3"/>
      <x:c r="Y73" s="3"/>
      <x:c r="Z73" s="3"/>
    </x:row>
    <x:row r="74" ht="15" customHeight="1">
      <x:c r="A74" s="7" t="str">
        <x:f>IF(56&lt;='Сводка'!$B$3,'Сводка'!$B$4+56,"")</x:f>
      </x:c>
      <x:c r="B74" s="20" t="str">
        <x:f>IF($A74="","",(A74-$T$405+1)/1000)</x:f>
      </x:c>
      <x:c r="C74" s="20" t="str">
        <x:f>IF($A74="","",2*(A74-$T$405)/$T$406-1)</x:f>
      </x:c>
      <x:c r="D74" s="3" t="str">
        <x:f>IF($A74="","",$B$4+$B$5*C74^1+$B$6*C74^2+INDEX($E$4:$E$15,MONTH(A74)))</x:f>
      </x:c>
      <x:c r="E74" s="3" t="str">
        <x:f>IF($A74="","",SQRT($T$403^2+H74^2))</x:f>
      </x:c>
      <x:c r="F74" s="3" t="str">
        <x:f>IF($A74="","",D74-$T$404*E74)</x:f>
      </x:c>
      <x:c r="G74" s="3" t="str">
        <x:f>IF($A74="","",D74+$T$404*E74)</x:f>
      </x:c>
      <x:c r="H74" s="3" t="str">
        <x:f>IF($A74="","",SQRT(MAX(0,(1)*$S$409*(1)+(1)*$T$409*(C74^1)+(1)*$U$409*(C74^2)+(C74^1)*$S$410*(1)+(C74^1)*$T$410*(C74^1)+(C74^1)*$U$410*(C74^2)+(C74^2)*$S$411*(1)+(C74^2)*$T$411*(C74^1)+(C74^2)*$U$411*(C74^2)+2*((1)*INDEX($S$416:$V$427,MONTH(A74),1)+(C74^1)*INDEX($S$416:$V$427,MONTH(A74),2)+(C74^2)*INDEX($S$416:$V$427,MONTH(A74),3))+INDEX($W$416:$W$427,MONTH(A74)))))</x:f>
      </x:c>
      <x:c r="I74" s="3"/>
      <x:c r="J74" s="10" t="n">
        <x:v>45925</x:v>
      </x:c>
      <x:c r="K74" s="8" t="n">
        <x:f>INDEX('Сводка'!$S$3:$S$397,U74)</x:f>
        <x:v>288</x:v>
      </x:c>
      <x:c r="L74" s="8" t="n">
        <x:f>INDEX('Сводка'!$S$3:$S$397,V74)</x:f>
        <x:v>284</x:v>
      </x:c>
      <x:c r="M74" s="8" t="n">
        <x:f>INDEX($K$388:$N$400,W74,1)+INDEX($K$388:$N$400,W74,2)*(2*(J74-$T$405)/(T74-$T$405)-1)^1+INDEX($K$388:$N$400,W74,3)*(2*(J74-$T$405)/(T74-$T$405)-1)^2+INDEX($O$388:$Z$400,W74,MONTH(J74))</x:f>
        <x:v>293.66588056767586</x:v>
      </x:c>
      <x:c r="N74" s="8" t="n">
        <x:f>K74-M74</x:f>
        <x:v>-5.665880567675856</x:v>
      </x:c>
      <x:c r="O74" s="8" t="n">
        <x:f>ABS(N74)</x:f>
        <x:v>5.665880567675856</x:v>
      </x:c>
      <x:c r="P74" s="8" t="n">
        <x:f>N74^2</x:f>
        <x:v>32.10220260716688</x:v>
      </x:c>
      <x:c r="Q74" s="8" t="n">
        <x:f>K74-L74</x:f>
        <x:v>4</x:v>
      </x:c>
      <x:c r="R74" s="9" t="n">
        <x:f>IF(AND(INDEX('Сводка'!$T$3:$T$397,U74)=0,INDEX('Сводка'!$T$3:$T$397,V74)=0),1,0)</x:f>
        <x:v>1</x:v>
      </x:c>
      <x:c r="S74" s="9" t="n">
        <x:f>IF(AND(R74=1,O74&lt;=$G$13),1,0)</x:f>
        <x:v>1</x:v>
      </x:c>
      <x:c r="T74" s="10" t="n">
        <x:f>EOMONTH(J74-'Сводка'!$B$11,-1)</x:f>
        <x:v>45900</x:v>
      </x:c>
      <x:c r="U74" s="4" t="n">
        <x:f>MATCH(J74,'Сводка'!$R$3:$R$397,0)</x:f>
        <x:v>85</x:v>
      </x:c>
      <x:c r="V74" s="4" t="n">
        <x:f>MATCH(J74-'Сводка'!$B$11,'Сводка'!$R$3:$R$397,0)</x:f>
        <x:v>84</x:v>
      </x:c>
      <x:c r="W74" s="4" t="n">
        <x:f>MATCH(T74,$J$388:$J$400,0)</x:f>
        <x:v>3</x:v>
      </x:c>
      <x:c r="X74" s="3"/>
      <x:c r="Y74" s="3"/>
      <x:c r="Z74" s="3"/>
    </x:row>
    <x:row r="75" ht="15" customHeight="1">
      <x:c r="A75" s="7" t="str">
        <x:f>IF(57&lt;='Сводка'!$B$3,'Сводка'!$B$4+57,"")</x:f>
      </x:c>
      <x:c r="B75" s="20" t="str">
        <x:f>IF($A75="","",(A75-$T$405+1)/1000)</x:f>
      </x:c>
      <x:c r="C75" s="20" t="str">
        <x:f>IF($A75="","",2*(A75-$T$405)/$T$406-1)</x:f>
      </x:c>
      <x:c r="D75" s="3" t="str">
        <x:f>IF($A75="","",$B$4+$B$5*C75^1+$B$6*C75^2+INDEX($E$4:$E$15,MONTH(A75)))</x:f>
      </x:c>
      <x:c r="E75" s="3" t="str">
        <x:f>IF($A75="","",SQRT($T$403^2+H75^2))</x:f>
      </x:c>
      <x:c r="F75" s="3" t="str">
        <x:f>IF($A75="","",D75-$T$404*E75)</x:f>
      </x:c>
      <x:c r="G75" s="3" t="str">
        <x:f>IF($A75="","",D75+$T$404*E75)</x:f>
      </x:c>
      <x:c r="H75" s="3" t="str">
        <x:f>IF($A75="","",SQRT(MAX(0,(1)*$S$409*(1)+(1)*$T$409*(C75^1)+(1)*$U$409*(C75^2)+(C75^1)*$S$410*(1)+(C75^1)*$T$410*(C75^1)+(C75^1)*$U$410*(C75^2)+(C75^2)*$S$411*(1)+(C75^2)*$T$411*(C75^1)+(C75^2)*$U$411*(C75^2)+2*((1)*INDEX($S$416:$V$427,MONTH(A75),1)+(C75^1)*INDEX($S$416:$V$427,MONTH(A75),2)+(C75^2)*INDEX($S$416:$V$427,MONTH(A75),3))+INDEX($W$416:$W$427,MONTH(A75)))))</x:f>
      </x:c>
      <x:c r="I75" s="3"/>
      <x:c r="J75" s="10" t="n">
        <x:v>45926</x:v>
      </x:c>
      <x:c r="K75" s="8" t="n">
        <x:f>INDEX('Сводка'!$S$3:$S$397,U75)</x:f>
        <x:v>290</x:v>
      </x:c>
      <x:c r="L75" s="8" t="n">
        <x:f>INDEX('Сводка'!$S$3:$S$397,V75)</x:f>
        <x:v>288</x:v>
      </x:c>
      <x:c r="M75" s="8" t="n">
        <x:f>INDEX($K$388:$N$400,W75,1)+INDEX($K$388:$N$400,W75,2)*(2*(J75-$T$405)/(T75-$T$405)-1)^1+INDEX($K$388:$N$400,W75,3)*(2*(J75-$T$405)/(T75-$T$405)-1)^2+INDEX($O$388:$Z$400,W75,MONTH(J75))</x:f>
        <x:v>293.66245112702376</x:v>
      </x:c>
      <x:c r="N75" s="8" t="n">
        <x:f>K75-M75</x:f>
        <x:v>-3.6624511270237576</x:v>
      </x:c>
      <x:c r="O75" s="8" t="n">
        <x:f>ABS(N75)</x:f>
        <x:v>3.6624511270237576</x:v>
      </x:c>
      <x:c r="P75" s="8" t="n">
        <x:f>N75^2</x:f>
        <x:v>13.413548257837592</x:v>
      </x:c>
      <x:c r="Q75" s="8" t="n">
        <x:f>K75-L75</x:f>
        <x:v>2</x:v>
      </x:c>
      <x:c r="R75" s="9" t="n">
        <x:f>IF(AND(INDEX('Сводка'!$T$3:$T$397,U75)=0,INDEX('Сводка'!$T$3:$T$397,V75)=0),1,0)</x:f>
        <x:v>1</x:v>
      </x:c>
      <x:c r="S75" s="9" t="n">
        <x:f>IF(AND(R75=1,O75&lt;=$G$13),1,0)</x:f>
        <x:v>1</x:v>
      </x:c>
      <x:c r="T75" s="10" t="n">
        <x:f>EOMONTH(J75-'Сводка'!$B$11,-1)</x:f>
        <x:v>45900</x:v>
      </x:c>
      <x:c r="U75" s="4" t="n">
        <x:f>MATCH(J75,'Сводка'!$R$3:$R$397,0)</x:f>
        <x:v>86</x:v>
      </x:c>
      <x:c r="V75" s="4" t="n">
        <x:f>MATCH(J75-'Сводка'!$B$11,'Сводка'!$R$3:$R$397,0)</x:f>
        <x:v>85</x:v>
      </x:c>
      <x:c r="W75" s="4" t="n">
        <x:f>MATCH(T75,$J$388:$J$400,0)</x:f>
        <x:v>3</x:v>
      </x:c>
      <x:c r="X75" s="3"/>
      <x:c r="Y75" s="3"/>
      <x:c r="Z75" s="3"/>
    </x:row>
    <x:row r="76" ht="15" customHeight="1">
      <x:c r="A76" s="7" t="str">
        <x:f>IF(58&lt;='Сводка'!$B$3,'Сводка'!$B$4+58,"")</x:f>
      </x:c>
      <x:c r="B76" s="20" t="str">
        <x:f>IF($A76="","",(A76-$T$405+1)/1000)</x:f>
      </x:c>
      <x:c r="C76" s="20" t="str">
        <x:f>IF($A76="","",2*(A76-$T$405)/$T$406-1)</x:f>
      </x:c>
      <x:c r="D76" s="3" t="str">
        <x:f>IF($A76="","",$B$4+$B$5*C76^1+$B$6*C76^2+INDEX($E$4:$E$15,MONTH(A76)))</x:f>
      </x:c>
      <x:c r="E76" s="3" t="str">
        <x:f>IF($A76="","",SQRT($T$403^2+H76^2))</x:f>
      </x:c>
      <x:c r="F76" s="3" t="str">
        <x:f>IF($A76="","",D76-$T$404*E76)</x:f>
      </x:c>
      <x:c r="G76" s="3" t="str">
        <x:f>IF($A76="","",D76+$T$404*E76)</x:f>
      </x:c>
      <x:c r="H76" s="3" t="str">
        <x:f>IF($A76="","",SQRT(MAX(0,(1)*$S$409*(1)+(1)*$T$409*(C76^1)+(1)*$U$409*(C76^2)+(C76^1)*$S$410*(1)+(C76^1)*$T$410*(C76^1)+(C76^1)*$U$410*(C76^2)+(C76^2)*$S$411*(1)+(C76^2)*$T$411*(C76^1)+(C76^2)*$U$411*(C76^2)+2*((1)*INDEX($S$416:$V$427,MONTH(A76),1)+(C76^1)*INDEX($S$416:$V$427,MONTH(A76),2)+(C76^2)*INDEX($S$416:$V$427,MONTH(A76),3))+INDEX($W$416:$W$427,MONTH(A76)))))</x:f>
      </x:c>
      <x:c r="I76" s="3"/>
      <x:c r="J76" s="10" t="n">
        <x:v>45927</x:v>
      </x:c>
      <x:c r="K76" s="8" t="n">
        <x:f>INDEX('Сводка'!$S$3:$S$397,U76)</x:f>
        <x:v>291</x:v>
      </x:c>
      <x:c r="L76" s="8" t="n">
        <x:f>INDEX('Сводка'!$S$3:$S$397,V76)</x:f>
        <x:v>290</x:v>
      </x:c>
      <x:c r="M76" s="8" t="n">
        <x:f>INDEX($K$388:$N$400,W76,1)+INDEX($K$388:$N$400,W76,2)*(2*(J76-$T$405)/(T76-$T$405)-1)^1+INDEX($K$388:$N$400,W76,3)*(2*(J76-$T$405)/(T76-$T$405)-1)^2+INDEX($O$388:$Z$400,W76,MONTH(J76))</x:f>
        <x:v>293.6590160481613</x:v>
      </x:c>
      <x:c r="N76" s="8" t="n">
        <x:f>K76-M76</x:f>
        <x:v>-2.659016048161277</x:v>
      </x:c>
      <x:c r="O76" s="8" t="n">
        <x:f>ABS(N76)</x:f>
        <x:v>2.659016048161277</x:v>
      </x:c>
      <x:c r="P76" s="8" t="n">
        <x:f>N76^2</x:f>
        <x:v>7.070366344379215</x:v>
      </x:c>
      <x:c r="Q76" s="8" t="n">
        <x:f>K76-L76</x:f>
        <x:v>1</x:v>
      </x:c>
      <x:c r="R76" s="9" t="n">
        <x:f>IF(AND(INDEX('Сводка'!$T$3:$T$397,U76)=0,INDEX('Сводка'!$T$3:$T$397,V76)=0),1,0)</x:f>
        <x:v>1</x:v>
      </x:c>
      <x:c r="S76" s="9" t="n">
        <x:f>IF(AND(R76=1,O76&lt;=$G$13),1,0)</x:f>
        <x:v>1</x:v>
      </x:c>
      <x:c r="T76" s="10" t="n">
        <x:f>EOMONTH(J76-'Сводка'!$B$11,-1)</x:f>
        <x:v>45900</x:v>
      </x:c>
      <x:c r="U76" s="4" t="n">
        <x:f>MATCH(J76,'Сводка'!$R$3:$R$397,0)</x:f>
        <x:v>87</x:v>
      </x:c>
      <x:c r="V76" s="4" t="n">
        <x:f>MATCH(J76-'Сводка'!$B$11,'Сводка'!$R$3:$R$397,0)</x:f>
        <x:v>86</x:v>
      </x:c>
      <x:c r="W76" s="4" t="n">
        <x:f>MATCH(T76,$J$388:$J$400,0)</x:f>
        <x:v>3</x:v>
      </x:c>
      <x:c r="X76" s="3"/>
      <x:c r="Y76" s="3"/>
      <x:c r="Z76" s="3"/>
    </x:row>
    <x:row r="77" ht="15" customHeight="1">
      <x:c r="A77" s="7" t="str">
        <x:f>IF(59&lt;='Сводка'!$B$3,'Сводка'!$B$4+59,"")</x:f>
      </x:c>
      <x:c r="B77" s="20" t="str">
        <x:f>IF($A77="","",(A77-$T$405+1)/1000)</x:f>
      </x:c>
      <x:c r="C77" s="20" t="str">
        <x:f>IF($A77="","",2*(A77-$T$405)/$T$406-1)</x:f>
      </x:c>
      <x:c r="D77" s="3" t="str">
        <x:f>IF($A77="","",$B$4+$B$5*C77^1+$B$6*C77^2+INDEX($E$4:$E$15,MONTH(A77)))</x:f>
      </x:c>
      <x:c r="E77" s="3" t="str">
        <x:f>IF($A77="","",SQRT($T$403^2+H77^2))</x:f>
      </x:c>
      <x:c r="F77" s="3" t="str">
        <x:f>IF($A77="","",D77-$T$404*E77)</x:f>
      </x:c>
      <x:c r="G77" s="3" t="str">
        <x:f>IF($A77="","",D77+$T$404*E77)</x:f>
      </x:c>
      <x:c r="H77" s="3" t="str">
        <x:f>IF($A77="","",SQRT(MAX(0,(1)*$S$409*(1)+(1)*$T$409*(C77^1)+(1)*$U$409*(C77^2)+(C77^1)*$S$410*(1)+(C77^1)*$T$410*(C77^1)+(C77^1)*$U$410*(C77^2)+(C77^2)*$S$411*(1)+(C77^2)*$T$411*(C77^1)+(C77^2)*$U$411*(C77^2)+2*((1)*INDEX($S$416:$V$427,MONTH(A77),1)+(C77^1)*INDEX($S$416:$V$427,MONTH(A77),2)+(C77^2)*INDEX($S$416:$V$427,MONTH(A77),3))+INDEX($W$416:$W$427,MONTH(A77)))))</x:f>
      </x:c>
      <x:c r="I77" s="3"/>
      <x:c r="J77" s="10" t="n">
        <x:v>45928</x:v>
      </x:c>
      <x:c r="K77" s="8" t="n">
        <x:f>INDEX('Сводка'!$S$3:$S$397,U77)</x:f>
        <x:v>290</x:v>
      </x:c>
      <x:c r="L77" s="8" t="n">
        <x:f>INDEX('Сводка'!$S$3:$S$397,V77)</x:f>
        <x:v>291</x:v>
      </x:c>
      <x:c r="M77" s="8" t="n">
        <x:f>INDEX($K$388:$N$400,W77,1)+INDEX($K$388:$N$400,W77,2)*(2*(J77-$T$405)/(T77-$T$405)-1)^1+INDEX($K$388:$N$400,W77,3)*(2*(J77-$T$405)/(T77-$T$405)-1)^2+INDEX($O$388:$Z$400,W77,MONTH(J77))</x:f>
        <x:v>293.6555753310884</x:v>
      </x:c>
      <x:c r="N77" s="8" t="n">
        <x:f>K77-M77</x:f>
        <x:v>-3.6555753310884143</x:v>
      </x:c>
      <x:c r="O77" s="8" t="n">
        <x:f>ABS(N77)</x:f>
        <x:v>3.6555753310884143</x:v>
      </x:c>
      <x:c r="P77" s="8" t="n">
        <x:f>N77^2</x:f>
        <x:v>13.36323100126217</x:v>
      </x:c>
      <x:c r="Q77" s="8" t="n">
        <x:f>K77-L77</x:f>
        <x:v>-1</x:v>
      </x:c>
      <x:c r="R77" s="9" t="n">
        <x:f>IF(AND(INDEX('Сводка'!$T$3:$T$397,U77)=0,INDEX('Сводка'!$T$3:$T$397,V77)=0),1,0)</x:f>
        <x:v>1</x:v>
      </x:c>
      <x:c r="S77" s="9" t="n">
        <x:f>IF(AND(R77=1,O77&lt;=$G$13),1,0)</x:f>
        <x:v>1</x:v>
      </x:c>
      <x:c r="T77" s="10" t="n">
        <x:f>EOMONTH(J77-'Сводка'!$B$11,-1)</x:f>
        <x:v>45900</x:v>
      </x:c>
      <x:c r="U77" s="4" t="n">
        <x:f>MATCH(J77,'Сводка'!$R$3:$R$397,0)</x:f>
        <x:v>88</x:v>
      </x:c>
      <x:c r="V77" s="4" t="n">
        <x:f>MATCH(J77-'Сводка'!$B$11,'Сводка'!$R$3:$R$397,0)</x:f>
        <x:v>87</x:v>
      </x:c>
      <x:c r="W77" s="4" t="n">
        <x:f>MATCH(T77,$J$388:$J$400,0)</x:f>
        <x:v>3</x:v>
      </x:c>
      <x:c r="X77" s="3"/>
      <x:c r="Y77" s="3"/>
      <x:c r="Z77" s="3"/>
    </x:row>
    <x:row r="78" ht="15" customHeight="1">
      <x:c r="A78" s="7" t="str">
        <x:f>IF(60&lt;='Сводка'!$B$3,'Сводка'!$B$4+60,"")</x:f>
      </x:c>
      <x:c r="B78" s="20" t="str">
        <x:f>IF($A78="","",(A78-$T$405+1)/1000)</x:f>
      </x:c>
      <x:c r="C78" s="20" t="str">
        <x:f>IF($A78="","",2*(A78-$T$405)/$T$406-1)</x:f>
      </x:c>
      <x:c r="D78" s="3" t="str">
        <x:f>IF($A78="","",$B$4+$B$5*C78^1+$B$6*C78^2+INDEX($E$4:$E$15,MONTH(A78)))</x:f>
      </x:c>
      <x:c r="E78" s="3" t="str">
        <x:f>IF($A78="","",SQRT($T$403^2+H78^2))</x:f>
      </x:c>
      <x:c r="F78" s="3" t="str">
        <x:f>IF($A78="","",D78-$T$404*E78)</x:f>
      </x:c>
      <x:c r="G78" s="3" t="str">
        <x:f>IF($A78="","",D78+$T$404*E78)</x:f>
      </x:c>
      <x:c r="H78" s="3" t="str">
        <x:f>IF($A78="","",SQRT(MAX(0,(1)*$S$409*(1)+(1)*$T$409*(C78^1)+(1)*$U$409*(C78^2)+(C78^1)*$S$410*(1)+(C78^1)*$T$410*(C78^1)+(C78^1)*$U$410*(C78^2)+(C78^2)*$S$411*(1)+(C78^2)*$T$411*(C78^1)+(C78^2)*$U$411*(C78^2)+2*((1)*INDEX($S$416:$V$427,MONTH(A78),1)+(C78^1)*INDEX($S$416:$V$427,MONTH(A78),2)+(C78^2)*INDEX($S$416:$V$427,MONTH(A78),3))+INDEX($W$416:$W$427,MONTH(A78)))))</x:f>
      </x:c>
      <x:c r="I78" s="3"/>
      <x:c r="J78" s="10" t="n">
        <x:v>45929</x:v>
      </x:c>
      <x:c r="K78" s="8" t="n">
        <x:f>INDEX('Сводка'!$S$3:$S$397,U78)</x:f>
        <x:v>290</x:v>
      </x:c>
      <x:c r="L78" s="8" t="n">
        <x:f>INDEX('Сводка'!$S$3:$S$397,V78)</x:f>
        <x:v>290</x:v>
      </x:c>
      <x:c r="M78" s="8" t="n">
        <x:f>INDEX($K$388:$N$400,W78,1)+INDEX($K$388:$N$400,W78,2)*(2*(J78-$T$405)/(T78-$T$405)-1)^1+INDEX($K$388:$N$400,W78,3)*(2*(J78-$T$405)/(T78-$T$405)-1)^2+INDEX($O$388:$Z$400,W78,MONTH(J78))</x:f>
        <x:v>293.6521289758052</x:v>
      </x:c>
      <x:c r="N78" s="8" t="n">
        <x:f>K78-M78</x:f>
        <x:v>-3.652128975805226</x:v>
      </x:c>
      <x:c r="O78" s="8" t="n">
        <x:f>ABS(N78)</x:f>
        <x:v>3.652128975805226</x:v>
      </x:c>
      <x:c r="P78" s="8" t="n">
        <x:f>N78^2</x:f>
        <x:v>13.33804605591613</x:v>
      </x:c>
      <x:c r="Q78" s="8" t="n">
        <x:f>K78-L78</x:f>
        <x:v>0</x:v>
      </x:c>
      <x:c r="R78" s="9" t="n">
        <x:f>IF(AND(INDEX('Сводка'!$T$3:$T$397,U78)=0,INDEX('Сводка'!$T$3:$T$397,V78)=0),1,0)</x:f>
        <x:v>1</x:v>
      </x:c>
      <x:c r="S78" s="9" t="n">
        <x:f>IF(AND(R78=1,O78&lt;=$G$13),1,0)</x:f>
        <x:v>1</x:v>
      </x:c>
      <x:c r="T78" s="10" t="n">
        <x:f>EOMONTH(J78-'Сводка'!$B$11,-1)</x:f>
        <x:v>45900</x:v>
      </x:c>
      <x:c r="U78" s="4" t="n">
        <x:f>MATCH(J78,'Сводка'!$R$3:$R$397,0)</x:f>
        <x:v>89</x:v>
      </x:c>
      <x:c r="V78" s="4" t="n">
        <x:f>MATCH(J78-'Сводка'!$B$11,'Сводка'!$R$3:$R$397,0)</x:f>
        <x:v>88</x:v>
      </x:c>
      <x:c r="W78" s="4" t="n">
        <x:f>MATCH(T78,$J$388:$J$400,0)</x:f>
        <x:v>3</x:v>
      </x:c>
      <x:c r="X78" s="3"/>
      <x:c r="Y78" s="3"/>
      <x:c r="Z78" s="3"/>
    </x:row>
    <x:row r="79" ht="15" customHeight="1">
      <x:c r="A79" s="7" t="str">
        <x:f>IF(61&lt;='Сводка'!$B$3,'Сводка'!$B$4+61,"")</x:f>
      </x:c>
      <x:c r="B79" s="20" t="str">
        <x:f>IF($A79="","",(A79-$T$405+1)/1000)</x:f>
      </x:c>
      <x:c r="C79" s="20" t="str">
        <x:f>IF($A79="","",2*(A79-$T$405)/$T$406-1)</x:f>
      </x:c>
      <x:c r="D79" s="3" t="str">
        <x:f>IF($A79="","",$B$4+$B$5*C79^1+$B$6*C79^2+INDEX($E$4:$E$15,MONTH(A79)))</x:f>
      </x:c>
      <x:c r="E79" s="3" t="str">
        <x:f>IF($A79="","",SQRT($T$403^2+H79^2))</x:f>
      </x:c>
      <x:c r="F79" s="3" t="str">
        <x:f>IF($A79="","",D79-$T$404*E79)</x:f>
      </x:c>
      <x:c r="G79" s="3" t="str">
        <x:f>IF($A79="","",D79+$T$404*E79)</x:f>
      </x:c>
      <x:c r="H79" s="3" t="str">
        <x:f>IF($A79="","",SQRT(MAX(0,(1)*$S$409*(1)+(1)*$T$409*(C79^1)+(1)*$U$409*(C79^2)+(C79^1)*$S$410*(1)+(C79^1)*$T$410*(C79^1)+(C79^1)*$U$410*(C79^2)+(C79^2)*$S$411*(1)+(C79^2)*$T$411*(C79^1)+(C79^2)*$U$411*(C79^2)+2*((1)*INDEX($S$416:$V$427,MONTH(A79),1)+(C79^1)*INDEX($S$416:$V$427,MONTH(A79),2)+(C79^2)*INDEX($S$416:$V$427,MONTH(A79),3))+INDEX($W$416:$W$427,MONTH(A79)))))</x:f>
      </x:c>
      <x:c r="I79" s="3"/>
      <x:c r="J79" s="10" t="n">
        <x:v>45930</x:v>
      </x:c>
      <x:c r="K79" s="8" t="n">
        <x:f>INDEX('Сводка'!$S$3:$S$397,U79)</x:f>
        <x:v>293</x:v>
      </x:c>
      <x:c r="L79" s="8" t="n">
        <x:f>INDEX('Сводка'!$S$3:$S$397,V79)</x:f>
        <x:v>290</x:v>
      </x:c>
      <x:c r="M79" s="8" t="n">
        <x:f>INDEX($K$388:$N$400,W79,1)+INDEX($K$388:$N$400,W79,2)*(2*(J79-$T$405)/(T79-$T$405)-1)^1+INDEX($K$388:$N$400,W79,3)*(2*(J79-$T$405)/(T79-$T$405)-1)^2+INDEX($O$388:$Z$400,W79,MONTH(J79))</x:f>
        <x:v>293.6486769823116</x:v>
      </x:c>
      <x:c r="N79" s="8" t="n">
        <x:f>K79-M79</x:f>
        <x:v>-0.6486769823115992</x:v>
      </x:c>
      <x:c r="O79" s="8" t="n">
        <x:f>ABS(N79)</x:f>
        <x:v>0.6486769823115992</x:v>
      </x:c>
      <x:c r="P79" s="8" t="n">
        <x:f>N79^2</x:f>
        <x:v>0.42078182738088277</x:v>
      </x:c>
      <x:c r="Q79" s="8" t="n">
        <x:f>K79-L79</x:f>
        <x:v>3</x:v>
      </x:c>
      <x:c r="R79" s="9" t="n">
        <x:f>IF(AND(INDEX('Сводка'!$T$3:$T$397,U79)=0,INDEX('Сводка'!$T$3:$T$397,V79)=0),1,0)</x:f>
        <x:v>1</x:v>
      </x:c>
      <x:c r="S79" s="9" t="n">
        <x:f>IF(AND(R79=1,O79&lt;=$G$13),1,0)</x:f>
        <x:v>1</x:v>
      </x:c>
      <x:c r="T79" s="10" t="n">
        <x:f>EOMONTH(J79-'Сводка'!$B$11,-1)</x:f>
        <x:v>45900</x:v>
      </x:c>
      <x:c r="U79" s="4" t="n">
        <x:f>MATCH(J79,'Сводка'!$R$3:$R$397,0)</x:f>
        <x:v>90</x:v>
      </x:c>
      <x:c r="V79" s="4" t="n">
        <x:f>MATCH(J79-'Сводка'!$B$11,'Сводка'!$R$3:$R$397,0)</x:f>
        <x:v>89</x:v>
      </x:c>
      <x:c r="W79" s="4" t="n">
        <x:f>MATCH(T79,$J$388:$J$400,0)</x:f>
        <x:v>3</x:v>
      </x:c>
      <x:c r="X79" s="3"/>
      <x:c r="Y79" s="3"/>
      <x:c r="Z79" s="3"/>
    </x:row>
    <x:row r="80" ht="15" customHeight="1">
      <x:c r="A80" s="7" t="str">
        <x:f>IF(62&lt;='Сводка'!$B$3,'Сводка'!$B$4+62,"")</x:f>
      </x:c>
      <x:c r="B80" s="20" t="str">
        <x:f>IF($A80="","",(A80-$T$405+1)/1000)</x:f>
      </x:c>
      <x:c r="C80" s="20" t="str">
        <x:f>IF($A80="","",2*(A80-$T$405)/$T$406-1)</x:f>
      </x:c>
      <x:c r="D80" s="3" t="str">
        <x:f>IF($A80="","",$B$4+$B$5*C80^1+$B$6*C80^2+INDEX($E$4:$E$15,MONTH(A80)))</x:f>
      </x:c>
      <x:c r="E80" s="3" t="str">
        <x:f>IF($A80="","",SQRT($T$403^2+H80^2))</x:f>
      </x:c>
      <x:c r="F80" s="3" t="str">
        <x:f>IF($A80="","",D80-$T$404*E80)</x:f>
      </x:c>
      <x:c r="G80" s="3" t="str">
        <x:f>IF($A80="","",D80+$T$404*E80)</x:f>
      </x:c>
      <x:c r="H80" s="3" t="str">
        <x:f>IF($A80="","",SQRT(MAX(0,(1)*$S$409*(1)+(1)*$T$409*(C80^1)+(1)*$U$409*(C80^2)+(C80^1)*$S$410*(1)+(C80^1)*$T$410*(C80^1)+(C80^1)*$U$410*(C80^2)+(C80^2)*$S$411*(1)+(C80^2)*$T$411*(C80^1)+(C80^2)*$U$411*(C80^2)+2*((1)*INDEX($S$416:$V$427,MONTH(A80),1)+(C80^1)*INDEX($S$416:$V$427,MONTH(A80),2)+(C80^2)*INDEX($S$416:$V$427,MONTH(A80),3))+INDEX($W$416:$W$427,MONTH(A80)))))</x:f>
      </x:c>
      <x:c r="I80" s="3"/>
      <x:c r="J80" s="10" t="n">
        <x:v>45931</x:v>
      </x:c>
      <x:c r="K80" s="8" t="n">
        <x:f>INDEX('Сводка'!$S$3:$S$397,U80)</x:f>
        <x:v>292</x:v>
      </x:c>
      <x:c r="L80" s="8" t="n">
        <x:f>INDEX('Сводка'!$S$3:$S$397,V80)</x:f>
        <x:v>293</x:v>
      </x:c>
      <x:c r="M80" s="8" t="n">
        <x:f>INDEX($K$388:$N$400,W80,1)+INDEX($K$388:$N$400,W80,2)*(2*(J80-$T$405)/(T80-$T$405)-1)^1+INDEX($K$388:$N$400,W80,3)*(2*(J80-$T$405)/(T80-$T$405)-1)^2+INDEX($O$388:$Z$400,W80,MONTH(J80))</x:f>
        <x:v>140.00126838295245</x:v>
      </x:c>
      <x:c r="N80" s="8" t="n">
        <x:f>K80-M80</x:f>
        <x:v>151.99873161704755</x:v>
      </x:c>
      <x:c r="O80" s="8" t="n">
        <x:f>ABS(N80)</x:f>
        <x:v>151.99873161704755</x:v>
      </x:c>
      <x:c r="P80" s="8" t="n">
        <x:f>N80^2</x:f>
        <x:v>23103.61441319125</x:v>
      </x:c>
      <x:c r="Q80" s="8" t="n">
        <x:f>K80-L80</x:f>
        <x:v>-1</x:v>
      </x:c>
      <x:c r="R80" s="9" t="n">
        <x:f>IF(AND(INDEX('Сводка'!$T$3:$T$397,U80)=0,INDEX('Сводка'!$T$3:$T$397,V80)=0),1,0)</x:f>
        <x:v>1</x:v>
      </x:c>
      <x:c r="S80" s="9" t="n">
        <x:f>IF(AND(R80=1,O80&lt;=$G$13),1,0)</x:f>
        <x:v>0</x:v>
      </x:c>
      <x:c r="T80" s="10" t="n">
        <x:f>EOMONTH(J80-'Сводка'!$B$11,-1)</x:f>
        <x:v>45900</x:v>
      </x:c>
      <x:c r="U80" s="4" t="n">
        <x:f>MATCH(J80,'Сводка'!$R$3:$R$397,0)</x:f>
        <x:v>91</x:v>
      </x:c>
      <x:c r="V80" s="4" t="n">
        <x:f>MATCH(J80-'Сводка'!$B$11,'Сводка'!$R$3:$R$397,0)</x:f>
        <x:v>90</x:v>
      </x:c>
      <x:c r="W80" s="4" t="n">
        <x:f>MATCH(T80,$J$388:$J$400,0)</x:f>
        <x:v>3</x:v>
      </x:c>
      <x:c r="X80" s="3"/>
      <x:c r="Y80" s="3"/>
      <x:c r="Z80" s="3"/>
    </x:row>
    <x:row r="81" ht="15" customHeight="1">
      <x:c r="A81" s="7" t="str">
        <x:f>IF(63&lt;='Сводка'!$B$3,'Сводка'!$B$4+63,"")</x:f>
      </x:c>
      <x:c r="B81" s="20" t="str">
        <x:f>IF($A81="","",(A81-$T$405+1)/1000)</x:f>
      </x:c>
      <x:c r="C81" s="20" t="str">
        <x:f>IF($A81="","",2*(A81-$T$405)/$T$406-1)</x:f>
      </x:c>
      <x:c r="D81" s="3" t="str">
        <x:f>IF($A81="","",$B$4+$B$5*C81^1+$B$6*C81^2+INDEX($E$4:$E$15,MONTH(A81)))</x:f>
      </x:c>
      <x:c r="E81" s="3" t="str">
        <x:f>IF($A81="","",SQRT($T$403^2+H81^2))</x:f>
      </x:c>
      <x:c r="F81" s="3" t="str">
        <x:f>IF($A81="","",D81-$T$404*E81)</x:f>
      </x:c>
      <x:c r="G81" s="3" t="str">
        <x:f>IF($A81="","",D81+$T$404*E81)</x:f>
      </x:c>
      <x:c r="H81" s="3" t="str">
        <x:f>IF($A81="","",SQRT(MAX(0,(1)*$S$409*(1)+(1)*$T$409*(C81^1)+(1)*$U$409*(C81^2)+(C81^1)*$S$410*(1)+(C81^1)*$T$410*(C81^1)+(C81^1)*$U$410*(C81^2)+(C81^2)*$S$411*(1)+(C81^2)*$T$411*(C81^1)+(C81^2)*$U$411*(C81^2)+2*((1)*INDEX($S$416:$V$427,MONTH(A81),1)+(C81^1)*INDEX($S$416:$V$427,MONTH(A81),2)+(C81^2)*INDEX($S$416:$V$427,MONTH(A81),3))+INDEX($W$416:$W$427,MONTH(A81)))))</x:f>
      </x:c>
      <x:c r="I81" s="3"/>
      <x:c r="J81" s="10" t="n">
        <x:v>45932</x:v>
      </x:c>
      <x:c r="K81" s="8" t="n">
        <x:f>INDEX('Сводка'!$S$3:$S$397,U81)</x:f>
        <x:v>284</x:v>
      </x:c>
      <x:c r="L81" s="8" t="n">
        <x:f>INDEX('Сводка'!$S$3:$S$397,V81)</x:f>
        <x:v>292</x:v>
      </x:c>
      <x:c r="M81" s="8" t="n">
        <x:f>INDEX($K$388:$N$400,W81,1)+INDEX($K$388:$N$400,W81,2)*(2*(J81-$T$405)/(T81-$T$405)-1)^1+INDEX($K$388:$N$400,W81,3)*(2*(J81-$T$405)/(T81-$T$405)-1)^2+INDEX($O$388:$Z$400,W81,MONTH(J81))</x:f>
        <x:v>138.4374548453183</x:v>
      </x:c>
      <x:c r="N81" s="8" t="n">
        <x:f>K81-M81</x:f>
        <x:v>145.5625451546817</x:v>
      </x:c>
      <x:c r="O81" s="8" t="n">
        <x:f>ABS(N81)</x:f>
        <x:v>145.5625451546817</x:v>
      </x:c>
      <x:c r="P81" s="8" t="n">
        <x:f>N81^2</x:f>
        <x:v>21188.454551908744</x:v>
      </x:c>
      <x:c r="Q81" s="8" t="n">
        <x:f>K81-L81</x:f>
        <x:v>-8</x:v>
      </x:c>
      <x:c r="R81" s="9" t="n">
        <x:f>IF(AND(INDEX('Сводка'!$T$3:$T$397,U81)=0,INDEX('Сводка'!$T$3:$T$397,V81)=0),1,0)</x:f>
        <x:v>1</x:v>
      </x:c>
      <x:c r="S81" s="9" t="n">
        <x:f>IF(AND(R81=1,O81&lt;=$G$13),1,0)</x:f>
        <x:v>0</x:v>
      </x:c>
      <x:c r="T81" s="10" t="n">
        <x:f>EOMONTH(J81-'Сводка'!$B$11,-1)</x:f>
        <x:v>45930</x:v>
      </x:c>
      <x:c r="U81" s="4" t="n">
        <x:f>MATCH(J81,'Сводка'!$R$3:$R$397,0)</x:f>
        <x:v>92</x:v>
      </x:c>
      <x:c r="V81" s="4" t="n">
        <x:f>MATCH(J81-'Сводка'!$B$11,'Сводка'!$R$3:$R$397,0)</x:f>
        <x:v>91</x:v>
      </x:c>
      <x:c r="W81" s="4" t="n">
        <x:f>MATCH(T81,$J$388:$J$400,0)</x:f>
        <x:v>4</x:v>
      </x:c>
      <x:c r="X81" s="3"/>
      <x:c r="Y81" s="3"/>
      <x:c r="Z81" s="3"/>
    </x:row>
    <x:row r="82" ht="15" customHeight="1">
      <x:c r="A82" s="7" t="str">
        <x:f>IF(64&lt;='Сводка'!$B$3,'Сводка'!$B$4+64,"")</x:f>
      </x:c>
      <x:c r="B82" s="20" t="str">
        <x:f>IF($A82="","",(A82-$T$405+1)/1000)</x:f>
      </x:c>
      <x:c r="C82" s="20" t="str">
        <x:f>IF($A82="","",2*(A82-$T$405)/$T$406-1)</x:f>
      </x:c>
      <x:c r="D82" s="3" t="str">
        <x:f>IF($A82="","",$B$4+$B$5*C82^1+$B$6*C82^2+INDEX($E$4:$E$15,MONTH(A82)))</x:f>
      </x:c>
      <x:c r="E82" s="3" t="str">
        <x:f>IF($A82="","",SQRT($T$403^2+H82^2))</x:f>
      </x:c>
      <x:c r="F82" s="3" t="str">
        <x:f>IF($A82="","",D82-$T$404*E82)</x:f>
      </x:c>
      <x:c r="G82" s="3" t="str">
        <x:f>IF($A82="","",D82+$T$404*E82)</x:f>
      </x:c>
      <x:c r="H82" s="3" t="str">
        <x:f>IF($A82="","",SQRT(MAX(0,(1)*$S$409*(1)+(1)*$T$409*(C82^1)+(1)*$U$409*(C82^2)+(C82^1)*$S$410*(1)+(C82^1)*$T$410*(C82^1)+(C82^1)*$U$410*(C82^2)+(C82^2)*$S$411*(1)+(C82^2)*$T$411*(C82^1)+(C82^2)*$U$411*(C82^2)+2*((1)*INDEX($S$416:$V$427,MONTH(A82),1)+(C82^1)*INDEX($S$416:$V$427,MONTH(A82),2)+(C82^2)*INDEX($S$416:$V$427,MONTH(A82),3))+INDEX($W$416:$W$427,MONTH(A82)))))</x:f>
      </x:c>
      <x:c r="I82" s="3"/>
      <x:c r="J82" s="10" t="n">
        <x:v>45933</x:v>
      </x:c>
      <x:c r="K82" s="8" t="n">
        <x:f>INDEX('Сводка'!$S$3:$S$397,U82)</x:f>
        <x:v>274</x:v>
      </x:c>
      <x:c r="L82" s="8" t="n">
        <x:f>INDEX('Сводка'!$S$3:$S$397,V82)</x:f>
        <x:v>284</x:v>
      </x:c>
      <x:c r="M82" s="8" t="n">
        <x:f>INDEX($K$388:$N$400,W82,1)+INDEX($K$388:$N$400,W82,2)*(2*(J82-$T$405)/(T82-$T$405)-1)^1+INDEX($K$388:$N$400,W82,3)*(2*(J82-$T$405)/(T82-$T$405)-1)^2+INDEX($O$388:$Z$400,W82,MONTH(J82))</x:f>
        <x:v>138.43320167112805</x:v>
      </x:c>
      <x:c r="N82" s="8" t="n">
        <x:f>K82-M82</x:f>
        <x:v>135.56679832887195</x:v>
      </x:c>
      <x:c r="O82" s="8" t="n">
        <x:f>ABS(N82)</x:f>
        <x:v>135.56679832887195</x:v>
      </x:c>
      <x:c r="P82" s="8" t="n">
        <x:f>N82^2</x:f>
        <x:v>18378.356809141038</x:v>
      </x:c>
      <x:c r="Q82" s="8" t="n">
        <x:f>K82-L82</x:f>
        <x:v>-10</x:v>
      </x:c>
      <x:c r="R82" s="9" t="n">
        <x:f>IF(AND(INDEX('Сводка'!$T$3:$T$397,U82)=0,INDEX('Сводка'!$T$3:$T$397,V82)=0),1,0)</x:f>
        <x:v>1</x:v>
      </x:c>
      <x:c r="S82" s="9" t="n">
        <x:f>IF(AND(R82=1,O82&lt;=$G$13),1,0)</x:f>
        <x:v>0</x:v>
      </x:c>
      <x:c r="T82" s="10" t="n">
        <x:f>EOMONTH(J82-'Сводка'!$B$11,-1)</x:f>
        <x:v>45930</x:v>
      </x:c>
      <x:c r="U82" s="4" t="n">
        <x:f>MATCH(J82,'Сводка'!$R$3:$R$397,0)</x:f>
        <x:v>93</x:v>
      </x:c>
      <x:c r="V82" s="4" t="n">
        <x:f>MATCH(J82-'Сводка'!$B$11,'Сводка'!$R$3:$R$397,0)</x:f>
        <x:v>92</x:v>
      </x:c>
      <x:c r="W82" s="4" t="n">
        <x:f>MATCH(T82,$J$388:$J$400,0)</x:f>
        <x:v>4</x:v>
      </x:c>
      <x:c r="X82" s="3"/>
      <x:c r="Y82" s="3"/>
      <x:c r="Z82" s="3"/>
    </x:row>
    <x:row r="83" ht="15" customHeight="1">
      <x:c r="A83" s="7" t="str">
        <x:f>IF(65&lt;='Сводка'!$B$3,'Сводка'!$B$4+65,"")</x:f>
      </x:c>
      <x:c r="B83" s="20" t="str">
        <x:f>IF($A83="","",(A83-$T$405+1)/1000)</x:f>
      </x:c>
      <x:c r="C83" s="20" t="str">
        <x:f>IF($A83="","",2*(A83-$T$405)/$T$406-1)</x:f>
      </x:c>
      <x:c r="D83" s="3" t="str">
        <x:f>IF($A83="","",$B$4+$B$5*C83^1+$B$6*C83^2+INDEX($E$4:$E$15,MONTH(A83)))</x:f>
      </x:c>
      <x:c r="E83" s="3" t="str">
        <x:f>IF($A83="","",SQRT($T$403^2+H83^2))</x:f>
      </x:c>
      <x:c r="F83" s="3" t="str">
        <x:f>IF($A83="","",D83-$T$404*E83)</x:f>
      </x:c>
      <x:c r="G83" s="3" t="str">
        <x:f>IF($A83="","",D83+$T$404*E83)</x:f>
      </x:c>
      <x:c r="H83" s="3" t="str">
        <x:f>IF($A83="","",SQRT(MAX(0,(1)*$S$409*(1)+(1)*$T$409*(C83^1)+(1)*$U$409*(C83^2)+(C83^1)*$S$410*(1)+(C83^1)*$T$410*(C83^1)+(C83^1)*$U$410*(C83^2)+(C83^2)*$S$411*(1)+(C83^2)*$T$411*(C83^1)+(C83^2)*$U$411*(C83^2)+2*((1)*INDEX($S$416:$V$427,MONTH(A83),1)+(C83^1)*INDEX($S$416:$V$427,MONTH(A83),2)+(C83^2)*INDEX($S$416:$V$427,MONTH(A83),3))+INDEX($W$416:$W$427,MONTH(A83)))))</x:f>
      </x:c>
      <x:c r="I83" s="3"/>
      <x:c r="J83" s="10" t="n">
        <x:v>45934</x:v>
      </x:c>
      <x:c r="K83" s="8" t="n">
        <x:f>INDEX('Сводка'!$S$3:$S$397,U83)</x:f>
        <x:v>258</x:v>
      </x:c>
      <x:c r="L83" s="8" t="n">
        <x:f>INDEX('Сводка'!$S$3:$S$397,V83)</x:f>
        <x:v>274</x:v>
      </x:c>
      <x:c r="M83" s="8" t="n">
        <x:f>INDEX($K$388:$N$400,W83,1)+INDEX($K$388:$N$400,W83,2)*(2*(J83-$T$405)/(T83-$T$405)-1)^1+INDEX($K$388:$N$400,W83,3)*(2*(J83-$T$405)/(T83-$T$405)-1)^2+INDEX($O$388:$Z$400,W83,MONTH(J83))</x:f>
        <x:v>138.4289427092139</x:v>
      </x:c>
      <x:c r="N83" s="8" t="n">
        <x:f>K83-M83</x:f>
        <x:v>119.57105729078609</x:v>
      </x:c>
      <x:c r="O83" s="8" t="n">
        <x:f>ABS(N83)</x:f>
        <x:v>119.57105729078609</x:v>
      </x:c>
      <x:c r="P83" s="8" t="n">
        <x:f>N83^2</x:f>
        <x:v>14297.237741636449</x:v>
      </x:c>
      <x:c r="Q83" s="8" t="n">
        <x:f>K83-L83</x:f>
        <x:v>-16</x:v>
      </x:c>
      <x:c r="R83" s="9" t="n">
        <x:f>IF(AND(INDEX('Сводка'!$T$3:$T$397,U83)=0,INDEX('Сводка'!$T$3:$T$397,V83)=0),1,0)</x:f>
        <x:v>1</x:v>
      </x:c>
      <x:c r="S83" s="9" t="n">
        <x:f>IF(AND(R83=1,O83&lt;=$G$13),1,0)</x:f>
        <x:v>0</x:v>
      </x:c>
      <x:c r="T83" s="10" t="n">
        <x:f>EOMONTH(J83-'Сводка'!$B$11,-1)</x:f>
        <x:v>45930</x:v>
      </x:c>
      <x:c r="U83" s="4" t="n">
        <x:f>MATCH(J83,'Сводка'!$R$3:$R$397,0)</x:f>
        <x:v>94</x:v>
      </x:c>
      <x:c r="V83" s="4" t="n">
        <x:f>MATCH(J83-'Сводка'!$B$11,'Сводка'!$R$3:$R$397,0)</x:f>
        <x:v>93</x:v>
      </x:c>
      <x:c r="W83" s="4" t="n">
        <x:f>MATCH(T83,$J$388:$J$400,0)</x:f>
        <x:v>4</x:v>
      </x:c>
      <x:c r="X83" s="3"/>
      <x:c r="Y83" s="3"/>
      <x:c r="Z83" s="3"/>
    </x:row>
    <x:row r="84" ht="15" customHeight="1">
      <x:c r="A84" s="7" t="str">
        <x:f>IF(66&lt;='Сводка'!$B$3,'Сводка'!$B$4+66,"")</x:f>
      </x:c>
      <x:c r="B84" s="20" t="str">
        <x:f>IF($A84="","",(A84-$T$405+1)/1000)</x:f>
      </x:c>
      <x:c r="C84" s="20" t="str">
        <x:f>IF($A84="","",2*(A84-$T$405)/$T$406-1)</x:f>
      </x:c>
      <x:c r="D84" s="3" t="str">
        <x:f>IF($A84="","",$B$4+$B$5*C84^1+$B$6*C84^2+INDEX($E$4:$E$15,MONTH(A84)))</x:f>
      </x:c>
      <x:c r="E84" s="3" t="str">
        <x:f>IF($A84="","",SQRT($T$403^2+H84^2))</x:f>
      </x:c>
      <x:c r="F84" s="3" t="str">
        <x:f>IF($A84="","",D84-$T$404*E84)</x:f>
      </x:c>
      <x:c r="G84" s="3" t="str">
        <x:f>IF($A84="","",D84+$T$404*E84)</x:f>
      </x:c>
      <x:c r="H84" s="3" t="str">
        <x:f>IF($A84="","",SQRT(MAX(0,(1)*$S$409*(1)+(1)*$T$409*(C84^1)+(1)*$U$409*(C84^2)+(C84^1)*$S$410*(1)+(C84^1)*$T$410*(C84^1)+(C84^1)*$U$410*(C84^2)+(C84^2)*$S$411*(1)+(C84^2)*$T$411*(C84^1)+(C84^2)*$U$411*(C84^2)+2*((1)*INDEX($S$416:$V$427,MONTH(A84),1)+(C84^1)*INDEX($S$416:$V$427,MONTH(A84),2)+(C84^2)*INDEX($S$416:$V$427,MONTH(A84),3))+INDEX($W$416:$W$427,MONTH(A84)))))</x:f>
      </x:c>
      <x:c r="I84" s="3"/>
      <x:c r="J84" s="10" t="n">
        <x:v>45935</x:v>
      </x:c>
      <x:c r="K84" s="8" t="n">
        <x:f>INDEX('Сводка'!$S$3:$S$397,U84)</x:f>
        <x:v>240</x:v>
      </x:c>
      <x:c r="L84" s="8" t="n">
        <x:f>INDEX('Сводка'!$S$3:$S$397,V84)</x:f>
        <x:v>258</x:v>
      </x:c>
      <x:c r="M84" s="8" t="n">
        <x:f>INDEX($K$388:$N$400,W84,1)+INDEX($K$388:$N$400,W84,2)*(2*(J84-$T$405)/(T84-$T$405)-1)^1+INDEX($K$388:$N$400,W84,3)*(2*(J84-$T$405)/(T84-$T$405)-1)^2+INDEX($O$388:$Z$400,W84,MONTH(J84))</x:f>
        <x:v>138.42467795957597</x:v>
      </x:c>
      <x:c r="N84" s="8" t="n">
        <x:f>K84-M84</x:f>
        <x:v>101.57532204042403</x:v>
      </x:c>
      <x:c r="O84" s="8" t="n">
        <x:f>ABS(N84)</x:f>
        <x:v>101.57532204042403</x:v>
      </x:c>
      <x:c r="P84" s="8" t="n">
        <x:f>N84^2</x:f>
        <x:v>10317.546047615851</x:v>
      </x:c>
      <x:c r="Q84" s="8" t="n">
        <x:f>K84-L84</x:f>
        <x:v>-18</x:v>
      </x:c>
      <x:c r="R84" s="9" t="n">
        <x:f>IF(AND(INDEX('Сводка'!$T$3:$T$397,U84)=0,INDEX('Сводка'!$T$3:$T$397,V84)=0),1,0)</x:f>
        <x:v>1</x:v>
      </x:c>
      <x:c r="S84" s="9" t="n">
        <x:f>IF(AND(R84=1,O84&lt;=$G$13),1,0)</x:f>
        <x:v>0</x:v>
      </x:c>
      <x:c r="T84" s="10" t="n">
        <x:f>EOMONTH(J84-'Сводка'!$B$11,-1)</x:f>
        <x:v>45930</x:v>
      </x:c>
      <x:c r="U84" s="4" t="n">
        <x:f>MATCH(J84,'Сводка'!$R$3:$R$397,0)</x:f>
        <x:v>95</x:v>
      </x:c>
      <x:c r="V84" s="4" t="n">
        <x:f>MATCH(J84-'Сводка'!$B$11,'Сводка'!$R$3:$R$397,0)</x:f>
        <x:v>94</x:v>
      </x:c>
      <x:c r="W84" s="4" t="n">
        <x:f>MATCH(T84,$J$388:$J$400,0)</x:f>
        <x:v>4</x:v>
      </x:c>
      <x:c r="X84" s="3"/>
      <x:c r="Y84" s="3"/>
      <x:c r="Z84" s="3"/>
    </x:row>
    <x:row r="85" ht="15" customHeight="1">
      <x:c r="A85" s="7" t="str">
        <x:f>IF(67&lt;='Сводка'!$B$3,'Сводка'!$B$4+67,"")</x:f>
      </x:c>
      <x:c r="B85" s="20" t="str">
        <x:f>IF($A85="","",(A85-$T$405+1)/1000)</x:f>
      </x:c>
      <x:c r="C85" s="20" t="str">
        <x:f>IF($A85="","",2*(A85-$T$405)/$T$406-1)</x:f>
      </x:c>
      <x:c r="D85" s="3" t="str">
        <x:f>IF($A85="","",$B$4+$B$5*C85^1+$B$6*C85^2+INDEX($E$4:$E$15,MONTH(A85)))</x:f>
      </x:c>
      <x:c r="E85" s="3" t="str">
        <x:f>IF($A85="","",SQRT($T$403^2+H85^2))</x:f>
      </x:c>
      <x:c r="F85" s="3" t="str">
        <x:f>IF($A85="","",D85-$T$404*E85)</x:f>
      </x:c>
      <x:c r="G85" s="3" t="str">
        <x:f>IF($A85="","",D85+$T$404*E85)</x:f>
      </x:c>
      <x:c r="H85" s="3" t="str">
        <x:f>IF($A85="","",SQRT(MAX(0,(1)*$S$409*(1)+(1)*$T$409*(C85^1)+(1)*$U$409*(C85^2)+(C85^1)*$S$410*(1)+(C85^1)*$T$410*(C85^1)+(C85^1)*$U$410*(C85^2)+(C85^2)*$S$411*(1)+(C85^2)*$T$411*(C85^1)+(C85^2)*$U$411*(C85^2)+2*((1)*INDEX($S$416:$V$427,MONTH(A85),1)+(C85^1)*INDEX($S$416:$V$427,MONTH(A85),2)+(C85^2)*INDEX($S$416:$V$427,MONTH(A85),3))+INDEX($W$416:$W$427,MONTH(A85)))))</x:f>
      </x:c>
      <x:c r="I85" s="3"/>
      <x:c r="J85" s="10" t="n">
        <x:v>45936</x:v>
      </x:c>
      <x:c r="K85" s="8" t="n">
        <x:f>INDEX('Сводка'!$S$3:$S$397,U85)</x:f>
        <x:v>224</x:v>
      </x:c>
      <x:c r="L85" s="8" t="n">
        <x:f>INDEX('Сводка'!$S$3:$S$397,V85)</x:f>
        <x:v>240</x:v>
      </x:c>
      <x:c r="M85" s="8" t="n">
        <x:f>INDEX($K$388:$N$400,W85,1)+INDEX($K$388:$N$400,W85,2)*(2*(J85-$T$405)/(T85-$T$405)-1)^1+INDEX($K$388:$N$400,W85,3)*(2*(J85-$T$405)/(T85-$T$405)-1)^2+INDEX($O$388:$Z$400,W85,MONTH(J85))</x:f>
        <x:v>138.42040742221417</x:v>
      </x:c>
      <x:c r="N85" s="8" t="n">
        <x:f>K85-M85</x:f>
        <x:v>85.57959257778583</x:v>
      </x:c>
      <x:c r="O85" s="8" t="n">
        <x:f>ABS(N85)</x:f>
        <x:v>85.57959257778583</x:v>
      </x:c>
      <x:c r="P85" s="8" t="n">
        <x:f>N85^2</x:f>
        <x:v>7323.866665779816</x:v>
      </x:c>
      <x:c r="Q85" s="8" t="n">
        <x:f>K85-L85</x:f>
        <x:v>-16</x:v>
      </x:c>
      <x:c r="R85" s="9" t="n">
        <x:f>IF(AND(INDEX('Сводка'!$T$3:$T$397,U85)=0,INDEX('Сводка'!$T$3:$T$397,V85)=0),1,0)</x:f>
        <x:v>1</x:v>
      </x:c>
      <x:c r="S85" s="9" t="n">
        <x:f>IF(AND(R85=1,O85&lt;=$G$13),1,0)</x:f>
        <x:v>0</x:v>
      </x:c>
      <x:c r="T85" s="10" t="n">
        <x:f>EOMONTH(J85-'Сводка'!$B$11,-1)</x:f>
        <x:v>45930</x:v>
      </x:c>
      <x:c r="U85" s="4" t="n">
        <x:f>MATCH(J85,'Сводка'!$R$3:$R$397,0)</x:f>
        <x:v>96</x:v>
      </x:c>
      <x:c r="V85" s="4" t="n">
        <x:f>MATCH(J85-'Сводка'!$B$11,'Сводка'!$R$3:$R$397,0)</x:f>
        <x:v>95</x:v>
      </x:c>
      <x:c r="W85" s="4" t="n">
        <x:f>MATCH(T85,$J$388:$J$400,0)</x:f>
        <x:v>4</x:v>
      </x:c>
      <x:c r="X85" s="3"/>
      <x:c r="Y85" s="3"/>
      <x:c r="Z85" s="3"/>
    </x:row>
    <x:row r="86" ht="15" customHeight="1">
      <x:c r="A86" s="7" t="str">
        <x:f>IF(68&lt;='Сводка'!$B$3,'Сводка'!$B$4+68,"")</x:f>
      </x:c>
      <x:c r="B86" s="20" t="str">
        <x:f>IF($A86="","",(A86-$T$405+1)/1000)</x:f>
      </x:c>
      <x:c r="C86" s="20" t="str">
        <x:f>IF($A86="","",2*(A86-$T$405)/$T$406-1)</x:f>
      </x:c>
      <x:c r="D86" s="3" t="str">
        <x:f>IF($A86="","",$B$4+$B$5*C86^1+$B$6*C86^2+INDEX($E$4:$E$15,MONTH(A86)))</x:f>
      </x:c>
      <x:c r="E86" s="3" t="str">
        <x:f>IF($A86="","",SQRT($T$403^2+H86^2))</x:f>
      </x:c>
      <x:c r="F86" s="3" t="str">
        <x:f>IF($A86="","",D86-$T$404*E86)</x:f>
      </x:c>
      <x:c r="G86" s="3" t="str">
        <x:f>IF($A86="","",D86+$T$404*E86)</x:f>
      </x:c>
      <x:c r="H86" s="3" t="str">
        <x:f>IF($A86="","",SQRT(MAX(0,(1)*$S$409*(1)+(1)*$T$409*(C86^1)+(1)*$U$409*(C86^2)+(C86^1)*$S$410*(1)+(C86^1)*$T$410*(C86^1)+(C86^1)*$U$410*(C86^2)+(C86^2)*$S$411*(1)+(C86^2)*$T$411*(C86^1)+(C86^2)*$U$411*(C86^2)+2*((1)*INDEX($S$416:$V$427,MONTH(A86),1)+(C86^1)*INDEX($S$416:$V$427,MONTH(A86),2)+(C86^2)*INDEX($S$416:$V$427,MONTH(A86),3))+INDEX($W$416:$W$427,MONTH(A86)))))</x:f>
      </x:c>
      <x:c r="I86" s="3"/>
      <x:c r="J86" s="10" t="n">
        <x:v>45937</x:v>
      </x:c>
      <x:c r="K86" s="8" t="n">
        <x:f>INDEX('Сводка'!$S$3:$S$397,U86)</x:f>
        <x:v>210</x:v>
      </x:c>
      <x:c r="L86" s="8" t="n">
        <x:f>INDEX('Сводка'!$S$3:$S$397,V86)</x:f>
        <x:v>224</x:v>
      </x:c>
      <x:c r="M86" s="8" t="n">
        <x:f>INDEX($K$388:$N$400,W86,1)+INDEX($K$388:$N$400,W86,2)*(2*(J86-$T$405)/(T86-$T$405)-1)^1+INDEX($K$388:$N$400,W86,3)*(2*(J86-$T$405)/(T86-$T$405)-1)^2+INDEX($O$388:$Z$400,W86,MONTH(J86))</x:f>
        <x:v>138.41613109712853</x:v>
      </x:c>
      <x:c r="N86" s="8" t="n">
        <x:f>K86-M86</x:f>
        <x:v>71.58386890287147</x:v>
      </x:c>
      <x:c r="O86" s="8" t="n">
        <x:f>ABS(N86)</x:f>
        <x:v>71.58386890287147</x:v>
      </x:c>
      <x:c r="P86" s="8" t="n">
        <x:f>N86^2</x:f>
        <x:v>5124.250287103489</x:v>
      </x:c>
      <x:c r="Q86" s="8" t="n">
        <x:f>K86-L86</x:f>
        <x:v>-14</x:v>
      </x:c>
      <x:c r="R86" s="9" t="n">
        <x:f>IF(AND(INDEX('Сводка'!$T$3:$T$397,U86)=0,INDEX('Сводка'!$T$3:$T$397,V86)=0),1,0)</x:f>
        <x:v>1</x:v>
      </x:c>
      <x:c r="S86" s="9" t="n">
        <x:f>IF(AND(R86=1,O86&lt;=$G$13),1,0)</x:f>
        <x:v>0</x:v>
      </x:c>
      <x:c r="T86" s="10" t="n">
        <x:f>EOMONTH(J86-'Сводка'!$B$11,-1)</x:f>
        <x:v>45930</x:v>
      </x:c>
      <x:c r="U86" s="4" t="n">
        <x:f>MATCH(J86,'Сводка'!$R$3:$R$397,0)</x:f>
        <x:v>97</x:v>
      </x:c>
      <x:c r="V86" s="4" t="n">
        <x:f>MATCH(J86-'Сводка'!$B$11,'Сводка'!$R$3:$R$397,0)</x:f>
        <x:v>96</x:v>
      </x:c>
      <x:c r="W86" s="4" t="n">
        <x:f>MATCH(T86,$J$388:$J$400,0)</x:f>
        <x:v>4</x:v>
      </x:c>
      <x:c r="X86" s="3"/>
      <x:c r="Y86" s="3"/>
      <x:c r="Z86" s="3"/>
    </x:row>
    <x:row r="87" ht="15" customHeight="1">
      <x:c r="A87" s="7" t="str">
        <x:f>IF(69&lt;='Сводка'!$B$3,'Сводка'!$B$4+69,"")</x:f>
      </x:c>
      <x:c r="B87" s="20" t="str">
        <x:f>IF($A87="","",(A87-$T$405+1)/1000)</x:f>
      </x:c>
      <x:c r="C87" s="20" t="str">
        <x:f>IF($A87="","",2*(A87-$T$405)/$T$406-1)</x:f>
      </x:c>
      <x:c r="D87" s="3" t="str">
        <x:f>IF($A87="","",$B$4+$B$5*C87^1+$B$6*C87^2+INDEX($E$4:$E$15,MONTH(A87)))</x:f>
      </x:c>
      <x:c r="E87" s="3" t="str">
        <x:f>IF($A87="","",SQRT($T$403^2+H87^2))</x:f>
      </x:c>
      <x:c r="F87" s="3" t="str">
        <x:f>IF($A87="","",D87-$T$404*E87)</x:f>
      </x:c>
      <x:c r="G87" s="3" t="str">
        <x:f>IF($A87="","",D87+$T$404*E87)</x:f>
      </x:c>
      <x:c r="H87" s="3" t="str">
        <x:f>IF($A87="","",SQRT(MAX(0,(1)*$S$409*(1)+(1)*$T$409*(C87^1)+(1)*$U$409*(C87^2)+(C87^1)*$S$410*(1)+(C87^1)*$T$410*(C87^1)+(C87^1)*$U$410*(C87^2)+(C87^2)*$S$411*(1)+(C87^2)*$T$411*(C87^1)+(C87^2)*$U$411*(C87^2)+2*((1)*INDEX($S$416:$V$427,MONTH(A87),1)+(C87^1)*INDEX($S$416:$V$427,MONTH(A87),2)+(C87^2)*INDEX($S$416:$V$427,MONTH(A87),3))+INDEX($W$416:$W$427,MONTH(A87)))))</x:f>
      </x:c>
      <x:c r="I87" s="3"/>
      <x:c r="J87" s="10" t="n">
        <x:v>45938</x:v>
      </x:c>
      <x:c r="K87" s="8" t="n">
        <x:f>INDEX('Сводка'!$S$3:$S$397,U87)</x:f>
        <x:v>198</x:v>
      </x:c>
      <x:c r="L87" s="8" t="n">
        <x:f>INDEX('Сводка'!$S$3:$S$397,V87)</x:f>
        <x:v>210</x:v>
      </x:c>
      <x:c r="M87" s="8" t="n">
        <x:f>INDEX($K$388:$N$400,W87,1)+INDEX($K$388:$N$400,W87,2)*(2*(J87-$T$405)/(T87-$T$405)-1)^1+INDEX($K$388:$N$400,W87,3)*(2*(J87-$T$405)/(T87-$T$405)-1)^2+INDEX($O$388:$Z$400,W87,MONTH(J87))</x:f>
        <x:v>138.41184898431905</x:v>
      </x:c>
      <x:c r="N87" s="8" t="n">
        <x:f>K87-M87</x:f>
        <x:v>59.58815101568095</x:v>
      </x:c>
      <x:c r="O87" s="8" t="n">
        <x:f>ABS(N87)</x:f>
        <x:v>59.58815101568095</x:v>
      </x:c>
      <x:c r="P87" s="8" t="n">
        <x:f>N87^2</x:f>
        <x:v>3550.7477414675986</x:v>
      </x:c>
      <x:c r="Q87" s="8" t="n">
        <x:f>K87-L87</x:f>
        <x:v>-12</x:v>
      </x:c>
      <x:c r="R87" s="9" t="n">
        <x:f>IF(AND(INDEX('Сводка'!$T$3:$T$397,U87)=0,INDEX('Сводка'!$T$3:$T$397,V87)=0),1,0)</x:f>
        <x:v>1</x:v>
      </x:c>
      <x:c r="S87" s="9" t="n">
        <x:f>IF(AND(R87=1,O87&lt;=$G$13),1,0)</x:f>
        <x:v>0</x:v>
      </x:c>
      <x:c r="T87" s="10" t="n">
        <x:f>EOMONTH(J87-'Сводка'!$B$11,-1)</x:f>
        <x:v>45930</x:v>
      </x:c>
      <x:c r="U87" s="4" t="n">
        <x:f>MATCH(J87,'Сводка'!$R$3:$R$397,0)</x:f>
        <x:v>98</x:v>
      </x:c>
      <x:c r="V87" s="4" t="n">
        <x:f>MATCH(J87-'Сводка'!$B$11,'Сводка'!$R$3:$R$397,0)</x:f>
        <x:v>97</x:v>
      </x:c>
      <x:c r="W87" s="4" t="n">
        <x:f>MATCH(T87,$J$388:$J$400,0)</x:f>
        <x:v>4</x:v>
      </x:c>
      <x:c r="X87" s="3"/>
      <x:c r="Y87" s="3"/>
      <x:c r="Z87" s="3"/>
    </x:row>
    <x:row r="88" ht="15" customHeight="1">
      <x:c r="A88" s="7" t="str">
        <x:f>IF(70&lt;='Сводка'!$B$3,'Сводка'!$B$4+70,"")</x:f>
      </x:c>
      <x:c r="B88" s="20" t="str">
        <x:f>IF($A88="","",(A88-$T$405+1)/1000)</x:f>
      </x:c>
      <x:c r="C88" s="20" t="str">
        <x:f>IF($A88="","",2*(A88-$T$405)/$T$406-1)</x:f>
      </x:c>
      <x:c r="D88" s="3" t="str">
        <x:f>IF($A88="","",$B$4+$B$5*C88^1+$B$6*C88^2+INDEX($E$4:$E$15,MONTH(A88)))</x:f>
      </x:c>
      <x:c r="E88" s="3" t="str">
        <x:f>IF($A88="","",SQRT($T$403^2+H88^2))</x:f>
      </x:c>
      <x:c r="F88" s="3" t="str">
        <x:f>IF($A88="","",D88-$T$404*E88)</x:f>
      </x:c>
      <x:c r="G88" s="3" t="str">
        <x:f>IF($A88="","",D88+$T$404*E88)</x:f>
      </x:c>
      <x:c r="H88" s="3" t="str">
        <x:f>IF($A88="","",SQRT(MAX(0,(1)*$S$409*(1)+(1)*$T$409*(C88^1)+(1)*$U$409*(C88^2)+(C88^1)*$S$410*(1)+(C88^1)*$T$410*(C88^1)+(C88^1)*$U$410*(C88^2)+(C88^2)*$S$411*(1)+(C88^2)*$T$411*(C88^1)+(C88^2)*$U$411*(C88^2)+2*((1)*INDEX($S$416:$V$427,MONTH(A88),1)+(C88^1)*INDEX($S$416:$V$427,MONTH(A88),2)+(C88^2)*INDEX($S$416:$V$427,MONTH(A88),3))+INDEX($W$416:$W$427,MONTH(A88)))))</x:f>
      </x:c>
      <x:c r="I88" s="3"/>
      <x:c r="J88" s="10" t="n">
        <x:v>45939</x:v>
      </x:c>
      <x:c r="K88" s="8" t="n">
        <x:f>INDEX('Сводка'!$S$3:$S$397,U88)</x:f>
        <x:v>178</x:v>
      </x:c>
      <x:c r="L88" s="8" t="n">
        <x:f>INDEX('Сводка'!$S$3:$S$397,V88)</x:f>
        <x:v>198</x:v>
      </x:c>
      <x:c r="M88" s="8" t="n">
        <x:f>INDEX($K$388:$N$400,W88,1)+INDEX($K$388:$N$400,W88,2)*(2*(J88-$T$405)/(T88-$T$405)-1)^1+INDEX($K$388:$N$400,W88,3)*(2*(J88-$T$405)/(T88-$T$405)-1)^2+INDEX($O$388:$Z$400,W88,MONTH(J88))</x:f>
        <x:v>138.40756108378574</x:v>
      </x:c>
      <x:c r="N88" s="8" t="n">
        <x:f>K88-M88</x:f>
        <x:v>39.59243891621426</x:v>
      </x:c>
      <x:c r="O88" s="8" t="n">
        <x:f>ABS(N88)</x:f>
        <x:v>39.59243891621426</x:v>
      </x:c>
      <x:c r="P88" s="8" t="n">
        <x:f>N88^2</x:f>
        <x:v>1567.5612193341576</x:v>
      </x:c>
      <x:c r="Q88" s="8" t="n">
        <x:f>K88-L88</x:f>
        <x:v>-20</x:v>
      </x:c>
      <x:c r="R88" s="9" t="n">
        <x:f>IF(AND(INDEX('Сводка'!$T$3:$T$397,U88)=0,INDEX('Сводка'!$T$3:$T$397,V88)=0),1,0)</x:f>
        <x:v>1</x:v>
      </x:c>
      <x:c r="S88" s="9" t="n">
        <x:f>IF(AND(R88=1,O88&lt;=$G$13),1,0)</x:f>
        <x:v>0</x:v>
      </x:c>
      <x:c r="T88" s="10" t="n">
        <x:f>EOMONTH(J88-'Сводка'!$B$11,-1)</x:f>
        <x:v>45930</x:v>
      </x:c>
      <x:c r="U88" s="4" t="n">
        <x:f>MATCH(J88,'Сводка'!$R$3:$R$397,0)</x:f>
        <x:v>99</x:v>
      </x:c>
      <x:c r="V88" s="4" t="n">
        <x:f>MATCH(J88-'Сводка'!$B$11,'Сводка'!$R$3:$R$397,0)</x:f>
        <x:v>98</x:v>
      </x:c>
      <x:c r="W88" s="4" t="n">
        <x:f>MATCH(T88,$J$388:$J$400,0)</x:f>
        <x:v>4</x:v>
      </x:c>
      <x:c r="X88" s="3"/>
      <x:c r="Y88" s="3"/>
      <x:c r="Z88" s="3"/>
    </x:row>
    <x:row r="89" ht="15" customHeight="1">
      <x:c r="A89" s="7" t="str">
        <x:f>IF(71&lt;='Сводка'!$B$3,'Сводка'!$B$4+71,"")</x:f>
      </x:c>
      <x:c r="B89" s="20" t="str">
        <x:f>IF($A89="","",(A89-$T$405+1)/1000)</x:f>
      </x:c>
      <x:c r="C89" s="20" t="str">
        <x:f>IF($A89="","",2*(A89-$T$405)/$T$406-1)</x:f>
      </x:c>
      <x:c r="D89" s="3" t="str">
        <x:f>IF($A89="","",$B$4+$B$5*C89^1+$B$6*C89^2+INDEX($E$4:$E$15,MONTH(A89)))</x:f>
      </x:c>
      <x:c r="E89" s="3" t="str">
        <x:f>IF($A89="","",SQRT($T$403^2+H89^2))</x:f>
      </x:c>
      <x:c r="F89" s="3" t="str">
        <x:f>IF($A89="","",D89-$T$404*E89)</x:f>
      </x:c>
      <x:c r="G89" s="3" t="str">
        <x:f>IF($A89="","",D89+$T$404*E89)</x:f>
      </x:c>
      <x:c r="H89" s="3" t="str">
        <x:f>IF($A89="","",SQRT(MAX(0,(1)*$S$409*(1)+(1)*$T$409*(C89^1)+(1)*$U$409*(C89^2)+(C89^1)*$S$410*(1)+(C89^1)*$T$410*(C89^1)+(C89^1)*$U$410*(C89^2)+(C89^2)*$S$411*(1)+(C89^2)*$T$411*(C89^1)+(C89^2)*$U$411*(C89^2)+2*((1)*INDEX($S$416:$V$427,MONTH(A89),1)+(C89^1)*INDEX($S$416:$V$427,MONTH(A89),2)+(C89^2)*INDEX($S$416:$V$427,MONTH(A89),3))+INDEX($W$416:$W$427,MONTH(A89)))))</x:f>
      </x:c>
      <x:c r="I89" s="3"/>
      <x:c r="J89" s="10" t="n">
        <x:v>45940</x:v>
      </x:c>
      <x:c r="K89" s="8" t="n">
        <x:f>INDEX('Сводка'!$S$3:$S$397,U89)</x:f>
        <x:v>163</x:v>
      </x:c>
      <x:c r="L89" s="8" t="n">
        <x:f>INDEX('Сводка'!$S$3:$S$397,V89)</x:f>
        <x:v>178</x:v>
      </x:c>
      <x:c r="M89" s="8" t="n">
        <x:f>INDEX($K$388:$N$400,W89,1)+INDEX($K$388:$N$400,W89,2)*(2*(J89-$T$405)/(T89-$T$405)-1)^1+INDEX($K$388:$N$400,W89,3)*(2*(J89-$T$405)/(T89-$T$405)-1)^2+INDEX($O$388:$Z$400,W89,MONTH(J89))</x:f>
        <x:v>138.40326739552862</x:v>
      </x:c>
      <x:c r="N89" s="8" t="n">
        <x:f>K89-M89</x:f>
        <x:v>24.596732604471384</x:v>
      </x:c>
      <x:c r="O89" s="8" t="n">
        <x:f>ABS(N89)</x:f>
        <x:v>24.596732604471384</x:v>
      </x:c>
      <x:c r="P89" s="8" t="n">
        <x:f>N89^2</x:f>
        <x:v>604.9992548158657</x:v>
      </x:c>
      <x:c r="Q89" s="8" t="n">
        <x:f>K89-L89</x:f>
        <x:v>-15</x:v>
      </x:c>
      <x:c r="R89" s="9" t="n">
        <x:f>IF(AND(INDEX('Сводка'!$T$3:$T$397,U89)=0,INDEX('Сводка'!$T$3:$T$397,V89)=0),1,0)</x:f>
        <x:v>1</x:v>
      </x:c>
      <x:c r="S89" s="9" t="n">
        <x:f>IF(AND(R89=1,O89&lt;=$G$13),1,0)</x:f>
        <x:v>0</x:v>
      </x:c>
      <x:c r="T89" s="10" t="n">
        <x:f>EOMONTH(J89-'Сводка'!$B$11,-1)</x:f>
        <x:v>45930</x:v>
      </x:c>
      <x:c r="U89" s="4" t="n">
        <x:f>MATCH(J89,'Сводка'!$R$3:$R$397,0)</x:f>
        <x:v>100</x:v>
      </x:c>
      <x:c r="V89" s="4" t="n">
        <x:f>MATCH(J89-'Сводка'!$B$11,'Сводка'!$R$3:$R$397,0)</x:f>
        <x:v>99</x:v>
      </x:c>
      <x:c r="W89" s="4" t="n">
        <x:f>MATCH(T89,$J$388:$J$400,0)</x:f>
        <x:v>4</x:v>
      </x:c>
      <x:c r="X89" s="3"/>
      <x:c r="Y89" s="3"/>
      <x:c r="Z89" s="3"/>
    </x:row>
    <x:row r="90" ht="15" customHeight="1">
      <x:c r="A90" s="7" t="str">
        <x:f>IF(72&lt;='Сводка'!$B$3,'Сводка'!$B$4+72,"")</x:f>
      </x:c>
      <x:c r="B90" s="20" t="str">
        <x:f>IF($A90="","",(A90-$T$405+1)/1000)</x:f>
      </x:c>
      <x:c r="C90" s="20" t="str">
        <x:f>IF($A90="","",2*(A90-$T$405)/$T$406-1)</x:f>
      </x:c>
      <x:c r="D90" s="3" t="str">
        <x:f>IF($A90="","",$B$4+$B$5*C90^1+$B$6*C90^2+INDEX($E$4:$E$15,MONTH(A90)))</x:f>
      </x:c>
      <x:c r="E90" s="3" t="str">
        <x:f>IF($A90="","",SQRT($T$403^2+H90^2))</x:f>
      </x:c>
      <x:c r="F90" s="3" t="str">
        <x:f>IF($A90="","",D90-$T$404*E90)</x:f>
      </x:c>
      <x:c r="G90" s="3" t="str">
        <x:f>IF($A90="","",D90+$T$404*E90)</x:f>
      </x:c>
      <x:c r="H90" s="3" t="str">
        <x:f>IF($A90="","",SQRT(MAX(0,(1)*$S$409*(1)+(1)*$T$409*(C90^1)+(1)*$U$409*(C90^2)+(C90^1)*$S$410*(1)+(C90^1)*$T$410*(C90^1)+(C90^1)*$U$410*(C90^2)+(C90^2)*$S$411*(1)+(C90^2)*$T$411*(C90^1)+(C90^2)*$U$411*(C90^2)+2*((1)*INDEX($S$416:$V$427,MONTH(A90),1)+(C90^1)*INDEX($S$416:$V$427,MONTH(A90),2)+(C90^2)*INDEX($S$416:$V$427,MONTH(A90),3))+INDEX($W$416:$W$427,MONTH(A90)))))</x:f>
      </x:c>
      <x:c r="I90" s="3"/>
      <x:c r="J90" s="10" t="n">
        <x:v>45941</x:v>
      </x:c>
      <x:c r="K90" s="8" t="n">
        <x:f>INDEX('Сводка'!$S$3:$S$397,U90)</x:f>
        <x:v>152</x:v>
      </x:c>
      <x:c r="L90" s="8" t="n">
        <x:f>INDEX('Сводка'!$S$3:$S$397,V90)</x:f>
        <x:v>163</x:v>
      </x:c>
      <x:c r="M90" s="8" t="n">
        <x:f>INDEX($K$388:$N$400,W90,1)+INDEX($K$388:$N$400,W90,2)*(2*(J90-$T$405)/(T90-$T$405)-1)^1+INDEX($K$388:$N$400,W90,3)*(2*(J90-$T$405)/(T90-$T$405)-1)^2+INDEX($O$388:$Z$400,W90,MONTH(J90))</x:f>
        <x:v>138.3989679195476</x:v>
      </x:c>
      <x:c r="N90" s="8" t="n">
        <x:f>K90-M90</x:f>
        <x:v>13.601032080452399</x:v>
      </x:c>
      <x:c r="O90" s="8" t="n">
        <x:f>ABS(N90)</x:f>
        <x:v>13.601032080452399</x:v>
      </x:c>
      <x:c r="P90" s="8" t="n">
        <x:f>N90^2</x:f>
        <x:v>184.9880736534953</x:v>
      </x:c>
      <x:c r="Q90" s="8" t="n">
        <x:f>K90-L90</x:f>
        <x:v>-11</x:v>
      </x:c>
      <x:c r="R90" s="9" t="n">
        <x:f>IF(AND(INDEX('Сводка'!$T$3:$T$397,U90)=0,INDEX('Сводка'!$T$3:$T$397,V90)=0),1,0)</x:f>
        <x:v>1</x:v>
      </x:c>
      <x:c r="S90" s="9" t="n">
        <x:f>IF(AND(R90=1,O90&lt;=$G$13),1,0)</x:f>
        <x:v>0</x:v>
      </x:c>
      <x:c r="T90" s="10" t="n">
        <x:f>EOMONTH(J90-'Сводка'!$B$11,-1)</x:f>
        <x:v>45930</x:v>
      </x:c>
      <x:c r="U90" s="4" t="n">
        <x:f>MATCH(J90,'Сводка'!$R$3:$R$397,0)</x:f>
        <x:v>101</x:v>
      </x:c>
      <x:c r="V90" s="4" t="n">
        <x:f>MATCH(J90-'Сводка'!$B$11,'Сводка'!$R$3:$R$397,0)</x:f>
        <x:v>100</x:v>
      </x:c>
      <x:c r="W90" s="4" t="n">
        <x:f>MATCH(T90,$J$388:$J$400,0)</x:f>
        <x:v>4</x:v>
      </x:c>
      <x:c r="X90" s="3"/>
      <x:c r="Y90" s="3"/>
      <x:c r="Z90" s="3"/>
    </x:row>
    <x:row r="91" ht="15" customHeight="1">
      <x:c r="A91" s="7" t="str">
        <x:f>IF(73&lt;='Сводка'!$B$3,'Сводка'!$B$4+73,"")</x:f>
      </x:c>
      <x:c r="B91" s="20" t="str">
        <x:f>IF($A91="","",(A91-$T$405+1)/1000)</x:f>
      </x:c>
      <x:c r="C91" s="20" t="str">
        <x:f>IF($A91="","",2*(A91-$T$405)/$T$406-1)</x:f>
      </x:c>
      <x:c r="D91" s="3" t="str">
        <x:f>IF($A91="","",$B$4+$B$5*C91^1+$B$6*C91^2+INDEX($E$4:$E$15,MONTH(A91)))</x:f>
      </x:c>
      <x:c r="E91" s="3" t="str">
        <x:f>IF($A91="","",SQRT($T$403^2+H91^2))</x:f>
      </x:c>
      <x:c r="F91" s="3" t="str">
        <x:f>IF($A91="","",D91-$T$404*E91)</x:f>
      </x:c>
      <x:c r="G91" s="3" t="str">
        <x:f>IF($A91="","",D91+$T$404*E91)</x:f>
      </x:c>
      <x:c r="H91" s="3" t="str">
        <x:f>IF($A91="","",SQRT(MAX(0,(1)*$S$409*(1)+(1)*$T$409*(C91^1)+(1)*$U$409*(C91^2)+(C91^1)*$S$410*(1)+(C91^1)*$T$410*(C91^1)+(C91^1)*$U$410*(C91^2)+(C91^2)*$S$411*(1)+(C91^2)*$T$411*(C91^1)+(C91^2)*$U$411*(C91^2)+2*((1)*INDEX($S$416:$V$427,MONTH(A91),1)+(C91^1)*INDEX($S$416:$V$427,MONTH(A91),2)+(C91^2)*INDEX($S$416:$V$427,MONTH(A91),3))+INDEX($W$416:$W$427,MONTH(A91)))))</x:f>
      </x:c>
      <x:c r="I91" s="3"/>
      <x:c r="J91" s="10" t="n">
        <x:v>45942</x:v>
      </x:c>
      <x:c r="K91" s="8" t="n">
        <x:f>INDEX('Сводка'!$S$3:$S$397,U91)</x:f>
        <x:v>138</x:v>
      </x:c>
      <x:c r="L91" s="8" t="n">
        <x:f>INDEX('Сводка'!$S$3:$S$397,V91)</x:f>
        <x:v>152</x:v>
      </x:c>
      <x:c r="M91" s="8" t="n">
        <x:f>INDEX($K$388:$N$400,W91,1)+INDEX($K$388:$N$400,W91,2)*(2*(J91-$T$405)/(T91-$T$405)-1)^1+INDEX($K$388:$N$400,W91,3)*(2*(J91-$T$405)/(T91-$T$405)-1)^2+INDEX($O$388:$Z$400,W91,MONTH(J91))</x:f>
        <x:v>138.39466265584278</x:v>
      </x:c>
      <x:c r="N91" s="8" t="n">
        <x:f>K91-M91</x:f>
        <x:v>-0.3946626558427795</x:v>
      </x:c>
      <x:c r="O91" s="8" t="n">
        <x:f>ABS(N91)</x:f>
        <x:v>0.3946626558427795</x:v>
      </x:c>
      <x:c r="P91" s="8" t="n">
        <x:f>N91^2</x:f>
        <x:v>0.1557586119168762</x:v>
      </x:c>
      <x:c r="Q91" s="8" t="n">
        <x:f>K91-L91</x:f>
        <x:v>-14</x:v>
      </x:c>
      <x:c r="R91" s="9" t="n">
        <x:f>IF(AND(INDEX('Сводка'!$T$3:$T$397,U91)=0,INDEX('Сводка'!$T$3:$T$397,V91)=0),1,0)</x:f>
        <x:v>1</x:v>
      </x:c>
      <x:c r="S91" s="9" t="n">
        <x:f>IF(AND(R91=1,O91&lt;=$G$13),1,0)</x:f>
        <x:v>1</x:v>
      </x:c>
      <x:c r="T91" s="10" t="n">
        <x:f>EOMONTH(J91-'Сводка'!$B$11,-1)</x:f>
        <x:v>45930</x:v>
      </x:c>
      <x:c r="U91" s="4" t="n">
        <x:f>MATCH(J91,'Сводка'!$R$3:$R$397,0)</x:f>
        <x:v>102</x:v>
      </x:c>
      <x:c r="V91" s="4" t="n">
        <x:f>MATCH(J91-'Сводка'!$B$11,'Сводка'!$R$3:$R$397,0)</x:f>
        <x:v>101</x:v>
      </x:c>
      <x:c r="W91" s="4" t="n">
        <x:f>MATCH(T91,$J$388:$J$400,0)</x:f>
        <x:v>4</x:v>
      </x:c>
      <x:c r="X91" s="3"/>
      <x:c r="Y91" s="3"/>
      <x:c r="Z91" s="3"/>
    </x:row>
    <x:row r="92" ht="15" customHeight="1">
      <x:c r="A92" s="7" t="str">
        <x:f>IF(74&lt;='Сводка'!$B$3,'Сводка'!$B$4+74,"")</x:f>
      </x:c>
      <x:c r="B92" s="20" t="str">
        <x:f>IF($A92="","",(A92-$T$405+1)/1000)</x:f>
      </x:c>
      <x:c r="C92" s="20" t="str">
        <x:f>IF($A92="","",2*(A92-$T$405)/$T$406-1)</x:f>
      </x:c>
      <x:c r="D92" s="3" t="str">
        <x:f>IF($A92="","",$B$4+$B$5*C92^1+$B$6*C92^2+INDEX($E$4:$E$15,MONTH(A92)))</x:f>
      </x:c>
      <x:c r="E92" s="3" t="str">
        <x:f>IF($A92="","",SQRT($T$403^2+H92^2))</x:f>
      </x:c>
      <x:c r="F92" s="3" t="str">
        <x:f>IF($A92="","",D92-$T$404*E92)</x:f>
      </x:c>
      <x:c r="G92" s="3" t="str">
        <x:f>IF($A92="","",D92+$T$404*E92)</x:f>
      </x:c>
      <x:c r="H92" s="3" t="str">
        <x:f>IF($A92="","",SQRT(MAX(0,(1)*$S$409*(1)+(1)*$T$409*(C92^1)+(1)*$U$409*(C92^2)+(C92^1)*$S$410*(1)+(C92^1)*$T$410*(C92^1)+(C92^1)*$U$410*(C92^2)+(C92^2)*$S$411*(1)+(C92^2)*$T$411*(C92^1)+(C92^2)*$U$411*(C92^2)+2*((1)*INDEX($S$416:$V$427,MONTH(A92),1)+(C92^1)*INDEX($S$416:$V$427,MONTH(A92),2)+(C92^2)*INDEX($S$416:$V$427,MONTH(A92),3))+INDEX($W$416:$W$427,MONTH(A92)))))</x:f>
      </x:c>
      <x:c r="I92" s="3"/>
      <x:c r="J92" s="10" t="n">
        <x:v>45943</x:v>
      </x:c>
      <x:c r="K92" s="8" t="n">
        <x:f>INDEX('Сводка'!$S$3:$S$397,U92)</x:f>
        <x:v>123</x:v>
      </x:c>
      <x:c r="L92" s="8" t="n">
        <x:f>INDEX('Сводка'!$S$3:$S$397,V92)</x:f>
        <x:v>138</x:v>
      </x:c>
      <x:c r="M92" s="8" t="n">
        <x:f>INDEX($K$388:$N$400,W92,1)+INDEX($K$388:$N$400,W92,2)*(2*(J92-$T$405)/(T92-$T$405)-1)^1+INDEX($K$388:$N$400,W92,3)*(2*(J92-$T$405)/(T92-$T$405)-1)^2+INDEX($O$388:$Z$400,W92,MONTH(J92))</x:f>
        <x:v>138.39035160441412</x:v>
      </x:c>
      <x:c r="N92" s="8" t="n">
        <x:f>K92-M92</x:f>
        <x:v>-15.390351604414121</x:v>
      </x:c>
      <x:c r="O92" s="8" t="n">
        <x:f>ABS(N92)</x:f>
        <x:v>15.390351604414121</x:v>
      </x:c>
      <x:c r="P92" s="8" t="n">
        <x:f>N92^2</x:f>
        <x:v>236.86292250749233</x:v>
      </x:c>
      <x:c r="Q92" s="8" t="n">
        <x:f>K92-L92</x:f>
        <x:v>-15</x:v>
      </x:c>
      <x:c r="R92" s="9" t="n">
        <x:f>IF(AND(INDEX('Сводка'!$T$3:$T$397,U92)=0,INDEX('Сводка'!$T$3:$T$397,V92)=0),1,0)</x:f>
        <x:v>1</x:v>
      </x:c>
      <x:c r="S92" s="9" t="n">
        <x:f>IF(AND(R92=1,O92&lt;=$G$13),1,0)</x:f>
        <x:v>0</x:v>
      </x:c>
      <x:c r="T92" s="10" t="n">
        <x:f>EOMONTH(J92-'Сводка'!$B$11,-1)</x:f>
        <x:v>45930</x:v>
      </x:c>
      <x:c r="U92" s="4" t="n">
        <x:f>MATCH(J92,'Сводка'!$R$3:$R$397,0)</x:f>
        <x:v>103</x:v>
      </x:c>
      <x:c r="V92" s="4" t="n">
        <x:f>MATCH(J92-'Сводка'!$B$11,'Сводка'!$R$3:$R$397,0)</x:f>
        <x:v>102</x:v>
      </x:c>
      <x:c r="W92" s="4" t="n">
        <x:f>MATCH(T92,$J$388:$J$400,0)</x:f>
        <x:v>4</x:v>
      </x:c>
      <x:c r="X92" s="3"/>
      <x:c r="Y92" s="3"/>
      <x:c r="Z92" s="3"/>
    </x:row>
    <x:row r="93" ht="15" customHeight="1">
      <x:c r="A93" s="7" t="str">
        <x:f>IF(75&lt;='Сводка'!$B$3,'Сводка'!$B$4+75,"")</x:f>
      </x:c>
      <x:c r="B93" s="20" t="str">
        <x:f>IF($A93="","",(A93-$T$405+1)/1000)</x:f>
      </x:c>
      <x:c r="C93" s="20" t="str">
        <x:f>IF($A93="","",2*(A93-$T$405)/$T$406-1)</x:f>
      </x:c>
      <x:c r="D93" s="3" t="str">
        <x:f>IF($A93="","",$B$4+$B$5*C93^1+$B$6*C93^2+INDEX($E$4:$E$15,MONTH(A93)))</x:f>
      </x:c>
      <x:c r="E93" s="3" t="str">
        <x:f>IF($A93="","",SQRT($T$403^2+H93^2))</x:f>
      </x:c>
      <x:c r="F93" s="3" t="str">
        <x:f>IF($A93="","",D93-$T$404*E93)</x:f>
      </x:c>
      <x:c r="G93" s="3" t="str">
        <x:f>IF($A93="","",D93+$T$404*E93)</x:f>
      </x:c>
      <x:c r="H93" s="3" t="str">
        <x:f>IF($A93="","",SQRT(MAX(0,(1)*$S$409*(1)+(1)*$T$409*(C93^1)+(1)*$U$409*(C93^2)+(C93^1)*$S$410*(1)+(C93^1)*$T$410*(C93^1)+(C93^1)*$U$410*(C93^2)+(C93^2)*$S$411*(1)+(C93^2)*$T$411*(C93^1)+(C93^2)*$U$411*(C93^2)+2*((1)*INDEX($S$416:$V$427,MONTH(A93),1)+(C93^1)*INDEX($S$416:$V$427,MONTH(A93),2)+(C93^2)*INDEX($S$416:$V$427,MONTH(A93),3))+INDEX($W$416:$W$427,MONTH(A93)))))</x:f>
      </x:c>
      <x:c r="I93" s="3"/>
      <x:c r="J93" s="10" t="n">
        <x:v>45944</x:v>
      </x:c>
      <x:c r="K93" s="8" t="n">
        <x:f>INDEX('Сводка'!$S$3:$S$397,U93)</x:f>
        <x:v>111</x:v>
      </x:c>
      <x:c r="L93" s="8" t="n">
        <x:f>INDEX('Сводка'!$S$3:$S$397,V93)</x:f>
        <x:v>123</x:v>
      </x:c>
      <x:c r="M93" s="8" t="n">
        <x:f>INDEX($K$388:$N$400,W93,1)+INDEX($K$388:$N$400,W93,2)*(2*(J93-$T$405)/(T93-$T$405)-1)^1+INDEX($K$388:$N$400,W93,3)*(2*(J93-$T$405)/(T93-$T$405)-1)^2+INDEX($O$388:$Z$400,W93,MONTH(J93))</x:f>
        <x:v>138.3860347652616</x:v>
      </x:c>
      <x:c r="N93" s="8" t="n">
        <x:f>K93-M93</x:f>
        <x:v>-27.3860347652616</x:v>
      </x:c>
      <x:c r="O93" s="8" t="n">
        <x:f>ABS(N93)</x:f>
        <x:v>27.3860347652616</x:v>
      </x:c>
      <x:c r="P93" s="8" t="n">
        <x:f>N93^2</x:f>
        <x:v>749.9949001641169</x:v>
      </x:c>
      <x:c r="Q93" s="8" t="n">
        <x:f>K93-L93</x:f>
        <x:v>-12</x:v>
      </x:c>
      <x:c r="R93" s="9" t="n">
        <x:f>IF(AND(INDEX('Сводка'!$T$3:$T$397,U93)=0,INDEX('Сводка'!$T$3:$T$397,V93)=0),1,0)</x:f>
        <x:v>1</x:v>
      </x:c>
      <x:c r="S93" s="9" t="n">
        <x:f>IF(AND(R93=1,O93&lt;=$G$13),1,0)</x:f>
        <x:v>0</x:v>
      </x:c>
      <x:c r="T93" s="10" t="n">
        <x:f>EOMONTH(J93-'Сводка'!$B$11,-1)</x:f>
        <x:v>45930</x:v>
      </x:c>
      <x:c r="U93" s="4" t="n">
        <x:f>MATCH(J93,'Сводка'!$R$3:$R$397,0)</x:f>
        <x:v>104</x:v>
      </x:c>
      <x:c r="V93" s="4" t="n">
        <x:f>MATCH(J93-'Сводка'!$B$11,'Сводка'!$R$3:$R$397,0)</x:f>
        <x:v>103</x:v>
      </x:c>
      <x:c r="W93" s="4" t="n">
        <x:f>MATCH(T93,$J$388:$J$400,0)</x:f>
        <x:v>4</x:v>
      </x:c>
      <x:c r="X93" s="3"/>
      <x:c r="Y93" s="3"/>
      <x:c r="Z93" s="3"/>
    </x:row>
    <x:row r="94" ht="15" customHeight="1">
      <x:c r="A94" s="7" t="str">
        <x:f>IF(76&lt;='Сводка'!$B$3,'Сводка'!$B$4+76,"")</x:f>
      </x:c>
      <x:c r="B94" s="20" t="str">
        <x:f>IF($A94="","",(A94-$T$405+1)/1000)</x:f>
      </x:c>
      <x:c r="C94" s="20" t="str">
        <x:f>IF($A94="","",2*(A94-$T$405)/$T$406-1)</x:f>
      </x:c>
      <x:c r="D94" s="3" t="str">
        <x:f>IF($A94="","",$B$4+$B$5*C94^1+$B$6*C94^2+INDEX($E$4:$E$15,MONTH(A94)))</x:f>
      </x:c>
      <x:c r="E94" s="3" t="str">
        <x:f>IF($A94="","",SQRT($T$403^2+H94^2))</x:f>
      </x:c>
      <x:c r="F94" s="3" t="str">
        <x:f>IF($A94="","",D94-$T$404*E94)</x:f>
      </x:c>
      <x:c r="G94" s="3" t="str">
        <x:f>IF($A94="","",D94+$T$404*E94)</x:f>
      </x:c>
      <x:c r="H94" s="3" t="str">
        <x:f>IF($A94="","",SQRT(MAX(0,(1)*$S$409*(1)+(1)*$T$409*(C94^1)+(1)*$U$409*(C94^2)+(C94^1)*$S$410*(1)+(C94^1)*$T$410*(C94^1)+(C94^1)*$U$410*(C94^2)+(C94^2)*$S$411*(1)+(C94^2)*$T$411*(C94^1)+(C94^2)*$U$411*(C94^2)+2*((1)*INDEX($S$416:$V$427,MONTH(A94),1)+(C94^1)*INDEX($S$416:$V$427,MONTH(A94),2)+(C94^2)*INDEX($S$416:$V$427,MONTH(A94),3))+INDEX($W$416:$W$427,MONTH(A94)))))</x:f>
      </x:c>
      <x:c r="I94" s="3"/>
      <x:c r="J94" s="10" t="n">
        <x:v>45945</x:v>
      </x:c>
      <x:c r="K94" s="8" t="n">
        <x:f>INDEX('Сводка'!$S$3:$S$397,U94)</x:f>
        <x:v>100</x:v>
      </x:c>
      <x:c r="L94" s="8" t="n">
        <x:f>INDEX('Сводка'!$S$3:$S$397,V94)</x:f>
        <x:v>111</x:v>
      </x:c>
      <x:c r="M94" s="8" t="n">
        <x:f>INDEX($K$388:$N$400,W94,1)+INDEX($K$388:$N$400,W94,2)*(2*(J94-$T$405)/(T94-$T$405)-1)^1+INDEX($K$388:$N$400,W94,3)*(2*(J94-$T$405)/(T94-$T$405)-1)^2+INDEX($O$388:$Z$400,W94,MONTH(J94))</x:f>
        <x:v>138.38171213838527</x:v>
      </x:c>
      <x:c r="N94" s="8" t="n">
        <x:f>K94-M94</x:f>
        <x:v>-38.38171213838527</x:v>
      </x:c>
      <x:c r="O94" s="8" t="n">
        <x:f>ABS(N94)</x:f>
        <x:v>38.38171213838527</x:v>
      </x:c>
      <x:c r="P94" s="8" t="n">
        <x:f>N94^2</x:f>
        <x:v>1473.155826673871</x:v>
      </x:c>
      <x:c r="Q94" s="8" t="n">
        <x:f>K94-L94</x:f>
        <x:v>-11</x:v>
      </x:c>
      <x:c r="R94" s="9" t="n">
        <x:f>IF(AND(INDEX('Сводка'!$T$3:$T$397,U94)=0,INDEX('Сводка'!$T$3:$T$397,V94)=0),1,0)</x:f>
        <x:v>1</x:v>
      </x:c>
      <x:c r="S94" s="9" t="n">
        <x:f>IF(AND(R94=1,O94&lt;=$G$13),1,0)</x:f>
        <x:v>0</x:v>
      </x:c>
      <x:c r="T94" s="10" t="n">
        <x:f>EOMONTH(J94-'Сводка'!$B$11,-1)</x:f>
        <x:v>45930</x:v>
      </x:c>
      <x:c r="U94" s="4" t="n">
        <x:f>MATCH(J94,'Сводка'!$R$3:$R$397,0)</x:f>
        <x:v>105</x:v>
      </x:c>
      <x:c r="V94" s="4" t="n">
        <x:f>MATCH(J94-'Сводка'!$B$11,'Сводка'!$R$3:$R$397,0)</x:f>
        <x:v>104</x:v>
      </x:c>
      <x:c r="W94" s="4" t="n">
        <x:f>MATCH(T94,$J$388:$J$400,0)</x:f>
        <x:v>4</x:v>
      </x:c>
      <x:c r="X94" s="3"/>
      <x:c r="Y94" s="3"/>
      <x:c r="Z94" s="3"/>
    </x:row>
    <x:row r="95" ht="15" customHeight="1">
      <x:c r="A95" s="7" t="str">
        <x:f>IF(77&lt;='Сводка'!$B$3,'Сводка'!$B$4+77,"")</x:f>
      </x:c>
      <x:c r="B95" s="20" t="str">
        <x:f>IF($A95="","",(A95-$T$405+1)/1000)</x:f>
      </x:c>
      <x:c r="C95" s="20" t="str">
        <x:f>IF($A95="","",2*(A95-$T$405)/$T$406-1)</x:f>
      </x:c>
      <x:c r="D95" s="3" t="str">
        <x:f>IF($A95="","",$B$4+$B$5*C95^1+$B$6*C95^2+INDEX($E$4:$E$15,MONTH(A95)))</x:f>
      </x:c>
      <x:c r="E95" s="3" t="str">
        <x:f>IF($A95="","",SQRT($T$403^2+H95^2))</x:f>
      </x:c>
      <x:c r="F95" s="3" t="str">
        <x:f>IF($A95="","",D95-$T$404*E95)</x:f>
      </x:c>
      <x:c r="G95" s="3" t="str">
        <x:f>IF($A95="","",D95+$T$404*E95)</x:f>
      </x:c>
      <x:c r="H95" s="3" t="str">
        <x:f>IF($A95="","",SQRT(MAX(0,(1)*$S$409*(1)+(1)*$T$409*(C95^1)+(1)*$U$409*(C95^2)+(C95^1)*$S$410*(1)+(C95^1)*$T$410*(C95^1)+(C95^1)*$U$410*(C95^2)+(C95^2)*$S$411*(1)+(C95^2)*$T$411*(C95^1)+(C95^2)*$U$411*(C95^2)+2*((1)*INDEX($S$416:$V$427,MONTH(A95),1)+(C95^1)*INDEX($S$416:$V$427,MONTH(A95),2)+(C95^2)*INDEX($S$416:$V$427,MONTH(A95),3))+INDEX($W$416:$W$427,MONTH(A95)))))</x:f>
      </x:c>
      <x:c r="I95" s="3"/>
      <x:c r="J95" s="10" t="n">
        <x:v>45946</x:v>
      </x:c>
      <x:c r="K95" s="8" t="n">
        <x:f>INDEX('Сводка'!$S$3:$S$397,U95)</x:f>
        <x:v>89</x:v>
      </x:c>
      <x:c r="L95" s="8" t="n">
        <x:f>INDEX('Сводка'!$S$3:$S$397,V95)</x:f>
        <x:v>100</x:v>
      </x:c>
      <x:c r="M95" s="8" t="n">
        <x:f>INDEX($K$388:$N$400,W95,1)+INDEX($K$388:$N$400,W95,2)*(2*(J95-$T$405)/(T95-$T$405)-1)^1+INDEX($K$388:$N$400,W95,3)*(2*(J95-$T$405)/(T95-$T$405)-1)^2+INDEX($O$388:$Z$400,W95,MONTH(J95))</x:f>
        <x:v>138.37738372378507</x:v>
      </x:c>
      <x:c r="N95" s="8" t="n">
        <x:f>K95-M95</x:f>
        <x:v>-49.37738372378507</x:v>
      </x:c>
      <x:c r="O95" s="8" t="n">
        <x:f>ABS(N95)</x:f>
        <x:v>49.37738372378507</x:v>
      </x:c>
      <x:c r="P95" s="8" t="n">
        <x:f>N95^2</x:f>
        <x:v>2438.126023405915</x:v>
      </x:c>
      <x:c r="Q95" s="8" t="n">
        <x:f>K95-L95</x:f>
        <x:v>-11</x:v>
      </x:c>
      <x:c r="R95" s="9" t="n">
        <x:f>IF(AND(INDEX('Сводка'!$T$3:$T$397,U95)=0,INDEX('Сводка'!$T$3:$T$397,V95)=0),1,0)</x:f>
        <x:v>1</x:v>
      </x:c>
      <x:c r="S95" s="9" t="n">
        <x:f>IF(AND(R95=1,O95&lt;=$G$13),1,0)</x:f>
        <x:v>0</x:v>
      </x:c>
      <x:c r="T95" s="10" t="n">
        <x:f>EOMONTH(J95-'Сводка'!$B$11,-1)</x:f>
        <x:v>45930</x:v>
      </x:c>
      <x:c r="U95" s="4" t="n">
        <x:f>MATCH(J95,'Сводка'!$R$3:$R$397,0)</x:f>
        <x:v>106</x:v>
      </x:c>
      <x:c r="V95" s="4" t="n">
        <x:f>MATCH(J95-'Сводка'!$B$11,'Сводка'!$R$3:$R$397,0)</x:f>
        <x:v>105</x:v>
      </x:c>
      <x:c r="W95" s="4" t="n">
        <x:f>MATCH(T95,$J$388:$J$400,0)</x:f>
        <x:v>4</x:v>
      </x:c>
      <x:c r="X95" s="3"/>
      <x:c r="Y95" s="3"/>
      <x:c r="Z95" s="3"/>
    </x:row>
    <x:row r="96" ht="15" customHeight="1">
      <x:c r="A96" s="7" t="str">
        <x:f>IF(78&lt;='Сводка'!$B$3,'Сводка'!$B$4+78,"")</x:f>
      </x:c>
      <x:c r="B96" s="20" t="str">
        <x:f>IF($A96="","",(A96-$T$405+1)/1000)</x:f>
      </x:c>
      <x:c r="C96" s="20" t="str">
        <x:f>IF($A96="","",2*(A96-$T$405)/$T$406-1)</x:f>
      </x:c>
      <x:c r="D96" s="3" t="str">
        <x:f>IF($A96="","",$B$4+$B$5*C96^1+$B$6*C96^2+INDEX($E$4:$E$15,MONTH(A96)))</x:f>
      </x:c>
      <x:c r="E96" s="3" t="str">
        <x:f>IF($A96="","",SQRT($T$403^2+H96^2))</x:f>
      </x:c>
      <x:c r="F96" s="3" t="str">
        <x:f>IF($A96="","",D96-$T$404*E96)</x:f>
      </x:c>
      <x:c r="G96" s="3" t="str">
        <x:f>IF($A96="","",D96+$T$404*E96)</x:f>
      </x:c>
      <x:c r="H96" s="3" t="str">
        <x:f>IF($A96="","",SQRT(MAX(0,(1)*$S$409*(1)+(1)*$T$409*(C96^1)+(1)*$U$409*(C96^2)+(C96^1)*$S$410*(1)+(C96^1)*$T$410*(C96^1)+(C96^1)*$U$410*(C96^2)+(C96^2)*$S$411*(1)+(C96^2)*$T$411*(C96^1)+(C96^2)*$U$411*(C96^2)+2*((1)*INDEX($S$416:$V$427,MONTH(A96),1)+(C96^1)*INDEX($S$416:$V$427,MONTH(A96),2)+(C96^2)*INDEX($S$416:$V$427,MONTH(A96),3))+INDEX($W$416:$W$427,MONTH(A96)))))</x:f>
      </x:c>
      <x:c r="I96" s="3"/>
      <x:c r="J96" s="10" t="n">
        <x:v>45947</x:v>
      </x:c>
      <x:c r="K96" s="8" t="n">
        <x:f>INDEX('Сводка'!$S$3:$S$397,U96)</x:f>
        <x:v>79</x:v>
      </x:c>
      <x:c r="L96" s="8" t="n">
        <x:f>INDEX('Сводка'!$S$3:$S$397,V96)</x:f>
        <x:v>89</x:v>
      </x:c>
      <x:c r="M96" s="8" t="n">
        <x:f>INDEX($K$388:$N$400,W96,1)+INDEX($K$388:$N$400,W96,2)*(2*(J96-$T$405)/(T96-$T$405)-1)^1+INDEX($K$388:$N$400,W96,3)*(2*(J96-$T$405)/(T96-$T$405)-1)^2+INDEX($O$388:$Z$400,W96,MONTH(J96))</x:f>
        <x:v>138.37304952146104</x:v>
      </x:c>
      <x:c r="N96" s="8" t="n">
        <x:f>K96-M96</x:f>
        <x:v>-59.37304952146104</x:v>
      </x:c>
      <x:c r="O96" s="8" t="n">
        <x:f>ABS(N96)</x:f>
        <x:v>59.37304952146104</x:v>
      </x:c>
      <x:c r="P96" s="8" t="n">
        <x:f>N96^2</x:f>
        <x:v>3525.1590094778653</x:v>
      </x:c>
      <x:c r="Q96" s="8" t="n">
        <x:f>K96-L96</x:f>
        <x:v>-10</x:v>
      </x:c>
      <x:c r="R96" s="9" t="n">
        <x:f>IF(AND(INDEX('Сводка'!$T$3:$T$397,U96)=0,INDEX('Сводка'!$T$3:$T$397,V96)=0),1,0)</x:f>
        <x:v>1</x:v>
      </x:c>
      <x:c r="S96" s="9" t="n">
        <x:f>IF(AND(R96=1,O96&lt;=$G$13),1,0)</x:f>
        <x:v>0</x:v>
      </x:c>
      <x:c r="T96" s="10" t="n">
        <x:f>EOMONTH(J96-'Сводка'!$B$11,-1)</x:f>
        <x:v>45930</x:v>
      </x:c>
      <x:c r="U96" s="4" t="n">
        <x:f>MATCH(J96,'Сводка'!$R$3:$R$397,0)</x:f>
        <x:v>107</x:v>
      </x:c>
      <x:c r="V96" s="4" t="n">
        <x:f>MATCH(J96-'Сводка'!$B$11,'Сводка'!$R$3:$R$397,0)</x:f>
        <x:v>106</x:v>
      </x:c>
      <x:c r="W96" s="4" t="n">
        <x:f>MATCH(T96,$J$388:$J$400,0)</x:f>
        <x:v>4</x:v>
      </x:c>
      <x:c r="X96" s="3"/>
      <x:c r="Y96" s="3"/>
      <x:c r="Z96" s="3"/>
    </x:row>
    <x:row r="97" ht="15" customHeight="1">
      <x:c r="A97" s="7" t="str">
        <x:f>IF(79&lt;='Сводка'!$B$3,'Сводка'!$B$4+79,"")</x:f>
      </x:c>
      <x:c r="B97" s="20" t="str">
        <x:f>IF($A97="","",(A97-$T$405+1)/1000)</x:f>
      </x:c>
      <x:c r="C97" s="20" t="str">
        <x:f>IF($A97="","",2*(A97-$T$405)/$T$406-1)</x:f>
      </x:c>
      <x:c r="D97" s="3" t="str">
        <x:f>IF($A97="","",$B$4+$B$5*C97^1+$B$6*C97^2+INDEX($E$4:$E$15,MONTH(A97)))</x:f>
      </x:c>
      <x:c r="E97" s="3" t="str">
        <x:f>IF($A97="","",SQRT($T$403^2+H97^2))</x:f>
      </x:c>
      <x:c r="F97" s="3" t="str">
        <x:f>IF($A97="","",D97-$T$404*E97)</x:f>
      </x:c>
      <x:c r="G97" s="3" t="str">
        <x:f>IF($A97="","",D97+$T$404*E97)</x:f>
      </x:c>
      <x:c r="H97" s="3" t="str">
        <x:f>IF($A97="","",SQRT(MAX(0,(1)*$S$409*(1)+(1)*$T$409*(C97^1)+(1)*$U$409*(C97^2)+(C97^1)*$S$410*(1)+(C97^1)*$T$410*(C97^1)+(C97^1)*$U$410*(C97^2)+(C97^2)*$S$411*(1)+(C97^2)*$T$411*(C97^1)+(C97^2)*$U$411*(C97^2)+2*((1)*INDEX($S$416:$V$427,MONTH(A97),1)+(C97^1)*INDEX($S$416:$V$427,MONTH(A97),2)+(C97^2)*INDEX($S$416:$V$427,MONTH(A97),3))+INDEX($W$416:$W$427,MONTH(A97)))))</x:f>
      </x:c>
      <x:c r="I97" s="3"/>
      <x:c r="J97" s="10" t="n">
        <x:v>45948</x:v>
      </x:c>
      <x:c r="K97" s="8" t="n">
        <x:f>INDEX('Сводка'!$S$3:$S$397,U97)</x:f>
        <x:v>66</x:v>
      </x:c>
      <x:c r="L97" s="8" t="n">
        <x:f>INDEX('Сводка'!$S$3:$S$397,V97)</x:f>
        <x:v>79</x:v>
      </x:c>
      <x:c r="M97" s="8" t="n">
        <x:f>INDEX($K$388:$N$400,W97,1)+INDEX($K$388:$N$400,W97,2)*(2*(J97-$T$405)/(T97-$T$405)-1)^1+INDEX($K$388:$N$400,W97,3)*(2*(J97-$T$405)/(T97-$T$405)-1)^2+INDEX($O$388:$Z$400,W97,MONTH(J97))</x:f>
        <x:v>138.36870953141317</x:v>
      </x:c>
      <x:c r="N97" s="8" t="n">
        <x:f>K97-M97</x:f>
        <x:v>-72.36870953141317</x:v>
      </x:c>
      <x:c r="O97" s="8" t="n">
        <x:f>ABS(N97)</x:f>
        <x:v>72.36870953141317</x:v>
      </x:c>
      <x:c r="P97" s="8" t="n">
        <x:f>N97^2</x:f>
        <x:v>5237.230119242052</x:v>
      </x:c>
      <x:c r="Q97" s="8" t="n">
        <x:f>K97-L97</x:f>
        <x:v>-13</x:v>
      </x:c>
      <x:c r="R97" s="9" t="n">
        <x:f>IF(AND(INDEX('Сводка'!$T$3:$T$397,U97)=0,INDEX('Сводка'!$T$3:$T$397,V97)=0),1,0)</x:f>
        <x:v>1</x:v>
      </x:c>
      <x:c r="S97" s="9" t="n">
        <x:f>IF(AND(R97=1,O97&lt;=$G$13),1,0)</x:f>
        <x:v>0</x:v>
      </x:c>
      <x:c r="T97" s="10" t="n">
        <x:f>EOMONTH(J97-'Сводка'!$B$11,-1)</x:f>
        <x:v>45930</x:v>
      </x:c>
      <x:c r="U97" s="4" t="n">
        <x:f>MATCH(J97,'Сводка'!$R$3:$R$397,0)</x:f>
        <x:v>108</x:v>
      </x:c>
      <x:c r="V97" s="4" t="n">
        <x:f>MATCH(J97-'Сводка'!$B$11,'Сводка'!$R$3:$R$397,0)</x:f>
        <x:v>107</x:v>
      </x:c>
      <x:c r="W97" s="4" t="n">
        <x:f>MATCH(T97,$J$388:$J$400,0)</x:f>
        <x:v>4</x:v>
      </x:c>
      <x:c r="X97" s="3"/>
      <x:c r="Y97" s="3"/>
      <x:c r="Z97" s="3"/>
    </x:row>
    <x:row r="98" ht="15" customHeight="1">
      <x:c r="A98" s="7" t="str">
        <x:f>IF(80&lt;='Сводка'!$B$3,'Сводка'!$B$4+80,"")</x:f>
      </x:c>
      <x:c r="B98" s="20" t="str">
        <x:f>IF($A98="","",(A98-$T$405+1)/1000)</x:f>
      </x:c>
      <x:c r="C98" s="20" t="str">
        <x:f>IF($A98="","",2*(A98-$T$405)/$T$406-1)</x:f>
      </x:c>
      <x:c r="D98" s="3" t="str">
        <x:f>IF($A98="","",$B$4+$B$5*C98^1+$B$6*C98^2+INDEX($E$4:$E$15,MONTH(A98)))</x:f>
      </x:c>
      <x:c r="E98" s="3" t="str">
        <x:f>IF($A98="","",SQRT($T$403^2+H98^2))</x:f>
      </x:c>
      <x:c r="F98" s="3" t="str">
        <x:f>IF($A98="","",D98-$T$404*E98)</x:f>
      </x:c>
      <x:c r="G98" s="3" t="str">
        <x:f>IF($A98="","",D98+$T$404*E98)</x:f>
      </x:c>
      <x:c r="H98" s="3" t="str">
        <x:f>IF($A98="","",SQRT(MAX(0,(1)*$S$409*(1)+(1)*$T$409*(C98^1)+(1)*$U$409*(C98^2)+(C98^1)*$S$410*(1)+(C98^1)*$T$410*(C98^1)+(C98^1)*$U$410*(C98^2)+(C98^2)*$S$411*(1)+(C98^2)*$T$411*(C98^1)+(C98^2)*$U$411*(C98^2)+2*((1)*INDEX($S$416:$V$427,MONTH(A98),1)+(C98^1)*INDEX($S$416:$V$427,MONTH(A98),2)+(C98^2)*INDEX($S$416:$V$427,MONTH(A98),3))+INDEX($W$416:$W$427,MONTH(A98)))))</x:f>
      </x:c>
      <x:c r="I98" s="3"/>
      <x:c r="J98" s="10" t="n">
        <x:v>45949</x:v>
      </x:c>
      <x:c r="K98" s="8" t="n">
        <x:f>INDEX('Сводка'!$S$3:$S$397,U98)</x:f>
        <x:v>56</x:v>
      </x:c>
      <x:c r="L98" s="8" t="n">
        <x:f>INDEX('Сводка'!$S$3:$S$397,V98)</x:f>
        <x:v>66</x:v>
      </x:c>
      <x:c r="M98" s="8" t="n">
        <x:f>INDEX($K$388:$N$400,W98,1)+INDEX($K$388:$N$400,W98,2)*(2*(J98-$T$405)/(T98-$T$405)-1)^1+INDEX($K$388:$N$400,W98,3)*(2*(J98-$T$405)/(T98-$T$405)-1)^2+INDEX($O$388:$Z$400,W98,MONTH(J98))</x:f>
        <x:v>138.36436375364147</x:v>
      </x:c>
      <x:c r="N98" s="8" t="n">
        <x:f>K98-M98</x:f>
        <x:v>-82.36436375364147</x:v>
      </x:c>
      <x:c r="O98" s="8" t="n">
        <x:f>ABS(N98)</x:f>
        <x:v>82.36436375364147</x:v>
      </x:c>
      <x:c r="P98" s="8" t="n">
        <x:f>N98^2</x:f>
        <x:v>6783.888416542169</x:v>
      </x:c>
      <x:c r="Q98" s="8" t="n">
        <x:f>K98-L98</x:f>
        <x:v>-10</x:v>
      </x:c>
      <x:c r="R98" s="9" t="n">
        <x:f>IF(AND(INDEX('Сводка'!$T$3:$T$397,U98)=0,INDEX('Сводка'!$T$3:$T$397,V98)=0),1,0)</x:f>
        <x:v>1</x:v>
      </x:c>
      <x:c r="S98" s="9" t="n">
        <x:f>IF(AND(R98=1,O98&lt;=$G$13),1,0)</x:f>
        <x:v>0</x:v>
      </x:c>
      <x:c r="T98" s="10" t="n">
        <x:f>EOMONTH(J98-'Сводка'!$B$11,-1)</x:f>
        <x:v>45930</x:v>
      </x:c>
      <x:c r="U98" s="4" t="n">
        <x:f>MATCH(J98,'Сводка'!$R$3:$R$397,0)</x:f>
        <x:v>109</x:v>
      </x:c>
      <x:c r="V98" s="4" t="n">
        <x:f>MATCH(J98-'Сводка'!$B$11,'Сводка'!$R$3:$R$397,0)</x:f>
        <x:v>108</x:v>
      </x:c>
      <x:c r="W98" s="4" t="n">
        <x:f>MATCH(T98,$J$388:$J$400,0)</x:f>
        <x:v>4</x:v>
      </x:c>
      <x:c r="X98" s="3"/>
      <x:c r="Y98" s="3"/>
      <x:c r="Z98" s="3"/>
    </x:row>
    <x:row r="99" ht="15" customHeight="1">
      <x:c r="A99" s="7" t="str">
        <x:f>IF(81&lt;='Сводка'!$B$3,'Сводка'!$B$4+81,"")</x:f>
      </x:c>
      <x:c r="B99" s="20" t="str">
        <x:f>IF($A99="","",(A99-$T$405+1)/1000)</x:f>
      </x:c>
      <x:c r="C99" s="20" t="str">
        <x:f>IF($A99="","",2*(A99-$T$405)/$T$406-1)</x:f>
      </x:c>
      <x:c r="D99" s="3" t="str">
        <x:f>IF($A99="","",$B$4+$B$5*C99^1+$B$6*C99^2+INDEX($E$4:$E$15,MONTH(A99)))</x:f>
      </x:c>
      <x:c r="E99" s="3" t="str">
        <x:f>IF($A99="","",SQRT($T$403^2+H99^2))</x:f>
      </x:c>
      <x:c r="F99" s="3" t="str">
        <x:f>IF($A99="","",D99-$T$404*E99)</x:f>
      </x:c>
      <x:c r="G99" s="3" t="str">
        <x:f>IF($A99="","",D99+$T$404*E99)</x:f>
      </x:c>
      <x:c r="H99" s="3" t="str">
        <x:f>IF($A99="","",SQRT(MAX(0,(1)*$S$409*(1)+(1)*$T$409*(C99^1)+(1)*$U$409*(C99^2)+(C99^1)*$S$410*(1)+(C99^1)*$T$410*(C99^1)+(C99^1)*$U$410*(C99^2)+(C99^2)*$S$411*(1)+(C99^2)*$T$411*(C99^1)+(C99^2)*$U$411*(C99^2)+2*((1)*INDEX($S$416:$V$427,MONTH(A99),1)+(C99^1)*INDEX($S$416:$V$427,MONTH(A99),2)+(C99^2)*INDEX($S$416:$V$427,MONTH(A99),3))+INDEX($W$416:$W$427,MONTH(A99)))))</x:f>
      </x:c>
      <x:c r="I99" s="3"/>
      <x:c r="J99" s="10" t="n">
        <x:v>45950</x:v>
      </x:c>
      <x:c r="K99" s="8" t="n">
        <x:f>INDEX('Сводка'!$S$3:$S$397,U99)</x:f>
        <x:v>46</x:v>
      </x:c>
      <x:c r="L99" s="8" t="n">
        <x:f>INDEX('Сводка'!$S$3:$S$397,V99)</x:f>
        <x:v>56</x:v>
      </x:c>
      <x:c r="M99" s="8" t="n">
        <x:f>INDEX($K$388:$N$400,W99,1)+INDEX($K$388:$N$400,W99,2)*(2*(J99-$T$405)/(T99-$T$405)-1)^1+INDEX($K$388:$N$400,W99,3)*(2*(J99-$T$405)/(T99-$T$405)-1)^2+INDEX($O$388:$Z$400,W99,MONTH(J99))</x:f>
        <x:v>138.36001218814593</x:v>
      </x:c>
      <x:c r="N99" s="8" t="n">
        <x:f>K99-M99</x:f>
        <x:v>-92.36001218814593</x:v>
      </x:c>
      <x:c r="O99" s="8" t="n">
        <x:f>ABS(N99)</x:f>
        <x:v>92.36001218814593</x:v>
      </x:c>
      <x:c r="P99" s="8" t="n">
        <x:f>N99^2</x:f>
        <x:v>8530.371851394464</x:v>
      </x:c>
      <x:c r="Q99" s="8" t="n">
        <x:f>K99-L99</x:f>
        <x:v>-10</x:v>
      </x:c>
      <x:c r="R99" s="9" t="n">
        <x:f>IF(AND(INDEX('Сводка'!$T$3:$T$397,U99)=0,INDEX('Сводка'!$T$3:$T$397,V99)=0),1,0)</x:f>
        <x:v>1</x:v>
      </x:c>
      <x:c r="S99" s="9" t="n">
        <x:f>IF(AND(R99=1,O99&lt;=$G$13),1,0)</x:f>
        <x:v>0</x:v>
      </x:c>
      <x:c r="T99" s="10" t="n">
        <x:f>EOMONTH(J99-'Сводка'!$B$11,-1)</x:f>
        <x:v>45930</x:v>
      </x:c>
      <x:c r="U99" s="4" t="n">
        <x:f>MATCH(J99,'Сводка'!$R$3:$R$397,0)</x:f>
        <x:v>110</x:v>
      </x:c>
      <x:c r="V99" s="4" t="n">
        <x:f>MATCH(J99-'Сводка'!$B$11,'Сводка'!$R$3:$R$397,0)</x:f>
        <x:v>109</x:v>
      </x:c>
      <x:c r="W99" s="4" t="n">
        <x:f>MATCH(T99,$J$388:$J$400,0)</x:f>
        <x:v>4</x:v>
      </x:c>
      <x:c r="X99" s="3"/>
      <x:c r="Y99" s="3"/>
      <x:c r="Z99" s="3"/>
    </x:row>
    <x:row r="100" ht="15" customHeight="1">
      <x:c r="A100" s="7" t="str">
        <x:f>IF(82&lt;='Сводка'!$B$3,'Сводка'!$B$4+82,"")</x:f>
      </x:c>
      <x:c r="B100" s="20" t="str">
        <x:f>IF($A100="","",(A100-$T$405+1)/1000)</x:f>
      </x:c>
      <x:c r="C100" s="20" t="str">
        <x:f>IF($A100="","",2*(A100-$T$405)/$T$406-1)</x:f>
      </x:c>
      <x:c r="D100" s="3" t="str">
        <x:f>IF($A100="","",$B$4+$B$5*C100^1+$B$6*C100^2+INDEX($E$4:$E$15,MONTH(A100)))</x:f>
      </x:c>
      <x:c r="E100" s="3" t="str">
        <x:f>IF($A100="","",SQRT($T$403^2+H100^2))</x:f>
      </x:c>
      <x:c r="F100" s="3" t="str">
        <x:f>IF($A100="","",D100-$T$404*E100)</x:f>
      </x:c>
      <x:c r="G100" s="3" t="str">
        <x:f>IF($A100="","",D100+$T$404*E100)</x:f>
      </x:c>
      <x:c r="H100" s="3" t="str">
        <x:f>IF($A100="","",SQRT(MAX(0,(1)*$S$409*(1)+(1)*$T$409*(C100^1)+(1)*$U$409*(C100^2)+(C100^1)*$S$410*(1)+(C100^1)*$T$410*(C100^1)+(C100^1)*$U$410*(C100^2)+(C100^2)*$S$411*(1)+(C100^2)*$T$411*(C100^1)+(C100^2)*$U$411*(C100^2)+2*((1)*INDEX($S$416:$V$427,MONTH(A100),1)+(C100^1)*INDEX($S$416:$V$427,MONTH(A100),2)+(C100^2)*INDEX($S$416:$V$427,MONTH(A100),3))+INDEX($W$416:$W$427,MONTH(A100)))))</x:f>
      </x:c>
      <x:c r="I100" s="3"/>
      <x:c r="J100" s="10" t="n">
        <x:v>45951</x:v>
      </x:c>
      <x:c r="K100" s="8" t="n">
        <x:f>INDEX('Сводка'!$S$3:$S$397,U100)</x:f>
        <x:v>36</x:v>
      </x:c>
      <x:c r="L100" s="8" t="n">
        <x:f>INDEX('Сводка'!$S$3:$S$397,V100)</x:f>
        <x:v>46</x:v>
      </x:c>
      <x:c r="M100" s="8" t="n">
        <x:f>INDEX($K$388:$N$400,W100,1)+INDEX($K$388:$N$400,W100,2)*(2*(J100-$T$405)/(T100-$T$405)-1)^1+INDEX($K$388:$N$400,W100,3)*(2*(J100-$T$405)/(T100-$T$405)-1)^2+INDEX($O$388:$Z$400,W100,MONTH(J100))</x:f>
        <x:v>138.35565483492655</x:v>
      </x:c>
      <x:c r="N100" s="8" t="n">
        <x:f>K100-M100</x:f>
        <x:v>-102.35565483492655</x:v>
      </x:c>
      <x:c r="O100" s="8" t="n">
        <x:f>ABS(N100)</x:f>
        <x:v>102.35565483492655</x:v>
      </x:c>
      <x:c r="P100" s="8" t="n">
        <x:f>N100^2</x:f>
        <x:v>10476.680076686624</x:v>
      </x:c>
      <x:c r="Q100" s="8" t="n">
        <x:f>K100-L100</x:f>
        <x:v>-10</x:v>
      </x:c>
      <x:c r="R100" s="9" t="n">
        <x:f>IF(AND(INDEX('Сводка'!$T$3:$T$397,U100)=0,INDEX('Сводка'!$T$3:$T$397,V100)=0),1,0)</x:f>
        <x:v>1</x:v>
      </x:c>
      <x:c r="S100" s="9" t="n">
        <x:f>IF(AND(R100=1,O100&lt;=$G$13),1,0)</x:f>
        <x:v>0</x:v>
      </x:c>
      <x:c r="T100" s="10" t="n">
        <x:f>EOMONTH(J100-'Сводка'!$B$11,-1)</x:f>
        <x:v>45930</x:v>
      </x:c>
      <x:c r="U100" s="4" t="n">
        <x:f>MATCH(J100,'Сводка'!$R$3:$R$397,0)</x:f>
        <x:v>111</x:v>
      </x:c>
      <x:c r="V100" s="4" t="n">
        <x:f>MATCH(J100-'Сводка'!$B$11,'Сводка'!$R$3:$R$397,0)</x:f>
        <x:v>110</x:v>
      </x:c>
      <x:c r="W100" s="4" t="n">
        <x:f>MATCH(T100,$J$388:$J$400,0)</x:f>
        <x:v>4</x:v>
      </x:c>
      <x:c r="X100" s="3"/>
      <x:c r="Y100" s="3"/>
      <x:c r="Z100" s="3"/>
    </x:row>
    <x:row r="101" ht="15" customHeight="1">
      <x:c r="A101" s="7" t="str">
        <x:f>IF(83&lt;='Сводка'!$B$3,'Сводка'!$B$4+83,"")</x:f>
      </x:c>
      <x:c r="B101" s="20" t="str">
        <x:f>IF($A101="","",(A101-$T$405+1)/1000)</x:f>
      </x:c>
      <x:c r="C101" s="20" t="str">
        <x:f>IF($A101="","",2*(A101-$T$405)/$T$406-1)</x:f>
      </x:c>
      <x:c r="D101" s="3" t="str">
        <x:f>IF($A101="","",$B$4+$B$5*C101^1+$B$6*C101^2+INDEX($E$4:$E$15,MONTH(A101)))</x:f>
      </x:c>
      <x:c r="E101" s="3" t="str">
        <x:f>IF($A101="","",SQRT($T$403^2+H101^2))</x:f>
      </x:c>
      <x:c r="F101" s="3" t="str">
        <x:f>IF($A101="","",D101-$T$404*E101)</x:f>
      </x:c>
      <x:c r="G101" s="3" t="str">
        <x:f>IF($A101="","",D101+$T$404*E101)</x:f>
      </x:c>
      <x:c r="H101" s="3" t="str">
        <x:f>IF($A101="","",SQRT(MAX(0,(1)*$S$409*(1)+(1)*$T$409*(C101^1)+(1)*$U$409*(C101^2)+(C101^1)*$S$410*(1)+(C101^1)*$T$410*(C101^1)+(C101^1)*$U$410*(C101^2)+(C101^2)*$S$411*(1)+(C101^2)*$T$411*(C101^1)+(C101^2)*$U$411*(C101^2)+2*((1)*INDEX($S$416:$V$427,MONTH(A101),1)+(C101^1)*INDEX($S$416:$V$427,MONTH(A101),2)+(C101^2)*INDEX($S$416:$V$427,MONTH(A101),3))+INDEX($W$416:$W$427,MONTH(A101)))))</x:f>
      </x:c>
      <x:c r="I101" s="3"/>
      <x:c r="J101" s="10" t="n">
        <x:v>45952</x:v>
      </x:c>
      <x:c r="K101" s="8" t="n">
        <x:f>INDEX('Сводка'!$S$3:$S$397,U101)</x:f>
        <x:v>30</x:v>
      </x:c>
      <x:c r="L101" s="8" t="n">
        <x:f>INDEX('Сводка'!$S$3:$S$397,V101)</x:f>
        <x:v>36</x:v>
      </x:c>
      <x:c r="M101" s="8" t="n">
        <x:f>INDEX($K$388:$N$400,W101,1)+INDEX($K$388:$N$400,W101,2)*(2*(J101-$T$405)/(T101-$T$405)-1)^1+INDEX($K$388:$N$400,W101,3)*(2*(J101-$T$405)/(T101-$T$405)-1)^2+INDEX($O$388:$Z$400,W101,MONTH(J101))</x:f>
        <x:v>138.3512916939833</x:v>
      </x:c>
      <x:c r="N101" s="8" t="n">
        <x:f>K101-M101</x:f>
        <x:v>-108.35129169398331</x:v>
      </x:c>
      <x:c r="O101" s="8" t="n">
        <x:f>ABS(N101)</x:f>
        <x:v>108.35129169398331</x:v>
      </x:c>
      <x:c r="P101" s="8" t="n">
        <x:f>N101^2</x:f>
        <x:v>11740.002411754658</x:v>
      </x:c>
      <x:c r="Q101" s="8" t="n">
        <x:f>K101-L101</x:f>
        <x:v>-6</x:v>
      </x:c>
      <x:c r="R101" s="9" t="n">
        <x:f>IF(AND(INDEX('Сводка'!$T$3:$T$397,U101)=0,INDEX('Сводка'!$T$3:$T$397,V101)=0),1,0)</x:f>
        <x:v>1</x:v>
      </x:c>
      <x:c r="S101" s="9" t="n">
        <x:f>IF(AND(R101=1,O101&lt;=$G$13),1,0)</x:f>
        <x:v>0</x:v>
      </x:c>
      <x:c r="T101" s="10" t="n">
        <x:f>EOMONTH(J101-'Сводка'!$B$11,-1)</x:f>
        <x:v>45930</x:v>
      </x:c>
      <x:c r="U101" s="4" t="n">
        <x:f>MATCH(J101,'Сводка'!$R$3:$R$397,0)</x:f>
        <x:v>112</x:v>
      </x:c>
      <x:c r="V101" s="4" t="n">
        <x:f>MATCH(J101-'Сводка'!$B$11,'Сводка'!$R$3:$R$397,0)</x:f>
        <x:v>111</x:v>
      </x:c>
      <x:c r="W101" s="4" t="n">
        <x:f>MATCH(T101,$J$388:$J$400,0)</x:f>
        <x:v>4</x:v>
      </x:c>
      <x:c r="X101" s="3"/>
      <x:c r="Y101" s="3"/>
      <x:c r="Z101" s="3"/>
    </x:row>
    <x:row r="102" ht="15" customHeight="1">
      <x:c r="A102" s="7" t="str">
        <x:f>IF(84&lt;='Сводка'!$B$3,'Сводка'!$B$4+84,"")</x:f>
      </x:c>
      <x:c r="B102" s="20" t="str">
        <x:f>IF($A102="","",(A102-$T$405+1)/1000)</x:f>
      </x:c>
      <x:c r="C102" s="20" t="str">
        <x:f>IF($A102="","",2*(A102-$T$405)/$T$406-1)</x:f>
      </x:c>
      <x:c r="D102" s="3" t="str">
        <x:f>IF($A102="","",$B$4+$B$5*C102^1+$B$6*C102^2+INDEX($E$4:$E$15,MONTH(A102)))</x:f>
      </x:c>
      <x:c r="E102" s="3" t="str">
        <x:f>IF($A102="","",SQRT($T$403^2+H102^2))</x:f>
      </x:c>
      <x:c r="F102" s="3" t="str">
        <x:f>IF($A102="","",D102-$T$404*E102)</x:f>
      </x:c>
      <x:c r="G102" s="3" t="str">
        <x:f>IF($A102="","",D102+$T$404*E102)</x:f>
      </x:c>
      <x:c r="H102" s="3" t="str">
        <x:f>IF($A102="","",SQRT(MAX(0,(1)*$S$409*(1)+(1)*$T$409*(C102^1)+(1)*$U$409*(C102^2)+(C102^1)*$S$410*(1)+(C102^1)*$T$410*(C102^1)+(C102^1)*$U$410*(C102^2)+(C102^2)*$S$411*(1)+(C102^2)*$T$411*(C102^1)+(C102^2)*$U$411*(C102^2)+2*((1)*INDEX($S$416:$V$427,MONTH(A102),1)+(C102^1)*INDEX($S$416:$V$427,MONTH(A102),2)+(C102^2)*INDEX($S$416:$V$427,MONTH(A102),3))+INDEX($W$416:$W$427,MONTH(A102)))))</x:f>
      </x:c>
      <x:c r="I102" s="3"/>
      <x:c r="J102" s="10" t="n">
        <x:v>45953</x:v>
      </x:c>
      <x:c r="K102" s="8" t="n">
        <x:f>INDEX('Сводка'!$S$3:$S$397,U102)</x:f>
        <x:v>19</x:v>
      </x:c>
      <x:c r="L102" s="8" t="n">
        <x:f>INDEX('Сводка'!$S$3:$S$397,V102)</x:f>
        <x:v>30</x:v>
      </x:c>
      <x:c r="M102" s="8" t="n">
        <x:f>INDEX($K$388:$N$400,W102,1)+INDEX($K$388:$N$400,W102,2)*(2*(J102-$T$405)/(T102-$T$405)-1)^1+INDEX($K$388:$N$400,W102,3)*(2*(J102-$T$405)/(T102-$T$405)-1)^2+INDEX($O$388:$Z$400,W102,MONTH(J102))</x:f>
        <x:v>138.3469227653163</x:v>
      </x:c>
      <x:c r="N102" s="8" t="n">
        <x:f>K102-M102</x:f>
        <x:v>-119.3469227653163</x:v>
      </x:c>
      <x:c r="O102" s="8" t="n">
        <x:f>ABS(N102)</x:f>
        <x:v>119.3469227653163</x:v>
      </x:c>
      <x:c r="P102" s="8" t="n">
        <x:f>N102^2</x:f>
        <x:v>14243.687973550372</x:v>
      </x:c>
      <x:c r="Q102" s="8" t="n">
        <x:f>K102-L102</x:f>
        <x:v>-11</x:v>
      </x:c>
      <x:c r="R102" s="9" t="n">
        <x:f>IF(AND(INDEX('Сводка'!$T$3:$T$397,U102)=0,INDEX('Сводка'!$T$3:$T$397,V102)=0),1,0)</x:f>
        <x:v>1</x:v>
      </x:c>
      <x:c r="S102" s="9" t="n">
        <x:f>IF(AND(R102=1,O102&lt;=$G$13),1,0)</x:f>
        <x:v>0</x:v>
      </x:c>
      <x:c r="T102" s="10" t="n">
        <x:f>EOMONTH(J102-'Сводка'!$B$11,-1)</x:f>
        <x:v>45930</x:v>
      </x:c>
      <x:c r="U102" s="4" t="n">
        <x:f>MATCH(J102,'Сводка'!$R$3:$R$397,0)</x:f>
        <x:v>113</x:v>
      </x:c>
      <x:c r="V102" s="4" t="n">
        <x:f>MATCH(J102-'Сводка'!$B$11,'Сводка'!$R$3:$R$397,0)</x:f>
        <x:v>112</x:v>
      </x:c>
      <x:c r="W102" s="4" t="n">
        <x:f>MATCH(T102,$J$388:$J$400,0)</x:f>
        <x:v>4</x:v>
      </x:c>
      <x:c r="X102" s="3"/>
      <x:c r="Y102" s="3"/>
      <x:c r="Z102" s="3"/>
    </x:row>
    <x:row r="103" ht="15" customHeight="1">
      <x:c r="A103" s="7" t="str">
        <x:f>IF(85&lt;='Сводка'!$B$3,'Сводка'!$B$4+85,"")</x:f>
      </x:c>
      <x:c r="B103" s="20" t="str">
        <x:f>IF($A103="","",(A103-$T$405+1)/1000)</x:f>
      </x:c>
      <x:c r="C103" s="20" t="str">
        <x:f>IF($A103="","",2*(A103-$T$405)/$T$406-1)</x:f>
      </x:c>
      <x:c r="D103" s="3" t="str">
        <x:f>IF($A103="","",$B$4+$B$5*C103^1+$B$6*C103^2+INDEX($E$4:$E$15,MONTH(A103)))</x:f>
      </x:c>
      <x:c r="E103" s="3" t="str">
        <x:f>IF($A103="","",SQRT($T$403^2+H103^2))</x:f>
      </x:c>
      <x:c r="F103" s="3" t="str">
        <x:f>IF($A103="","",D103-$T$404*E103)</x:f>
      </x:c>
      <x:c r="G103" s="3" t="str">
        <x:f>IF($A103="","",D103+$T$404*E103)</x:f>
      </x:c>
      <x:c r="H103" s="3" t="str">
        <x:f>IF($A103="","",SQRT(MAX(0,(1)*$S$409*(1)+(1)*$T$409*(C103^1)+(1)*$U$409*(C103^2)+(C103^1)*$S$410*(1)+(C103^1)*$T$410*(C103^1)+(C103^1)*$U$410*(C103^2)+(C103^2)*$S$411*(1)+(C103^2)*$T$411*(C103^1)+(C103^2)*$U$411*(C103^2)+2*((1)*INDEX($S$416:$V$427,MONTH(A103),1)+(C103^1)*INDEX($S$416:$V$427,MONTH(A103),2)+(C103^2)*INDEX($S$416:$V$427,MONTH(A103),3))+INDEX($W$416:$W$427,MONTH(A103)))))</x:f>
      </x:c>
      <x:c r="I103" s="3"/>
      <x:c r="J103" s="10" t="n">
        <x:v>45954</x:v>
      </x:c>
      <x:c r="K103" s="8" t="n">
        <x:f>INDEX('Сводка'!$S$3:$S$397,U103)</x:f>
        <x:v>12</x:v>
      </x:c>
      <x:c r="L103" s="8" t="n">
        <x:f>INDEX('Сводка'!$S$3:$S$397,V103)</x:f>
        <x:v>19</x:v>
      </x:c>
      <x:c r="M103" s="8" t="n">
        <x:f>INDEX($K$388:$N$400,W103,1)+INDEX($K$388:$N$400,W103,2)*(2*(J103-$T$405)/(T103-$T$405)-1)^1+INDEX($K$388:$N$400,W103,3)*(2*(J103-$T$405)/(T103-$T$405)-1)^2+INDEX($O$388:$Z$400,W103,MONTH(J103))</x:f>
        <x:v>138.34254804892535</x:v>
      </x:c>
      <x:c r="N103" s="8" t="n">
        <x:f>K103-M103</x:f>
        <x:v>-126.34254804892535</x:v>
      </x:c>
      <x:c r="O103" s="8" t="n">
        <x:f>ABS(N103)</x:f>
        <x:v>126.34254804892535</x:v>
      </x:c>
      <x:c r="P103" s="8" t="n">
        <x:f>N103^2</x:f>
        <x:v>15962.439447495011</x:v>
      </x:c>
      <x:c r="Q103" s="8" t="n">
        <x:f>K103-L103</x:f>
        <x:v>-7</x:v>
      </x:c>
      <x:c r="R103" s="9" t="n">
        <x:f>IF(AND(INDEX('Сводка'!$T$3:$T$397,U103)=0,INDEX('Сводка'!$T$3:$T$397,V103)=0),1,0)</x:f>
        <x:v>1</x:v>
      </x:c>
      <x:c r="S103" s="9" t="n">
        <x:f>IF(AND(R103=1,O103&lt;=$G$13),1,0)</x:f>
        <x:v>0</x:v>
      </x:c>
      <x:c r="T103" s="10" t="n">
        <x:f>EOMONTH(J103-'Сводка'!$B$11,-1)</x:f>
        <x:v>45930</x:v>
      </x:c>
      <x:c r="U103" s="4" t="n">
        <x:f>MATCH(J103,'Сводка'!$R$3:$R$397,0)</x:f>
        <x:v>114</x:v>
      </x:c>
      <x:c r="V103" s="4" t="n">
        <x:f>MATCH(J103-'Сводка'!$B$11,'Сводка'!$R$3:$R$397,0)</x:f>
        <x:v>113</x:v>
      </x:c>
      <x:c r="W103" s="4" t="n">
        <x:f>MATCH(T103,$J$388:$J$400,0)</x:f>
        <x:v>4</x:v>
      </x:c>
      <x:c r="X103" s="3"/>
      <x:c r="Y103" s="3"/>
      <x:c r="Z103" s="3"/>
    </x:row>
    <x:row r="104" ht="15" customHeight="1">
      <x:c r="A104" s="7" t="str">
        <x:f>IF(86&lt;='Сводка'!$B$3,'Сводка'!$B$4+86,"")</x:f>
      </x:c>
      <x:c r="B104" s="20" t="str">
        <x:f>IF($A104="","",(A104-$T$405+1)/1000)</x:f>
      </x:c>
      <x:c r="C104" s="20" t="str">
        <x:f>IF($A104="","",2*(A104-$T$405)/$T$406-1)</x:f>
      </x:c>
      <x:c r="D104" s="3" t="str">
        <x:f>IF($A104="","",$B$4+$B$5*C104^1+$B$6*C104^2+INDEX($E$4:$E$15,MONTH(A104)))</x:f>
      </x:c>
      <x:c r="E104" s="3" t="str">
        <x:f>IF($A104="","",SQRT($T$403^2+H104^2))</x:f>
      </x:c>
      <x:c r="F104" s="3" t="str">
        <x:f>IF($A104="","",D104-$T$404*E104)</x:f>
      </x:c>
      <x:c r="G104" s="3" t="str">
        <x:f>IF($A104="","",D104+$T$404*E104)</x:f>
      </x:c>
      <x:c r="H104" s="3" t="str">
        <x:f>IF($A104="","",SQRT(MAX(0,(1)*$S$409*(1)+(1)*$T$409*(C104^1)+(1)*$U$409*(C104^2)+(C104^1)*$S$410*(1)+(C104^1)*$T$410*(C104^1)+(C104^1)*$U$410*(C104^2)+(C104^2)*$S$411*(1)+(C104^2)*$T$411*(C104^1)+(C104^2)*$U$411*(C104^2)+2*((1)*INDEX($S$416:$V$427,MONTH(A104),1)+(C104^1)*INDEX($S$416:$V$427,MONTH(A104),2)+(C104^2)*INDEX($S$416:$V$427,MONTH(A104),3))+INDEX($W$416:$W$427,MONTH(A104)))))</x:f>
      </x:c>
      <x:c r="I104" s="3"/>
      <x:c r="J104" s="10" t="n">
        <x:v>45955</x:v>
      </x:c>
      <x:c r="K104" s="8" t="n">
        <x:f>INDEX('Сводка'!$S$3:$S$397,U104)</x:f>
        <x:v>5</x:v>
      </x:c>
      <x:c r="L104" s="8" t="n">
        <x:f>INDEX('Сводка'!$S$3:$S$397,V104)</x:f>
        <x:v>12</x:v>
      </x:c>
      <x:c r="M104" s="8" t="n">
        <x:f>INDEX($K$388:$N$400,W104,1)+INDEX($K$388:$N$400,W104,2)*(2*(J104-$T$405)/(T104-$T$405)-1)^1+INDEX($K$388:$N$400,W104,3)*(2*(J104-$T$405)/(T104-$T$405)-1)^2+INDEX($O$388:$Z$400,W104,MONTH(J104))</x:f>
        <x:v>138.33816754481063</x:v>
      </x:c>
      <x:c r="N104" s="8" t="n">
        <x:f>K104-M104</x:f>
        <x:v>-133.33816754481063</x:v>
      </x:c>
      <x:c r="O104" s="8" t="n">
        <x:f>ABS(N104)</x:f>
        <x:v>133.33816754481063</x:v>
      </x:c>
      <x:c r="P104" s="8" t="n">
        <x:f>N104^2</x:f>
        <x:v>17779.06692420799</x:v>
      </x:c>
      <x:c r="Q104" s="8" t="n">
        <x:f>K104-L104</x:f>
        <x:v>-7</x:v>
      </x:c>
      <x:c r="R104" s="9" t="n">
        <x:f>IF(AND(INDEX('Сводка'!$T$3:$T$397,U104)=0,INDEX('Сводка'!$T$3:$T$397,V104)=0),1,0)</x:f>
        <x:v>1</x:v>
      </x:c>
      <x:c r="S104" s="9" t="n">
        <x:f>IF(AND(R104=1,O104&lt;=$G$13),1,0)</x:f>
        <x:v>0</x:v>
      </x:c>
      <x:c r="T104" s="10" t="n">
        <x:f>EOMONTH(J104-'Сводка'!$B$11,-1)</x:f>
        <x:v>45930</x:v>
      </x:c>
      <x:c r="U104" s="4" t="n">
        <x:f>MATCH(J104,'Сводка'!$R$3:$R$397,0)</x:f>
        <x:v>115</x:v>
      </x:c>
      <x:c r="V104" s="4" t="n">
        <x:f>MATCH(J104-'Сводка'!$B$11,'Сводка'!$R$3:$R$397,0)</x:f>
        <x:v>114</x:v>
      </x:c>
      <x:c r="W104" s="4" t="n">
        <x:f>MATCH(T104,$J$388:$J$400,0)</x:f>
        <x:v>4</x:v>
      </x:c>
      <x:c r="X104" s="3"/>
      <x:c r="Y104" s="3"/>
      <x:c r="Z104" s="3"/>
    </x:row>
    <x:row r="105" ht="15" customHeight="1">
      <x:c r="A105" s="7" t="str">
        <x:f>IF(87&lt;='Сводка'!$B$3,'Сводка'!$B$4+87,"")</x:f>
      </x:c>
      <x:c r="B105" s="20" t="str">
        <x:f>IF($A105="","",(A105-$T$405+1)/1000)</x:f>
      </x:c>
      <x:c r="C105" s="20" t="str">
        <x:f>IF($A105="","",2*(A105-$T$405)/$T$406-1)</x:f>
      </x:c>
      <x:c r="D105" s="3" t="str">
        <x:f>IF($A105="","",$B$4+$B$5*C105^1+$B$6*C105^2+INDEX($E$4:$E$15,MONTH(A105)))</x:f>
      </x:c>
      <x:c r="E105" s="3" t="str">
        <x:f>IF($A105="","",SQRT($T$403^2+H105^2))</x:f>
      </x:c>
      <x:c r="F105" s="3" t="str">
        <x:f>IF($A105="","",D105-$T$404*E105)</x:f>
      </x:c>
      <x:c r="G105" s="3" t="str">
        <x:f>IF($A105="","",D105+$T$404*E105)</x:f>
      </x:c>
      <x:c r="H105" s="3" t="str">
        <x:f>IF($A105="","",SQRT(MAX(0,(1)*$S$409*(1)+(1)*$T$409*(C105^1)+(1)*$U$409*(C105^2)+(C105^1)*$S$410*(1)+(C105^1)*$T$410*(C105^1)+(C105^1)*$U$410*(C105^2)+(C105^2)*$S$411*(1)+(C105^2)*$T$411*(C105^1)+(C105^2)*$U$411*(C105^2)+2*((1)*INDEX($S$416:$V$427,MONTH(A105),1)+(C105^1)*INDEX($S$416:$V$427,MONTH(A105),2)+(C105^2)*INDEX($S$416:$V$427,MONTH(A105),3))+INDEX($W$416:$W$427,MONTH(A105)))))</x:f>
      </x:c>
      <x:c r="I105" s="3"/>
      <x:c r="J105" s="10" t="n">
        <x:v>45956</x:v>
      </x:c>
      <x:c r="K105" s="8" t="n">
        <x:f>INDEX('Сводка'!$S$3:$S$397,U105)</x:f>
        <x:v>-1</x:v>
      </x:c>
      <x:c r="L105" s="8" t="n">
        <x:f>INDEX('Сводка'!$S$3:$S$397,V105)</x:f>
        <x:v>5</x:v>
      </x:c>
      <x:c r="M105" s="8" t="n">
        <x:f>INDEX($K$388:$N$400,W105,1)+INDEX($K$388:$N$400,W105,2)*(2*(J105-$T$405)/(T105-$T$405)-1)^1+INDEX($K$388:$N$400,W105,3)*(2*(J105-$T$405)/(T105-$T$405)-1)^2+INDEX($O$388:$Z$400,W105,MONTH(J105))</x:f>
        <x:v>138.33378125297205</x:v>
      </x:c>
      <x:c r="N105" s="8" t="n">
        <x:f>K105-M105</x:f>
        <x:v>-139.33378125297205</x:v>
      </x:c>
      <x:c r="O105" s="8" t="n">
        <x:f>ABS(N105)</x:f>
        <x:v>139.33378125297205</x:v>
      </x:c>
      <x:c r="P105" s="8" t="n">
        <x:f>N105^2</x:f>
        <x:v>19413.902598251065</x:v>
      </x:c>
      <x:c r="Q105" s="8" t="n">
        <x:f>K105-L105</x:f>
        <x:v>-6</x:v>
      </x:c>
      <x:c r="R105" s="9" t="n">
        <x:f>IF(AND(INDEX('Сводка'!$T$3:$T$397,U105)=0,INDEX('Сводка'!$T$3:$T$397,V105)=0),1,0)</x:f>
        <x:v>1</x:v>
      </x:c>
      <x:c r="S105" s="9" t="n">
        <x:f>IF(AND(R105=1,O105&lt;=$G$13),1,0)</x:f>
        <x:v>0</x:v>
      </x:c>
      <x:c r="T105" s="10" t="n">
        <x:f>EOMONTH(J105-'Сводка'!$B$11,-1)</x:f>
        <x:v>45930</x:v>
      </x:c>
      <x:c r="U105" s="4" t="n">
        <x:f>MATCH(J105,'Сводка'!$R$3:$R$397,0)</x:f>
        <x:v>116</x:v>
      </x:c>
      <x:c r="V105" s="4" t="n">
        <x:f>MATCH(J105-'Сводка'!$B$11,'Сводка'!$R$3:$R$397,0)</x:f>
        <x:v>115</x:v>
      </x:c>
      <x:c r="W105" s="4" t="n">
        <x:f>MATCH(T105,$J$388:$J$400,0)</x:f>
        <x:v>4</x:v>
      </x:c>
      <x:c r="X105" s="3"/>
      <x:c r="Y105" s="3"/>
      <x:c r="Z105" s="3"/>
    </x:row>
    <x:row r="106" ht="15" customHeight="1">
      <x:c r="A106" s="7" t="str">
        <x:f>IF(88&lt;='Сводка'!$B$3,'Сводка'!$B$4+88,"")</x:f>
      </x:c>
      <x:c r="B106" s="20" t="str">
        <x:f>IF($A106="","",(A106-$T$405+1)/1000)</x:f>
      </x:c>
      <x:c r="C106" s="20" t="str">
        <x:f>IF($A106="","",2*(A106-$T$405)/$T$406-1)</x:f>
      </x:c>
      <x:c r="D106" s="3" t="str">
        <x:f>IF($A106="","",$B$4+$B$5*C106^1+$B$6*C106^2+INDEX($E$4:$E$15,MONTH(A106)))</x:f>
      </x:c>
      <x:c r="E106" s="3" t="str">
        <x:f>IF($A106="","",SQRT($T$403^2+H106^2))</x:f>
      </x:c>
      <x:c r="F106" s="3" t="str">
        <x:f>IF($A106="","",D106-$T$404*E106)</x:f>
      </x:c>
      <x:c r="G106" s="3" t="str">
        <x:f>IF($A106="","",D106+$T$404*E106)</x:f>
      </x:c>
      <x:c r="H106" s="3" t="str">
        <x:f>IF($A106="","",SQRT(MAX(0,(1)*$S$409*(1)+(1)*$T$409*(C106^1)+(1)*$U$409*(C106^2)+(C106^1)*$S$410*(1)+(C106^1)*$T$410*(C106^1)+(C106^1)*$U$410*(C106^2)+(C106^2)*$S$411*(1)+(C106^2)*$T$411*(C106^1)+(C106^2)*$U$411*(C106^2)+2*((1)*INDEX($S$416:$V$427,MONTH(A106),1)+(C106^1)*INDEX($S$416:$V$427,MONTH(A106),2)+(C106^2)*INDEX($S$416:$V$427,MONTH(A106),3))+INDEX($W$416:$W$427,MONTH(A106)))))</x:f>
      </x:c>
      <x:c r="I106" s="3"/>
      <x:c r="J106" s="10" t="n">
        <x:v>45957</x:v>
      </x:c>
      <x:c r="K106" s="8" t="n">
        <x:f>INDEX('Сводка'!$S$3:$S$397,U106)</x:f>
        <x:v>-11</x:v>
      </x:c>
      <x:c r="L106" s="8" t="n">
        <x:f>INDEX('Сводка'!$S$3:$S$397,V106)</x:f>
        <x:v>-1</x:v>
      </x:c>
      <x:c r="M106" s="8" t="n">
        <x:f>INDEX($K$388:$N$400,W106,1)+INDEX($K$388:$N$400,W106,2)*(2*(J106-$T$405)/(T106-$T$405)-1)^1+INDEX($K$388:$N$400,W106,3)*(2*(J106-$T$405)/(T106-$T$405)-1)^2+INDEX($O$388:$Z$400,W106,MONTH(J106))</x:f>
        <x:v>138.32938917340965</x:v>
      </x:c>
      <x:c r="N106" s="8" t="n">
        <x:f>K106-M106</x:f>
        <x:v>-149.32938917340965</x:v>
      </x:c>
      <x:c r="O106" s="8" t="n">
        <x:f>ABS(N106)</x:f>
        <x:v>149.32938917340965</x:v>
      </x:c>
      <x:c r="P106" s="8" t="n">
        <x:f>N106^2</x:f>
        <x:v>22299.266470903636</x:v>
      </x:c>
      <x:c r="Q106" s="8" t="n">
        <x:f>K106-L106</x:f>
        <x:v>-10</x:v>
      </x:c>
      <x:c r="R106" s="9" t="n">
        <x:f>IF(AND(INDEX('Сводка'!$T$3:$T$397,U106)=0,INDEX('Сводка'!$T$3:$T$397,V106)=0),1,0)</x:f>
        <x:v>1</x:v>
      </x:c>
      <x:c r="S106" s="9" t="n">
        <x:f>IF(AND(R106=1,O106&lt;=$G$13),1,0)</x:f>
        <x:v>0</x:v>
      </x:c>
      <x:c r="T106" s="10" t="n">
        <x:f>EOMONTH(J106-'Сводка'!$B$11,-1)</x:f>
        <x:v>45930</x:v>
      </x:c>
      <x:c r="U106" s="4" t="n">
        <x:f>MATCH(J106,'Сводка'!$R$3:$R$397,0)</x:f>
        <x:v>117</x:v>
      </x:c>
      <x:c r="V106" s="4" t="n">
        <x:f>MATCH(J106-'Сводка'!$B$11,'Сводка'!$R$3:$R$397,0)</x:f>
        <x:v>116</x:v>
      </x:c>
      <x:c r="W106" s="4" t="n">
        <x:f>MATCH(T106,$J$388:$J$400,0)</x:f>
        <x:v>4</x:v>
      </x:c>
      <x:c r="X106" s="3"/>
      <x:c r="Y106" s="3"/>
      <x:c r="Z106" s="3"/>
    </x:row>
    <x:row r="107" ht="15" customHeight="1">
      <x:c r="A107" s="7" t="str">
        <x:f>IF(89&lt;='Сводка'!$B$3,'Сводка'!$B$4+89,"")</x:f>
      </x:c>
      <x:c r="B107" s="20" t="str">
        <x:f>IF($A107="","",(A107-$T$405+1)/1000)</x:f>
      </x:c>
      <x:c r="C107" s="20" t="str">
        <x:f>IF($A107="","",2*(A107-$T$405)/$T$406-1)</x:f>
      </x:c>
      <x:c r="D107" s="3" t="str">
        <x:f>IF($A107="","",$B$4+$B$5*C107^1+$B$6*C107^2+INDEX($E$4:$E$15,MONTH(A107)))</x:f>
      </x:c>
      <x:c r="E107" s="3" t="str">
        <x:f>IF($A107="","",SQRT($T$403^2+H107^2))</x:f>
      </x:c>
      <x:c r="F107" s="3" t="str">
        <x:f>IF($A107="","",D107-$T$404*E107)</x:f>
      </x:c>
      <x:c r="G107" s="3" t="str">
        <x:f>IF($A107="","",D107+$T$404*E107)</x:f>
      </x:c>
      <x:c r="H107" s="3" t="str">
        <x:f>IF($A107="","",SQRT(MAX(0,(1)*$S$409*(1)+(1)*$T$409*(C107^1)+(1)*$U$409*(C107^2)+(C107^1)*$S$410*(1)+(C107^1)*$T$410*(C107^1)+(C107^1)*$U$410*(C107^2)+(C107^2)*$S$411*(1)+(C107^2)*$T$411*(C107^1)+(C107^2)*$U$411*(C107^2)+2*((1)*INDEX($S$416:$V$427,MONTH(A107),1)+(C107^1)*INDEX($S$416:$V$427,MONTH(A107),2)+(C107^2)*INDEX($S$416:$V$427,MONTH(A107),3))+INDEX($W$416:$W$427,MONTH(A107)))))</x:f>
      </x:c>
      <x:c r="I107" s="3"/>
      <x:c r="J107" s="10" t="n">
        <x:v>45958</x:v>
      </x:c>
      <x:c r="K107" s="8" t="n">
        <x:f>INDEX('Сводка'!$S$3:$S$397,U107)</x:f>
        <x:v>-20</x:v>
      </x:c>
      <x:c r="L107" s="8" t="n">
        <x:f>INDEX('Сводка'!$S$3:$S$397,V107)</x:f>
        <x:v>-11</x:v>
      </x:c>
      <x:c r="M107" s="8" t="n">
        <x:f>INDEX($K$388:$N$400,W107,1)+INDEX($K$388:$N$400,W107,2)*(2*(J107-$T$405)/(T107-$T$405)-1)^1+INDEX($K$388:$N$400,W107,3)*(2*(J107-$T$405)/(T107-$T$405)-1)^2+INDEX($O$388:$Z$400,W107,MONTH(J107))</x:f>
        <x:v>138.3249913061234</x:v>
      </x:c>
      <x:c r="N107" s="8" t="n">
        <x:f>K107-M107</x:f>
        <x:v>-158.3249913061234</x:v>
      </x:c>
      <x:c r="O107" s="8" t="n">
        <x:f>ABS(N107)</x:f>
        <x:v>158.3249913061234</x:v>
      </x:c>
      <x:c r="P107" s="8" t="n">
        <x:f>N107^2</x:f>
        <x:v>25066.80287208405</x:v>
      </x:c>
      <x:c r="Q107" s="8" t="n">
        <x:f>K107-L107</x:f>
        <x:v>-9</x:v>
      </x:c>
      <x:c r="R107" s="9" t="n">
        <x:f>IF(AND(INDEX('Сводка'!$T$3:$T$397,U107)=0,INDEX('Сводка'!$T$3:$T$397,V107)=0),1,0)</x:f>
        <x:v>1</x:v>
      </x:c>
      <x:c r="S107" s="9" t="n">
        <x:f>IF(AND(R107=1,O107&lt;=$G$13),1,0)</x:f>
        <x:v>0</x:v>
      </x:c>
      <x:c r="T107" s="10" t="n">
        <x:f>EOMONTH(J107-'Сводка'!$B$11,-1)</x:f>
        <x:v>45930</x:v>
      </x:c>
      <x:c r="U107" s="4" t="n">
        <x:f>MATCH(J107,'Сводка'!$R$3:$R$397,0)</x:f>
        <x:v>118</x:v>
      </x:c>
      <x:c r="V107" s="4" t="n">
        <x:f>MATCH(J107-'Сводка'!$B$11,'Сводка'!$R$3:$R$397,0)</x:f>
        <x:v>117</x:v>
      </x:c>
      <x:c r="W107" s="4" t="n">
        <x:f>MATCH(T107,$J$388:$J$400,0)</x:f>
        <x:v>4</x:v>
      </x:c>
      <x:c r="X107" s="3"/>
      <x:c r="Y107" s="3"/>
      <x:c r="Z107" s="3"/>
    </x:row>
    <x:row r="108" ht="15" customHeight="1">
      <x:c r="A108" s="7" t="str">
        <x:f>IF(90&lt;='Сводка'!$B$3,'Сводка'!$B$4+90,"")</x:f>
      </x:c>
      <x:c r="B108" s="20" t="str">
        <x:f>IF($A108="","",(A108-$T$405+1)/1000)</x:f>
      </x:c>
      <x:c r="C108" s="20" t="str">
        <x:f>IF($A108="","",2*(A108-$T$405)/$T$406-1)</x:f>
      </x:c>
      <x:c r="D108" s="3" t="str">
        <x:f>IF($A108="","",$B$4+$B$5*C108^1+$B$6*C108^2+INDEX($E$4:$E$15,MONTH(A108)))</x:f>
      </x:c>
      <x:c r="E108" s="3" t="str">
        <x:f>IF($A108="","",SQRT($T$403^2+H108^2))</x:f>
      </x:c>
      <x:c r="F108" s="3" t="str">
        <x:f>IF($A108="","",D108-$T$404*E108)</x:f>
      </x:c>
      <x:c r="G108" s="3" t="str">
        <x:f>IF($A108="","",D108+$T$404*E108)</x:f>
      </x:c>
      <x:c r="H108" s="3" t="str">
        <x:f>IF($A108="","",SQRT(MAX(0,(1)*$S$409*(1)+(1)*$T$409*(C108^1)+(1)*$U$409*(C108^2)+(C108^1)*$S$410*(1)+(C108^1)*$T$410*(C108^1)+(C108^1)*$U$410*(C108^2)+(C108^2)*$S$411*(1)+(C108^2)*$T$411*(C108^1)+(C108^2)*$U$411*(C108^2)+2*((1)*INDEX($S$416:$V$427,MONTH(A108),1)+(C108^1)*INDEX($S$416:$V$427,MONTH(A108),2)+(C108^2)*INDEX($S$416:$V$427,MONTH(A108),3))+INDEX($W$416:$W$427,MONTH(A108)))))</x:f>
      </x:c>
      <x:c r="I108" s="3"/>
      <x:c r="J108" s="10" t="n">
        <x:v>45959</x:v>
      </x:c>
      <x:c r="K108" s="8" t="n">
        <x:f>INDEX('Сводка'!$S$3:$S$397,U108)</x:f>
        <x:v>-27</x:v>
      </x:c>
      <x:c r="L108" s="8" t="n">
        <x:f>INDEX('Сводка'!$S$3:$S$397,V108)</x:f>
        <x:v>-20</x:v>
      </x:c>
      <x:c r="M108" s="8" t="n">
        <x:f>INDEX($K$388:$N$400,W108,1)+INDEX($K$388:$N$400,W108,2)*(2*(J108-$T$405)/(T108-$T$405)-1)^1+INDEX($K$388:$N$400,W108,3)*(2*(J108-$T$405)/(T108-$T$405)-1)^2+INDEX($O$388:$Z$400,W108,MONTH(J108))</x:f>
        <x:v>138.32058765111327</x:v>
      </x:c>
      <x:c r="N108" s="8" t="n">
        <x:f>K108-M108</x:f>
        <x:v>-165.32058765111327</x:v>
      </x:c>
      <x:c r="O108" s="8" t="n">
        <x:f>ABS(N108)</x:f>
        <x:v>165.32058765111327</x:v>
      </x:c>
      <x:c r="P108" s="8" t="n">
        <x:f>N108^2</x:f>
        <x:v>27330.896701309426</x:v>
      </x:c>
      <x:c r="Q108" s="8" t="n">
        <x:f>K108-L108</x:f>
        <x:v>-7</x:v>
      </x:c>
      <x:c r="R108" s="9" t="n">
        <x:f>IF(AND(INDEX('Сводка'!$T$3:$T$397,U108)=0,INDEX('Сводка'!$T$3:$T$397,V108)=0),1,0)</x:f>
        <x:v>1</x:v>
      </x:c>
      <x:c r="S108" s="9" t="n">
        <x:f>IF(AND(R108=1,O108&lt;=$G$13),1,0)</x:f>
        <x:v>0</x:v>
      </x:c>
      <x:c r="T108" s="10" t="n">
        <x:f>EOMONTH(J108-'Сводка'!$B$11,-1)</x:f>
        <x:v>45930</x:v>
      </x:c>
      <x:c r="U108" s="4" t="n">
        <x:f>MATCH(J108,'Сводка'!$R$3:$R$397,0)</x:f>
        <x:v>119</x:v>
      </x:c>
      <x:c r="V108" s="4" t="n">
        <x:f>MATCH(J108-'Сводка'!$B$11,'Сводка'!$R$3:$R$397,0)</x:f>
        <x:v>118</x:v>
      </x:c>
      <x:c r="W108" s="4" t="n">
        <x:f>MATCH(T108,$J$388:$J$400,0)</x:f>
        <x:v>4</x:v>
      </x:c>
      <x:c r="X108" s="3"/>
      <x:c r="Y108" s="3"/>
      <x:c r="Z108" s="3"/>
    </x:row>
    <x:row r="109" ht="15" customHeight="1">
      <x:c r="A109" s="3"/>
      <x:c r="B109" s="3"/>
      <x:c r="C109" s="3"/>
      <x:c r="D109" s="3"/>
      <x:c r="E109" s="3"/>
      <x:c r="F109" s="3"/>
      <x:c r="G109" s="3"/>
      <x:c r="H109" s="3"/>
      <x:c r="I109" s="3"/>
      <x:c r="J109" s="10" t="n">
        <x:v>45960</x:v>
      </x:c>
      <x:c r="K109" s="8" t="n">
        <x:f>INDEX('Сводка'!$S$3:$S$397,U109)</x:f>
        <x:v>-33</x:v>
      </x:c>
      <x:c r="L109" s="8" t="n">
        <x:f>INDEX('Сводка'!$S$3:$S$397,V109)</x:f>
        <x:v>-27</x:v>
      </x:c>
      <x:c r="M109" s="8" t="n">
        <x:f>INDEX($K$388:$N$400,W109,1)+INDEX($K$388:$N$400,W109,2)*(2*(J109-$T$405)/(T109-$T$405)-1)^1+INDEX($K$388:$N$400,W109,3)*(2*(J109-$T$405)/(T109-$T$405)-1)^2+INDEX($O$388:$Z$400,W109,MONTH(J109))</x:f>
        <x:v>138.31617820837934</x:v>
      </x:c>
      <x:c r="N109" s="8" t="n">
        <x:f>K109-M109</x:f>
        <x:v>-171.31617820837934</x:v>
      </x:c>
      <x:c r="O109" s="8" t="n">
        <x:f>ABS(N109)</x:f>
        <x:v>171.31617820837934</x:v>
      </x:c>
      <x:c r="P109" s="8" t="n">
        <x:f>N109^2</x:f>
        <x:v>29349.23291592519</x:v>
      </x:c>
      <x:c r="Q109" s="8" t="n">
        <x:f>K109-L109</x:f>
        <x:v>-6</x:v>
      </x:c>
      <x:c r="R109" s="9" t="n">
        <x:f>IF(AND(INDEX('Сводка'!$T$3:$T$397,U109)=0,INDEX('Сводка'!$T$3:$T$397,V109)=0),1,0)</x:f>
        <x:v>1</x:v>
      </x:c>
      <x:c r="S109" s="9" t="n">
        <x:f>IF(AND(R109=1,O109&lt;=$G$13),1,0)</x:f>
        <x:v>0</x:v>
      </x:c>
      <x:c r="T109" s="10" t="n">
        <x:f>EOMONTH(J109-'Сводка'!$B$11,-1)</x:f>
        <x:v>45930</x:v>
      </x:c>
      <x:c r="U109" s="4" t="n">
        <x:f>MATCH(J109,'Сводка'!$R$3:$R$397,0)</x:f>
        <x:v>120</x:v>
      </x:c>
      <x:c r="V109" s="4" t="n">
        <x:f>MATCH(J109-'Сводка'!$B$11,'Сводка'!$R$3:$R$397,0)</x:f>
        <x:v>119</x:v>
      </x:c>
      <x:c r="W109" s="4" t="n">
        <x:f>MATCH(T109,$J$388:$J$400,0)</x:f>
        <x:v>4</x:v>
      </x:c>
      <x:c r="X109" s="3"/>
      <x:c r="Y109" s="3"/>
      <x:c r="Z109" s="3"/>
    </x:row>
    <x:row r="110" ht="15" customHeight="1">
      <x:c r="A110" s="3"/>
      <x:c r="B110" s="3"/>
      <x:c r="C110" s="3"/>
      <x:c r="D110" s="3"/>
      <x:c r="E110" s="3"/>
      <x:c r="F110" s="3"/>
      <x:c r="G110" s="3"/>
      <x:c r="H110" s="3"/>
      <x:c r="I110" s="3"/>
      <x:c r="J110" s="10" t="n">
        <x:v>45961</x:v>
      </x:c>
      <x:c r="K110" s="8" t="n">
        <x:f>INDEX('Сводка'!$S$3:$S$397,U110)</x:f>
        <x:v>-36</x:v>
      </x:c>
      <x:c r="L110" s="8" t="n">
        <x:f>INDEX('Сводка'!$S$3:$S$397,V110)</x:f>
        <x:v>-33</x:v>
      </x:c>
      <x:c r="M110" s="8" t="n">
        <x:f>INDEX($K$388:$N$400,W110,1)+INDEX($K$388:$N$400,W110,2)*(2*(J110-$T$405)/(T110-$T$405)-1)^1+INDEX($K$388:$N$400,W110,3)*(2*(J110-$T$405)/(T110-$T$405)-1)^2+INDEX($O$388:$Z$400,W110,MONTH(J110))</x:f>
        <x:v>138.31176297792157</x:v>
      </x:c>
      <x:c r="N110" s="8" t="n">
        <x:f>K110-M110</x:f>
        <x:v>-174.31176297792157</x:v>
      </x:c>
      <x:c r="O110" s="8" t="n">
        <x:f>ABS(N110)</x:f>
        <x:v>174.31176297792157</x:v>
      </x:c>
      <x:c r="P110" s="8" t="n">
        <x:f>N110^2</x:f>
        <x:v>30384.590712471112</x:v>
      </x:c>
      <x:c r="Q110" s="8" t="n">
        <x:f>K110-L110</x:f>
        <x:v>-3</x:v>
      </x:c>
      <x:c r="R110" s="9" t="n">
        <x:f>IF(AND(INDEX('Сводка'!$T$3:$T$397,U110)=0,INDEX('Сводка'!$T$3:$T$397,V110)=0),1,0)</x:f>
        <x:v>1</x:v>
      </x:c>
      <x:c r="S110" s="9" t="n">
        <x:f>IF(AND(R110=1,O110&lt;=$G$13),1,0)</x:f>
        <x:v>0</x:v>
      </x:c>
      <x:c r="T110" s="10" t="n">
        <x:f>EOMONTH(J110-'Сводка'!$B$11,-1)</x:f>
        <x:v>45930</x:v>
      </x:c>
      <x:c r="U110" s="4" t="n">
        <x:f>MATCH(J110,'Сводка'!$R$3:$R$397,0)</x:f>
        <x:v>121</x:v>
      </x:c>
      <x:c r="V110" s="4" t="n">
        <x:f>MATCH(J110-'Сводка'!$B$11,'Сводка'!$R$3:$R$397,0)</x:f>
        <x:v>120</x:v>
      </x:c>
      <x:c r="W110" s="4" t="n">
        <x:f>MATCH(T110,$J$388:$J$400,0)</x:f>
        <x:v>4</x:v>
      </x:c>
      <x:c r="X110" s="3"/>
      <x:c r="Y110" s="3"/>
      <x:c r="Z110" s="3"/>
    </x:row>
    <x:row r="111" ht="15" customHeight="1">
      <x:c r="A111" s="3"/>
      <x:c r="B111" s="3"/>
      <x:c r="C111" s="3"/>
      <x:c r="D111" s="3"/>
      <x:c r="E111" s="3"/>
      <x:c r="F111" s="3"/>
      <x:c r="G111" s="3"/>
      <x:c r="H111" s="3"/>
      <x:c r="I111" s="3"/>
      <x:c r="J111" s="10" t="n">
        <x:v>45962</x:v>
      </x:c>
      <x:c r="K111" s="8" t="n">
        <x:f>INDEX('Сводка'!$S$3:$S$397,U111)</x:f>
        <x:v>-37</x:v>
      </x:c>
      <x:c r="L111" s="8" t="n">
        <x:f>INDEX('Сводка'!$S$3:$S$397,V111)</x:f>
        <x:v>-36</x:v>
      </x:c>
      <x:c r="M111" s="8" t="n">
        <x:f>INDEX($K$388:$N$400,W111,1)+INDEX($K$388:$N$400,W111,2)*(2*(J111-$T$405)/(T111-$T$405)-1)^1+INDEX($K$388:$N$400,W111,3)*(2*(J111-$T$405)/(T111-$T$405)-1)^2+INDEX($O$388:$Z$400,W111,MONTH(J111))</x:f>
        <x:v>-0.15928694139225286</x:v>
      </x:c>
      <x:c r="N111" s="8" t="n">
        <x:f>K111-M111</x:f>
        <x:v>-36.84071305860775</x:v>
      </x:c>
      <x:c r="O111" s="8" t="n">
        <x:f>ABS(N111)</x:f>
        <x:v>36.84071305860775</x:v>
      </x:c>
      <x:c r="P111" s="8" t="n">
        <x:f>N111^2</x:f>
        <x:v>1357.2381386666714</x:v>
      </x:c>
      <x:c r="Q111" s="8" t="n">
        <x:f>K111-L111</x:f>
        <x:v>-1</x:v>
      </x:c>
      <x:c r="R111" s="9" t="n">
        <x:f>IF(AND(INDEX('Сводка'!$T$3:$T$397,U111)=0,INDEX('Сводка'!$T$3:$T$397,V111)=0),1,0)</x:f>
        <x:v>1</x:v>
      </x:c>
      <x:c r="S111" s="9" t="n">
        <x:f>IF(AND(R111=1,O111&lt;=$G$13),1,0)</x:f>
        <x:v>0</x:v>
      </x:c>
      <x:c r="T111" s="10" t="n">
        <x:f>EOMONTH(J111-'Сводка'!$B$11,-1)</x:f>
        <x:v>45930</x:v>
      </x:c>
      <x:c r="U111" s="4" t="n">
        <x:f>MATCH(J111,'Сводка'!$R$3:$R$397,0)</x:f>
        <x:v>122</x:v>
      </x:c>
      <x:c r="V111" s="4" t="n">
        <x:f>MATCH(J111-'Сводка'!$B$11,'Сводка'!$R$3:$R$397,0)</x:f>
        <x:v>121</x:v>
      </x:c>
      <x:c r="W111" s="4" t="n">
        <x:f>MATCH(T111,$J$388:$J$400,0)</x:f>
        <x:v>4</x:v>
      </x:c>
      <x:c r="X111" s="3"/>
      <x:c r="Y111" s="3"/>
      <x:c r="Z111" s="3"/>
    </x:row>
    <x:row r="112" ht="15" customHeight="1">
      <x:c r="A112" s="3"/>
      <x:c r="B112" s="3"/>
      <x:c r="C112" s="3"/>
      <x:c r="D112" s="3"/>
      <x:c r="E112" s="3"/>
      <x:c r="F112" s="3"/>
      <x:c r="G112" s="3"/>
      <x:c r="H112" s="3"/>
      <x:c r="I112" s="3"/>
      <x:c r="J112" s="10" t="n">
        <x:v>45963</x:v>
      </x:c>
      <x:c r="K112" s="8" t="n">
        <x:f>INDEX('Сводка'!$S$3:$S$397,U112)</x:f>
        <x:v>-40</x:v>
      </x:c>
      <x:c r="L112" s="8" t="n">
        <x:f>INDEX('Сводка'!$S$3:$S$397,V112)</x:f>
        <x:v>-37</x:v>
      </x:c>
      <x:c r="M112" s="8" t="n">
        <x:f>INDEX($K$388:$N$400,W112,1)+INDEX($K$388:$N$400,W112,2)*(2*(J112-$T$405)/(T112-$T$405)-1)^1+INDEX($K$388:$N$400,W112,3)*(2*(J112-$T$405)/(T112-$T$405)-1)^2+INDEX($O$388:$Z$400,W112,MONTH(J112))</x:f>
        <x:v>-1.2135142483764838</x:v>
      </x:c>
      <x:c r="N112" s="8" t="n">
        <x:f>K112-M112</x:f>
        <x:v>-38.786485751623516</x:v>
      </x:c>
      <x:c r="O112" s="8" t="n">
        <x:f>ABS(N112)</x:f>
        <x:v>38.786485751623516</x:v>
      </x:c>
      <x:c r="P112" s="8" t="n">
        <x:f>N112^2</x:f>
        <x:v>1504.3914769608941</x:v>
      </x:c>
      <x:c r="Q112" s="8" t="n">
        <x:f>K112-L112</x:f>
        <x:v>-3</x:v>
      </x:c>
      <x:c r="R112" s="9" t="n">
        <x:f>IF(AND(INDEX('Сводка'!$T$3:$T$397,U112)=0,INDEX('Сводка'!$T$3:$T$397,V112)=0),1,0)</x:f>
        <x:v>1</x:v>
      </x:c>
      <x:c r="S112" s="9" t="n">
        <x:f>IF(AND(R112=1,O112&lt;=$G$13),1,0)</x:f>
        <x:v>0</x:v>
      </x:c>
      <x:c r="T112" s="10" t="n">
        <x:f>EOMONTH(J112-'Сводка'!$B$11,-1)</x:f>
        <x:v>45961</x:v>
      </x:c>
      <x:c r="U112" s="4" t="n">
        <x:f>MATCH(J112,'Сводка'!$R$3:$R$397,0)</x:f>
        <x:v>123</x:v>
      </x:c>
      <x:c r="V112" s="4" t="n">
        <x:f>MATCH(J112-'Сводка'!$B$11,'Сводка'!$R$3:$R$397,0)</x:f>
        <x:v>122</x:v>
      </x:c>
      <x:c r="W112" s="4" t="n">
        <x:f>MATCH(T112,$J$388:$J$400,0)</x:f>
        <x:v>5</x:v>
      </x:c>
      <x:c r="X112" s="3"/>
      <x:c r="Y112" s="3"/>
      <x:c r="Z112" s="3"/>
    </x:row>
    <x:row r="113" ht="15" customHeight="1">
      <x:c r="A113" s="3"/>
      <x:c r="B113" s="3"/>
      <x:c r="C113" s="3"/>
      <x:c r="D113" s="3"/>
      <x:c r="E113" s="3"/>
      <x:c r="F113" s="3"/>
      <x:c r="G113" s="3"/>
      <x:c r="H113" s="3"/>
      <x:c r="I113" s="3"/>
      <x:c r="J113" s="10" t="n">
        <x:v>45964</x:v>
      </x:c>
      <x:c r="K113" s="8" t="n">
        <x:f>INDEX('Сводка'!$S$3:$S$397,U113)</x:f>
        <x:v>-46</x:v>
      </x:c>
      <x:c r="L113" s="8" t="n">
        <x:f>INDEX('Сводка'!$S$3:$S$397,V113)</x:f>
        <x:v>-40</x:v>
      </x:c>
      <x:c r="M113" s="8" t="n">
        <x:f>INDEX($K$388:$N$400,W113,1)+INDEX($K$388:$N$400,W113,2)*(2*(J113-$T$405)/(T113-$T$405)-1)^1+INDEX($K$388:$N$400,W113,3)*(2*(J113-$T$405)/(T113-$T$405)-1)^2+INDEX($O$388:$Z$400,W113,MONTH(J113))</x:f>
        <x:v>-1.2184741288766219</x:v>
      </x:c>
      <x:c r="N113" s="8" t="n">
        <x:f>K113-M113</x:f>
        <x:v>-44.78152587112338</x:v>
      </x:c>
      <x:c r="O113" s="8" t="n">
        <x:f>ABS(N113)</x:f>
        <x:v>44.78152587112338</x:v>
      </x:c>
      <x:c r="P113" s="8" t="n">
        <x:f>N113^2</x:f>
        <x:v>2005.3850593460925</x:v>
      </x:c>
      <x:c r="Q113" s="8" t="n">
        <x:f>K113-L113</x:f>
        <x:v>-6</x:v>
      </x:c>
      <x:c r="R113" s="9" t="n">
        <x:f>IF(AND(INDEX('Сводка'!$T$3:$T$397,U113)=0,INDEX('Сводка'!$T$3:$T$397,V113)=0),1,0)</x:f>
        <x:v>1</x:v>
      </x:c>
      <x:c r="S113" s="9" t="n">
        <x:f>IF(AND(R113=1,O113&lt;=$G$13),1,0)</x:f>
        <x:v>0</x:v>
      </x:c>
      <x:c r="T113" s="10" t="n">
        <x:f>EOMONTH(J113-'Сводка'!$B$11,-1)</x:f>
        <x:v>45961</x:v>
      </x:c>
      <x:c r="U113" s="4" t="n">
        <x:f>MATCH(J113,'Сводка'!$R$3:$R$397,0)</x:f>
        <x:v>124</x:v>
      </x:c>
      <x:c r="V113" s="4" t="n">
        <x:f>MATCH(J113-'Сводка'!$B$11,'Сводка'!$R$3:$R$397,0)</x:f>
        <x:v>123</x:v>
      </x:c>
      <x:c r="W113" s="4" t="n">
        <x:f>MATCH(T113,$J$388:$J$400,0)</x:f>
        <x:v>5</x:v>
      </x:c>
      <x:c r="X113" s="3"/>
      <x:c r="Y113" s="3"/>
      <x:c r="Z113" s="3"/>
    </x:row>
    <x:row r="114" ht="15" customHeight="1">
      <x:c r="A114" s="3"/>
      <x:c r="B114" s="3"/>
      <x:c r="C114" s="3"/>
      <x:c r="D114" s="3"/>
      <x:c r="E114" s="3"/>
      <x:c r="F114" s="3"/>
      <x:c r="G114" s="3"/>
      <x:c r="H114" s="3"/>
      <x:c r="I114" s="3"/>
      <x:c r="J114" s="10" t="n">
        <x:v>45965</x:v>
      </x:c>
      <x:c r="K114" s="8" t="n">
        <x:f>INDEX('Сводка'!$S$3:$S$397,U114)</x:f>
        <x:v>-49</x:v>
      </x:c>
      <x:c r="L114" s="8" t="n">
        <x:f>INDEX('Сводка'!$S$3:$S$397,V114)</x:f>
        <x:v>-46</x:v>
      </x:c>
      <x:c r="M114" s="8" t="n">
        <x:f>INDEX($K$388:$N$400,W114,1)+INDEX($K$388:$N$400,W114,2)*(2*(J114-$T$405)/(T114-$T$405)-1)^1+INDEX($K$388:$N$400,W114,3)*(2*(J114-$T$405)/(T114-$T$405)-1)^2+INDEX($O$388:$Z$400,W114,MONTH(J114))</x:f>
        <x:v>-1.2234398975684684</x:v>
      </x:c>
      <x:c r="N114" s="8" t="n">
        <x:f>K114-M114</x:f>
        <x:v>-47.77656010243153</x:v>
      </x:c>
      <x:c r="O114" s="8" t="n">
        <x:f>ABS(N114)</x:f>
        <x:v>47.77656010243153</x:v>
      </x:c>
      <x:c r="P114" s="8" t="n">
        <x:f>N114^2</x:f>
        <x:v>2282.5996952212527</x:v>
      </x:c>
      <x:c r="Q114" s="8" t="n">
        <x:f>K114-L114</x:f>
        <x:v>-3</x:v>
      </x:c>
      <x:c r="R114" s="9" t="n">
        <x:f>IF(AND(INDEX('Сводка'!$T$3:$T$397,U114)=0,INDEX('Сводка'!$T$3:$T$397,V114)=0),1,0)</x:f>
        <x:v>1</x:v>
      </x:c>
      <x:c r="S114" s="9" t="n">
        <x:f>IF(AND(R114=1,O114&lt;=$G$13),1,0)</x:f>
        <x:v>0</x:v>
      </x:c>
      <x:c r="T114" s="10" t="n">
        <x:f>EOMONTH(J114-'Сводка'!$B$11,-1)</x:f>
        <x:v>45961</x:v>
      </x:c>
      <x:c r="U114" s="4" t="n">
        <x:f>MATCH(J114,'Сводка'!$R$3:$R$397,0)</x:f>
        <x:v>125</x:v>
      </x:c>
      <x:c r="V114" s="4" t="n">
        <x:f>MATCH(J114-'Сводка'!$B$11,'Сводка'!$R$3:$R$397,0)</x:f>
        <x:v>124</x:v>
      </x:c>
      <x:c r="W114" s="4" t="n">
        <x:f>MATCH(T114,$J$388:$J$400,0)</x:f>
        <x:v>5</x:v>
      </x:c>
      <x:c r="X114" s="3"/>
      <x:c r="Y114" s="3"/>
      <x:c r="Z114" s="3"/>
    </x:row>
    <x:row r="115" ht="15" customHeight="1">
      <x:c r="A115" s="3"/>
      <x:c r="B115" s="3"/>
      <x:c r="C115" s="3"/>
      <x:c r="D115" s="3"/>
      <x:c r="E115" s="3"/>
      <x:c r="F115" s="3"/>
      <x:c r="G115" s="3"/>
      <x:c r="H115" s="3"/>
      <x:c r="I115" s="3"/>
      <x:c r="J115" s="10" t="n">
        <x:v>45966</x:v>
      </x:c>
      <x:c r="K115" s="8" t="n">
        <x:f>INDEX('Сводка'!$S$3:$S$397,U115)</x:f>
        <x:v>-56</x:v>
      </x:c>
      <x:c r="L115" s="8" t="n">
        <x:f>INDEX('Сводка'!$S$3:$S$397,V115)</x:f>
        <x:v>-49</x:v>
      </x:c>
      <x:c r="M115" s="8" t="n">
        <x:f>INDEX($K$388:$N$400,W115,1)+INDEX($K$388:$N$400,W115,2)*(2*(J115-$T$405)/(T115-$T$405)-1)^1+INDEX($K$388:$N$400,W115,3)*(2*(J115-$T$405)/(T115-$T$405)-1)^2+INDEX($O$388:$Z$400,W115,MONTH(J115))</x:f>
        <x:v>-1.2284115544520517</x:v>
      </x:c>
      <x:c r="N115" s="8" t="n">
        <x:f>K115-M115</x:f>
        <x:v>-54.77158844554795</x:v>
      </x:c>
      <x:c r="O115" s="8" t="n">
        <x:f>ABS(N115)</x:f>
        <x:v>54.77158844554795</x:v>
      </x:c>
      <x:c r="P115" s="8" t="n">
        <x:f>N115^2</x:f>
        <x:v>2999.9269008484816</x:v>
      </x:c>
      <x:c r="Q115" s="8" t="n">
        <x:f>K115-L115</x:f>
        <x:v>-7</x:v>
      </x:c>
      <x:c r="R115" s="9" t="n">
        <x:f>IF(AND(INDEX('Сводка'!$T$3:$T$397,U115)=0,INDEX('Сводка'!$T$3:$T$397,V115)=0),1,0)</x:f>
        <x:v>1</x:v>
      </x:c>
      <x:c r="S115" s="9" t="n">
        <x:f>IF(AND(R115=1,O115&lt;=$G$13),1,0)</x:f>
        <x:v>0</x:v>
      </x:c>
      <x:c r="T115" s="10" t="n">
        <x:f>EOMONTH(J115-'Сводка'!$B$11,-1)</x:f>
        <x:v>45961</x:v>
      </x:c>
      <x:c r="U115" s="4" t="n">
        <x:f>MATCH(J115,'Сводка'!$R$3:$R$397,0)</x:f>
        <x:v>126</x:v>
      </x:c>
      <x:c r="V115" s="4" t="n">
        <x:f>MATCH(J115-'Сводка'!$B$11,'Сводка'!$R$3:$R$397,0)</x:f>
        <x:v>125</x:v>
      </x:c>
      <x:c r="W115" s="4" t="n">
        <x:f>MATCH(T115,$J$388:$J$400,0)</x:f>
        <x:v>5</x:v>
      </x:c>
      <x:c r="X115" s="3"/>
      <x:c r="Y115" s="3"/>
      <x:c r="Z115" s="3"/>
    </x:row>
    <x:row r="116" ht="15" customHeight="1">
      <x:c r="A116" s="3"/>
      <x:c r="B116" s="3"/>
      <x:c r="C116" s="3"/>
      <x:c r="D116" s="3"/>
      <x:c r="E116" s="3"/>
      <x:c r="F116" s="3"/>
      <x:c r="G116" s="3"/>
      <x:c r="H116" s="3"/>
      <x:c r="I116" s="3"/>
      <x:c r="J116" s="10" t="n">
        <x:v>45967</x:v>
      </x:c>
      <x:c r="K116" s="8" t="n">
        <x:f>INDEX('Сводка'!$S$3:$S$397,U116)</x:f>
        <x:v>-61</x:v>
      </x:c>
      <x:c r="L116" s="8" t="n">
        <x:f>INDEX('Сводка'!$S$3:$S$397,V116)</x:f>
        <x:v>-56</x:v>
      </x:c>
      <x:c r="M116" s="8" t="n">
        <x:f>INDEX($K$388:$N$400,W116,1)+INDEX($K$388:$N$400,W116,2)*(2*(J116-$T$405)/(T116-$T$405)-1)^1+INDEX($K$388:$N$400,W116,3)*(2*(J116-$T$405)/(T116-$T$405)-1)^2+INDEX($O$388:$Z$400,W116,MONTH(J116))</x:f>
        <x:v>-1.233389099527372</x:v>
      </x:c>
      <x:c r="N116" s="8" t="n">
        <x:f>K116-M116</x:f>
        <x:v>-59.76661090047263</x:v>
      </x:c>
      <x:c r="O116" s="8" t="n">
        <x:f>ABS(N116)</x:f>
        <x:v>59.76661090047263</x:v>
      </x:c>
      <x:c r="P116" s="8" t="n">
        <x:f>N116^2</x:f>
        <x:v>3572.0477785284934</x:v>
      </x:c>
      <x:c r="Q116" s="8" t="n">
        <x:f>K116-L116</x:f>
        <x:v>-5</x:v>
      </x:c>
      <x:c r="R116" s="9" t="n">
        <x:f>IF(AND(INDEX('Сводка'!$T$3:$T$397,U116)=0,INDEX('Сводка'!$T$3:$T$397,V116)=0),1,0)</x:f>
        <x:v>1</x:v>
      </x:c>
      <x:c r="S116" s="9" t="n">
        <x:f>IF(AND(R116=1,O116&lt;=$G$13),1,0)</x:f>
        <x:v>0</x:v>
      </x:c>
      <x:c r="T116" s="10" t="n">
        <x:f>EOMONTH(J116-'Сводка'!$B$11,-1)</x:f>
        <x:v>45961</x:v>
      </x:c>
      <x:c r="U116" s="4" t="n">
        <x:f>MATCH(J116,'Сводка'!$R$3:$R$397,0)</x:f>
        <x:v>127</x:v>
      </x:c>
      <x:c r="V116" s="4" t="n">
        <x:f>MATCH(J116-'Сводка'!$B$11,'Сводка'!$R$3:$R$397,0)</x:f>
        <x:v>126</x:v>
      </x:c>
      <x:c r="W116" s="4" t="n">
        <x:f>MATCH(T116,$J$388:$J$400,0)</x:f>
        <x:v>5</x:v>
      </x:c>
      <x:c r="X116" s="3"/>
      <x:c r="Y116" s="3"/>
      <x:c r="Z116" s="3"/>
    </x:row>
    <x:row r="117" ht="15" customHeight="1">
      <x:c r="A117" s="3"/>
      <x:c r="B117" s="3"/>
      <x:c r="C117" s="3"/>
      <x:c r="D117" s="3"/>
      <x:c r="E117" s="3"/>
      <x:c r="F117" s="3"/>
      <x:c r="G117" s="3"/>
      <x:c r="H117" s="3"/>
      <x:c r="I117" s="3"/>
      <x:c r="J117" s="10" t="n">
        <x:v>45968</x:v>
      </x:c>
      <x:c r="K117" s="8" t="n">
        <x:f>INDEX('Сводка'!$S$3:$S$397,U117)</x:f>
        <x:v>-69</x:v>
      </x:c>
      <x:c r="L117" s="8" t="n">
        <x:f>INDEX('Сводка'!$S$3:$S$397,V117)</x:f>
        <x:v>-61</x:v>
      </x:c>
      <x:c r="M117" s="8" t="n">
        <x:f>INDEX($K$388:$N$400,W117,1)+INDEX($K$388:$N$400,W117,2)*(2*(J117-$T$405)/(T117-$T$405)-1)^1+INDEX($K$388:$N$400,W117,3)*(2*(J117-$T$405)/(T117-$T$405)-1)^2+INDEX($O$388:$Z$400,W117,MONTH(J117))</x:f>
        <x:v>-1.2383725327944006</x:v>
      </x:c>
      <x:c r="N117" s="8" t="n">
        <x:f>K117-M117</x:f>
        <x:v>-67.7616274672056</x:v>
      </x:c>
      <x:c r="O117" s="8" t="n">
        <x:f>ABS(N117)</x:f>
        <x:v>67.7616274672056</x:v>
      </x:c>
      <x:c r="P117" s="8" t="n">
        <x:f>N117^2</x:f>
        <x:v>4591.638157004352</x:v>
      </x:c>
      <x:c r="Q117" s="8" t="n">
        <x:f>K117-L117</x:f>
        <x:v>-8</x:v>
      </x:c>
      <x:c r="R117" s="9" t="n">
        <x:f>IF(AND(INDEX('Сводка'!$T$3:$T$397,U117)=0,INDEX('Сводка'!$T$3:$T$397,V117)=0),1,0)</x:f>
        <x:v>1</x:v>
      </x:c>
      <x:c r="S117" s="9" t="n">
        <x:f>IF(AND(R117=1,O117&lt;=$G$13),1,0)</x:f>
        <x:v>0</x:v>
      </x:c>
      <x:c r="T117" s="10" t="n">
        <x:f>EOMONTH(J117-'Сводка'!$B$11,-1)</x:f>
        <x:v>45961</x:v>
      </x:c>
      <x:c r="U117" s="4" t="n">
        <x:f>MATCH(J117,'Сводка'!$R$3:$R$397,0)</x:f>
        <x:v>128</x:v>
      </x:c>
      <x:c r="V117" s="4" t="n">
        <x:f>MATCH(J117-'Сводка'!$B$11,'Сводка'!$R$3:$R$397,0)</x:f>
        <x:v>127</x:v>
      </x:c>
      <x:c r="W117" s="4" t="n">
        <x:f>MATCH(T117,$J$388:$J$400,0)</x:f>
        <x:v>5</x:v>
      </x:c>
      <x:c r="X117" s="3"/>
      <x:c r="Y117" s="3"/>
      <x:c r="Z117" s="3"/>
    </x:row>
    <x:row r="118" ht="15" customHeight="1">
      <x:c r="A118" s="3"/>
      <x:c r="B118" s="3"/>
      <x:c r="C118" s="3"/>
      <x:c r="D118" s="3"/>
      <x:c r="E118" s="3"/>
      <x:c r="F118" s="3"/>
      <x:c r="G118" s="3"/>
      <x:c r="H118" s="3"/>
      <x:c r="I118" s="3"/>
      <x:c r="J118" s="10" t="n">
        <x:v>45969</x:v>
      </x:c>
      <x:c r="K118" s="8" t="n">
        <x:f>INDEX('Сводка'!$S$3:$S$397,U118)</x:f>
        <x:v>-74</x:v>
      </x:c>
      <x:c r="L118" s="8" t="n">
        <x:f>INDEX('Сводка'!$S$3:$S$397,V118)</x:f>
        <x:v>-69</x:v>
      </x:c>
      <x:c r="M118" s="8" t="n">
        <x:f>INDEX($K$388:$N$400,W118,1)+INDEX($K$388:$N$400,W118,2)*(2*(J118-$T$405)/(T118-$T$405)-1)^1+INDEX($K$388:$N$400,W118,3)*(2*(J118-$T$405)/(T118-$T$405)-1)^2+INDEX($O$388:$Z$400,W118,MONTH(J118))</x:f>
        <x:v>-1.2433618542531377</x:v>
      </x:c>
      <x:c r="N118" s="8" t="n">
        <x:f>K118-M118</x:f>
        <x:v>-72.75663814574686</x:v>
      </x:c>
      <x:c r="O118" s="8" t="n">
        <x:f>ABS(N118)</x:f>
        <x:v>72.75663814574686</x:v>
      </x:c>
      <x:c r="P118" s="8" t="n">
        <x:f>N118^2</x:f>
        <x:v>5293.528394271148</x:v>
      </x:c>
      <x:c r="Q118" s="8" t="n">
        <x:f>K118-L118</x:f>
        <x:v>-5</x:v>
      </x:c>
      <x:c r="R118" s="9" t="n">
        <x:f>IF(AND(INDEX('Сводка'!$T$3:$T$397,U118)=0,INDEX('Сводка'!$T$3:$T$397,V118)=0),1,0)</x:f>
        <x:v>1</x:v>
      </x:c>
      <x:c r="S118" s="9" t="n">
        <x:f>IF(AND(R118=1,O118&lt;=$G$13),1,0)</x:f>
        <x:v>0</x:v>
      </x:c>
      <x:c r="T118" s="10" t="n">
        <x:f>EOMONTH(J118-'Сводка'!$B$11,-1)</x:f>
        <x:v>45961</x:v>
      </x:c>
      <x:c r="U118" s="4" t="n">
        <x:f>MATCH(J118,'Сводка'!$R$3:$R$397,0)</x:f>
        <x:v>129</x:v>
      </x:c>
      <x:c r="V118" s="4" t="n">
        <x:f>MATCH(J118-'Сводка'!$B$11,'Сводка'!$R$3:$R$397,0)</x:f>
        <x:v>128</x:v>
      </x:c>
      <x:c r="W118" s="4" t="n">
        <x:f>MATCH(T118,$J$388:$J$400,0)</x:f>
        <x:v>5</x:v>
      </x:c>
      <x:c r="X118" s="3"/>
      <x:c r="Y118" s="3"/>
      <x:c r="Z118" s="3"/>
    </x:row>
    <x:row r="119" ht="15" customHeight="1">
      <x:c r="A119" s="3"/>
      <x:c r="B119" s="3"/>
      <x:c r="C119" s="3"/>
      <x:c r="D119" s="3"/>
      <x:c r="E119" s="3"/>
      <x:c r="F119" s="3"/>
      <x:c r="G119" s="3"/>
      <x:c r="H119" s="3"/>
      <x:c r="I119" s="3"/>
      <x:c r="J119" s="10" t="n">
        <x:v>45970</x:v>
      </x:c>
      <x:c r="K119" s="8" t="n">
        <x:f>INDEX('Сводка'!$S$3:$S$397,U119)</x:f>
        <x:v>-80</x:v>
      </x:c>
      <x:c r="L119" s="8" t="n">
        <x:f>INDEX('Сводка'!$S$3:$S$397,V119)</x:f>
        <x:v>-74</x:v>
      </x:c>
      <x:c r="M119" s="8" t="n">
        <x:f>INDEX($K$388:$N$400,W119,1)+INDEX($K$388:$N$400,W119,2)*(2*(J119-$T$405)/(T119-$T$405)-1)^1+INDEX($K$388:$N$400,W119,3)*(2*(J119-$T$405)/(T119-$T$405)-1)^2+INDEX($O$388:$Z$400,W119,MONTH(J119))</x:f>
        <x:v>-1.24835706390364</x:v>
      </x:c>
      <x:c r="N119" s="8" t="n">
        <x:f>K119-M119</x:f>
        <x:v>-78.75164293609636</x:v>
      </x:c>
      <x:c r="O119" s="8" t="n">
        <x:f>ABS(N119)</x:f>
        <x:v>78.75164293609636</x:v>
      </x:c>
      <x:c r="P119" s="8" t="n">
        <x:f>N119^2</x:f>
        <x:v>6201.821265134416</x:v>
      </x:c>
      <x:c r="Q119" s="8" t="n">
        <x:f>K119-L119</x:f>
        <x:v>-6</x:v>
      </x:c>
      <x:c r="R119" s="9" t="n">
        <x:f>IF(AND(INDEX('Сводка'!$T$3:$T$397,U119)=0,INDEX('Сводка'!$T$3:$T$397,V119)=0),1,0)</x:f>
        <x:v>1</x:v>
      </x:c>
      <x:c r="S119" s="9" t="n">
        <x:f>IF(AND(R119=1,O119&lt;=$G$13),1,0)</x:f>
        <x:v>0</x:v>
      </x:c>
      <x:c r="T119" s="10" t="n">
        <x:f>EOMONTH(J119-'Сводка'!$B$11,-1)</x:f>
        <x:v>45961</x:v>
      </x:c>
      <x:c r="U119" s="4" t="n">
        <x:f>MATCH(J119,'Сводка'!$R$3:$R$397,0)</x:f>
        <x:v>130</x:v>
      </x:c>
      <x:c r="V119" s="4" t="n">
        <x:f>MATCH(J119-'Сводка'!$B$11,'Сводка'!$R$3:$R$397,0)</x:f>
        <x:v>129</x:v>
      </x:c>
      <x:c r="W119" s="4" t="n">
        <x:f>MATCH(T119,$J$388:$J$400,0)</x:f>
        <x:v>5</x:v>
      </x:c>
      <x:c r="X119" s="3"/>
      <x:c r="Y119" s="3"/>
      <x:c r="Z119" s="3"/>
    </x:row>
    <x:row r="120" ht="15" customHeight="1">
      <x:c r="A120" s="3"/>
      <x:c r="B120" s="3"/>
      <x:c r="C120" s="3"/>
      <x:c r="D120" s="3"/>
      <x:c r="E120" s="3"/>
      <x:c r="F120" s="3"/>
      <x:c r="G120" s="3"/>
      <x:c r="H120" s="3"/>
      <x:c r="I120" s="3"/>
      <x:c r="J120" s="10" t="n">
        <x:v>45971</x:v>
      </x:c>
      <x:c r="K120" s="8" t="n">
        <x:f>INDEX('Сводка'!$S$3:$S$397,U120)</x:f>
        <x:v>-83</x:v>
      </x:c>
      <x:c r="L120" s="8" t="n">
        <x:f>INDEX('Сводка'!$S$3:$S$397,V120)</x:f>
        <x:v>-80</x:v>
      </x:c>
      <x:c r="M120" s="8" t="n">
        <x:f>INDEX($K$388:$N$400,W120,1)+INDEX($K$388:$N$400,W120,2)*(2*(J120-$T$405)/(T120-$T$405)-1)^1+INDEX($K$388:$N$400,W120,3)*(2*(J120-$T$405)/(T120-$T$405)-1)^2+INDEX($O$388:$Z$400,W120,MONTH(J120))</x:f>
        <x:v>-1.253358161745851</x:v>
      </x:c>
      <x:c r="N120" s="8" t="n">
        <x:f>K120-M120</x:f>
        <x:v>-81.74664183825415</x:v>
      </x:c>
      <x:c r="O120" s="8" t="n">
        <x:f>ABS(N120)</x:f>
        <x:v>81.74664183825415</x:v>
      </x:c>
      <x:c r="P120" s="8" t="n">
        <x:f>N120^2</x:f>
        <x:v>6682.513451831804</x:v>
      </x:c>
      <x:c r="Q120" s="8" t="n">
        <x:f>K120-L120</x:f>
        <x:v>-3</x:v>
      </x:c>
      <x:c r="R120" s="9" t="n">
        <x:f>IF(AND(INDEX('Сводка'!$T$3:$T$397,U120)=0,INDEX('Сводка'!$T$3:$T$397,V120)=0),1,0)</x:f>
        <x:v>1</x:v>
      </x:c>
      <x:c r="S120" s="9" t="n">
        <x:f>IF(AND(R120=1,O120&lt;=$G$13),1,0)</x:f>
        <x:v>0</x:v>
      </x:c>
      <x:c r="T120" s="10" t="n">
        <x:f>EOMONTH(J120-'Сводка'!$B$11,-1)</x:f>
        <x:v>45961</x:v>
      </x:c>
      <x:c r="U120" s="4" t="n">
        <x:f>MATCH(J120,'Сводка'!$R$3:$R$397,0)</x:f>
        <x:v>131</x:v>
      </x:c>
      <x:c r="V120" s="4" t="n">
        <x:f>MATCH(J120-'Сводка'!$B$11,'Сводка'!$R$3:$R$397,0)</x:f>
        <x:v>130</x:v>
      </x:c>
      <x:c r="W120" s="4" t="n">
        <x:f>MATCH(T120,$J$388:$J$400,0)</x:f>
        <x:v>5</x:v>
      </x:c>
      <x:c r="X120" s="3"/>
      <x:c r="Y120" s="3"/>
      <x:c r="Z120" s="3"/>
    </x:row>
    <x:row r="121" ht="15" customHeight="1">
      <x:c r="A121" s="3"/>
      <x:c r="B121" s="3"/>
      <x:c r="C121" s="3"/>
      <x:c r="D121" s="3"/>
      <x:c r="E121" s="3"/>
      <x:c r="F121" s="3"/>
      <x:c r="G121" s="3"/>
      <x:c r="H121" s="3"/>
      <x:c r="I121" s="3"/>
      <x:c r="J121" s="10" t="n">
        <x:v>45972</x:v>
      </x:c>
      <x:c r="K121" s="8" t="n">
        <x:f>INDEX('Сводка'!$S$3:$S$397,U121)</x:f>
        <x:v>-89</x:v>
      </x:c>
      <x:c r="L121" s="8" t="n">
        <x:f>INDEX('Сводка'!$S$3:$S$397,V121)</x:f>
        <x:v>-83</x:v>
      </x:c>
      <x:c r="M121" s="8" t="n">
        <x:f>INDEX($K$388:$N$400,W121,1)+INDEX($K$388:$N$400,W121,2)*(2*(J121-$T$405)/(T121-$T$405)-1)^1+INDEX($K$388:$N$400,W121,3)*(2*(J121-$T$405)/(T121-$T$405)-1)^2+INDEX($O$388:$Z$400,W121,MONTH(J121))</x:f>
        <x:v>-1.2583651477797702</x:v>
      </x:c>
      <x:c r="N121" s="8" t="n">
        <x:f>K121-M121</x:f>
        <x:v>-87.74163485222023</x:v>
      </x:c>
      <x:c r="O121" s="8" t="n">
        <x:f>ABS(N121)</x:f>
        <x:v>87.74163485222023</x:v>
      </x:c>
      <x:c r="P121" s="8" t="n">
        <x:f>N121^2</x:f>
        <x:v>7698.594486540348</x:v>
      </x:c>
      <x:c r="Q121" s="8" t="n">
        <x:f>K121-L121</x:f>
        <x:v>-6</x:v>
      </x:c>
      <x:c r="R121" s="9" t="n">
        <x:f>IF(AND(INDEX('Сводка'!$T$3:$T$397,U121)=0,INDEX('Сводка'!$T$3:$T$397,V121)=0),1,0)</x:f>
        <x:v>1</x:v>
      </x:c>
      <x:c r="S121" s="9" t="n">
        <x:f>IF(AND(R121=1,O121&lt;=$G$13),1,0)</x:f>
        <x:v>0</x:v>
      </x:c>
      <x:c r="T121" s="10" t="n">
        <x:f>EOMONTH(J121-'Сводка'!$B$11,-1)</x:f>
        <x:v>45961</x:v>
      </x:c>
      <x:c r="U121" s="4" t="n">
        <x:f>MATCH(J121,'Сводка'!$R$3:$R$397,0)</x:f>
        <x:v>132</x:v>
      </x:c>
      <x:c r="V121" s="4" t="n">
        <x:f>MATCH(J121-'Сводка'!$B$11,'Сводка'!$R$3:$R$397,0)</x:f>
        <x:v>131</x:v>
      </x:c>
      <x:c r="W121" s="4" t="n">
        <x:f>MATCH(T121,$J$388:$J$400,0)</x:f>
        <x:v>5</x:v>
      </x:c>
      <x:c r="X121" s="3"/>
      <x:c r="Y121" s="3"/>
      <x:c r="Z121" s="3"/>
    </x:row>
    <x:row r="122" ht="15" customHeight="1">
      <x:c r="A122" s="3"/>
      <x:c r="B122" s="3"/>
      <x:c r="C122" s="3"/>
      <x:c r="D122" s="3"/>
      <x:c r="E122" s="3"/>
      <x:c r="F122" s="3"/>
      <x:c r="G122" s="3"/>
      <x:c r="H122" s="3"/>
      <x:c r="I122" s="3"/>
      <x:c r="J122" s="10" t="n">
        <x:v>45973</x:v>
      </x:c>
      <x:c r="K122" s="8" t="n">
        <x:f>INDEX('Сводка'!$S$3:$S$397,U122)</x:f>
        <x:v>-88</x:v>
      </x:c>
      <x:c r="L122" s="8" t="n">
        <x:f>INDEX('Сводка'!$S$3:$S$397,V122)</x:f>
        <x:v>-89</x:v>
      </x:c>
      <x:c r="M122" s="8" t="n">
        <x:f>INDEX($K$388:$N$400,W122,1)+INDEX($K$388:$N$400,W122,2)*(2*(J122-$T$405)/(T122-$T$405)-1)^1+INDEX($K$388:$N$400,W122,3)*(2*(J122-$T$405)/(T122-$T$405)-1)^2+INDEX($O$388:$Z$400,W122,MONTH(J122))</x:f>
        <x:v>-1.2633780220054263</x:v>
      </x:c>
      <x:c r="N122" s="8" t="n">
        <x:f>K122-M122</x:f>
        <x:v>-86.73662197799457</x:v>
      </x:c>
      <x:c r="O122" s="8" t="n">
        <x:f>ABS(N122)</x:f>
        <x:v>86.73662197799457</x:v>
      </x:c>
      <x:c r="P122" s="8" t="n">
        <x:f>N122^2</x:f>
        <x:v>7523.241592153531</x:v>
      </x:c>
      <x:c r="Q122" s="8" t="n">
        <x:f>K122-L122</x:f>
        <x:v>1</x:v>
      </x:c>
      <x:c r="R122" s="9" t="n">
        <x:f>IF(AND(INDEX('Сводка'!$T$3:$T$397,U122)=0,INDEX('Сводка'!$T$3:$T$397,V122)=0),1,0)</x:f>
        <x:v>1</x:v>
      </x:c>
      <x:c r="S122" s="9" t="n">
        <x:f>IF(AND(R122=1,O122&lt;=$G$13),1,0)</x:f>
        <x:v>0</x:v>
      </x:c>
      <x:c r="T122" s="10" t="n">
        <x:f>EOMONTH(J122-'Сводка'!$B$11,-1)</x:f>
        <x:v>45961</x:v>
      </x:c>
      <x:c r="U122" s="4" t="n">
        <x:f>MATCH(J122,'Сводка'!$R$3:$R$397,0)</x:f>
        <x:v>133</x:v>
      </x:c>
      <x:c r="V122" s="4" t="n">
        <x:f>MATCH(J122-'Сводка'!$B$11,'Сводка'!$R$3:$R$397,0)</x:f>
        <x:v>132</x:v>
      </x:c>
      <x:c r="W122" s="4" t="n">
        <x:f>MATCH(T122,$J$388:$J$400,0)</x:f>
        <x:v>5</x:v>
      </x:c>
      <x:c r="X122" s="3"/>
      <x:c r="Y122" s="3"/>
      <x:c r="Z122" s="3"/>
    </x:row>
    <x:row r="123" ht="15" customHeight="1">
      <x:c r="A123" s="3"/>
      <x:c r="B123" s="3"/>
      <x:c r="C123" s="3"/>
      <x:c r="D123" s="3"/>
      <x:c r="E123" s="3"/>
      <x:c r="F123" s="3"/>
      <x:c r="G123" s="3"/>
      <x:c r="H123" s="3"/>
      <x:c r="I123" s="3"/>
      <x:c r="J123" s="10" t="n">
        <x:v>45974</x:v>
      </x:c>
      <x:c r="K123" s="8" t="n">
        <x:f>INDEX('Сводка'!$S$3:$S$397,U123)</x:f>
        <x:v>-89</x:v>
      </x:c>
      <x:c r="L123" s="8" t="n">
        <x:f>INDEX('Сводка'!$S$3:$S$397,V123)</x:f>
        <x:v>-88</x:v>
      </x:c>
      <x:c r="M123" s="8" t="n">
        <x:f>INDEX($K$388:$N$400,W123,1)+INDEX($K$388:$N$400,W123,2)*(2*(J123-$T$405)/(T123-$T$405)-1)^1+INDEX($K$388:$N$400,W123,3)*(2*(J123-$T$405)/(T123-$T$405)-1)^2+INDEX($O$388:$Z$400,W123,MONTH(J123))</x:f>
        <x:v>-1.2683967844228192</x:v>
      </x:c>
      <x:c r="N123" s="8" t="n">
        <x:f>K123-M123</x:f>
        <x:v>-87.73160321557718</x:v>
      </x:c>
      <x:c r="O123" s="8" t="n">
        <x:f>ABS(N123)</x:f>
        <x:v>87.73160321557718</x:v>
      </x:c>
      <x:c r="P123" s="8" t="n">
        <x:f>N123^2</x:f>
        <x:v>7696.8342027754725</x:v>
      </x:c>
      <x:c r="Q123" s="8" t="n">
        <x:f>K123-L123</x:f>
        <x:v>-1</x:v>
      </x:c>
      <x:c r="R123" s="9" t="n">
        <x:f>IF(AND(INDEX('Сводка'!$T$3:$T$397,U123)=0,INDEX('Сводка'!$T$3:$T$397,V123)=0),1,0)</x:f>
        <x:v>1</x:v>
      </x:c>
      <x:c r="S123" s="9" t="n">
        <x:f>IF(AND(R123=1,O123&lt;=$G$13),1,0)</x:f>
        <x:v>0</x:v>
      </x:c>
      <x:c r="T123" s="10" t="n">
        <x:f>EOMONTH(J123-'Сводка'!$B$11,-1)</x:f>
        <x:v>45961</x:v>
      </x:c>
      <x:c r="U123" s="4" t="n">
        <x:f>MATCH(J123,'Сводка'!$R$3:$R$397,0)</x:f>
        <x:v>134</x:v>
      </x:c>
      <x:c r="V123" s="4" t="n">
        <x:f>MATCH(J123-'Сводка'!$B$11,'Сводка'!$R$3:$R$397,0)</x:f>
        <x:v>133</x:v>
      </x:c>
      <x:c r="W123" s="4" t="n">
        <x:f>MATCH(T123,$J$388:$J$400,0)</x:f>
        <x:v>5</x:v>
      </x:c>
      <x:c r="X123" s="3"/>
      <x:c r="Y123" s="3"/>
      <x:c r="Z123" s="3"/>
    </x:row>
    <x:row r="124" ht="15" customHeight="1">
      <x:c r="A124" s="3"/>
      <x:c r="B124" s="3"/>
      <x:c r="C124" s="3"/>
      <x:c r="D124" s="3"/>
      <x:c r="E124" s="3"/>
      <x:c r="F124" s="3"/>
      <x:c r="G124" s="3"/>
      <x:c r="H124" s="3"/>
      <x:c r="I124" s="3"/>
      <x:c r="J124" s="10" t="n">
        <x:v>45975</x:v>
      </x:c>
      <x:c r="K124" s="8" t="n">
        <x:f>INDEX('Сводка'!$S$3:$S$397,U124)</x:f>
        <x:v>-95</x:v>
      </x:c>
      <x:c r="L124" s="8" t="n">
        <x:f>INDEX('Сводка'!$S$3:$S$397,V124)</x:f>
        <x:v>-89</x:v>
      </x:c>
      <x:c r="M124" s="8" t="n">
        <x:f>INDEX($K$388:$N$400,W124,1)+INDEX($K$388:$N$400,W124,2)*(2*(J124-$T$405)/(T124-$T$405)-1)^1+INDEX($K$388:$N$400,W124,3)*(2*(J124-$T$405)/(T124-$T$405)-1)^2+INDEX($O$388:$Z$400,W124,MONTH(J124))</x:f>
        <x:v>-1.2734214350319206</x:v>
      </x:c>
      <x:c r="N124" s="8" t="n">
        <x:f>K124-M124</x:f>
        <x:v>-93.72657856496808</x:v>
      </x:c>
      <x:c r="O124" s="8" t="n">
        <x:f>ABS(N124)</x:f>
        <x:v>93.72657856496808</x:v>
      </x:c>
      <x:c r="P124" s="8" t="n">
        <x:f>N124^2</x:f>
        <x:v>8784.671529495134</x:v>
      </x:c>
      <x:c r="Q124" s="8" t="n">
        <x:f>K124-L124</x:f>
        <x:v>-6</x:v>
      </x:c>
      <x:c r="R124" s="9" t="n">
        <x:f>IF(AND(INDEX('Сводка'!$T$3:$T$397,U124)=0,INDEX('Сводка'!$T$3:$T$397,V124)=0),1,0)</x:f>
        <x:v>1</x:v>
      </x:c>
      <x:c r="S124" s="9" t="n">
        <x:f>IF(AND(R124=1,O124&lt;=$G$13),1,0)</x:f>
        <x:v>0</x:v>
      </x:c>
      <x:c r="T124" s="10" t="n">
        <x:f>EOMONTH(J124-'Сводка'!$B$11,-1)</x:f>
        <x:v>45961</x:v>
      </x:c>
      <x:c r="U124" s="4" t="n">
        <x:f>MATCH(J124,'Сводка'!$R$3:$R$397,0)</x:f>
        <x:v>135</x:v>
      </x:c>
      <x:c r="V124" s="4" t="n">
        <x:f>MATCH(J124-'Сводка'!$B$11,'Сводка'!$R$3:$R$397,0)</x:f>
        <x:v>134</x:v>
      </x:c>
      <x:c r="W124" s="4" t="n">
        <x:f>MATCH(T124,$J$388:$J$400,0)</x:f>
        <x:v>5</x:v>
      </x:c>
      <x:c r="X124" s="3"/>
      <x:c r="Y124" s="3"/>
      <x:c r="Z124" s="3"/>
    </x:row>
    <x:row r="125" ht="15" customHeight="1">
      <x:c r="A125" s="3"/>
      <x:c r="B125" s="3"/>
      <x:c r="C125" s="3"/>
      <x:c r="D125" s="3"/>
      <x:c r="E125" s="3"/>
      <x:c r="F125" s="3"/>
      <x:c r="G125" s="3"/>
      <x:c r="H125" s="3"/>
      <x:c r="I125" s="3"/>
      <x:c r="J125" s="10" t="n">
        <x:v>45976</x:v>
      </x:c>
      <x:c r="K125" s="8" t="n">
        <x:f>INDEX('Сводка'!$S$3:$S$397,U125)</x:f>
        <x:v>-90</x:v>
      </x:c>
      <x:c r="L125" s="8" t="n">
        <x:f>INDEX('Сводка'!$S$3:$S$397,V125)</x:f>
        <x:v>-95</x:v>
      </x:c>
      <x:c r="M125" s="8" t="n">
        <x:f>INDEX($K$388:$N$400,W125,1)+INDEX($K$388:$N$400,W125,2)*(2*(J125-$T$405)/(T125-$T$405)-1)^1+INDEX($K$388:$N$400,W125,3)*(2*(J125-$T$405)/(T125-$T$405)-1)^2+INDEX($O$388:$Z$400,W125,MONTH(J125))</x:f>
        <x:v>-1.2784519738327162</x:v>
      </x:c>
      <x:c r="N125" s="8" t="n">
        <x:f>K125-M125</x:f>
        <x:v>-88.72154802616728</x:v>
      </x:c>
      <x:c r="O125" s="8" t="n">
        <x:f>ABS(N125)</x:f>
        <x:v>88.72154802616728</x:v>
      </x:c>
      <x:c r="P125" s="8" t="n">
        <x:f>N125^2</x:f>
        <x:v>7871.513084159508</x:v>
      </x:c>
      <x:c r="Q125" s="8" t="n">
        <x:f>K125-L125</x:f>
        <x:v>5</x:v>
      </x:c>
      <x:c r="R125" s="9" t="n">
        <x:f>IF(AND(INDEX('Сводка'!$T$3:$T$397,U125)=0,INDEX('Сводка'!$T$3:$T$397,V125)=0),1,0)</x:f>
        <x:v>1</x:v>
      </x:c>
      <x:c r="S125" s="9" t="n">
        <x:f>IF(AND(R125=1,O125&lt;=$G$13),1,0)</x:f>
        <x:v>0</x:v>
      </x:c>
      <x:c r="T125" s="10" t="n">
        <x:f>EOMONTH(J125-'Сводка'!$B$11,-1)</x:f>
        <x:v>45961</x:v>
      </x:c>
      <x:c r="U125" s="4" t="n">
        <x:f>MATCH(J125,'Сводка'!$R$3:$R$397,0)</x:f>
        <x:v>136</x:v>
      </x:c>
      <x:c r="V125" s="4" t="n">
        <x:f>MATCH(J125-'Сводка'!$B$11,'Сводка'!$R$3:$R$397,0)</x:f>
        <x:v>135</x:v>
      </x:c>
      <x:c r="W125" s="4" t="n">
        <x:f>MATCH(T125,$J$388:$J$400,0)</x:f>
        <x:v>5</x:v>
      </x:c>
      <x:c r="X125" s="3"/>
      <x:c r="Y125" s="3"/>
      <x:c r="Z125" s="3"/>
    </x:row>
    <x:row r="126" ht="15" customHeight="1">
      <x:c r="A126" s="3"/>
      <x:c r="B126" s="3"/>
      <x:c r="C126" s="3"/>
      <x:c r="D126" s="3"/>
      <x:c r="E126" s="3"/>
      <x:c r="F126" s="3"/>
      <x:c r="G126" s="3"/>
      <x:c r="H126" s="3"/>
      <x:c r="I126" s="3"/>
      <x:c r="J126" s="10" t="n">
        <x:v>45977</x:v>
      </x:c>
      <x:c r="K126" s="8" t="n">
        <x:f>INDEX('Сводка'!$S$3:$S$397,U126)</x:f>
        <x:v>-81</x:v>
      </x:c>
      <x:c r="L126" s="8" t="n">
        <x:f>INDEX('Сводка'!$S$3:$S$397,V126)</x:f>
        <x:v>-90</x:v>
      </x:c>
      <x:c r="M126" s="8" t="n">
        <x:f>INDEX($K$388:$N$400,W126,1)+INDEX($K$388:$N$400,W126,2)*(2*(J126-$T$405)/(T126-$T$405)-1)^1+INDEX($K$388:$N$400,W126,3)*(2*(J126-$T$405)/(T126-$T$405)-1)^2+INDEX($O$388:$Z$400,W126,MONTH(J126))</x:f>
        <x:v>-1.2834884008252914</x:v>
      </x:c>
      <x:c r="N126" s="8" t="n">
        <x:f>K126-M126</x:f>
        <x:v>-79.71651159917471</x:v>
      </x:c>
      <x:c r="O126" s="8" t="n">
        <x:f>ABS(N126)</x:f>
        <x:v>79.71651159917471</x:v>
      </x:c>
      <x:c r="P126" s="8" t="n">
        <x:f>N126^2</x:f>
        <x:v>6354.722221541356</x:v>
      </x:c>
      <x:c r="Q126" s="8" t="n">
        <x:f>K126-L126</x:f>
        <x:v>9</x:v>
      </x:c>
      <x:c r="R126" s="9" t="n">
        <x:f>IF(AND(INDEX('Сводка'!$T$3:$T$397,U126)=0,INDEX('Сводка'!$T$3:$T$397,V126)=0),1,0)</x:f>
        <x:v>1</x:v>
      </x:c>
      <x:c r="S126" s="9" t="n">
        <x:f>IF(AND(R126=1,O126&lt;=$G$13),1,0)</x:f>
        <x:v>0</x:v>
      </x:c>
      <x:c r="T126" s="10" t="n">
        <x:f>EOMONTH(J126-'Сводка'!$B$11,-1)</x:f>
        <x:v>45961</x:v>
      </x:c>
      <x:c r="U126" s="4" t="n">
        <x:f>MATCH(J126,'Сводка'!$R$3:$R$397,0)</x:f>
        <x:v>137</x:v>
      </x:c>
      <x:c r="V126" s="4" t="n">
        <x:f>MATCH(J126-'Сводка'!$B$11,'Сводка'!$R$3:$R$397,0)</x:f>
        <x:v>136</x:v>
      </x:c>
      <x:c r="W126" s="4" t="n">
        <x:f>MATCH(T126,$J$388:$J$400,0)</x:f>
        <x:v>5</x:v>
      </x:c>
      <x:c r="X126" s="3"/>
      <x:c r="Y126" s="3"/>
      <x:c r="Z126" s="3"/>
    </x:row>
    <x:row r="127" ht="15" customHeight="1">
      <x:c r="A127" s="3"/>
      <x:c r="B127" s="3"/>
      <x:c r="C127" s="3"/>
      <x:c r="D127" s="3"/>
      <x:c r="E127" s="3"/>
      <x:c r="F127" s="3"/>
      <x:c r="G127" s="3"/>
      <x:c r="H127" s="3"/>
      <x:c r="I127" s="3"/>
      <x:c r="J127" s="10" t="n">
        <x:v>45978</x:v>
      </x:c>
      <x:c r="K127" s="8" t="n">
        <x:f>INDEX('Сводка'!$S$3:$S$397,U127)</x:f>
        <x:v>-83</x:v>
      </x:c>
      <x:c r="L127" s="8" t="n">
        <x:f>INDEX('Сводка'!$S$3:$S$397,V127)</x:f>
        <x:v>-81</x:v>
      </x:c>
      <x:c r="M127" s="8" t="n">
        <x:f>INDEX($K$388:$N$400,W127,1)+INDEX($K$388:$N$400,W127,2)*(2*(J127-$T$405)/(T127-$T$405)-1)^1+INDEX($K$388:$N$400,W127,3)*(2*(J127-$T$405)/(T127-$T$405)-1)^2+INDEX($O$388:$Z$400,W127,MONTH(J127))</x:f>
        <x:v>-1.2885307160095891</x:v>
      </x:c>
      <x:c r="N127" s="8" t="n">
        <x:f>K127-M127</x:f>
        <x:v>-81.71146928399041</x:v>
      </x:c>
      <x:c r="O127" s="8" t="n">
        <x:f>ABS(N127)</x:f>
        <x:v>81.71146928399041</x:v>
      </x:c>
      <x:c r="P127" s="8" t="n">
        <x:f>N127^2</x:f>
        <x:v>6676.764212548508</x:v>
      </x:c>
      <x:c r="Q127" s="8" t="n">
        <x:f>K127-L127</x:f>
        <x:v>-2</x:v>
      </x:c>
      <x:c r="R127" s="9" t="n">
        <x:f>IF(AND(INDEX('Сводка'!$T$3:$T$397,U127)=0,INDEX('Сводка'!$T$3:$T$397,V127)=0),1,0)</x:f>
        <x:v>1</x:v>
      </x:c>
      <x:c r="S127" s="9" t="n">
        <x:f>IF(AND(R127=1,O127&lt;=$G$13),1,0)</x:f>
        <x:v>0</x:v>
      </x:c>
      <x:c r="T127" s="10" t="n">
        <x:f>EOMONTH(J127-'Сводка'!$B$11,-1)</x:f>
        <x:v>45961</x:v>
      </x:c>
      <x:c r="U127" s="4" t="n">
        <x:f>MATCH(J127,'Сводка'!$R$3:$R$397,0)</x:f>
        <x:v>138</x:v>
      </x:c>
      <x:c r="V127" s="4" t="n">
        <x:f>MATCH(J127-'Сводка'!$B$11,'Сводка'!$R$3:$R$397,0)</x:f>
        <x:v>137</x:v>
      </x:c>
      <x:c r="W127" s="4" t="n">
        <x:f>MATCH(T127,$J$388:$J$400,0)</x:f>
        <x:v>5</x:v>
      </x:c>
      <x:c r="X127" s="3"/>
      <x:c r="Y127" s="3"/>
      <x:c r="Z127" s="3"/>
    </x:row>
    <x:row r="128" ht="15" customHeight="1">
      <x:c r="A128" s="3"/>
      <x:c r="B128" s="3"/>
      <x:c r="C128" s="3"/>
      <x:c r="D128" s="3"/>
      <x:c r="E128" s="3"/>
      <x:c r="F128" s="3"/>
      <x:c r="G128" s="3"/>
      <x:c r="H128" s="3"/>
      <x:c r="I128" s="3"/>
      <x:c r="J128" s="10" t="n">
        <x:v>45979</x:v>
      </x:c>
      <x:c r="K128" s="8" t="n">
        <x:f>INDEX('Сводка'!$S$3:$S$397,U128)</x:f>
        <x:v>-72</x:v>
      </x:c>
      <x:c r="L128" s="8" t="n">
        <x:f>INDEX('Сводка'!$S$3:$S$397,V128)</x:f>
        <x:v>-83</x:v>
      </x:c>
      <x:c r="M128" s="8" t="n">
        <x:f>INDEX($K$388:$N$400,W128,1)+INDEX($K$388:$N$400,W128,2)*(2*(J128-$T$405)/(T128-$T$405)-1)^1+INDEX($K$388:$N$400,W128,3)*(2*(J128-$T$405)/(T128-$T$405)-1)^2+INDEX($O$388:$Z$400,W128,MONTH(J128))</x:f>
        <x:v>-1.2935789193855811</x:v>
      </x:c>
      <x:c r="N128" s="8" t="n">
        <x:f>K128-M128</x:f>
        <x:v>-70.70642108061442</x:v>
      </x:c>
      <x:c r="O128" s="8" t="n">
        <x:f>ABS(N128)</x:f>
        <x:v>70.70642108061442</x:v>
      </x:c>
      <x:c r="P128" s="8" t="n">
        <x:f>N128^2</x:f>
        <x:v>4999.397982029155</x:v>
      </x:c>
      <x:c r="Q128" s="8" t="n">
        <x:f>K128-L128</x:f>
        <x:v>11</x:v>
      </x:c>
      <x:c r="R128" s="9" t="n">
        <x:f>IF(AND(INDEX('Сводка'!$T$3:$T$397,U128)=0,INDEX('Сводка'!$T$3:$T$397,V128)=0),1,0)</x:f>
        <x:v>1</x:v>
      </x:c>
      <x:c r="S128" s="9" t="n">
        <x:f>IF(AND(R128=1,O128&lt;=$G$13),1,0)</x:f>
        <x:v>0</x:v>
      </x:c>
      <x:c r="T128" s="10" t="n">
        <x:f>EOMONTH(J128-'Сводка'!$B$11,-1)</x:f>
        <x:v>45961</x:v>
      </x:c>
      <x:c r="U128" s="4" t="n">
        <x:f>MATCH(J128,'Сводка'!$R$3:$R$397,0)</x:f>
        <x:v>139</x:v>
      </x:c>
      <x:c r="V128" s="4" t="n">
        <x:f>MATCH(J128-'Сводка'!$B$11,'Сводка'!$R$3:$R$397,0)</x:f>
        <x:v>138</x:v>
      </x:c>
      <x:c r="W128" s="4" t="n">
        <x:f>MATCH(T128,$J$388:$J$400,0)</x:f>
        <x:v>5</x:v>
      </x:c>
      <x:c r="X128" s="3"/>
      <x:c r="Y128" s="3"/>
      <x:c r="Z128" s="3"/>
    </x:row>
    <x:row r="129" ht="15" customHeight="1">
      <x:c r="A129" s="3"/>
      <x:c r="B129" s="3"/>
      <x:c r="C129" s="3"/>
      <x:c r="D129" s="3"/>
      <x:c r="E129" s="3"/>
      <x:c r="F129" s="3"/>
      <x:c r="G129" s="3"/>
      <x:c r="H129" s="3"/>
      <x:c r="I129" s="3"/>
      <x:c r="J129" s="10" t="n">
        <x:v>45980</x:v>
      </x:c>
      <x:c r="K129" s="8" t="n">
        <x:f>INDEX('Сводка'!$S$3:$S$397,U129)</x:f>
        <x:v>-74</x:v>
      </x:c>
      <x:c r="L129" s="8" t="n">
        <x:f>INDEX('Сводка'!$S$3:$S$397,V129)</x:f>
        <x:v>-72</x:v>
      </x:c>
      <x:c r="M129" s="8" t="n">
        <x:f>INDEX($K$388:$N$400,W129,1)+INDEX($K$388:$N$400,W129,2)*(2*(J129-$T$405)/(T129-$T$405)-1)^1+INDEX($K$388:$N$400,W129,3)*(2*(J129-$T$405)/(T129-$T$405)-1)^2+INDEX($O$388:$Z$400,W129,MONTH(J129))</x:f>
        <x:v>-1.2986330109532958</x:v>
      </x:c>
      <x:c r="N129" s="8" t="n">
        <x:f>K129-M129</x:f>
        <x:v>-72.7013669890467</x:v>
      </x:c>
      <x:c r="O129" s="8" t="n">
        <x:f>ABS(N129)</x:f>
        <x:v>72.7013669890467</x:v>
      </x:c>
      <x:c r="P129" s="8" t="n">
        <x:f>N129^2</x:f>
        <x:v>5285.48876207605</x:v>
      </x:c>
      <x:c r="Q129" s="8" t="n">
        <x:f>K129-L129</x:f>
        <x:v>-2</x:v>
      </x:c>
      <x:c r="R129" s="9" t="n">
        <x:f>IF(AND(INDEX('Сводка'!$T$3:$T$397,U129)=0,INDEX('Сводка'!$T$3:$T$397,V129)=0),1,0)</x:f>
        <x:v>1</x:v>
      </x:c>
      <x:c r="S129" s="9" t="n">
        <x:f>IF(AND(R129=1,O129&lt;=$G$13),1,0)</x:f>
        <x:v>0</x:v>
      </x:c>
      <x:c r="T129" s="10" t="n">
        <x:f>EOMONTH(J129-'Сводка'!$B$11,-1)</x:f>
        <x:v>45961</x:v>
      </x:c>
      <x:c r="U129" s="4" t="n">
        <x:f>MATCH(J129,'Сводка'!$R$3:$R$397,0)</x:f>
        <x:v>140</x:v>
      </x:c>
      <x:c r="V129" s="4" t="n">
        <x:f>MATCH(J129-'Сводка'!$B$11,'Сводка'!$R$3:$R$397,0)</x:f>
        <x:v>139</x:v>
      </x:c>
      <x:c r="W129" s="4" t="n">
        <x:f>MATCH(T129,$J$388:$J$400,0)</x:f>
        <x:v>5</x:v>
      </x:c>
      <x:c r="X129" s="3"/>
      <x:c r="Y129" s="3"/>
      <x:c r="Z129" s="3"/>
    </x:row>
    <x:row r="130" ht="15" customHeight="1">
      <x:c r="A130" s="3"/>
      <x:c r="B130" s="3"/>
      <x:c r="C130" s="3"/>
      <x:c r="D130" s="3"/>
      <x:c r="E130" s="3"/>
      <x:c r="F130" s="3"/>
      <x:c r="G130" s="3"/>
      <x:c r="H130" s="3"/>
      <x:c r="I130" s="3"/>
      <x:c r="J130" s="10" t="n">
        <x:v>45981</x:v>
      </x:c>
      <x:c r="K130" s="8" t="n">
        <x:f>INDEX('Сводка'!$S$3:$S$397,U130)</x:f>
        <x:v>-71</x:v>
      </x:c>
      <x:c r="L130" s="8" t="n">
        <x:f>INDEX('Сводка'!$S$3:$S$397,V130)</x:f>
        <x:v>-74</x:v>
      </x:c>
      <x:c r="M130" s="8" t="n">
        <x:f>INDEX($K$388:$N$400,W130,1)+INDEX($K$388:$N$400,W130,2)*(2*(J130-$T$405)/(T130-$T$405)-1)^1+INDEX($K$388:$N$400,W130,3)*(2*(J130-$T$405)/(T130-$T$405)-1)^2+INDEX($O$388:$Z$400,W130,MONTH(J130))</x:f>
        <x:v>-1.3036929907127615</x:v>
      </x:c>
      <x:c r="N130" s="8" t="n">
        <x:f>K130-M130</x:f>
        <x:v>-69.69630700928724</x:v>
      </x:c>
      <x:c r="O130" s="8" t="n">
        <x:f>ABS(N130)</x:f>
        <x:v>69.69630700928724</x:v>
      </x:c>
      <x:c r="P130" s="8" t="n">
        <x:f>N130^2</x:f>
        <x:v>4857.575210732822</x:v>
      </x:c>
      <x:c r="Q130" s="8" t="n">
        <x:f>K130-L130</x:f>
        <x:v>3</x:v>
      </x:c>
      <x:c r="R130" s="9" t="n">
        <x:f>IF(AND(INDEX('Сводка'!$T$3:$T$397,U130)=0,INDEX('Сводка'!$T$3:$T$397,V130)=0),1,0)</x:f>
        <x:v>1</x:v>
      </x:c>
      <x:c r="S130" s="9" t="n">
        <x:f>IF(AND(R130=1,O130&lt;=$G$13),1,0)</x:f>
        <x:v>0</x:v>
      </x:c>
      <x:c r="T130" s="10" t="n">
        <x:f>EOMONTH(J130-'Сводка'!$B$11,-1)</x:f>
        <x:v>45961</x:v>
      </x:c>
      <x:c r="U130" s="4" t="n">
        <x:f>MATCH(J130,'Сводка'!$R$3:$R$397,0)</x:f>
        <x:v>141</x:v>
      </x:c>
      <x:c r="V130" s="4" t="n">
        <x:f>MATCH(J130-'Сводка'!$B$11,'Сводка'!$R$3:$R$397,0)</x:f>
        <x:v>140</x:v>
      </x:c>
      <x:c r="W130" s="4" t="n">
        <x:f>MATCH(T130,$J$388:$J$400,0)</x:f>
        <x:v>5</x:v>
      </x:c>
      <x:c r="X130" s="3"/>
      <x:c r="Y130" s="3"/>
      <x:c r="Z130" s="3"/>
    </x:row>
    <x:row r="131" ht="15" customHeight="1">
      <x:c r="A131" s="3"/>
      <x:c r="B131" s="3"/>
      <x:c r="C131" s="3"/>
      <x:c r="D131" s="3"/>
      <x:c r="E131" s="3"/>
      <x:c r="F131" s="3"/>
      <x:c r="G131" s="3"/>
      <x:c r="H131" s="3"/>
      <x:c r="I131" s="3"/>
      <x:c r="J131" s="10" t="n">
        <x:v>45982</x:v>
      </x:c>
      <x:c r="K131" s="8" t="n">
        <x:f>INDEX('Сводка'!$S$3:$S$397,U131)</x:f>
        <x:v>-85</x:v>
      </x:c>
      <x:c r="L131" s="8" t="n">
        <x:f>INDEX('Сводка'!$S$3:$S$397,V131)</x:f>
        <x:v>-71</x:v>
      </x:c>
      <x:c r="M131" s="8" t="n">
        <x:f>INDEX($K$388:$N$400,W131,1)+INDEX($K$388:$N$400,W131,2)*(2*(J131-$T$405)/(T131-$T$405)-1)^1+INDEX($K$388:$N$400,W131,3)*(2*(J131-$T$405)/(T131-$T$405)-1)^2+INDEX($O$388:$Z$400,W131,MONTH(J131))</x:f>
        <x:v>-1.3087588586639498</x:v>
      </x:c>
      <x:c r="N131" s="8" t="n">
        <x:f>K131-M131</x:f>
        <x:v>-83.69124114133605</x:v>
      </x:c>
      <x:c r="O131" s="8" t="n">
        <x:f>ABS(N131)</x:f>
        <x:v>83.69124114133605</x:v>
      </x:c>
      <x:c r="P131" s="8" t="n">
        <x:f>N131^2</x:f>
        <x:v>7004.22384377726</x:v>
      </x:c>
      <x:c r="Q131" s="8" t="n">
        <x:f>K131-L131</x:f>
        <x:v>-14</x:v>
      </x:c>
      <x:c r="R131" s="9" t="n">
        <x:f>IF(AND(INDEX('Сводка'!$T$3:$T$397,U131)=0,INDEX('Сводка'!$T$3:$T$397,V131)=0),1,0)</x:f>
        <x:v>1</x:v>
      </x:c>
      <x:c r="S131" s="9" t="n">
        <x:f>IF(AND(R131=1,O131&lt;=$G$13),1,0)</x:f>
        <x:v>0</x:v>
      </x:c>
      <x:c r="T131" s="10" t="n">
        <x:f>EOMONTH(J131-'Сводка'!$B$11,-1)</x:f>
        <x:v>45961</x:v>
      </x:c>
      <x:c r="U131" s="4" t="n">
        <x:f>MATCH(J131,'Сводка'!$R$3:$R$397,0)</x:f>
        <x:v>142</x:v>
      </x:c>
      <x:c r="V131" s="4" t="n">
        <x:f>MATCH(J131-'Сводка'!$B$11,'Сводка'!$R$3:$R$397,0)</x:f>
        <x:v>141</x:v>
      </x:c>
      <x:c r="W131" s="4" t="n">
        <x:f>MATCH(T131,$J$388:$J$400,0)</x:f>
        <x:v>5</x:v>
      </x:c>
      <x:c r="X131" s="3"/>
      <x:c r="Y131" s="3"/>
      <x:c r="Z131" s="3"/>
    </x:row>
    <x:row r="132" ht="15" customHeight="1">
      <x:c r="A132" s="3"/>
      <x:c r="B132" s="3"/>
      <x:c r="C132" s="3"/>
      <x:c r="D132" s="3"/>
      <x:c r="E132" s="3"/>
      <x:c r="F132" s="3"/>
      <x:c r="G132" s="3"/>
      <x:c r="H132" s="3"/>
      <x:c r="I132" s="3"/>
      <x:c r="J132" s="10" t="n">
        <x:v>45983</x:v>
      </x:c>
      <x:c r="K132" s="8" t="n">
        <x:f>INDEX('Сводка'!$S$3:$S$397,U132)</x:f>
        <x:v>-98</x:v>
      </x:c>
      <x:c r="L132" s="8" t="n">
        <x:f>INDEX('Сводка'!$S$3:$S$397,V132)</x:f>
        <x:v>-85</x:v>
      </x:c>
      <x:c r="M132" s="8" t="n">
        <x:f>INDEX($K$388:$N$400,W132,1)+INDEX($K$388:$N$400,W132,2)*(2*(J132-$T$405)/(T132-$T$405)-1)^1+INDEX($K$388:$N$400,W132,3)*(2*(J132-$T$405)/(T132-$T$405)-1)^2+INDEX($O$388:$Z$400,W132,MONTH(J132))</x:f>
        <x:v>-1.3138306148068324</x:v>
      </x:c>
      <x:c r="N132" s="8" t="n">
        <x:f>K132-M132</x:f>
        <x:v>-96.68616938519317</x:v>
      </x:c>
      <x:c r="O132" s="8" t="n">
        <x:f>ABS(N132)</x:f>
        <x:v>96.68616938519317</x:v>
      </x:c>
      <x:c r="P132" s="8" t="n">
        <x:f>N132^2</x:f>
        <x:v>9348.215350382265</x:v>
      </x:c>
      <x:c r="Q132" s="8" t="n">
        <x:f>K132-L132</x:f>
        <x:v>-13</x:v>
      </x:c>
      <x:c r="R132" s="9" t="n">
        <x:f>IF(AND(INDEX('Сводка'!$T$3:$T$397,U132)=0,INDEX('Сводка'!$T$3:$T$397,V132)=0),1,0)</x:f>
        <x:v>1</x:v>
      </x:c>
      <x:c r="S132" s="9" t="n">
        <x:f>IF(AND(R132=1,O132&lt;=$G$13),1,0)</x:f>
        <x:v>0</x:v>
      </x:c>
      <x:c r="T132" s="10" t="n">
        <x:f>EOMONTH(J132-'Сводка'!$B$11,-1)</x:f>
        <x:v>45961</x:v>
      </x:c>
      <x:c r="U132" s="4" t="n">
        <x:f>MATCH(J132,'Сводка'!$R$3:$R$397,0)</x:f>
        <x:v>143</x:v>
      </x:c>
      <x:c r="V132" s="4" t="n">
        <x:f>MATCH(J132-'Сводка'!$B$11,'Сводка'!$R$3:$R$397,0)</x:f>
        <x:v>142</x:v>
      </x:c>
      <x:c r="W132" s="4" t="n">
        <x:f>MATCH(T132,$J$388:$J$400,0)</x:f>
        <x:v>5</x:v>
      </x:c>
      <x:c r="X132" s="3"/>
      <x:c r="Y132" s="3"/>
      <x:c r="Z132" s="3"/>
    </x:row>
    <x:row r="133" ht="15" customHeight="1">
      <x:c r="A133" s="3"/>
      <x:c r="B133" s="3"/>
      <x:c r="C133" s="3"/>
      <x:c r="D133" s="3"/>
      <x:c r="E133" s="3"/>
      <x:c r="F133" s="3"/>
      <x:c r="G133" s="3"/>
      <x:c r="H133" s="3"/>
      <x:c r="I133" s="3"/>
      <x:c r="J133" s="10" t="n">
        <x:v>45984</x:v>
      </x:c>
      <x:c r="K133" s="8" t="n">
        <x:f>INDEX('Сводка'!$S$3:$S$397,U133)</x:f>
        <x:v>-118</x:v>
      </x:c>
      <x:c r="L133" s="8" t="n">
        <x:f>INDEX('Сводка'!$S$3:$S$397,V133)</x:f>
        <x:v>-98</x:v>
      </x:c>
      <x:c r="M133" s="8" t="n">
        <x:f>INDEX($K$388:$N$400,W133,1)+INDEX($K$388:$N$400,W133,2)*(2*(J133-$T$405)/(T133-$T$405)-1)^1+INDEX($K$388:$N$400,W133,3)*(2*(J133-$T$405)/(T133-$T$405)-1)^2+INDEX($O$388:$Z$400,W133,MONTH(J133))</x:f>
        <x:v>-1.3189082591414518</x:v>
      </x:c>
      <x:c r="N133" s="8" t="n">
        <x:f>K133-M133</x:f>
        <x:v>-116.68109174085855</x:v>
      </x:c>
      <x:c r="O133" s="8" t="n">
        <x:f>ABS(N133)</x:f>
        <x:v>116.68109174085855</x:v>
      </x:c>
      <x:c r="P133" s="8" t="n">
        <x:f>N133^2</x:f>
        <x:v>13614.477169838648</x:v>
      </x:c>
      <x:c r="Q133" s="8" t="n">
        <x:f>K133-L133</x:f>
        <x:v>-20</x:v>
      </x:c>
      <x:c r="R133" s="9" t="n">
        <x:f>IF(AND(INDEX('Сводка'!$T$3:$T$397,U133)=0,INDEX('Сводка'!$T$3:$T$397,V133)=0),1,0)</x:f>
        <x:v>1</x:v>
      </x:c>
      <x:c r="S133" s="9" t="n">
        <x:f>IF(AND(R133=1,O133&lt;=$G$13),1,0)</x:f>
        <x:v>0</x:v>
      </x:c>
      <x:c r="T133" s="10" t="n">
        <x:f>EOMONTH(J133-'Сводка'!$B$11,-1)</x:f>
        <x:v>45961</x:v>
      </x:c>
      <x:c r="U133" s="4" t="n">
        <x:f>MATCH(J133,'Сводка'!$R$3:$R$397,0)</x:f>
        <x:v>144</x:v>
      </x:c>
      <x:c r="V133" s="4" t="n">
        <x:f>MATCH(J133-'Сводка'!$B$11,'Сводка'!$R$3:$R$397,0)</x:f>
        <x:v>143</x:v>
      </x:c>
      <x:c r="W133" s="4" t="n">
        <x:f>MATCH(T133,$J$388:$J$400,0)</x:f>
        <x:v>5</x:v>
      </x:c>
      <x:c r="X133" s="3"/>
      <x:c r="Y133" s="3"/>
      <x:c r="Z133" s="3"/>
    </x:row>
    <x:row r="134" ht="15" customHeight="1">
      <x:c r="A134" s="3"/>
      <x:c r="B134" s="3"/>
      <x:c r="C134" s="3"/>
      <x:c r="D134" s="3"/>
      <x:c r="E134" s="3"/>
      <x:c r="F134" s="3"/>
      <x:c r="G134" s="3"/>
      <x:c r="H134" s="3"/>
      <x:c r="I134" s="3"/>
      <x:c r="J134" s="10" t="n">
        <x:v>45985</x:v>
      </x:c>
      <x:c r="K134" s="8" t="n">
        <x:f>INDEX('Сводка'!$S$3:$S$397,U134)</x:f>
        <x:v>-123</x:v>
      </x:c>
      <x:c r="L134" s="8" t="n">
        <x:f>INDEX('Сводка'!$S$3:$S$397,V134)</x:f>
        <x:v>-118</x:v>
      </x:c>
      <x:c r="M134" s="8" t="n">
        <x:f>INDEX($K$388:$N$400,W134,1)+INDEX($K$388:$N$400,W134,2)*(2*(J134-$T$405)/(T134-$T$405)-1)^1+INDEX($K$388:$N$400,W134,3)*(2*(J134-$T$405)/(T134-$T$405)-1)^2+INDEX($O$388:$Z$400,W134,MONTH(J134))</x:f>
        <x:v>-1.3239917916678365</x:v>
      </x:c>
      <x:c r="N134" s="8" t="n">
        <x:f>K134-M134</x:f>
        <x:v>-121.67600820833216</x:v>
      </x:c>
      <x:c r="O134" s="8" t="n">
        <x:f>ABS(N134)</x:f>
        <x:v>121.67600820833216</x:v>
      </x:c>
      <x:c r="P134" s="8" t="n">
        <x:f>N134^2</x:f>
        <x:v>14805.050973514117</x:v>
      </x:c>
      <x:c r="Q134" s="8" t="n">
        <x:f>K134-L134</x:f>
        <x:v>-5</x:v>
      </x:c>
      <x:c r="R134" s="9" t="n">
        <x:f>IF(AND(INDEX('Сводка'!$T$3:$T$397,U134)=0,INDEX('Сводка'!$T$3:$T$397,V134)=0),1,0)</x:f>
        <x:v>1</x:v>
      </x:c>
      <x:c r="S134" s="9" t="n">
        <x:f>IF(AND(R134=1,O134&lt;=$G$13),1,0)</x:f>
        <x:v>0</x:v>
      </x:c>
      <x:c r="T134" s="10" t="n">
        <x:f>EOMONTH(J134-'Сводка'!$B$11,-1)</x:f>
        <x:v>45961</x:v>
      </x:c>
      <x:c r="U134" s="4" t="n">
        <x:f>MATCH(J134,'Сводка'!$R$3:$R$397,0)</x:f>
        <x:v>145</x:v>
      </x:c>
      <x:c r="V134" s="4" t="n">
        <x:f>MATCH(J134-'Сводка'!$B$11,'Сводка'!$R$3:$R$397,0)</x:f>
        <x:v>144</x:v>
      </x:c>
      <x:c r="W134" s="4" t="n">
        <x:f>MATCH(T134,$J$388:$J$400,0)</x:f>
        <x:v>5</x:v>
      </x:c>
      <x:c r="X134" s="3"/>
      <x:c r="Y134" s="3"/>
      <x:c r="Z134" s="3"/>
    </x:row>
    <x:row r="135" ht="15" customHeight="1">
      <x:c r="A135" s="3"/>
      <x:c r="B135" s="3"/>
      <x:c r="C135" s="3"/>
      <x:c r="D135" s="3"/>
      <x:c r="E135" s="3"/>
      <x:c r="F135" s="3"/>
      <x:c r="G135" s="3"/>
      <x:c r="H135" s="3"/>
      <x:c r="I135" s="3"/>
      <x:c r="J135" s="10" t="n">
        <x:v>45986</x:v>
      </x:c>
      <x:c r="K135" s="8" t="n">
        <x:f>INDEX('Сводка'!$S$3:$S$397,U135)</x:f>
        <x:v>-116</x:v>
      </x:c>
      <x:c r="L135" s="8" t="n">
        <x:f>INDEX('Сводка'!$S$3:$S$397,V135)</x:f>
        <x:v>-123</x:v>
      </x:c>
      <x:c r="M135" s="8" t="n">
        <x:f>INDEX($K$388:$N$400,W135,1)+INDEX($K$388:$N$400,W135,2)*(2*(J135-$T$405)/(T135-$T$405)-1)^1+INDEX($K$388:$N$400,W135,3)*(2*(J135-$T$405)/(T135-$T$405)-1)^2+INDEX($O$388:$Z$400,W135,MONTH(J135))</x:f>
        <x:v>-1.3290812123859297</x:v>
      </x:c>
      <x:c r="N135" s="8" t="n">
        <x:f>K135-M135</x:f>
        <x:v>-114.67091878761407</x:v>
      </x:c>
      <x:c r="O135" s="8" t="n">
        <x:f>ABS(N135)</x:f>
        <x:v>114.67091878761407</x:v>
      </x:c>
      <x:c r="P135" s="8" t="n">
        <x:f>N135^2</x:f>
        <x:v>13149.419615595581</x:v>
      </x:c>
      <x:c r="Q135" s="8" t="n">
        <x:f>K135-L135</x:f>
        <x:v>7</x:v>
      </x:c>
      <x:c r="R135" s="9" t="n">
        <x:f>IF(AND(INDEX('Сводка'!$T$3:$T$397,U135)=0,INDEX('Сводка'!$T$3:$T$397,V135)=0),1,0)</x:f>
        <x:v>1</x:v>
      </x:c>
      <x:c r="S135" s="9" t="n">
        <x:f>IF(AND(R135=1,O135&lt;=$G$13),1,0)</x:f>
        <x:v>0</x:v>
      </x:c>
      <x:c r="T135" s="10" t="n">
        <x:f>EOMONTH(J135-'Сводка'!$B$11,-1)</x:f>
        <x:v>45961</x:v>
      </x:c>
      <x:c r="U135" s="4" t="n">
        <x:f>MATCH(J135,'Сводка'!$R$3:$R$397,0)</x:f>
        <x:v>146</x:v>
      </x:c>
      <x:c r="V135" s="4" t="n">
        <x:f>MATCH(J135-'Сводка'!$B$11,'Сводка'!$R$3:$R$397,0)</x:f>
        <x:v>145</x:v>
      </x:c>
      <x:c r="W135" s="4" t="n">
        <x:f>MATCH(T135,$J$388:$J$400,0)</x:f>
        <x:v>5</x:v>
      </x:c>
      <x:c r="X135" s="3"/>
      <x:c r="Y135" s="3"/>
      <x:c r="Z135" s="3"/>
    </x:row>
    <x:row r="136" ht="15" customHeight="1">
      <x:c r="A136" s="3"/>
      <x:c r="B136" s="3"/>
      <x:c r="C136" s="3"/>
      <x:c r="D136" s="3"/>
      <x:c r="E136" s="3"/>
      <x:c r="F136" s="3"/>
      <x:c r="G136" s="3"/>
      <x:c r="H136" s="3"/>
      <x:c r="I136" s="3"/>
      <x:c r="J136" s="10" t="n">
        <x:v>45987</x:v>
      </x:c>
      <x:c r="K136" s="8" t="n">
        <x:f>INDEX('Сводка'!$S$3:$S$397,U136)</x:f>
        <x:v>-119</x:v>
      </x:c>
      <x:c r="L136" s="8" t="n">
        <x:f>INDEX('Сводка'!$S$3:$S$397,V136)</x:f>
        <x:v>-116</x:v>
      </x:c>
      <x:c r="M136" s="8" t="n">
        <x:f>INDEX($K$388:$N$400,W136,1)+INDEX($K$388:$N$400,W136,2)*(2*(J136-$T$405)/(T136-$T$405)-1)^1+INDEX($K$388:$N$400,W136,3)*(2*(J136-$T$405)/(T136-$T$405)-1)^2+INDEX($O$388:$Z$400,W136,MONTH(J136))</x:f>
        <x:v>-1.3341765212956886</x:v>
      </x:c>
      <x:c r="N136" s="8" t="n">
        <x:f>K136-M136</x:f>
        <x:v>-117.66582347870431</x:v>
      </x:c>
      <x:c r="O136" s="8" t="n">
        <x:f>ABS(N136)</x:f>
        <x:v>117.66582347870431</x:v>
      </x:c>
      <x:c r="P136" s="8" t="n">
        <x:f>N136^2</x:f>
        <x:v>13845.246014921602</x:v>
      </x:c>
      <x:c r="Q136" s="8" t="n">
        <x:f>K136-L136</x:f>
        <x:v>-3</x:v>
      </x:c>
      <x:c r="R136" s="9" t="n">
        <x:f>IF(AND(INDEX('Сводка'!$T$3:$T$397,U136)=0,INDEX('Сводка'!$T$3:$T$397,V136)=0),1,0)</x:f>
        <x:v>1</x:v>
      </x:c>
      <x:c r="S136" s="9" t="n">
        <x:f>IF(AND(R136=1,O136&lt;=$G$13),1,0)</x:f>
        <x:v>0</x:v>
      </x:c>
      <x:c r="T136" s="10" t="n">
        <x:f>EOMONTH(J136-'Сводка'!$B$11,-1)</x:f>
        <x:v>45961</x:v>
      </x:c>
      <x:c r="U136" s="4" t="n">
        <x:f>MATCH(J136,'Сводка'!$R$3:$R$397,0)</x:f>
        <x:v>147</x:v>
      </x:c>
      <x:c r="V136" s="4" t="n">
        <x:f>MATCH(J136-'Сводка'!$B$11,'Сводка'!$R$3:$R$397,0)</x:f>
        <x:v>146</x:v>
      </x:c>
      <x:c r="W136" s="4" t="n">
        <x:f>MATCH(T136,$J$388:$J$400,0)</x:f>
        <x:v>5</x:v>
      </x:c>
      <x:c r="X136" s="3"/>
      <x:c r="Y136" s="3"/>
      <x:c r="Z136" s="3"/>
    </x:row>
    <x:row r="137" ht="15" customHeight="1">
      <x:c r="A137" s="3"/>
      <x:c r="B137" s="3"/>
      <x:c r="C137" s="3"/>
      <x:c r="D137" s="3"/>
      <x:c r="E137" s="3"/>
      <x:c r="F137" s="3"/>
      <x:c r="G137" s="3"/>
      <x:c r="H137" s="3"/>
      <x:c r="I137" s="3"/>
      <x:c r="J137" s="10" t="n">
        <x:v>45988</x:v>
      </x:c>
      <x:c r="K137" s="8" t="n">
        <x:f>INDEX('Сводка'!$S$3:$S$397,U137)</x:f>
        <x:v>-114</x:v>
      </x:c>
      <x:c r="L137" s="8" t="n">
        <x:f>INDEX('Сводка'!$S$3:$S$397,V137)</x:f>
        <x:v>-119</x:v>
      </x:c>
      <x:c r="M137" s="8" t="n">
        <x:f>INDEX($K$388:$N$400,W137,1)+INDEX($K$388:$N$400,W137,2)*(2*(J137-$T$405)/(T137-$T$405)-1)^1+INDEX($K$388:$N$400,W137,3)*(2*(J137-$T$405)/(T137-$T$405)-1)^2+INDEX($O$388:$Z$400,W137,MONTH(J137))</x:f>
        <x:v>-1.3392777183972129</x:v>
      </x:c>
      <x:c r="N137" s="8" t="n">
        <x:f>K137-M137</x:f>
        <x:v>-112.66072228160279</x:v>
      </x:c>
      <x:c r="O137" s="8" t="n">
        <x:f>ABS(N137)</x:f>
        <x:v>112.66072228160279</x:v>
      </x:c>
      <x:c r="P137" s="8" t="n">
        <x:f>N137^2</x:f>
        <x:v>12692.438345012431</x:v>
      </x:c>
      <x:c r="Q137" s="8" t="n">
        <x:f>K137-L137</x:f>
        <x:v>5</x:v>
      </x:c>
      <x:c r="R137" s="9" t="n">
        <x:f>IF(AND(INDEX('Сводка'!$T$3:$T$397,U137)=0,INDEX('Сводка'!$T$3:$T$397,V137)=0),1,0)</x:f>
        <x:v>1</x:v>
      </x:c>
      <x:c r="S137" s="9" t="n">
        <x:f>IF(AND(R137=1,O137&lt;=$G$13),1,0)</x:f>
        <x:v>0</x:v>
      </x:c>
      <x:c r="T137" s="10" t="n">
        <x:f>EOMONTH(J137-'Сводка'!$B$11,-1)</x:f>
        <x:v>45961</x:v>
      </x:c>
      <x:c r="U137" s="4" t="n">
        <x:f>MATCH(J137,'Сводка'!$R$3:$R$397,0)</x:f>
        <x:v>148</x:v>
      </x:c>
      <x:c r="V137" s="4" t="n">
        <x:f>MATCH(J137-'Сводка'!$B$11,'Сводка'!$R$3:$R$397,0)</x:f>
        <x:v>147</x:v>
      </x:c>
      <x:c r="W137" s="4" t="n">
        <x:f>MATCH(T137,$J$388:$J$400,0)</x:f>
        <x:v>5</x:v>
      </x:c>
      <x:c r="X137" s="3"/>
      <x:c r="Y137" s="3"/>
      <x:c r="Z137" s="3"/>
    </x:row>
    <x:row r="138" ht="15" customHeight="1">
      <x:c r="A138" s="3"/>
      <x:c r="B138" s="3"/>
      <x:c r="C138" s="3"/>
      <x:c r="D138" s="3"/>
      <x:c r="E138" s="3"/>
      <x:c r="F138" s="3"/>
      <x:c r="G138" s="3"/>
      <x:c r="H138" s="3"/>
      <x:c r="I138" s="3"/>
      <x:c r="J138" s="10" t="n">
        <x:v>45989</x:v>
      </x:c>
      <x:c r="K138" s="8" t="n">
        <x:f>INDEX('Сводка'!$S$3:$S$397,U138)</x:f>
        <x:v>-86</x:v>
      </x:c>
      <x:c r="L138" s="8" t="n">
        <x:f>INDEX('Сводка'!$S$3:$S$397,V138)</x:f>
        <x:v>-114</x:v>
      </x:c>
      <x:c r="M138" s="8" t="n">
        <x:f>INDEX($K$388:$N$400,W138,1)+INDEX($K$388:$N$400,W138,2)*(2*(J138-$T$405)/(T138-$T$405)-1)^1+INDEX($K$388:$N$400,W138,3)*(2*(J138-$T$405)/(T138-$T$405)-1)^2+INDEX($O$388:$Z$400,W138,MONTH(J138))</x:f>
        <x:v>-1.3443848036904882</x:v>
      </x:c>
      <x:c r="N138" s="8" t="n">
        <x:f>K138-M138</x:f>
        <x:v>-84.65561519630951</x:v>
      </x:c>
      <x:c r="O138" s="8" t="n">
        <x:f>ABS(N138)</x:f>
        <x:v>84.65561519630951</x:v>
      </x:c>
      <x:c r="P138" s="8" t="n">
        <x:f>N138^2</x:f>
        <x:v>7166.57318426563</x:v>
      </x:c>
      <x:c r="Q138" s="8" t="n">
        <x:f>K138-L138</x:f>
        <x:v>28</x:v>
      </x:c>
      <x:c r="R138" s="9" t="n">
        <x:f>IF(AND(INDEX('Сводка'!$T$3:$T$397,U138)=0,INDEX('Сводка'!$T$3:$T$397,V138)=0),1,0)</x:f>
        <x:v>0</x:v>
      </x:c>
      <x:c r="S138" s="9" t="n">
        <x:f>IF(AND(R138=1,O138&lt;=$G$13),1,0)</x:f>
        <x:v>0</x:v>
      </x:c>
      <x:c r="T138" s="10" t="n">
        <x:f>EOMONTH(J138-'Сводка'!$B$11,-1)</x:f>
        <x:v>45961</x:v>
      </x:c>
      <x:c r="U138" s="4" t="n">
        <x:f>MATCH(J138,'Сводка'!$R$3:$R$397,0)</x:f>
        <x:v>149</x:v>
      </x:c>
      <x:c r="V138" s="4" t="n">
        <x:f>MATCH(J138-'Сводка'!$B$11,'Сводка'!$R$3:$R$397,0)</x:f>
        <x:v>148</x:v>
      </x:c>
      <x:c r="W138" s="4" t="n">
        <x:f>MATCH(T138,$J$388:$J$400,0)</x:f>
        <x:v>5</x:v>
      </x:c>
      <x:c r="X138" s="3"/>
      <x:c r="Y138" s="3"/>
      <x:c r="Z138" s="3"/>
    </x:row>
    <x:row r="139" ht="15" customHeight="1">
      <x:c r="A139" s="3"/>
      <x:c r="B139" s="3"/>
      <x:c r="C139" s="3"/>
      <x:c r="D139" s="3"/>
      <x:c r="E139" s="3"/>
      <x:c r="F139" s="3"/>
      <x:c r="G139" s="3"/>
      <x:c r="H139" s="3"/>
      <x:c r="I139" s="3"/>
      <x:c r="J139" s="10" t="n">
        <x:v>45990</x:v>
      </x:c>
      <x:c r="K139" s="8" t="n">
        <x:f>INDEX('Сводка'!$S$3:$S$397,U139)</x:f>
        <x:v>-58</x:v>
      </x:c>
      <x:c r="L139" s="8" t="n">
        <x:f>INDEX('Сводка'!$S$3:$S$397,V139)</x:f>
        <x:v>-86</x:v>
      </x:c>
      <x:c r="M139" s="8" t="n">
        <x:f>INDEX($K$388:$N$400,W139,1)+INDEX($K$388:$N$400,W139,2)*(2*(J139-$T$405)/(T139-$T$405)-1)^1+INDEX($K$388:$N$400,W139,3)*(2*(J139-$T$405)/(T139-$T$405)-1)^2+INDEX($O$388:$Z$400,W139,MONTH(J139))</x:f>
        <x:v>-1.3494977771754435</x:v>
      </x:c>
      <x:c r="N139" s="8" t="n">
        <x:f>K139-M139</x:f>
        <x:v>-56.65050222282456</x:v>
      </x:c>
      <x:c r="O139" s="8" t="n">
        <x:f>ABS(N139)</x:f>
        <x:v>56.65050222282456</x:v>
      </x:c>
      <x:c r="P139" s="8" t="n">
        <x:f>N139^2</x:f>
        <x:v>3209.27940209825</x:v>
      </x:c>
      <x:c r="Q139" s="8" t="n">
        <x:f>K139-L139</x:f>
        <x:v>28</x:v>
      </x:c>
      <x:c r="R139" s="9" t="n">
        <x:f>IF(AND(INDEX('Сводка'!$T$3:$T$397,U139)=0,INDEX('Сводка'!$T$3:$T$397,V139)=0),1,0)</x:f>
        <x:v>0</x:v>
      </x:c>
      <x:c r="S139" s="9" t="n">
        <x:f>IF(AND(R139=1,O139&lt;=$G$13),1,0)</x:f>
        <x:v>0</x:v>
      </x:c>
      <x:c r="T139" s="10" t="n">
        <x:f>EOMONTH(J139-'Сводка'!$B$11,-1)</x:f>
        <x:v>45961</x:v>
      </x:c>
      <x:c r="U139" s="4" t="n">
        <x:f>MATCH(J139,'Сводка'!$R$3:$R$397,0)</x:f>
        <x:v>150</x:v>
      </x:c>
      <x:c r="V139" s="4" t="n">
        <x:f>MATCH(J139-'Сводка'!$B$11,'Сводка'!$R$3:$R$397,0)</x:f>
        <x:v>149</x:v>
      </x:c>
      <x:c r="W139" s="4" t="n">
        <x:f>MATCH(T139,$J$388:$J$400,0)</x:f>
        <x:v>5</x:v>
      </x:c>
      <x:c r="X139" s="3"/>
      <x:c r="Y139" s="3"/>
      <x:c r="Z139" s="3"/>
    </x:row>
    <x:row r="140" ht="15" customHeight="1">
      <x:c r="A140" s="3"/>
      <x:c r="B140" s="3"/>
      <x:c r="C140" s="3"/>
      <x:c r="D140" s="3"/>
      <x:c r="E140" s="3"/>
      <x:c r="F140" s="3"/>
      <x:c r="G140" s="3"/>
      <x:c r="H140" s="3"/>
      <x:c r="I140" s="3"/>
      <x:c r="J140" s="10" t="n">
        <x:v>45991</x:v>
      </x:c>
      <x:c r="K140" s="8" t="n">
        <x:f>INDEX('Сводка'!$S$3:$S$397,U140)</x:f>
        <x:v>-53</x:v>
      </x:c>
      <x:c r="L140" s="8" t="n">
        <x:f>INDEX('Сводка'!$S$3:$S$397,V140)</x:f>
        <x:v>-58</x:v>
      </x:c>
      <x:c r="M140" s="8" t="n">
        <x:f>INDEX($K$388:$N$400,W140,1)+INDEX($K$388:$N$400,W140,2)*(2*(J140-$T$405)/(T140-$T$405)-1)^1+INDEX($K$388:$N$400,W140,3)*(2*(J140-$T$405)/(T140-$T$405)-1)^2+INDEX($O$388:$Z$400,W140,MONTH(J140))</x:f>
        <x:v>-1.3546166388521357</x:v>
      </x:c>
      <x:c r="N140" s="8" t="n">
        <x:f>K140-M140</x:f>
        <x:v>-51.645383361147864</x:v>
      </x:c>
      <x:c r="O140" s="8" t="n">
        <x:f>ABS(N140)</x:f>
        <x:v>51.645383361147864</x:v>
      </x:c>
      <x:c r="P140" s="8" t="n">
        <x:f>N140^2</x:f>
        <x:v>2667.2456225199285</x:v>
      </x:c>
      <x:c r="Q140" s="8" t="n">
        <x:f>K140-L140</x:f>
        <x:v>5</x:v>
      </x:c>
      <x:c r="R140" s="9" t="n">
        <x:f>IF(AND(INDEX('Сводка'!$T$3:$T$397,U140)=0,INDEX('Сводка'!$T$3:$T$397,V140)=0),1,0)</x:f>
        <x:v>1</x:v>
      </x:c>
      <x:c r="S140" s="9" t="n">
        <x:f>IF(AND(R140=1,O140&lt;=$G$13),1,0)</x:f>
        <x:v>0</x:v>
      </x:c>
      <x:c r="T140" s="10" t="n">
        <x:f>EOMONTH(J140-'Сводка'!$B$11,-1)</x:f>
        <x:v>45961</x:v>
      </x:c>
      <x:c r="U140" s="4" t="n">
        <x:f>MATCH(J140,'Сводка'!$R$3:$R$397,0)</x:f>
        <x:v>151</x:v>
      </x:c>
      <x:c r="V140" s="4" t="n">
        <x:f>MATCH(J140-'Сводка'!$B$11,'Сводка'!$R$3:$R$397,0)</x:f>
        <x:v>150</x:v>
      </x:c>
      <x:c r="W140" s="4" t="n">
        <x:f>MATCH(T140,$J$388:$J$400,0)</x:f>
        <x:v>5</x:v>
      </x:c>
      <x:c r="X140" s="3"/>
      <x:c r="Y140" s="3"/>
      <x:c r="Z140" s="3"/>
    </x:row>
    <x:row r="141" ht="15" customHeight="1">
      <x:c r="A141" s="3"/>
      <x:c r="B141" s="3"/>
      <x:c r="C141" s="3"/>
      <x:c r="D141" s="3"/>
      <x:c r="E141" s="3"/>
      <x:c r="F141" s="3"/>
      <x:c r="G141" s="3"/>
      <x:c r="H141" s="3"/>
      <x:c r="I141" s="3"/>
      <x:c r="J141" s="10" t="n">
        <x:v>45992</x:v>
      </x:c>
      <x:c r="K141" s="8" t="n">
        <x:f>INDEX('Сводка'!$S$3:$S$397,U141)</x:f>
        <x:v>-56</x:v>
      </x:c>
      <x:c r="L141" s="8" t="n">
        <x:f>INDEX('Сводка'!$S$3:$S$397,V141)</x:f>
        <x:v>-53</x:v>
      </x:c>
      <x:c r="M141" s="8" t="n">
        <x:f>INDEX($K$388:$N$400,W141,1)+INDEX($K$388:$N$400,W141,2)*(2*(J141-$T$405)/(T141-$T$405)-1)^1+INDEX($K$388:$N$400,W141,3)*(2*(J141-$T$405)/(T141-$T$405)-1)^2+INDEX($O$388:$Z$400,W141,MONTH(J141))</x:f>
        <x:v>34.39432548214934</x:v>
      </x:c>
      <x:c r="N141" s="8" t="n">
        <x:f>K141-M141</x:f>
        <x:v>-90.39432548214934</x:v>
      </x:c>
      <x:c r="O141" s="8" t="n">
        <x:f>ABS(N141)</x:f>
        <x:v>90.39432548214934</x:v>
      </x:c>
      <x:c r="P141" s="8" t="n">
        <x:f>N141^2</x:f>
        <x:v>8171.134079372754</x:v>
      </x:c>
      <x:c r="Q141" s="8" t="n">
        <x:f>K141-L141</x:f>
        <x:v>-3</x:v>
      </x:c>
      <x:c r="R141" s="9" t="n">
        <x:f>IF(AND(INDEX('Сводка'!$T$3:$T$397,U141)=0,INDEX('Сводка'!$T$3:$T$397,V141)=0),1,0)</x:f>
        <x:v>1</x:v>
      </x:c>
      <x:c r="S141" s="9" t="n">
        <x:f>IF(AND(R141=1,O141&lt;=$G$13),1,0)</x:f>
        <x:v>0</x:v>
      </x:c>
      <x:c r="T141" s="10" t="n">
        <x:f>EOMONTH(J141-'Сводка'!$B$11,-1)</x:f>
        <x:v>45961</x:v>
      </x:c>
      <x:c r="U141" s="4" t="n">
        <x:f>MATCH(J141,'Сводка'!$R$3:$R$397,0)</x:f>
        <x:v>152</x:v>
      </x:c>
      <x:c r="V141" s="4" t="n">
        <x:f>MATCH(J141-'Сводка'!$B$11,'Сводка'!$R$3:$R$397,0)</x:f>
        <x:v>151</x:v>
      </x:c>
      <x:c r="W141" s="4" t="n">
        <x:f>MATCH(T141,$J$388:$J$400,0)</x:f>
        <x:v>5</x:v>
      </x:c>
      <x:c r="X141" s="3"/>
      <x:c r="Y141" s="3"/>
      <x:c r="Z141" s="3"/>
    </x:row>
    <x:row r="142" ht="15" customHeight="1">
      <x:c r="A142" s="3"/>
      <x:c r="B142" s="3"/>
      <x:c r="C142" s="3"/>
      <x:c r="D142" s="3"/>
      <x:c r="E142" s="3"/>
      <x:c r="F142" s="3"/>
      <x:c r="G142" s="3"/>
      <x:c r="H142" s="3"/>
      <x:c r="I142" s="3"/>
      <x:c r="J142" s="10" t="n">
        <x:v>45993</x:v>
      </x:c>
      <x:c r="K142" s="8" t="n">
        <x:f>INDEX('Сводка'!$S$3:$S$397,U142)</x:f>
        <x:v>-46</x:v>
      </x:c>
      <x:c r="L142" s="8" t="n">
        <x:f>INDEX('Сводка'!$S$3:$S$397,V142)</x:f>
        <x:v>-56</x:v>
      </x:c>
      <x:c r="M142" s="8" t="n">
        <x:f>INDEX($K$388:$N$400,W142,1)+INDEX($K$388:$N$400,W142,2)*(2*(J142-$T$405)/(T142-$T$405)-1)^1+INDEX($K$388:$N$400,W142,3)*(2*(J142-$T$405)/(T142-$T$405)-1)^2+INDEX($O$388:$Z$400,W142,MONTH(J142))</x:f>
        <x:v>32.02781075356117</x:v>
      </x:c>
      <x:c r="N142" s="8" t="n">
        <x:f>K142-M142</x:f>
        <x:v>-78.02781075356117</x:v>
      </x:c>
      <x:c r="O142" s="8" t="n">
        <x:f>ABS(N142)</x:f>
        <x:v>78.02781075356117</x:v>
      </x:c>
      <x:c r="P142" s="8" t="n">
        <x:f>N142^2</x:f>
        <x:v>6088.339250993556</x:v>
      </x:c>
      <x:c r="Q142" s="8" t="n">
        <x:f>K142-L142</x:f>
        <x:v>10</x:v>
      </x:c>
      <x:c r="R142" s="9" t="n">
        <x:f>IF(AND(INDEX('Сводка'!$T$3:$T$397,U142)=0,INDEX('Сводка'!$T$3:$T$397,V142)=0),1,0)</x:f>
        <x:v>1</x:v>
      </x:c>
      <x:c r="S142" s="9" t="n">
        <x:f>IF(AND(R142=1,O142&lt;=$G$13),1,0)</x:f>
        <x:v>0</x:v>
      </x:c>
      <x:c r="T142" s="10" t="n">
        <x:f>EOMONTH(J142-'Сводка'!$B$11,-1)</x:f>
        <x:v>45991</x:v>
      </x:c>
      <x:c r="U142" s="4" t="n">
        <x:f>MATCH(J142,'Сводка'!$R$3:$R$397,0)</x:f>
        <x:v>153</x:v>
      </x:c>
      <x:c r="V142" s="4" t="n">
        <x:f>MATCH(J142-'Сводка'!$B$11,'Сводка'!$R$3:$R$397,0)</x:f>
        <x:v>152</x:v>
      </x:c>
      <x:c r="W142" s="4" t="n">
        <x:f>MATCH(T142,$J$388:$J$400,0)</x:f>
        <x:v>6</x:v>
      </x:c>
      <x:c r="X142" s="3"/>
      <x:c r="Y142" s="3"/>
      <x:c r="Z142" s="3"/>
    </x:row>
    <x:row r="143" ht="15" customHeight="1">
      <x:c r="A143" s="3"/>
      <x:c r="B143" s="3"/>
      <x:c r="C143" s="3"/>
      <x:c r="D143" s="3"/>
      <x:c r="E143" s="3"/>
      <x:c r="F143" s="3"/>
      <x:c r="G143" s="3"/>
      <x:c r="H143" s="3"/>
      <x:c r="I143" s="3"/>
      <x:c r="J143" s="10" t="n">
        <x:v>45994</x:v>
      </x:c>
      <x:c r="K143" s="8" t="n">
        <x:f>INDEX('Сводка'!$S$3:$S$397,U143)</x:f>
        <x:v>-30</x:v>
      </x:c>
      <x:c r="L143" s="8" t="n">
        <x:f>INDEX('Сводка'!$S$3:$S$397,V143)</x:f>
        <x:v>-46</x:v>
      </x:c>
      <x:c r="M143" s="8" t="n">
        <x:f>INDEX($K$388:$N$400,W143,1)+INDEX($K$388:$N$400,W143,2)*(2*(J143-$T$405)/(T143-$T$405)-1)^1+INDEX($K$388:$N$400,W143,3)*(2*(J143-$T$405)/(T143-$T$405)-1)^2+INDEX($O$388:$Z$400,W143,MONTH(J143))</x:f>
        <x:v>32.02153975730087</x:v>
      </x:c>
      <x:c r="N143" s="8" t="n">
        <x:f>K143-M143</x:f>
        <x:v>-62.02153975730087</x:v>
      </x:c>
      <x:c r="O143" s="8" t="n">
        <x:f>ABS(N143)</x:f>
        <x:v>62.02153975730087</x:v>
      </x:c>
      <x:c r="P143" s="8" t="n">
        <x:f>N143^2</x:f>
        <x:v>3846.6713938664525</x:v>
      </x:c>
      <x:c r="Q143" s="8" t="n">
        <x:f>K143-L143</x:f>
        <x:v>16</x:v>
      </x:c>
      <x:c r="R143" s="9" t="n">
        <x:f>IF(AND(INDEX('Сводка'!$T$3:$T$397,U143)=0,INDEX('Сводка'!$T$3:$T$397,V143)=0),1,0)</x:f>
        <x:v>1</x:v>
      </x:c>
      <x:c r="S143" s="9" t="n">
        <x:f>IF(AND(R143=1,O143&lt;=$G$13),1,0)</x:f>
        <x:v>0</x:v>
      </x:c>
      <x:c r="T143" s="10" t="n">
        <x:f>EOMONTH(J143-'Сводка'!$B$11,-1)</x:f>
        <x:v>45991</x:v>
      </x:c>
      <x:c r="U143" s="4" t="n">
        <x:f>MATCH(J143,'Сводка'!$R$3:$R$397,0)</x:f>
        <x:v>154</x:v>
      </x:c>
      <x:c r="V143" s="4" t="n">
        <x:f>MATCH(J143-'Сводка'!$B$11,'Сводка'!$R$3:$R$397,0)</x:f>
        <x:v>153</x:v>
      </x:c>
      <x:c r="W143" s="4" t="n">
        <x:f>MATCH(T143,$J$388:$J$400,0)</x:f>
        <x:v>6</x:v>
      </x:c>
      <x:c r="X143" s="3"/>
      <x:c r="Y143" s="3"/>
      <x:c r="Z143" s="3"/>
    </x:row>
    <x:row r="144" ht="15" customHeight="1">
      <x:c r="A144" s="3"/>
      <x:c r="B144" s="3"/>
      <x:c r="C144" s="3"/>
      <x:c r="D144" s="3"/>
      <x:c r="E144" s="3"/>
      <x:c r="F144" s="3"/>
      <x:c r="G144" s="3"/>
      <x:c r="H144" s="3"/>
      <x:c r="I144" s="3"/>
      <x:c r="J144" s="10" t="n">
        <x:v>45995</x:v>
      </x:c>
      <x:c r="K144" s="8" t="n">
        <x:f>INDEX('Сводка'!$S$3:$S$397,U144)</x:f>
        <x:v>-20</x:v>
      </x:c>
      <x:c r="L144" s="8" t="n">
        <x:f>INDEX('Сводка'!$S$3:$S$397,V144)</x:f>
        <x:v>-30</x:v>
      </x:c>
      <x:c r="M144" s="8" t="n">
        <x:f>INDEX($K$388:$N$400,W144,1)+INDEX($K$388:$N$400,W144,2)*(2*(J144-$T$405)/(T144-$T$405)-1)^1+INDEX($K$388:$N$400,W144,3)*(2*(J144-$T$405)/(T144-$T$405)-1)^2+INDEX($O$388:$Z$400,W144,MONTH(J144))</x:f>
        <x:v>32.015262657623396</x:v>
      </x:c>
      <x:c r="N144" s="8" t="n">
        <x:f>K144-M144</x:f>
        <x:v>-52.015262657623396</x:v>
      </x:c>
      <x:c r="O144" s="8" t="n">
        <x:f>ABS(N144)</x:f>
        <x:v>52.015262657623396</x:v>
      </x:c>
      <x:c r="P144" s="8" t="n">
        <x:f>N144^2</x:f>
        <x:v>2705.587549341551</x:v>
      </x:c>
      <x:c r="Q144" s="8" t="n">
        <x:f>K144-L144</x:f>
        <x:v>10</x:v>
      </x:c>
      <x:c r="R144" s="9" t="n">
        <x:f>IF(AND(INDEX('Сводка'!$T$3:$T$397,U144)=0,INDEX('Сводка'!$T$3:$T$397,V144)=0),1,0)</x:f>
        <x:v>1</x:v>
      </x:c>
      <x:c r="S144" s="9" t="n">
        <x:f>IF(AND(R144=1,O144&lt;=$G$13),1,0)</x:f>
        <x:v>0</x:v>
      </x:c>
      <x:c r="T144" s="10" t="n">
        <x:f>EOMONTH(J144-'Сводка'!$B$11,-1)</x:f>
        <x:v>45991</x:v>
      </x:c>
      <x:c r="U144" s="4" t="n">
        <x:f>MATCH(J144,'Сводка'!$R$3:$R$397,0)</x:f>
        <x:v>155</x:v>
      </x:c>
      <x:c r="V144" s="4" t="n">
        <x:f>MATCH(J144-'Сводка'!$B$11,'Сводка'!$R$3:$R$397,0)</x:f>
        <x:v>154</x:v>
      </x:c>
      <x:c r="W144" s="4" t="n">
        <x:f>MATCH(T144,$J$388:$J$400,0)</x:f>
        <x:v>6</x:v>
      </x:c>
      <x:c r="X144" s="3"/>
      <x:c r="Y144" s="3"/>
      <x:c r="Z144" s="3"/>
    </x:row>
    <x:row r="145" ht="15" customHeight="1">
      <x:c r="A145" s="3"/>
      <x:c r="B145" s="3"/>
      <x:c r="C145" s="3"/>
      <x:c r="D145" s="3"/>
      <x:c r="E145" s="3"/>
      <x:c r="F145" s="3"/>
      <x:c r="G145" s="3"/>
      <x:c r="H145" s="3"/>
      <x:c r="I145" s="3"/>
      <x:c r="J145" s="10" t="n">
        <x:v>45996</x:v>
      </x:c>
      <x:c r="K145" s="8" t="n">
        <x:f>INDEX('Сводка'!$S$3:$S$397,U145)</x:f>
        <x:v>-16</x:v>
      </x:c>
      <x:c r="L145" s="8" t="n">
        <x:f>INDEX('Сводка'!$S$3:$S$397,V145)</x:f>
        <x:v>-20</x:v>
      </x:c>
      <x:c r="M145" s="8" t="n">
        <x:f>INDEX($K$388:$N$400,W145,1)+INDEX($K$388:$N$400,W145,2)*(2*(J145-$T$405)/(T145-$T$405)-1)^1+INDEX($K$388:$N$400,W145,3)*(2*(J145-$T$405)/(T145-$T$405)-1)^2+INDEX($O$388:$Z$400,W145,MONTH(J145))</x:f>
        <x:v>32.008979454528685</x:v>
      </x:c>
      <x:c r="N145" s="8" t="n">
        <x:f>K145-M145</x:f>
        <x:v>-48.008979454528685</x:v>
      </x:c>
      <x:c r="O145" s="8" t="n">
        <x:f>ABS(N145)</x:f>
        <x:v>48.008979454528685</x:v>
      </x:c>
      <x:c r="P145" s="8" t="n">
        <x:f>N145^2</x:f>
        <x:v>2304.862108265357</x:v>
      </x:c>
      <x:c r="Q145" s="8" t="n">
        <x:f>K145-L145</x:f>
        <x:v>4</x:v>
      </x:c>
      <x:c r="R145" s="9" t="n">
        <x:f>IF(AND(INDEX('Сводка'!$T$3:$T$397,U145)=0,INDEX('Сводка'!$T$3:$T$397,V145)=0),1,0)</x:f>
        <x:v>0</x:v>
      </x:c>
      <x:c r="S145" s="9" t="n">
        <x:f>IF(AND(R145=1,O145&lt;=$G$13),1,0)</x:f>
        <x:v>0</x:v>
      </x:c>
      <x:c r="T145" s="10" t="n">
        <x:f>EOMONTH(J145-'Сводка'!$B$11,-1)</x:f>
        <x:v>45991</x:v>
      </x:c>
      <x:c r="U145" s="4" t="n">
        <x:f>MATCH(J145,'Сводка'!$R$3:$R$397,0)</x:f>
        <x:v>156</x:v>
      </x:c>
      <x:c r="V145" s="4" t="n">
        <x:f>MATCH(J145-'Сводка'!$B$11,'Сводка'!$R$3:$R$397,0)</x:f>
        <x:v>155</x:v>
      </x:c>
      <x:c r="W145" s="4" t="n">
        <x:f>MATCH(T145,$J$388:$J$400,0)</x:f>
        <x:v>6</x:v>
      </x:c>
      <x:c r="X145" s="3"/>
      <x:c r="Y145" s="3"/>
      <x:c r="Z145" s="3"/>
    </x:row>
    <x:row r="146" ht="15" customHeight="1">
      <x:c r="A146" s="3"/>
      <x:c r="B146" s="3"/>
      <x:c r="C146" s="3"/>
      <x:c r="D146" s="3"/>
      <x:c r="E146" s="3"/>
      <x:c r="F146" s="3"/>
      <x:c r="G146" s="3"/>
      <x:c r="H146" s="3"/>
      <x:c r="I146" s="3"/>
      <x:c r="J146" s="10" t="n">
        <x:v>45997</x:v>
      </x:c>
      <x:c r="K146" s="8" t="n">
        <x:f>INDEX('Сводка'!$S$3:$S$397,U146)</x:f>
        <x:v>-12</x:v>
      </x:c>
      <x:c r="L146" s="8" t="n">
        <x:f>INDEX('Сводка'!$S$3:$S$397,V146)</x:f>
        <x:v>-16</x:v>
      </x:c>
      <x:c r="M146" s="8" t="n">
        <x:f>INDEX($K$388:$N$400,W146,1)+INDEX($K$388:$N$400,W146,2)*(2*(J146-$T$405)/(T146-$T$405)-1)^1+INDEX($K$388:$N$400,W146,3)*(2*(J146-$T$405)/(T146-$T$405)-1)^2+INDEX($O$388:$Z$400,W146,MONTH(J146))</x:f>
        <x:v>32.002690148016825</x:v>
      </x:c>
      <x:c r="N146" s="8" t="n">
        <x:f>K146-M146</x:f>
        <x:v>-44.002690148016825</x:v>
      </x:c>
      <x:c r="O146" s="8" t="n">
        <x:f>ABS(N146)</x:f>
        <x:v>44.002690148016825</x:v>
      </x:c>
      <x:c r="P146" s="8" t="n">
        <x:f>N146^2</x:f>
        <x:v>1936.236740262377</x:v>
      </x:c>
      <x:c r="Q146" s="8" t="n">
        <x:f>K146-L146</x:f>
        <x:v>4</x:v>
      </x:c>
      <x:c r="R146" s="9" t="n">
        <x:f>IF(AND(INDEX('Сводка'!$T$3:$T$397,U146)=0,INDEX('Сводка'!$T$3:$T$397,V146)=0),1,0)</x:f>
        <x:v>0</x:v>
      </x:c>
      <x:c r="S146" s="9" t="n">
        <x:f>IF(AND(R146=1,O146&lt;=$G$13),1,0)</x:f>
        <x:v>0</x:v>
      </x:c>
      <x:c r="T146" s="10" t="n">
        <x:f>EOMONTH(J146-'Сводка'!$B$11,-1)</x:f>
        <x:v>45991</x:v>
      </x:c>
      <x:c r="U146" s="4" t="n">
        <x:f>MATCH(J146,'Сводка'!$R$3:$R$397,0)</x:f>
        <x:v>157</x:v>
      </x:c>
      <x:c r="V146" s="4" t="n">
        <x:f>MATCH(J146-'Сводка'!$B$11,'Сводка'!$R$3:$R$397,0)</x:f>
        <x:v>156</x:v>
      </x:c>
      <x:c r="W146" s="4" t="n">
        <x:f>MATCH(T146,$J$388:$J$400,0)</x:f>
        <x:v>6</x:v>
      </x:c>
      <x:c r="X146" s="3"/>
      <x:c r="Y146" s="3"/>
      <x:c r="Z146" s="3"/>
    </x:row>
    <x:row r="147" ht="15" customHeight="1">
      <x:c r="A147" s="3"/>
      <x:c r="B147" s="3"/>
      <x:c r="C147" s="3"/>
      <x:c r="D147" s="3"/>
      <x:c r="E147" s="3"/>
      <x:c r="F147" s="3"/>
      <x:c r="G147" s="3"/>
      <x:c r="H147" s="3"/>
      <x:c r="I147" s="3"/>
      <x:c r="J147" s="10" t="n">
        <x:v>45998</x:v>
      </x:c>
      <x:c r="K147" s="8" t="n">
        <x:f>INDEX('Сводка'!$S$3:$S$397,U147)</x:f>
        <x:v>-8</x:v>
      </x:c>
      <x:c r="L147" s="8" t="n">
        <x:f>INDEX('Сводка'!$S$3:$S$397,V147)</x:f>
        <x:v>-12</x:v>
      </x:c>
      <x:c r="M147" s="8" t="n">
        <x:f>INDEX($K$388:$N$400,W147,1)+INDEX($K$388:$N$400,W147,2)*(2*(J147-$T$405)/(T147-$T$405)-1)^1+INDEX($K$388:$N$400,W147,3)*(2*(J147-$T$405)/(T147-$T$405)-1)^2+INDEX($O$388:$Z$400,W147,MONTH(J147))</x:f>
        <x:v>31.99639473808773</x:v>
      </x:c>
      <x:c r="N147" s="8" t="n">
        <x:f>K147-M147</x:f>
        <x:v>-39.99639473808773</x:v>
      </x:c>
      <x:c r="O147" s="8" t="n">
        <x:f>ABS(N147)</x:f>
        <x:v>39.99639473808773</x:v>
      </x:c>
      <x:c r="P147" s="8" t="n">
        <x:f>N147^2</x:f>
        <x:v>1599.7115920449319</x:v>
      </x:c>
      <x:c r="Q147" s="8" t="n">
        <x:f>K147-L147</x:f>
        <x:v>4</x:v>
      </x:c>
      <x:c r="R147" s="9" t="n">
        <x:f>IF(AND(INDEX('Сводка'!$T$3:$T$397,U147)=0,INDEX('Сводка'!$T$3:$T$397,V147)=0),1,0)</x:f>
        <x:v>0</x:v>
      </x:c>
      <x:c r="S147" s="9" t="n">
        <x:f>IF(AND(R147=1,O147&lt;=$G$13),1,0)</x:f>
        <x:v>0</x:v>
      </x:c>
      <x:c r="T147" s="10" t="n">
        <x:f>EOMONTH(J147-'Сводка'!$B$11,-1)</x:f>
        <x:v>45991</x:v>
      </x:c>
      <x:c r="U147" s="4" t="n">
        <x:f>MATCH(J147,'Сводка'!$R$3:$R$397,0)</x:f>
        <x:v>158</x:v>
      </x:c>
      <x:c r="V147" s="4" t="n">
        <x:f>MATCH(J147-'Сводка'!$B$11,'Сводка'!$R$3:$R$397,0)</x:f>
        <x:v>157</x:v>
      </x:c>
      <x:c r="W147" s="4" t="n">
        <x:f>MATCH(T147,$J$388:$J$400,0)</x:f>
        <x:v>6</x:v>
      </x:c>
      <x:c r="X147" s="3"/>
      <x:c r="Y147" s="3"/>
      <x:c r="Z147" s="3"/>
    </x:row>
    <x:row r="148" ht="15" customHeight="1">
      <x:c r="A148" s="3"/>
      <x:c r="B148" s="3"/>
      <x:c r="C148" s="3"/>
      <x:c r="D148" s="3"/>
      <x:c r="E148" s="3"/>
      <x:c r="F148" s="3"/>
      <x:c r="G148" s="3"/>
      <x:c r="H148" s="3"/>
      <x:c r="I148" s="3"/>
      <x:c r="J148" s="10" t="n">
        <x:v>45999</x:v>
      </x:c>
      <x:c r="K148" s="8" t="n">
        <x:f>INDEX('Сводка'!$S$3:$S$397,U148)</x:f>
        <x:v>-13</x:v>
      </x:c>
      <x:c r="L148" s="8" t="n">
        <x:f>INDEX('Сводка'!$S$3:$S$397,V148)</x:f>
        <x:v>-8</x:v>
      </x:c>
      <x:c r="M148" s="8" t="n">
        <x:f>INDEX($K$388:$N$400,W148,1)+INDEX($K$388:$N$400,W148,2)*(2*(J148-$T$405)/(T148-$T$405)-1)^1+INDEX($K$388:$N$400,W148,3)*(2*(J148-$T$405)/(T148-$T$405)-1)^2+INDEX($O$388:$Z$400,W148,MONTH(J148))</x:f>
        <x:v>31.990093224741486</x:v>
      </x:c>
      <x:c r="N148" s="8" t="n">
        <x:f>K148-M148</x:f>
        <x:v>-44.990093224741486</x:v>
      </x:c>
      <x:c r="O148" s="8" t="n">
        <x:f>ABS(N148)</x:f>
        <x:v>44.990093224741486</x:v>
      </x:c>
      <x:c r="P148" s="8" t="n">
        <x:f>N148^2</x:f>
        <x:v>2024.1084883709298</x:v>
      </x:c>
      <x:c r="Q148" s="8" t="n">
        <x:f>K148-L148</x:f>
        <x:v>-5</x:v>
      </x:c>
      <x:c r="R148" s="9" t="n">
        <x:f>IF(AND(INDEX('Сводка'!$T$3:$T$397,U148)=0,INDEX('Сводка'!$T$3:$T$397,V148)=0),1,0)</x:f>
        <x:v>1</x:v>
      </x:c>
      <x:c r="S148" s="9" t="n">
        <x:f>IF(AND(R148=1,O148&lt;=$G$13),1,0)</x:f>
        <x:v>0</x:v>
      </x:c>
      <x:c r="T148" s="10" t="n">
        <x:f>EOMONTH(J148-'Сводка'!$B$11,-1)</x:f>
        <x:v>45991</x:v>
      </x:c>
      <x:c r="U148" s="4" t="n">
        <x:f>MATCH(J148,'Сводка'!$R$3:$R$397,0)</x:f>
        <x:v>159</x:v>
      </x:c>
      <x:c r="V148" s="4" t="n">
        <x:f>MATCH(J148-'Сводка'!$B$11,'Сводка'!$R$3:$R$397,0)</x:f>
        <x:v>158</x:v>
      </x:c>
      <x:c r="W148" s="4" t="n">
        <x:f>MATCH(T148,$J$388:$J$400,0)</x:f>
        <x:v>6</x:v>
      </x:c>
      <x:c r="X148" s="3"/>
      <x:c r="Y148" s="3"/>
      <x:c r="Z148" s="3"/>
    </x:row>
    <x:row r="149" ht="15" customHeight="1">
      <x:c r="A149" s="3"/>
      <x:c r="B149" s="3"/>
      <x:c r="C149" s="3"/>
      <x:c r="D149" s="3"/>
      <x:c r="E149" s="3"/>
      <x:c r="F149" s="3"/>
      <x:c r="G149" s="3"/>
      <x:c r="H149" s="3"/>
      <x:c r="I149" s="3"/>
      <x:c r="J149" s="10" t="n">
        <x:v>46000</x:v>
      </x:c>
      <x:c r="K149" s="8" t="n">
        <x:f>INDEX('Сводка'!$S$3:$S$397,U149)</x:f>
        <x:v>-20</x:v>
      </x:c>
      <x:c r="L149" s="8" t="n">
        <x:f>INDEX('Сводка'!$S$3:$S$397,V149)</x:f>
        <x:v>-13</x:v>
      </x:c>
      <x:c r="M149" s="8" t="n">
        <x:f>INDEX($K$388:$N$400,W149,1)+INDEX($K$388:$N$400,W149,2)*(2*(J149-$T$405)/(T149-$T$405)-1)^1+INDEX($K$388:$N$400,W149,3)*(2*(J149-$T$405)/(T149-$T$405)-1)^2+INDEX($O$388:$Z$400,W149,MONTH(J149))</x:f>
        <x:v>31.983785607978035</x:v>
      </x:c>
      <x:c r="N149" s="8" t="n">
        <x:f>K149-M149</x:f>
        <x:v>-51.983785607978035</x:v>
      </x:c>
      <x:c r="O149" s="8" t="n">
        <x:f>ABS(N149)</x:f>
        <x:v>51.983785607978035</x:v>
      </x:c>
      <x:c r="P149" s="8" t="n">
        <x:f>N149^2</x:f>
        <x:v>2702.3139661362243</x:v>
      </x:c>
      <x:c r="Q149" s="8" t="n">
        <x:f>K149-L149</x:f>
        <x:v>-7</x:v>
      </x:c>
      <x:c r="R149" s="9" t="n">
        <x:f>IF(AND(INDEX('Сводка'!$T$3:$T$397,U149)=0,INDEX('Сводка'!$T$3:$T$397,V149)=0),1,0)</x:f>
        <x:v>1</x:v>
      </x:c>
      <x:c r="S149" s="9" t="n">
        <x:f>IF(AND(R149=1,O149&lt;=$G$13),1,0)</x:f>
        <x:v>0</x:v>
      </x:c>
      <x:c r="T149" s="10" t="n">
        <x:f>EOMONTH(J149-'Сводка'!$B$11,-1)</x:f>
        <x:v>45991</x:v>
      </x:c>
      <x:c r="U149" s="4" t="n">
        <x:f>MATCH(J149,'Сводка'!$R$3:$R$397,0)</x:f>
        <x:v>160</x:v>
      </x:c>
      <x:c r="V149" s="4" t="n">
        <x:f>MATCH(J149-'Сводка'!$B$11,'Сводка'!$R$3:$R$397,0)</x:f>
        <x:v>159</x:v>
      </x:c>
      <x:c r="W149" s="4" t="n">
        <x:f>MATCH(T149,$J$388:$J$400,0)</x:f>
        <x:v>6</x:v>
      </x:c>
      <x:c r="X149" s="3"/>
      <x:c r="Y149" s="3"/>
      <x:c r="Z149" s="3"/>
    </x:row>
    <x:row r="150" ht="15" customHeight="1">
      <x:c r="A150" s="3"/>
      <x:c r="B150" s="3"/>
      <x:c r="C150" s="3"/>
      <x:c r="D150" s="3"/>
      <x:c r="E150" s="3"/>
      <x:c r="F150" s="3"/>
      <x:c r="G150" s="3"/>
      <x:c r="H150" s="3"/>
      <x:c r="I150" s="3"/>
      <x:c r="J150" s="10" t="n">
        <x:v>46001</x:v>
      </x:c>
      <x:c r="K150" s="8" t="n">
        <x:f>INDEX('Сводка'!$S$3:$S$397,U150)</x:f>
        <x:v>-28</x:v>
      </x:c>
      <x:c r="L150" s="8" t="n">
        <x:f>INDEX('Сводка'!$S$3:$S$397,V150)</x:f>
        <x:v>-20</x:v>
      </x:c>
      <x:c r="M150" s="8" t="n">
        <x:f>INDEX($K$388:$N$400,W150,1)+INDEX($K$388:$N$400,W150,2)*(2*(J150-$T$405)/(T150-$T$405)-1)^1+INDEX($K$388:$N$400,W150,3)*(2*(J150-$T$405)/(T150-$T$405)-1)^2+INDEX($O$388:$Z$400,W150,MONTH(J150))</x:f>
        <x:v>31.977471887797336</x:v>
      </x:c>
      <x:c r="N150" s="8" t="n">
        <x:f>K150-M150</x:f>
        <x:v>-59.977471887797336</x:v>
      </x:c>
      <x:c r="O150" s="8" t="n">
        <x:f>ABS(N150)</x:f>
        <x:v>59.977471887797336</x:v>
      </x:c>
      <x:c r="P150" s="8" t="n">
        <x:f>N150^2</x:f>
        <x:v>3597.2971340515196</x:v>
      </x:c>
      <x:c r="Q150" s="8" t="n">
        <x:f>K150-L150</x:f>
        <x:v>-8</x:v>
      </x:c>
      <x:c r="R150" s="9" t="n">
        <x:f>IF(AND(INDEX('Сводка'!$T$3:$T$397,U150)=0,INDEX('Сводка'!$T$3:$T$397,V150)=0),1,0)</x:f>
        <x:v>1</x:v>
      </x:c>
      <x:c r="S150" s="9" t="n">
        <x:f>IF(AND(R150=1,O150&lt;=$G$13),1,0)</x:f>
        <x:v>0</x:v>
      </x:c>
      <x:c r="T150" s="10" t="n">
        <x:f>EOMONTH(J150-'Сводка'!$B$11,-1)</x:f>
        <x:v>45991</x:v>
      </x:c>
      <x:c r="U150" s="4" t="n">
        <x:f>MATCH(J150,'Сводка'!$R$3:$R$397,0)</x:f>
        <x:v>161</x:v>
      </x:c>
      <x:c r="V150" s="4" t="n">
        <x:f>MATCH(J150-'Сводка'!$B$11,'Сводка'!$R$3:$R$397,0)</x:f>
        <x:v>160</x:v>
      </x:c>
      <x:c r="W150" s="4" t="n">
        <x:f>MATCH(T150,$J$388:$J$400,0)</x:f>
        <x:v>6</x:v>
      </x:c>
      <x:c r="X150" s="3"/>
      <x:c r="Y150" s="3"/>
      <x:c r="Z150" s="3"/>
    </x:row>
    <x:row r="151" ht="15" customHeight="1">
      <x:c r="A151" s="3"/>
      <x:c r="B151" s="3"/>
      <x:c r="C151" s="3"/>
      <x:c r="D151" s="3"/>
      <x:c r="E151" s="3"/>
      <x:c r="F151" s="3"/>
      <x:c r="G151" s="3"/>
      <x:c r="H151" s="3"/>
      <x:c r="I151" s="3"/>
      <x:c r="J151" s="10" t="n">
        <x:v>46002</x:v>
      </x:c>
      <x:c r="K151" s="8" t="n">
        <x:f>INDEX('Сводка'!$S$3:$S$397,U151)</x:f>
        <x:v>-38</x:v>
      </x:c>
      <x:c r="L151" s="8" t="n">
        <x:f>INDEX('Сводка'!$S$3:$S$397,V151)</x:f>
        <x:v>-28</x:v>
      </x:c>
      <x:c r="M151" s="8" t="n">
        <x:f>INDEX($K$388:$N$400,W151,1)+INDEX($K$388:$N$400,W151,2)*(2*(J151-$T$405)/(T151-$T$405)-1)^1+INDEX($K$388:$N$400,W151,3)*(2*(J151-$T$405)/(T151-$T$405)-1)^2+INDEX($O$388:$Z$400,W151,MONTH(J151))</x:f>
        <x:v>31.971152064199487</x:v>
      </x:c>
      <x:c r="N151" s="8" t="n">
        <x:f>K151-M151</x:f>
        <x:v>-69.97115206419949</x:v>
      </x:c>
      <x:c r="O151" s="8" t="n">
        <x:f>ABS(N151)</x:f>
        <x:v>69.97115206419949</x:v>
      </x:c>
      <x:c r="P151" s="8" t="n">
        <x:f>N151^2</x:f>
        <x:v>4895.962121191328</x:v>
      </x:c>
      <x:c r="Q151" s="8" t="n">
        <x:f>K151-L151</x:f>
        <x:v>-10</x:v>
      </x:c>
      <x:c r="R151" s="9" t="n">
        <x:f>IF(AND(INDEX('Сводка'!$T$3:$T$397,U151)=0,INDEX('Сводка'!$T$3:$T$397,V151)=0),1,0)</x:f>
        <x:v>1</x:v>
      </x:c>
      <x:c r="S151" s="9" t="n">
        <x:f>IF(AND(R151=1,O151&lt;=$G$13),1,0)</x:f>
        <x:v>0</x:v>
      </x:c>
      <x:c r="T151" s="10" t="n">
        <x:f>EOMONTH(J151-'Сводка'!$B$11,-1)</x:f>
        <x:v>45991</x:v>
      </x:c>
      <x:c r="U151" s="4" t="n">
        <x:f>MATCH(J151,'Сводка'!$R$3:$R$397,0)</x:f>
        <x:v>162</x:v>
      </x:c>
      <x:c r="V151" s="4" t="n">
        <x:f>MATCH(J151-'Сводка'!$B$11,'Сводка'!$R$3:$R$397,0)</x:f>
        <x:v>161</x:v>
      </x:c>
      <x:c r="W151" s="4" t="n">
        <x:f>MATCH(T151,$J$388:$J$400,0)</x:f>
        <x:v>6</x:v>
      </x:c>
      <x:c r="X151" s="3"/>
      <x:c r="Y151" s="3"/>
      <x:c r="Z151" s="3"/>
    </x:row>
    <x:row r="152" ht="15" customHeight="1">
      <x:c r="A152" s="3"/>
      <x:c r="B152" s="3"/>
      <x:c r="C152" s="3"/>
      <x:c r="D152" s="3"/>
      <x:c r="E152" s="3"/>
      <x:c r="F152" s="3"/>
      <x:c r="G152" s="3"/>
      <x:c r="H152" s="3"/>
      <x:c r="I152" s="3"/>
      <x:c r="J152" s="10" t="n">
        <x:v>46003</x:v>
      </x:c>
      <x:c r="K152" s="8" t="n">
        <x:f>INDEX('Сводка'!$S$3:$S$397,U152)</x:f>
        <x:v>-37.7</x:v>
      </x:c>
      <x:c r="L152" s="8" t="n">
        <x:f>INDEX('Сводка'!$S$3:$S$397,V152)</x:f>
        <x:v>-38</x:v>
      </x:c>
      <x:c r="M152" s="8" t="n">
        <x:f>INDEX($K$388:$N$400,W152,1)+INDEX($K$388:$N$400,W152,2)*(2*(J152-$T$405)/(T152-$T$405)-1)^1+INDEX($K$388:$N$400,W152,3)*(2*(J152-$T$405)/(T152-$T$405)-1)^2+INDEX($O$388:$Z$400,W152,MONTH(J152))</x:f>
        <x:v>31.964826137184474</x:v>
      </x:c>
      <x:c r="N152" s="8" t="n">
        <x:f>K152-M152</x:f>
        <x:v>-69.66482613718448</x:v>
      </x:c>
      <x:c r="O152" s="8" t="n">
        <x:f>ABS(N152)</x:f>
        <x:v>69.66482613718448</x:v>
      </x:c>
      <x:c r="P152" s="8" t="n">
        <x:f>N152^2</x:f>
        <x:v>4853.188000724142</x:v>
      </x:c>
      <x:c r="Q152" s="8" t="n">
        <x:f>K152-L152</x:f>
        <x:v>0.29999999999999716</x:v>
      </x:c>
      <x:c r="R152" s="9" t="n">
        <x:f>IF(AND(INDEX('Сводка'!$T$3:$T$397,U152)=0,INDEX('Сводка'!$T$3:$T$397,V152)=0),1,0)</x:f>
        <x:v>0</x:v>
      </x:c>
      <x:c r="S152" s="9" t="n">
        <x:f>IF(AND(R152=1,O152&lt;=$G$13),1,0)</x:f>
        <x:v>0</x:v>
      </x:c>
      <x:c r="T152" s="10" t="n">
        <x:f>EOMONTH(J152-'Сводка'!$B$11,-1)</x:f>
        <x:v>45991</x:v>
      </x:c>
      <x:c r="U152" s="4" t="n">
        <x:f>MATCH(J152,'Сводка'!$R$3:$R$397,0)</x:f>
        <x:v>163</x:v>
      </x:c>
      <x:c r="V152" s="4" t="n">
        <x:f>MATCH(J152-'Сводка'!$B$11,'Сводка'!$R$3:$R$397,0)</x:f>
        <x:v>162</x:v>
      </x:c>
      <x:c r="W152" s="4" t="n">
        <x:f>MATCH(T152,$J$388:$J$400,0)</x:f>
        <x:v>6</x:v>
      </x:c>
      <x:c r="X152" s="3"/>
      <x:c r="Y152" s="3"/>
      <x:c r="Z152" s="3"/>
    </x:row>
    <x:row r="153" ht="15" customHeight="1">
      <x:c r="A153" s="3"/>
      <x:c r="B153" s="3"/>
      <x:c r="C153" s="3"/>
      <x:c r="D153" s="3"/>
      <x:c r="E153" s="3"/>
      <x:c r="F153" s="3"/>
      <x:c r="G153" s="3"/>
      <x:c r="H153" s="3"/>
      <x:c r="I153" s="3"/>
      <x:c r="J153" s="10" t="n">
        <x:v>46004</x:v>
      </x:c>
      <x:c r="K153" s="8" t="n">
        <x:f>INDEX('Сводка'!$S$3:$S$397,U153)</x:f>
        <x:v>-37.3</x:v>
      </x:c>
      <x:c r="L153" s="8" t="n">
        <x:f>INDEX('Сводка'!$S$3:$S$397,V153)</x:f>
        <x:v>-37.7</x:v>
      </x:c>
      <x:c r="M153" s="8" t="n">
        <x:f>INDEX($K$388:$N$400,W153,1)+INDEX($K$388:$N$400,W153,2)*(2*(J153-$T$405)/(T153-$T$405)-1)^1+INDEX($K$388:$N$400,W153,3)*(2*(J153-$T$405)/(T153-$T$405)-1)^2+INDEX($O$388:$Z$400,W153,MONTH(J153))</x:f>
        <x:v>31.958494106752227</x:v>
      </x:c>
      <x:c r="N153" s="8" t="n">
        <x:f>K153-M153</x:f>
        <x:v>-69.25849410675222</x:v>
      </x:c>
      <x:c r="O153" s="8" t="n">
        <x:f>ABS(N153)</x:f>
        <x:v>69.25849410675222</x:v>
      </x:c>
      <x:c r="P153" s="8" t="n">
        <x:f>N153^2</x:f>
        <x:v>4796.739005935033</x:v>
      </x:c>
      <x:c r="Q153" s="8" t="n">
        <x:f>K153-L153</x:f>
        <x:v>0.4000000000000057</x:v>
      </x:c>
      <x:c r="R153" s="9" t="n">
        <x:f>IF(AND(INDEX('Сводка'!$T$3:$T$397,U153)=0,INDEX('Сводка'!$T$3:$T$397,V153)=0),1,0)</x:f>
        <x:v>0</x:v>
      </x:c>
      <x:c r="S153" s="9" t="n">
        <x:f>IF(AND(R153=1,O153&lt;=$G$13),1,0)</x:f>
        <x:v>0</x:v>
      </x:c>
      <x:c r="T153" s="10" t="n">
        <x:f>EOMONTH(J153-'Сводка'!$B$11,-1)</x:f>
        <x:v>45991</x:v>
      </x:c>
      <x:c r="U153" s="4" t="n">
        <x:f>MATCH(J153,'Сводка'!$R$3:$R$397,0)</x:f>
        <x:v>164</x:v>
      </x:c>
      <x:c r="V153" s="4" t="n">
        <x:f>MATCH(J153-'Сводка'!$B$11,'Сводка'!$R$3:$R$397,0)</x:f>
        <x:v>163</x:v>
      </x:c>
      <x:c r="W153" s="4" t="n">
        <x:f>MATCH(T153,$J$388:$J$400,0)</x:f>
        <x:v>6</x:v>
      </x:c>
      <x:c r="X153" s="3"/>
      <x:c r="Y153" s="3"/>
      <x:c r="Z153" s="3"/>
    </x:row>
    <x:row r="154" ht="15" customHeight="1">
      <x:c r="A154" s="3"/>
      <x:c r="B154" s="3"/>
      <x:c r="C154" s="3"/>
      <x:c r="D154" s="3"/>
      <x:c r="E154" s="3"/>
      <x:c r="F154" s="3"/>
      <x:c r="G154" s="3"/>
      <x:c r="H154" s="3"/>
      <x:c r="I154" s="3"/>
      <x:c r="J154" s="10" t="n">
        <x:v>46005</x:v>
      </x:c>
      <x:c r="K154" s="8" t="n">
        <x:f>INDEX('Сводка'!$S$3:$S$397,U154)</x:f>
        <x:v>-37</x:v>
      </x:c>
      <x:c r="L154" s="8" t="n">
        <x:f>INDEX('Сводка'!$S$3:$S$397,V154)</x:f>
        <x:v>-37.3</x:v>
      </x:c>
      <x:c r="M154" s="8" t="n">
        <x:f>INDEX($K$388:$N$400,W154,1)+INDEX($K$388:$N$400,W154,2)*(2*(J154-$T$405)/(T154-$T$405)-1)^1+INDEX($K$388:$N$400,W154,3)*(2*(J154-$T$405)/(T154-$T$405)-1)^2+INDEX($O$388:$Z$400,W154,MONTH(J154))</x:f>
        <x:v>31.952155972902744</x:v>
      </x:c>
      <x:c r="N154" s="8" t="n">
        <x:f>K154-M154</x:f>
        <x:v>-68.95215597290274</x:v>
      </x:c>
      <x:c r="O154" s="8" t="n">
        <x:f>ABS(N154)</x:f>
        <x:v>68.95215597290274</x:v>
      </x:c>
      <x:c r="P154" s="8" t="n">
        <x:f>N154^2</x:f>
        <x:v>4754.399813311507</x:v>
      </x:c>
      <x:c r="Q154" s="8" t="n">
        <x:f>K154-L154</x:f>
        <x:v>0.29999999999999716</x:v>
      </x:c>
      <x:c r="R154" s="9" t="n">
        <x:f>IF(AND(INDEX('Сводка'!$T$3:$T$397,U154)=0,INDEX('Сводка'!$T$3:$T$397,V154)=0),1,0)</x:f>
        <x:v>0</x:v>
      </x:c>
      <x:c r="S154" s="9" t="n">
        <x:f>IF(AND(R154=1,O154&lt;=$G$13),1,0)</x:f>
        <x:v>0</x:v>
      </x:c>
      <x:c r="T154" s="10" t="n">
        <x:f>EOMONTH(J154-'Сводка'!$B$11,-1)</x:f>
        <x:v>45991</x:v>
      </x:c>
      <x:c r="U154" s="4" t="n">
        <x:f>MATCH(J154,'Сводка'!$R$3:$R$397,0)</x:f>
        <x:v>165</x:v>
      </x:c>
      <x:c r="V154" s="4" t="n">
        <x:f>MATCH(J154-'Сводка'!$B$11,'Сводка'!$R$3:$R$397,0)</x:f>
        <x:v>164</x:v>
      </x:c>
      <x:c r="W154" s="4" t="n">
        <x:f>MATCH(T154,$J$388:$J$400,0)</x:f>
        <x:v>6</x:v>
      </x:c>
      <x:c r="X154" s="3"/>
      <x:c r="Y154" s="3"/>
      <x:c r="Z154" s="3"/>
    </x:row>
    <x:row r="155" ht="15" customHeight="1">
      <x:c r="A155" s="3"/>
      <x:c r="B155" s="3"/>
      <x:c r="C155" s="3"/>
      <x:c r="D155" s="3"/>
      <x:c r="E155" s="3"/>
      <x:c r="F155" s="3"/>
      <x:c r="G155" s="3"/>
      <x:c r="H155" s="3"/>
      <x:c r="I155" s="3"/>
      <x:c r="J155" s="10" t="n">
        <x:v>46006</x:v>
      </x:c>
      <x:c r="K155" s="8" t="n">
        <x:f>INDEX('Сводка'!$S$3:$S$397,U155)</x:f>
        <x:v>-37</x:v>
      </x:c>
      <x:c r="L155" s="8" t="n">
        <x:f>INDEX('Сводка'!$S$3:$S$397,V155)</x:f>
        <x:v>-37</x:v>
      </x:c>
      <x:c r="M155" s="8" t="n">
        <x:f>INDEX($K$388:$N$400,W155,1)+INDEX($K$388:$N$400,W155,2)*(2*(J155-$T$405)/(T155-$T$405)-1)^1+INDEX($K$388:$N$400,W155,3)*(2*(J155-$T$405)/(T155-$T$405)-1)^2+INDEX($O$388:$Z$400,W155,MONTH(J155))</x:f>
        <x:v>31.94581173563614</x:v>
      </x:c>
      <x:c r="N155" s="8" t="n">
        <x:f>K155-M155</x:f>
        <x:v>-68.94581173563614</x:v>
      </x:c>
      <x:c r="O155" s="8" t="n">
        <x:f>ABS(N155)</x:f>
        <x:v>68.94581173563614</x:v>
      </x:c>
      <x:c r="P155" s="8" t="n">
        <x:f>N155^2</x:f>
        <x:v>4753.524955885782</x:v>
      </x:c>
      <x:c r="Q155" s="8" t="n">
        <x:f>K155-L155</x:f>
        <x:v>0</x:v>
      </x:c>
      <x:c r="R155" s="9" t="n">
        <x:f>IF(AND(INDEX('Сводка'!$T$3:$T$397,U155)=0,INDEX('Сводка'!$T$3:$T$397,V155)=0),1,0)</x:f>
        <x:v>1</x:v>
      </x:c>
      <x:c r="S155" s="9" t="n">
        <x:f>IF(AND(R155=1,O155&lt;=$G$13),1,0)</x:f>
        <x:v>0</x:v>
      </x:c>
      <x:c r="T155" s="10" t="n">
        <x:f>EOMONTH(J155-'Сводка'!$B$11,-1)</x:f>
        <x:v>45991</x:v>
      </x:c>
      <x:c r="U155" s="4" t="n">
        <x:f>MATCH(J155,'Сводка'!$R$3:$R$397,0)</x:f>
        <x:v>166</x:v>
      </x:c>
      <x:c r="V155" s="4" t="n">
        <x:f>MATCH(J155-'Сводка'!$B$11,'Сводка'!$R$3:$R$397,0)</x:f>
        <x:v>165</x:v>
      </x:c>
      <x:c r="W155" s="4" t="n">
        <x:f>MATCH(T155,$J$388:$J$400,0)</x:f>
        <x:v>6</x:v>
      </x:c>
      <x:c r="X155" s="3"/>
      <x:c r="Y155" s="3"/>
      <x:c r="Z155" s="3"/>
    </x:row>
    <x:row r="156" ht="15" customHeight="1">
      <x:c r="A156" s="3"/>
      <x:c r="B156" s="3"/>
      <x:c r="C156" s="3"/>
      <x:c r="D156" s="3"/>
      <x:c r="E156" s="3"/>
      <x:c r="F156" s="3"/>
      <x:c r="G156" s="3"/>
      <x:c r="H156" s="3"/>
      <x:c r="I156" s="3"/>
      <x:c r="J156" s="10" t="n">
        <x:v>46007</x:v>
      </x:c>
      <x:c r="K156" s="8" t="n">
        <x:f>INDEX('Сводка'!$S$3:$S$397,U156)</x:f>
        <x:v>-41</x:v>
      </x:c>
      <x:c r="L156" s="8" t="n">
        <x:f>INDEX('Сводка'!$S$3:$S$397,V156)</x:f>
        <x:v>-37</x:v>
      </x:c>
      <x:c r="M156" s="8" t="n">
        <x:f>INDEX($K$388:$N$400,W156,1)+INDEX($K$388:$N$400,W156,2)*(2*(J156-$T$405)/(T156-$T$405)-1)^1+INDEX($K$388:$N$400,W156,3)*(2*(J156-$T$405)/(T156-$T$405)-1)^2+INDEX($O$388:$Z$400,W156,MONTH(J156))</x:f>
        <x:v>31.939461394952318</x:v>
      </x:c>
      <x:c r="N156" s="8" t="n">
        <x:f>K156-M156</x:f>
        <x:v>-72.93946139495232</x:v>
      </x:c>
      <x:c r="O156" s="8" t="n">
        <x:f>ABS(N156)</x:f>
        <x:v>72.93946139495232</x:v>
      </x:c>
      <x:c r="P156" s="8" t="n">
        <x:f>N156^2</x:f>
        <x:v>5320.1650285857395</x:v>
      </x:c>
      <x:c r="Q156" s="8" t="n">
        <x:f>K156-L156</x:f>
        <x:v>-4</x:v>
      </x:c>
      <x:c r="R156" s="9" t="n">
        <x:f>IF(AND(INDEX('Сводка'!$T$3:$T$397,U156)=0,INDEX('Сводка'!$T$3:$T$397,V156)=0),1,0)</x:f>
        <x:v>1</x:v>
      </x:c>
      <x:c r="S156" s="9" t="n">
        <x:f>IF(AND(R156=1,O156&lt;=$G$13),1,0)</x:f>
        <x:v>0</x:v>
      </x:c>
      <x:c r="T156" s="10" t="n">
        <x:f>EOMONTH(J156-'Сводка'!$B$11,-1)</x:f>
        <x:v>45991</x:v>
      </x:c>
      <x:c r="U156" s="4" t="n">
        <x:f>MATCH(J156,'Сводка'!$R$3:$R$397,0)</x:f>
        <x:v>167</x:v>
      </x:c>
      <x:c r="V156" s="4" t="n">
        <x:f>MATCH(J156-'Сводка'!$B$11,'Сводка'!$R$3:$R$397,0)</x:f>
        <x:v>166</x:v>
      </x:c>
      <x:c r="W156" s="4" t="n">
        <x:f>MATCH(T156,$J$388:$J$400,0)</x:f>
        <x:v>6</x:v>
      </x:c>
      <x:c r="X156" s="3"/>
      <x:c r="Y156" s="3"/>
      <x:c r="Z156" s="3"/>
    </x:row>
    <x:row r="157" ht="15" customHeight="1">
      <x:c r="A157" s="3"/>
      <x:c r="B157" s="3"/>
      <x:c r="C157" s="3"/>
      <x:c r="D157" s="3"/>
      <x:c r="E157" s="3"/>
      <x:c r="F157" s="3"/>
      <x:c r="G157" s="3"/>
      <x:c r="H157" s="3"/>
      <x:c r="I157" s="3"/>
      <x:c r="J157" s="10" t="n">
        <x:v>46008</x:v>
      </x:c>
      <x:c r="K157" s="8" t="n">
        <x:f>INDEX('Сводка'!$S$3:$S$397,U157)</x:f>
        <x:v>-35</x:v>
      </x:c>
      <x:c r="L157" s="8" t="n">
        <x:f>INDEX('Сводка'!$S$3:$S$397,V157)</x:f>
        <x:v>-41</x:v>
      </x:c>
      <x:c r="M157" s="8" t="n">
        <x:f>INDEX($K$388:$N$400,W157,1)+INDEX($K$388:$N$400,W157,2)*(2*(J157-$T$405)/(T157-$T$405)-1)^1+INDEX($K$388:$N$400,W157,3)*(2*(J157-$T$405)/(T157-$T$405)-1)^2+INDEX($O$388:$Z$400,W157,MONTH(J157))</x:f>
        <x:v>31.93310495085126</x:v>
      </x:c>
      <x:c r="N157" s="8" t="n">
        <x:f>K157-M157</x:f>
        <x:v>-66.93310495085126</x:v>
      </x:c>
      <x:c r="O157" s="8" t="n">
        <x:f>ABS(N157)</x:f>
        <x:v>66.93310495085126</x:v>
      </x:c>
      <x:c r="P157" s="8" t="n">
        <x:f>N157^2</x:f>
        <x:v>4480.040538361669</x:v>
      </x:c>
      <x:c r="Q157" s="8" t="n">
        <x:f>K157-L157</x:f>
        <x:v>6</x:v>
      </x:c>
      <x:c r="R157" s="9" t="n">
        <x:f>IF(AND(INDEX('Сводка'!$T$3:$T$397,U157)=0,INDEX('Сводка'!$T$3:$T$397,V157)=0),1,0)</x:f>
        <x:v>1</x:v>
      </x:c>
      <x:c r="S157" s="9" t="n">
        <x:f>IF(AND(R157=1,O157&lt;=$G$13),1,0)</x:f>
        <x:v>0</x:v>
      </x:c>
      <x:c r="T157" s="10" t="n">
        <x:f>EOMONTH(J157-'Сводка'!$B$11,-1)</x:f>
        <x:v>45991</x:v>
      </x:c>
      <x:c r="U157" s="4" t="n">
        <x:f>MATCH(J157,'Сводка'!$R$3:$R$397,0)</x:f>
        <x:v>168</x:v>
      </x:c>
      <x:c r="V157" s="4" t="n">
        <x:f>MATCH(J157-'Сводка'!$B$11,'Сводка'!$R$3:$R$397,0)</x:f>
        <x:v>167</x:v>
      </x:c>
      <x:c r="W157" s="4" t="n">
        <x:f>MATCH(T157,$J$388:$J$400,0)</x:f>
        <x:v>6</x:v>
      </x:c>
      <x:c r="X157" s="3"/>
      <x:c r="Y157" s="3"/>
      <x:c r="Z157" s="3"/>
    </x:row>
    <x:row r="158" ht="15" customHeight="1">
      <x:c r="A158" s="3"/>
      <x:c r="B158" s="3"/>
      <x:c r="C158" s="3"/>
      <x:c r="D158" s="3"/>
      <x:c r="E158" s="3"/>
      <x:c r="F158" s="3"/>
      <x:c r="G158" s="3"/>
      <x:c r="H158" s="3"/>
      <x:c r="I158" s="3"/>
      <x:c r="J158" s="10" t="n">
        <x:v>46009</x:v>
      </x:c>
      <x:c r="K158" s="8" t="n">
        <x:f>INDEX('Сводка'!$S$3:$S$397,U158)</x:f>
        <x:v>-33</x:v>
      </x:c>
      <x:c r="L158" s="8" t="n">
        <x:f>INDEX('Сводка'!$S$3:$S$397,V158)</x:f>
        <x:v>-35</x:v>
      </x:c>
      <x:c r="M158" s="8" t="n">
        <x:f>INDEX($K$388:$N$400,W158,1)+INDEX($K$388:$N$400,W158,2)*(2*(J158-$T$405)/(T158-$T$405)-1)^1+INDEX($K$388:$N$400,W158,3)*(2*(J158-$T$405)/(T158-$T$405)-1)^2+INDEX($O$388:$Z$400,W158,MONTH(J158))</x:f>
        <x:v>31.92674240333305</x:v>
      </x:c>
      <x:c r="N158" s="8" t="n">
        <x:f>K158-M158</x:f>
        <x:v>-64.92674240333305</x:v>
      </x:c>
      <x:c r="O158" s="8" t="n">
        <x:f>ABS(N158)</x:f>
        <x:v>64.92674240333305</x:v>
      </x:c>
      <x:c r="P158" s="8" t="n">
        <x:f>N158^2</x:f>
        <x:v>4215.481879108766</x:v>
      </x:c>
      <x:c r="Q158" s="8" t="n">
        <x:f>K158-L158</x:f>
        <x:v>2</x:v>
      </x:c>
      <x:c r="R158" s="9" t="n">
        <x:f>IF(AND(INDEX('Сводка'!$T$3:$T$397,U158)=0,INDEX('Сводка'!$T$3:$T$397,V158)=0),1,0)</x:f>
        <x:v>1</x:v>
      </x:c>
      <x:c r="S158" s="9" t="n">
        <x:f>IF(AND(R158=1,O158&lt;=$G$13),1,0)</x:f>
        <x:v>0</x:v>
      </x:c>
      <x:c r="T158" s="10" t="n">
        <x:f>EOMONTH(J158-'Сводка'!$B$11,-1)</x:f>
        <x:v>45991</x:v>
      </x:c>
      <x:c r="U158" s="4" t="n">
        <x:f>MATCH(J158,'Сводка'!$R$3:$R$397,0)</x:f>
        <x:v>169</x:v>
      </x:c>
      <x:c r="V158" s="4" t="n">
        <x:f>MATCH(J158-'Сводка'!$B$11,'Сводка'!$R$3:$R$397,0)</x:f>
        <x:v>168</x:v>
      </x:c>
      <x:c r="W158" s="4" t="n">
        <x:f>MATCH(T158,$J$388:$J$400,0)</x:f>
        <x:v>6</x:v>
      </x:c>
      <x:c r="X158" s="3"/>
      <x:c r="Y158" s="3"/>
      <x:c r="Z158" s="3"/>
    </x:row>
    <x:row r="159" ht="15" customHeight="1">
      <x:c r="A159" s="3"/>
      <x:c r="B159" s="3"/>
      <x:c r="C159" s="3"/>
      <x:c r="D159" s="3"/>
      <x:c r="E159" s="3"/>
      <x:c r="F159" s="3"/>
      <x:c r="G159" s="3"/>
      <x:c r="H159" s="3"/>
      <x:c r="I159" s="3"/>
      <x:c r="J159" s="10" t="n">
        <x:v>46010</x:v>
      </x:c>
      <x:c r="K159" s="8" t="n">
        <x:f>INDEX('Сводка'!$S$3:$S$397,U159)</x:f>
        <x:v>-31</x:v>
      </x:c>
      <x:c r="L159" s="8" t="n">
        <x:f>INDEX('Сводка'!$S$3:$S$397,V159)</x:f>
        <x:v>-33</x:v>
      </x:c>
      <x:c r="M159" s="8" t="n">
        <x:f>INDEX($K$388:$N$400,W159,1)+INDEX($K$388:$N$400,W159,2)*(2*(J159-$T$405)/(T159-$T$405)-1)^1+INDEX($K$388:$N$400,W159,3)*(2*(J159-$T$405)/(T159-$T$405)-1)^2+INDEX($O$388:$Z$400,W159,MONTH(J159))</x:f>
        <x:v>31.920373752397666</x:v>
      </x:c>
      <x:c r="N159" s="8" t="n">
        <x:f>K159-M159</x:f>
        <x:v>-62.920373752397666</x:v>
      </x:c>
      <x:c r="O159" s="8" t="n">
        <x:f>ABS(N159)</x:f>
        <x:v>62.920373752397666</x:v>
      </x:c>
      <x:c r="P159" s="8" t="n">
        <x:f>N159^2</x:f>
        <x:v>3958.973433141413</x:v>
      </x:c>
      <x:c r="Q159" s="8" t="n">
        <x:f>K159-L159</x:f>
        <x:v>2</x:v>
      </x:c>
      <x:c r="R159" s="9" t="n">
        <x:f>IF(AND(INDEX('Сводка'!$T$3:$T$397,U159)=0,INDEX('Сводка'!$T$3:$T$397,V159)=0),1,0)</x:f>
        <x:v>1</x:v>
      </x:c>
      <x:c r="S159" s="9" t="n">
        <x:f>IF(AND(R159=1,O159&lt;=$G$13),1,0)</x:f>
        <x:v>0</x:v>
      </x:c>
      <x:c r="T159" s="10" t="n">
        <x:f>EOMONTH(J159-'Сводка'!$B$11,-1)</x:f>
        <x:v>45991</x:v>
      </x:c>
      <x:c r="U159" s="4" t="n">
        <x:f>MATCH(J159,'Сводка'!$R$3:$R$397,0)</x:f>
        <x:v>170</x:v>
      </x:c>
      <x:c r="V159" s="4" t="n">
        <x:f>MATCH(J159-'Сводка'!$B$11,'Сводка'!$R$3:$R$397,0)</x:f>
        <x:v>169</x:v>
      </x:c>
      <x:c r="W159" s="4" t="n">
        <x:f>MATCH(T159,$J$388:$J$400,0)</x:f>
        <x:v>6</x:v>
      </x:c>
      <x:c r="X159" s="3"/>
      <x:c r="Y159" s="3"/>
      <x:c r="Z159" s="3"/>
    </x:row>
    <x:row r="160" ht="15" customHeight="1">
      <x:c r="A160" s="3"/>
      <x:c r="B160" s="3"/>
      <x:c r="C160" s="3"/>
      <x:c r="D160" s="3"/>
      <x:c r="E160" s="3"/>
      <x:c r="F160" s="3"/>
      <x:c r="G160" s="3"/>
      <x:c r="H160" s="3"/>
      <x:c r="I160" s="3"/>
      <x:c r="J160" s="10" t="n">
        <x:v>46011</x:v>
      </x:c>
      <x:c r="K160" s="8" t="n">
        <x:f>INDEX('Сводка'!$S$3:$S$397,U160)</x:f>
        <x:v>-31</x:v>
      </x:c>
      <x:c r="L160" s="8" t="n">
        <x:f>INDEX('Сводка'!$S$3:$S$397,V160)</x:f>
        <x:v>-31</x:v>
      </x:c>
      <x:c r="M160" s="8" t="n">
        <x:f>INDEX($K$388:$N$400,W160,1)+INDEX($K$388:$N$400,W160,2)*(2*(J160-$T$405)/(T160-$T$405)-1)^1+INDEX($K$388:$N$400,W160,3)*(2*(J160-$T$405)/(T160-$T$405)-1)^2+INDEX($O$388:$Z$400,W160,MONTH(J160))</x:f>
        <x:v>31.91399899804506</x:v>
      </x:c>
      <x:c r="N160" s="8" t="n">
        <x:f>K160-M160</x:f>
        <x:v>-62.91399899804506</x:v>
      </x:c>
      <x:c r="O160" s="8" t="n">
        <x:f>ABS(N160)</x:f>
        <x:v>62.91399899804506</x:v>
      </x:c>
      <x:c r="P160" s="8" t="n">
        <x:f>N160^2</x:f>
        <x:v>3958.1712699260147</x:v>
      </x:c>
      <x:c r="Q160" s="8" t="n">
        <x:f>K160-L160</x:f>
        <x:v>0</x:v>
      </x:c>
      <x:c r="R160" s="9" t="n">
        <x:f>IF(AND(INDEX('Сводка'!$T$3:$T$397,U160)=0,INDEX('Сводка'!$T$3:$T$397,V160)=0),1,0)</x:f>
        <x:v>1</x:v>
      </x:c>
      <x:c r="S160" s="9" t="n">
        <x:f>IF(AND(R160=1,O160&lt;=$G$13),1,0)</x:f>
        <x:v>0</x:v>
      </x:c>
      <x:c r="T160" s="10" t="n">
        <x:f>EOMONTH(J160-'Сводка'!$B$11,-1)</x:f>
        <x:v>45991</x:v>
      </x:c>
      <x:c r="U160" s="4" t="n">
        <x:f>MATCH(J160,'Сводка'!$R$3:$R$397,0)</x:f>
        <x:v>171</x:v>
      </x:c>
      <x:c r="V160" s="4" t="n">
        <x:f>MATCH(J160-'Сводка'!$B$11,'Сводка'!$R$3:$R$397,0)</x:f>
        <x:v>170</x:v>
      </x:c>
      <x:c r="W160" s="4" t="n">
        <x:f>MATCH(T160,$J$388:$J$400,0)</x:f>
        <x:v>6</x:v>
      </x:c>
      <x:c r="X160" s="3"/>
      <x:c r="Y160" s="3"/>
      <x:c r="Z160" s="3"/>
    </x:row>
    <x:row r="161" ht="15" customHeight="1">
      <x:c r="A161" s="3"/>
      <x:c r="B161" s="3"/>
      <x:c r="C161" s="3"/>
      <x:c r="D161" s="3"/>
      <x:c r="E161" s="3"/>
      <x:c r="F161" s="3"/>
      <x:c r="G161" s="3"/>
      <x:c r="H161" s="3"/>
      <x:c r="I161" s="3"/>
      <x:c r="J161" s="10" t="n">
        <x:v>46012</x:v>
      </x:c>
      <x:c r="K161" s="8" t="n">
        <x:f>INDEX('Сводка'!$S$3:$S$397,U161)</x:f>
        <x:v>-30</x:v>
      </x:c>
      <x:c r="L161" s="8" t="n">
        <x:f>INDEX('Сводка'!$S$3:$S$397,V161)</x:f>
        <x:v>-31</x:v>
      </x:c>
      <x:c r="M161" s="8" t="n">
        <x:f>INDEX($K$388:$N$400,W161,1)+INDEX($K$388:$N$400,W161,2)*(2*(J161-$T$405)/(T161-$T$405)-1)^1+INDEX($K$388:$N$400,W161,3)*(2*(J161-$T$405)/(T161-$T$405)-1)^2+INDEX($O$388:$Z$400,W161,MONTH(J161))</x:f>
        <x:v>31.907618140275233</x:v>
      </x:c>
      <x:c r="N161" s="8" t="n">
        <x:f>K161-M161</x:f>
        <x:v>-61.90761814027523</x:v>
      </x:c>
      <x:c r="O161" s="8" t="n">
        <x:f>ABS(N161)</x:f>
        <x:v>61.90761814027523</x:v>
      </x:c>
      <x:c r="P161" s="8" t="n">
        <x:f>N161^2</x:f>
        <x:v>3832.553183802135</x:v>
      </x:c>
      <x:c r="Q161" s="8" t="n">
        <x:f>K161-L161</x:f>
        <x:v>1</x:v>
      </x:c>
      <x:c r="R161" s="9" t="n">
        <x:f>IF(AND(INDEX('Сводка'!$T$3:$T$397,U161)=0,INDEX('Сводка'!$T$3:$T$397,V161)=0),1,0)</x:f>
        <x:v>1</x:v>
      </x:c>
      <x:c r="S161" s="9" t="n">
        <x:f>IF(AND(R161=1,O161&lt;=$G$13),1,0)</x:f>
        <x:v>0</x:v>
      </x:c>
      <x:c r="T161" s="10" t="n">
        <x:f>EOMONTH(J161-'Сводка'!$B$11,-1)</x:f>
        <x:v>45991</x:v>
      </x:c>
      <x:c r="U161" s="4" t="n">
        <x:f>MATCH(J161,'Сводка'!$R$3:$R$397,0)</x:f>
        <x:v>172</x:v>
      </x:c>
      <x:c r="V161" s="4" t="n">
        <x:f>MATCH(J161-'Сводка'!$B$11,'Сводка'!$R$3:$R$397,0)</x:f>
        <x:v>171</x:v>
      </x:c>
      <x:c r="W161" s="4" t="n">
        <x:f>MATCH(T161,$J$388:$J$400,0)</x:f>
        <x:v>6</x:v>
      </x:c>
      <x:c r="X161" s="3"/>
      <x:c r="Y161" s="3"/>
      <x:c r="Z161" s="3"/>
    </x:row>
    <x:row r="162" ht="15" customHeight="1">
      <x:c r="A162" s="3"/>
      <x:c r="B162" s="3"/>
      <x:c r="C162" s="3"/>
      <x:c r="D162" s="3"/>
      <x:c r="E162" s="3"/>
      <x:c r="F162" s="3"/>
      <x:c r="G162" s="3"/>
      <x:c r="H162" s="3"/>
      <x:c r="I162" s="3"/>
      <x:c r="J162" s="10" t="n">
        <x:v>46013</x:v>
      </x:c>
      <x:c r="K162" s="8" t="n">
        <x:f>INDEX('Сводка'!$S$3:$S$397,U162)</x:f>
        <x:v>-27</x:v>
      </x:c>
      <x:c r="L162" s="8" t="n">
        <x:f>INDEX('Сводка'!$S$3:$S$397,V162)</x:f>
        <x:v>-30</x:v>
      </x:c>
      <x:c r="M162" s="8" t="n">
        <x:f>INDEX($K$388:$N$400,W162,1)+INDEX($K$388:$N$400,W162,2)*(2*(J162-$T$405)/(T162-$T$405)-1)^1+INDEX($K$388:$N$400,W162,3)*(2*(J162-$T$405)/(T162-$T$405)-1)^2+INDEX($O$388:$Z$400,W162,MONTH(J162))</x:f>
        <x:v>31.901231179088256</x:v>
      </x:c>
      <x:c r="N162" s="8" t="n">
        <x:f>K162-M162</x:f>
        <x:v>-58.901231179088256</x:v>
      </x:c>
      <x:c r="O162" s="8" t="n">
        <x:f>ABS(N162)</x:f>
        <x:v>58.901231179088256</x:v>
      </x:c>
      <x:c r="P162" s="8" t="n">
        <x:f>N162^2</x:f>
        <x:v>3469.3550344123987</x:v>
      </x:c>
      <x:c r="Q162" s="8" t="n">
        <x:f>K162-L162</x:f>
        <x:v>3</x:v>
      </x:c>
      <x:c r="R162" s="9" t="n">
        <x:f>IF(AND(INDEX('Сводка'!$T$3:$T$397,U162)=0,INDEX('Сводка'!$T$3:$T$397,V162)=0),1,0)</x:f>
        <x:v>1</x:v>
      </x:c>
      <x:c r="S162" s="9" t="n">
        <x:f>IF(AND(R162=1,O162&lt;=$G$13),1,0)</x:f>
        <x:v>0</x:v>
      </x:c>
      <x:c r="T162" s="10" t="n">
        <x:f>EOMONTH(J162-'Сводка'!$B$11,-1)</x:f>
        <x:v>45991</x:v>
      </x:c>
      <x:c r="U162" s="4" t="n">
        <x:f>MATCH(J162,'Сводка'!$R$3:$R$397,0)</x:f>
        <x:v>173</x:v>
      </x:c>
      <x:c r="V162" s="4" t="n">
        <x:f>MATCH(J162-'Сводка'!$B$11,'Сводка'!$R$3:$R$397,0)</x:f>
        <x:v>172</x:v>
      </x:c>
      <x:c r="W162" s="4" t="n">
        <x:f>MATCH(T162,$J$388:$J$400,0)</x:f>
        <x:v>6</x:v>
      </x:c>
      <x:c r="X162" s="3"/>
      <x:c r="Y162" s="3"/>
      <x:c r="Z162" s="3"/>
    </x:row>
    <x:row r="163" ht="15" customHeight="1">
      <x:c r="A163" s="3"/>
      <x:c r="B163" s="3"/>
      <x:c r="C163" s="3"/>
      <x:c r="D163" s="3"/>
      <x:c r="E163" s="3"/>
      <x:c r="F163" s="3"/>
      <x:c r="G163" s="3"/>
      <x:c r="H163" s="3"/>
      <x:c r="I163" s="3"/>
      <x:c r="J163" s="10" t="n">
        <x:v>46014</x:v>
      </x:c>
      <x:c r="K163" s="8" t="n">
        <x:f>INDEX('Сводка'!$S$3:$S$397,U163)</x:f>
        <x:v>-23</x:v>
      </x:c>
      <x:c r="L163" s="8" t="n">
        <x:f>INDEX('Сводка'!$S$3:$S$397,V163)</x:f>
        <x:v>-27</x:v>
      </x:c>
      <x:c r="M163" s="8" t="n">
        <x:f>INDEX($K$388:$N$400,W163,1)+INDEX($K$388:$N$400,W163,2)*(2*(J163-$T$405)/(T163-$T$405)-1)^1+INDEX($K$388:$N$400,W163,3)*(2*(J163-$T$405)/(T163-$T$405)-1)^2+INDEX($O$388:$Z$400,W163,MONTH(J163))</x:f>
        <x:v>31.894838114484074</x:v>
      </x:c>
      <x:c r="N163" s="8" t="n">
        <x:f>K163-M163</x:f>
        <x:v>-54.894838114484074</x:v>
      </x:c>
      <x:c r="O163" s="8" t="n">
        <x:f>ABS(N163)</x:f>
        <x:v>54.894838114484074</x:v>
      </x:c>
      <x:c r="P163" s="8" t="n">
        <x:f>N163^2</x:f>
        <x:v>3013.4432516154134</x:v>
      </x:c>
      <x:c r="Q163" s="8" t="n">
        <x:f>K163-L163</x:f>
        <x:v>4</x:v>
      </x:c>
      <x:c r="R163" s="9" t="n">
        <x:f>IF(AND(INDEX('Сводка'!$T$3:$T$397,U163)=0,INDEX('Сводка'!$T$3:$T$397,V163)=0),1,0)</x:f>
        <x:v>1</x:v>
      </x:c>
      <x:c r="S163" s="9" t="n">
        <x:f>IF(AND(R163=1,O163&lt;=$G$13),1,0)</x:f>
        <x:v>0</x:v>
      </x:c>
      <x:c r="T163" s="10" t="n">
        <x:f>EOMONTH(J163-'Сводка'!$B$11,-1)</x:f>
        <x:v>45991</x:v>
      </x:c>
      <x:c r="U163" s="4" t="n">
        <x:f>MATCH(J163,'Сводка'!$R$3:$R$397,0)</x:f>
        <x:v>174</x:v>
      </x:c>
      <x:c r="V163" s="4" t="n">
        <x:f>MATCH(J163-'Сводка'!$B$11,'Сводка'!$R$3:$R$397,0)</x:f>
        <x:v>173</x:v>
      </x:c>
      <x:c r="W163" s="4" t="n">
        <x:f>MATCH(T163,$J$388:$J$400,0)</x:f>
        <x:v>6</x:v>
      </x:c>
      <x:c r="X163" s="3"/>
      <x:c r="Y163" s="3"/>
      <x:c r="Z163" s="3"/>
    </x:row>
    <x:row r="164" ht="15" customHeight="1">
      <x:c r="A164" s="3"/>
      <x:c r="B164" s="3"/>
      <x:c r="C164" s="3"/>
      <x:c r="D164" s="3"/>
      <x:c r="E164" s="3"/>
      <x:c r="F164" s="3"/>
      <x:c r="G164" s="3"/>
      <x:c r="H164" s="3"/>
      <x:c r="I164" s="3"/>
      <x:c r="J164" s="10" t="n">
        <x:v>46015</x:v>
      </x:c>
      <x:c r="K164" s="8" t="n">
        <x:f>INDEX('Сводка'!$S$3:$S$397,U164)</x:f>
        <x:v>-21</x:v>
      </x:c>
      <x:c r="L164" s="8" t="n">
        <x:f>INDEX('Сводка'!$S$3:$S$397,V164)</x:f>
        <x:v>-23</x:v>
      </x:c>
      <x:c r="M164" s="8" t="n">
        <x:f>INDEX($K$388:$N$400,W164,1)+INDEX($K$388:$N$400,W164,2)*(2*(J164-$T$405)/(T164-$T$405)-1)^1+INDEX($K$388:$N$400,W164,3)*(2*(J164-$T$405)/(T164-$T$405)-1)^2+INDEX($O$388:$Z$400,W164,MONTH(J164))</x:f>
        <x:v>31.888438946462685</x:v>
      </x:c>
      <x:c r="N164" s="8" t="n">
        <x:f>K164-M164</x:f>
        <x:v>-52.888438946462685</x:v>
      </x:c>
      <x:c r="O164" s="8" t="n">
        <x:f>ABS(N164)</x:f>
        <x:v>52.888438946462685</x:v>
      </x:c>
      <x:c r="P164" s="8" t="n">
        <x:f>N164^2</x:f>
        <x:v>2797.1869741937107</x:v>
      </x:c>
      <x:c r="Q164" s="8" t="n">
        <x:f>K164-L164</x:f>
        <x:v>2</x:v>
      </x:c>
      <x:c r="R164" s="9" t="n">
        <x:f>IF(AND(INDEX('Сводка'!$T$3:$T$397,U164)=0,INDEX('Сводка'!$T$3:$T$397,V164)=0),1,0)</x:f>
        <x:v>1</x:v>
      </x:c>
      <x:c r="S164" s="9" t="n">
        <x:f>IF(AND(R164=1,O164&lt;=$G$13),1,0)</x:f>
        <x:v>0</x:v>
      </x:c>
      <x:c r="T164" s="10" t="n">
        <x:f>EOMONTH(J164-'Сводка'!$B$11,-1)</x:f>
        <x:v>45991</x:v>
      </x:c>
      <x:c r="U164" s="4" t="n">
        <x:f>MATCH(J164,'Сводка'!$R$3:$R$397,0)</x:f>
        <x:v>175</x:v>
      </x:c>
      <x:c r="V164" s="4" t="n">
        <x:f>MATCH(J164-'Сводка'!$B$11,'Сводка'!$R$3:$R$397,0)</x:f>
        <x:v>174</x:v>
      </x:c>
      <x:c r="W164" s="4" t="n">
        <x:f>MATCH(T164,$J$388:$J$400,0)</x:f>
        <x:v>6</x:v>
      </x:c>
      <x:c r="X164" s="3"/>
      <x:c r="Y164" s="3"/>
      <x:c r="Z164" s="3"/>
    </x:row>
    <x:row r="165" ht="15" customHeight="1">
      <x:c r="A165" s="3"/>
      <x:c r="B165" s="3"/>
      <x:c r="C165" s="3"/>
      <x:c r="D165" s="3"/>
      <x:c r="E165" s="3"/>
      <x:c r="F165" s="3"/>
      <x:c r="G165" s="3"/>
      <x:c r="H165" s="3"/>
      <x:c r="I165" s="3"/>
      <x:c r="J165" s="10" t="n">
        <x:v>46016</x:v>
      </x:c>
      <x:c r="K165" s="8" t="n">
        <x:f>INDEX('Сводка'!$S$3:$S$397,U165)</x:f>
        <x:v>-19</x:v>
      </x:c>
      <x:c r="L165" s="8" t="n">
        <x:f>INDEX('Сводка'!$S$3:$S$397,V165)</x:f>
        <x:v>-21</x:v>
      </x:c>
      <x:c r="M165" s="8" t="n">
        <x:f>INDEX($K$388:$N$400,W165,1)+INDEX($K$388:$N$400,W165,2)*(2*(J165-$T$405)/(T165-$T$405)-1)^1+INDEX($K$388:$N$400,W165,3)*(2*(J165-$T$405)/(T165-$T$405)-1)^2+INDEX($O$388:$Z$400,W165,MONTH(J165))</x:f>
        <x:v>31.882033675024104</x:v>
      </x:c>
      <x:c r="N165" s="8" t="n">
        <x:f>K165-M165</x:f>
        <x:v>-50.882033675024104</x:v>
      </x:c>
      <x:c r="O165" s="8" t="n">
        <x:f>ABS(N165)</x:f>
        <x:v>50.882033675024104</x:v>
      </x:c>
      <x:c r="P165" s="8" t="n">
        <x:f>N165^2</x:f>
        <x:v>2588.981350906287</x:v>
      </x:c>
      <x:c r="Q165" s="8" t="n">
        <x:f>K165-L165</x:f>
        <x:v>2</x:v>
      </x:c>
      <x:c r="R165" s="9" t="n">
        <x:f>IF(AND(INDEX('Сводка'!$T$3:$T$397,U165)=0,INDEX('Сводка'!$T$3:$T$397,V165)=0),1,0)</x:f>
        <x:v>1</x:v>
      </x:c>
      <x:c r="S165" s="9" t="n">
        <x:f>IF(AND(R165=1,O165&lt;=$G$13),1,0)</x:f>
        <x:v>0</x:v>
      </x:c>
      <x:c r="T165" s="10" t="n">
        <x:f>EOMONTH(J165-'Сводка'!$B$11,-1)</x:f>
        <x:v>45991</x:v>
      </x:c>
      <x:c r="U165" s="4" t="n">
        <x:f>MATCH(J165,'Сводка'!$R$3:$R$397,0)</x:f>
        <x:v>176</x:v>
      </x:c>
      <x:c r="V165" s="4" t="n">
        <x:f>MATCH(J165-'Сводка'!$B$11,'Сводка'!$R$3:$R$397,0)</x:f>
        <x:v>175</x:v>
      </x:c>
      <x:c r="W165" s="4" t="n">
        <x:f>MATCH(T165,$J$388:$J$400,0)</x:f>
        <x:v>6</x:v>
      </x:c>
      <x:c r="X165" s="3"/>
      <x:c r="Y165" s="3"/>
      <x:c r="Z165" s="3"/>
    </x:row>
    <x:row r="166" ht="15" customHeight="1">
      <x:c r="A166" s="3"/>
      <x:c r="B166" s="3"/>
      <x:c r="C166" s="3"/>
      <x:c r="D166" s="3"/>
      <x:c r="E166" s="3"/>
      <x:c r="F166" s="3"/>
      <x:c r="G166" s="3"/>
      <x:c r="H166" s="3"/>
      <x:c r="I166" s="3"/>
      <x:c r="J166" s="10" t="n">
        <x:v>46017</x:v>
      </x:c>
      <x:c r="K166" s="8" t="n">
        <x:f>INDEX('Сводка'!$S$3:$S$397,U166)</x:f>
        <x:v>-17</x:v>
      </x:c>
      <x:c r="L166" s="8" t="n">
        <x:f>INDEX('Сводка'!$S$3:$S$397,V166)</x:f>
        <x:v>-19</x:v>
      </x:c>
      <x:c r="M166" s="8" t="n">
        <x:f>INDEX($K$388:$N$400,W166,1)+INDEX($K$388:$N$400,W166,2)*(2*(J166-$T$405)/(T166-$T$405)-1)^1+INDEX($K$388:$N$400,W166,3)*(2*(J166-$T$405)/(T166-$T$405)-1)^2+INDEX($O$388:$Z$400,W166,MONTH(J166))</x:f>
        <x:v>31.875622300168317</x:v>
      </x:c>
      <x:c r="N166" s="8" t="n">
        <x:f>K166-M166</x:f>
        <x:v>-48.87562230016832</x:v>
      </x:c>
      <x:c r="O166" s="8" t="n">
        <x:f>ABS(N166)</x:f>
        <x:v>48.87562230016832</x:v>
      </x:c>
      <x:c r="P166" s="8" t="n">
        <x:f>N166^2</x:f>
        <x:v>2388.8264552287105</x:v>
      </x:c>
      <x:c r="Q166" s="8" t="n">
        <x:f>K166-L166</x:f>
        <x:v>2</x:v>
      </x:c>
      <x:c r="R166" s="9" t="n">
        <x:f>IF(AND(INDEX('Сводка'!$T$3:$T$397,U166)=0,INDEX('Сводка'!$T$3:$T$397,V166)=0),1,0)</x:f>
        <x:v>1</x:v>
      </x:c>
      <x:c r="S166" s="9" t="n">
        <x:f>IF(AND(R166=1,O166&lt;=$G$13),1,0)</x:f>
        <x:v>0</x:v>
      </x:c>
      <x:c r="T166" s="10" t="n">
        <x:f>EOMONTH(J166-'Сводка'!$B$11,-1)</x:f>
        <x:v>45991</x:v>
      </x:c>
      <x:c r="U166" s="4" t="n">
        <x:f>MATCH(J166,'Сводка'!$R$3:$R$397,0)</x:f>
        <x:v>177</x:v>
      </x:c>
      <x:c r="V166" s="4" t="n">
        <x:f>MATCH(J166-'Сводка'!$B$11,'Сводка'!$R$3:$R$397,0)</x:f>
        <x:v>176</x:v>
      </x:c>
      <x:c r="W166" s="4" t="n">
        <x:f>MATCH(T166,$J$388:$J$400,0)</x:f>
        <x:v>6</x:v>
      </x:c>
      <x:c r="X166" s="3"/>
      <x:c r="Y166" s="3"/>
      <x:c r="Z166" s="3"/>
    </x:row>
    <x:row r="167" ht="15" customHeight="1">
      <x:c r="A167" s="3"/>
      <x:c r="B167" s="3"/>
      <x:c r="C167" s="3"/>
      <x:c r="D167" s="3"/>
      <x:c r="E167" s="3"/>
      <x:c r="F167" s="3"/>
      <x:c r="G167" s="3"/>
      <x:c r="H167" s="3"/>
      <x:c r="I167" s="3"/>
      <x:c r="J167" s="10" t="n">
        <x:v>46018</x:v>
      </x:c>
      <x:c r="K167" s="8" t="n">
        <x:f>INDEX('Сводка'!$S$3:$S$397,U167)</x:f>
        <x:v>-15</x:v>
      </x:c>
      <x:c r="L167" s="8" t="n">
        <x:f>INDEX('Сводка'!$S$3:$S$397,V167)</x:f>
        <x:v>-17</x:v>
      </x:c>
      <x:c r="M167" s="8" t="n">
        <x:f>INDEX($K$388:$N$400,W167,1)+INDEX($K$388:$N$400,W167,2)*(2*(J167-$T$405)/(T167-$T$405)-1)^1+INDEX($K$388:$N$400,W167,3)*(2*(J167-$T$405)/(T167-$T$405)-1)^2+INDEX($O$388:$Z$400,W167,MONTH(J167))</x:f>
        <x:v>31.869204821895323</x:v>
      </x:c>
      <x:c r="N167" s="8" t="n">
        <x:f>K167-M167</x:f>
        <x:v>-46.86920482189532</x:v>
      </x:c>
      <x:c r="O167" s="8" t="n">
        <x:f>ABS(N167)</x:f>
        <x:v>46.86920482189532</x:v>
      </x:c>
      <x:c r="P167" s="8" t="n">
        <x:f>N167^2</x:f>
        <x:v>2196.7223606367756</x:v>
      </x:c>
      <x:c r="Q167" s="8" t="n">
        <x:f>K167-L167</x:f>
        <x:v>2</x:v>
      </x:c>
      <x:c r="R167" s="9" t="n">
        <x:f>IF(AND(INDEX('Сводка'!$T$3:$T$397,U167)=0,INDEX('Сводка'!$T$3:$T$397,V167)=0),1,0)</x:f>
        <x:v>1</x:v>
      </x:c>
      <x:c r="S167" s="9" t="n">
        <x:f>IF(AND(R167=1,O167&lt;=$G$13),1,0)</x:f>
        <x:v>0</x:v>
      </x:c>
      <x:c r="T167" s="10" t="n">
        <x:f>EOMONTH(J167-'Сводка'!$B$11,-1)</x:f>
        <x:v>45991</x:v>
      </x:c>
      <x:c r="U167" s="4" t="n">
        <x:f>MATCH(J167,'Сводка'!$R$3:$R$397,0)</x:f>
        <x:v>178</x:v>
      </x:c>
      <x:c r="V167" s="4" t="n">
        <x:f>MATCH(J167-'Сводка'!$B$11,'Сводка'!$R$3:$R$397,0)</x:f>
        <x:v>177</x:v>
      </x:c>
      <x:c r="W167" s="4" t="n">
        <x:f>MATCH(T167,$J$388:$J$400,0)</x:f>
        <x:v>6</x:v>
      </x:c>
      <x:c r="X167" s="3"/>
      <x:c r="Y167" s="3"/>
      <x:c r="Z167" s="3"/>
    </x:row>
    <x:row r="168" ht="15" customHeight="1">
      <x:c r="A168" s="3"/>
      <x:c r="B168" s="3"/>
      <x:c r="C168" s="3"/>
      <x:c r="D168" s="3"/>
      <x:c r="E168" s="3"/>
      <x:c r="F168" s="3"/>
      <x:c r="G168" s="3"/>
      <x:c r="H168" s="3"/>
      <x:c r="I168" s="3"/>
      <x:c r="J168" s="10" t="n">
        <x:v>46019</x:v>
      </x:c>
      <x:c r="K168" s="8" t="n">
        <x:f>INDEX('Сводка'!$S$3:$S$397,U168)</x:f>
        <x:v>-12</x:v>
      </x:c>
      <x:c r="L168" s="8" t="n">
        <x:f>INDEX('Сводка'!$S$3:$S$397,V168)</x:f>
        <x:v>-15</x:v>
      </x:c>
      <x:c r="M168" s="8" t="n">
        <x:f>INDEX($K$388:$N$400,W168,1)+INDEX($K$388:$N$400,W168,2)*(2*(J168-$T$405)/(T168-$T$405)-1)^1+INDEX($K$388:$N$400,W168,3)*(2*(J168-$T$405)/(T168-$T$405)-1)^2+INDEX($O$388:$Z$400,W168,MONTH(J168))</x:f>
        <x:v>31.86278124020518</x:v>
      </x:c>
      <x:c r="N168" s="8" t="n">
        <x:f>K168-M168</x:f>
        <x:v>-43.86278124020518</x:v>
      </x:c>
      <x:c r="O168" s="8" t="n">
        <x:f>ABS(N168)</x:f>
        <x:v>43.86278124020518</x:v>
      </x:c>
      <x:c r="P168" s="8" t="n">
        <x:f>N168^2</x:f>
        <x:v>1923.9435781260954</x:v>
      </x:c>
      <x:c r="Q168" s="8" t="n">
        <x:f>K168-L168</x:f>
        <x:v>3</x:v>
      </x:c>
      <x:c r="R168" s="9" t="n">
        <x:f>IF(AND(INDEX('Сводка'!$T$3:$T$397,U168)=0,INDEX('Сводка'!$T$3:$T$397,V168)=0),1,0)</x:f>
        <x:v>1</x:v>
      </x:c>
      <x:c r="S168" s="9" t="n">
        <x:f>IF(AND(R168=1,O168&lt;=$G$13),1,0)</x:f>
        <x:v>0</x:v>
      </x:c>
      <x:c r="T168" s="10" t="n">
        <x:f>EOMONTH(J168-'Сводка'!$B$11,-1)</x:f>
        <x:v>45991</x:v>
      </x:c>
      <x:c r="U168" s="4" t="n">
        <x:f>MATCH(J168,'Сводка'!$R$3:$R$397,0)</x:f>
        <x:v>179</x:v>
      </x:c>
      <x:c r="V168" s="4" t="n">
        <x:f>MATCH(J168-'Сводка'!$B$11,'Сводка'!$R$3:$R$397,0)</x:f>
        <x:v>178</x:v>
      </x:c>
      <x:c r="W168" s="4" t="n">
        <x:f>MATCH(T168,$J$388:$J$400,0)</x:f>
        <x:v>6</x:v>
      </x:c>
      <x:c r="X168" s="3"/>
      <x:c r="Y168" s="3"/>
      <x:c r="Z168" s="3"/>
    </x:row>
    <x:row r="169" ht="15" customHeight="1">
      <x:c r="A169" s="3"/>
      <x:c r="B169" s="3"/>
      <x:c r="C169" s="3"/>
      <x:c r="D169" s="3"/>
      <x:c r="E169" s="3"/>
      <x:c r="F169" s="3"/>
      <x:c r="G169" s="3"/>
      <x:c r="H169" s="3"/>
      <x:c r="I169" s="3"/>
      <x:c r="J169" s="10" t="n">
        <x:v>46020</x:v>
      </x:c>
      <x:c r="K169" s="8" t="n">
        <x:f>INDEX('Сводка'!$S$3:$S$397,U169)</x:f>
        <x:v>-6</x:v>
      </x:c>
      <x:c r="L169" s="8" t="n">
        <x:f>INDEX('Сводка'!$S$3:$S$397,V169)</x:f>
        <x:v>-12</x:v>
      </x:c>
      <x:c r="M169" s="8" t="n">
        <x:f>INDEX($K$388:$N$400,W169,1)+INDEX($K$388:$N$400,W169,2)*(2*(J169-$T$405)/(T169-$T$405)-1)^1+INDEX($K$388:$N$400,W169,3)*(2*(J169-$T$405)/(T169-$T$405)-1)^2+INDEX($O$388:$Z$400,W169,MONTH(J169))</x:f>
        <x:v>31.856351555097817</x:v>
      </x:c>
      <x:c r="N169" s="8" t="n">
        <x:f>K169-M169</x:f>
        <x:v>-37.85635155509782</x:v>
      </x:c>
      <x:c r="O169" s="8" t="n">
        <x:f>ABS(N169)</x:f>
        <x:v>37.85635155509782</x:v>
      </x:c>
      <x:c r="P169" s="8" t="n">
        <x:f>N169^2</x:f>
        <x:v>1433.1033530631569</x:v>
      </x:c>
      <x:c r="Q169" s="8" t="n">
        <x:f>K169-L169</x:f>
        <x:v>6</x:v>
      </x:c>
      <x:c r="R169" s="9" t="n">
        <x:f>IF(AND(INDEX('Сводка'!$T$3:$T$397,U169)=0,INDEX('Сводка'!$T$3:$T$397,V169)=0),1,0)</x:f>
        <x:v>1</x:v>
      </x:c>
      <x:c r="S169" s="9" t="n">
        <x:f>IF(AND(R169=1,O169&lt;=$G$13),1,0)</x:f>
        <x:v>0</x:v>
      </x:c>
      <x:c r="T169" s="10" t="n">
        <x:f>EOMONTH(J169-'Сводка'!$B$11,-1)</x:f>
        <x:v>45991</x:v>
      </x:c>
      <x:c r="U169" s="4" t="n">
        <x:f>MATCH(J169,'Сводка'!$R$3:$R$397,0)</x:f>
        <x:v>180</x:v>
      </x:c>
      <x:c r="V169" s="4" t="n">
        <x:f>MATCH(J169-'Сводка'!$B$11,'Сводка'!$R$3:$R$397,0)</x:f>
        <x:v>179</x:v>
      </x:c>
      <x:c r="W169" s="4" t="n">
        <x:f>MATCH(T169,$J$388:$J$400,0)</x:f>
        <x:v>6</x:v>
      </x:c>
      <x:c r="X169" s="3"/>
      <x:c r="Y169" s="3"/>
      <x:c r="Z169" s="3"/>
    </x:row>
    <x:row r="170" ht="15" customHeight="1">
      <x:c r="A170" s="3"/>
      <x:c r="B170" s="3"/>
      <x:c r="C170" s="3"/>
      <x:c r="D170" s="3"/>
      <x:c r="E170" s="3"/>
      <x:c r="F170" s="3"/>
      <x:c r="G170" s="3"/>
      <x:c r="H170" s="3"/>
      <x:c r="I170" s="3"/>
      <x:c r="J170" s="10" t="n">
        <x:v>46021</x:v>
      </x:c>
      <x:c r="K170" s="8" t="n">
        <x:f>INDEX('Сводка'!$S$3:$S$397,U170)</x:f>
        <x:v>-3</x:v>
      </x:c>
      <x:c r="L170" s="8" t="n">
        <x:f>INDEX('Сводка'!$S$3:$S$397,V170)</x:f>
        <x:v>-6</x:v>
      </x:c>
      <x:c r="M170" s="8" t="n">
        <x:f>INDEX($K$388:$N$400,W170,1)+INDEX($K$388:$N$400,W170,2)*(2*(J170-$T$405)/(T170-$T$405)-1)^1+INDEX($K$388:$N$400,W170,3)*(2*(J170-$T$405)/(T170-$T$405)-1)^2+INDEX($O$388:$Z$400,W170,MONTH(J170))</x:f>
        <x:v>31.849915766573275</x:v>
      </x:c>
      <x:c r="N170" s="8" t="n">
        <x:f>K170-M170</x:f>
        <x:v>-34.849915766573275</x:v>
      </x:c>
      <x:c r="O170" s="8" t="n">
        <x:f>ABS(N170)</x:f>
        <x:v>34.849915766573275</x:v>
      </x:c>
      <x:c r="P170" s="8" t="n">
        <x:f>N170^2</x:f>
        <x:v>1214.5166289372526</x:v>
      </x:c>
      <x:c r="Q170" s="8" t="n">
        <x:f>K170-L170</x:f>
        <x:v>3</x:v>
      </x:c>
      <x:c r="R170" s="9" t="n">
        <x:f>IF(AND(INDEX('Сводка'!$T$3:$T$397,U170)=0,INDEX('Сводка'!$T$3:$T$397,V170)=0),1,0)</x:f>
        <x:v>1</x:v>
      </x:c>
      <x:c r="S170" s="9" t="n">
        <x:f>IF(AND(R170=1,O170&lt;=$G$13),1,0)</x:f>
        <x:v>0</x:v>
      </x:c>
      <x:c r="T170" s="10" t="n">
        <x:f>EOMONTH(J170-'Сводка'!$B$11,-1)</x:f>
        <x:v>45991</x:v>
      </x:c>
      <x:c r="U170" s="4" t="n">
        <x:f>MATCH(J170,'Сводка'!$R$3:$R$397,0)</x:f>
        <x:v>181</x:v>
      </x:c>
      <x:c r="V170" s="4" t="n">
        <x:f>MATCH(J170-'Сводка'!$B$11,'Сводка'!$R$3:$R$397,0)</x:f>
        <x:v>180</x:v>
      </x:c>
      <x:c r="W170" s="4" t="n">
        <x:f>MATCH(T170,$J$388:$J$400,0)</x:f>
        <x:v>6</x:v>
      </x:c>
      <x:c r="X170" s="3"/>
      <x:c r="Y170" s="3"/>
      <x:c r="Z170" s="3"/>
    </x:row>
    <x:row r="171" ht="15" customHeight="1">
      <x:c r="A171" s="3"/>
      <x:c r="B171" s="3"/>
      <x:c r="C171" s="3"/>
      <x:c r="D171" s="3"/>
      <x:c r="E171" s="3"/>
      <x:c r="F171" s="3"/>
      <x:c r="G171" s="3"/>
      <x:c r="H171" s="3"/>
      <x:c r="I171" s="3"/>
      <x:c r="J171" s="10" t="n">
        <x:v>46022</x:v>
      </x:c>
      <x:c r="K171" s="8" t="n">
        <x:f>INDEX('Сводка'!$S$3:$S$397,U171)</x:f>
        <x:v>0</x:v>
      </x:c>
      <x:c r="L171" s="8" t="n">
        <x:f>INDEX('Сводка'!$S$3:$S$397,V171)</x:f>
        <x:v>-3</x:v>
      </x:c>
      <x:c r="M171" s="8" t="n">
        <x:f>INDEX($K$388:$N$400,W171,1)+INDEX($K$388:$N$400,W171,2)*(2*(J171-$T$405)/(T171-$T$405)-1)^1+INDEX($K$388:$N$400,W171,3)*(2*(J171-$T$405)/(T171-$T$405)-1)^2+INDEX($O$388:$Z$400,W171,MONTH(J171))</x:f>
        <x:v>31.8434738746315</x:v>
      </x:c>
      <x:c r="N171" s="8" t="n">
        <x:f>K171-M171</x:f>
        <x:v>-31.8434738746315</x:v>
      </x:c>
      <x:c r="O171" s="8" t="n">
        <x:f>ABS(N171)</x:f>
        <x:v>31.8434738746315</x:v>
      </x:c>
      <x:c r="P171" s="8" t="n">
        <x:f>N171^2</x:f>
        <x:v>1014.0068284043389</x:v>
      </x:c>
      <x:c r="Q171" s="8" t="n">
        <x:f>K171-L171</x:f>
        <x:v>3</x:v>
      </x:c>
      <x:c r="R171" s="9" t="n">
        <x:f>IF(AND(INDEX('Сводка'!$T$3:$T$397,U171)=0,INDEX('Сводка'!$T$3:$T$397,V171)=0),1,0)</x:f>
        <x:v>0</x:v>
      </x:c>
      <x:c r="S171" s="9" t="n">
        <x:f>IF(AND(R171=1,O171&lt;=$G$13),1,0)</x:f>
        <x:v>0</x:v>
      </x:c>
      <x:c r="T171" s="10" t="n">
        <x:f>EOMONTH(J171-'Сводка'!$B$11,-1)</x:f>
        <x:v>45991</x:v>
      </x:c>
      <x:c r="U171" s="4" t="n">
        <x:f>MATCH(J171,'Сводка'!$R$3:$R$397,0)</x:f>
        <x:v>182</x:v>
      </x:c>
      <x:c r="V171" s="4" t="n">
        <x:f>MATCH(J171-'Сводка'!$B$11,'Сводка'!$R$3:$R$397,0)</x:f>
        <x:v>181</x:v>
      </x:c>
      <x:c r="W171" s="4" t="n">
        <x:f>MATCH(T171,$J$388:$J$400,0)</x:f>
        <x:v>6</x:v>
      </x:c>
      <x:c r="X171" s="3"/>
      <x:c r="Y171" s="3"/>
      <x:c r="Z171" s="3"/>
    </x:row>
    <x:row r="172" ht="15" customHeight="1">
      <x:c r="A172" s="3"/>
      <x:c r="B172" s="3"/>
      <x:c r="C172" s="3"/>
      <x:c r="D172" s="3"/>
      <x:c r="E172" s="3"/>
      <x:c r="F172" s="3"/>
      <x:c r="G172" s="3"/>
      <x:c r="H172" s="3"/>
      <x:c r="I172" s="3"/>
      <x:c r="J172" s="10" t="n">
        <x:v>46023</x:v>
      </x:c>
      <x:c r="K172" s="8" t="n">
        <x:f>INDEX('Сводка'!$S$3:$S$397,U172)</x:f>
        <x:v>3</x:v>
      </x:c>
      <x:c r="L172" s="8" t="n">
        <x:f>INDEX('Сводка'!$S$3:$S$397,V172)</x:f>
        <x:v>0</x:v>
      </x:c>
      <x:c r="M172" s="8" t="n">
        <x:f>INDEX($K$388:$N$400,W172,1)+INDEX($K$388:$N$400,W172,2)*(2*(J172-$T$405)/(T172-$T$405)-1)^1+INDEX($K$388:$N$400,W172,3)*(2*(J172-$T$405)/(T172-$T$405)-1)^2+INDEX($O$388:$Z$400,W172,MONTH(J172))</x:f>
        <x:v>21.668137908113238</x:v>
      </x:c>
      <x:c r="N172" s="8" t="n">
        <x:f>K172-M172</x:f>
        <x:v>-18.668137908113238</x:v>
      </x:c>
      <x:c r="O172" s="8" t="n">
        <x:f>ABS(N172)</x:f>
        <x:v>18.668137908113238</x:v>
      </x:c>
      <x:c r="P172" s="8" t="n">
        <x:f>N172^2</x:f>
        <x:v>348.49937295633447</x:v>
      </x:c>
      <x:c r="Q172" s="8" t="n">
        <x:f>K172-L172</x:f>
        <x:v>3</x:v>
      </x:c>
      <x:c r="R172" s="9" t="n">
        <x:f>IF(AND(INDEX('Сводка'!$T$3:$T$397,U172)=0,INDEX('Сводка'!$T$3:$T$397,V172)=0),1,0)</x:f>
        <x:v>0</x:v>
      </x:c>
      <x:c r="S172" s="9" t="n">
        <x:f>IF(AND(R172=1,O172&lt;=$G$13),1,0)</x:f>
        <x:v>0</x:v>
      </x:c>
      <x:c r="T172" s="10" t="n">
        <x:f>EOMONTH(J172-'Сводка'!$B$11,-1)</x:f>
        <x:v>45991</x:v>
      </x:c>
      <x:c r="U172" s="4" t="n">
        <x:f>MATCH(J172,'Сводка'!$R$3:$R$397,0)</x:f>
        <x:v>183</x:v>
      </x:c>
      <x:c r="V172" s="4" t="n">
        <x:f>MATCH(J172-'Сводка'!$B$11,'Сводка'!$R$3:$R$397,0)</x:f>
        <x:v>182</x:v>
      </x:c>
      <x:c r="W172" s="4" t="n">
        <x:f>MATCH(T172,$J$388:$J$400,0)</x:f>
        <x:v>6</x:v>
      </x:c>
      <x:c r="X172" s="3"/>
      <x:c r="Y172" s="3"/>
      <x:c r="Z172" s="3"/>
    </x:row>
    <x:row r="173" ht="15" customHeight="1">
      <x:c r="A173" s="3"/>
      <x:c r="B173" s="3"/>
      <x:c r="C173" s="3"/>
      <x:c r="D173" s="3"/>
      <x:c r="E173" s="3"/>
      <x:c r="F173" s="3"/>
      <x:c r="G173" s="3"/>
      <x:c r="H173" s="3"/>
      <x:c r="I173" s="3"/>
      <x:c r="J173" s="10" t="n">
        <x:v>46024</x:v>
      </x:c>
      <x:c r="K173" s="8" t="n">
        <x:f>INDEX('Сводка'!$S$3:$S$397,U173)</x:f>
        <x:v>6</x:v>
      </x:c>
      <x:c r="L173" s="8" t="n">
        <x:f>INDEX('Сводка'!$S$3:$S$397,V173)</x:f>
        <x:v>3</x:v>
      </x:c>
      <x:c r="M173" s="8" t="n">
        <x:f>INDEX($K$388:$N$400,W173,1)+INDEX($K$388:$N$400,W173,2)*(2*(J173-$T$405)/(T173-$T$405)-1)^1+INDEX($K$388:$N$400,W173,3)*(2*(J173-$T$405)/(T173-$T$405)-1)^2+INDEX($O$388:$Z$400,W173,MONTH(J173))</x:f>
        <x:v>20.021552299324824</x:v>
      </x:c>
      <x:c r="N173" s="8" t="n">
        <x:f>K173-M173</x:f>
        <x:v>-14.021552299324824</x:v>
      </x:c>
      <x:c r="O173" s="8" t="n">
        <x:f>ABS(N173)</x:f>
        <x:v>14.021552299324824</x:v>
      </x:c>
      <x:c r="P173" s="8" t="n">
        <x:f>N173^2</x:f>
        <x:v>196.60392888270127</x:v>
      </x:c>
      <x:c r="Q173" s="8" t="n">
        <x:f>K173-L173</x:f>
        <x:v>3</x:v>
      </x:c>
      <x:c r="R173" s="9" t="n">
        <x:f>IF(AND(INDEX('Сводка'!$T$3:$T$397,U173)=0,INDEX('Сводка'!$T$3:$T$397,V173)=0),1,0)</x:f>
        <x:v>1</x:v>
      </x:c>
      <x:c r="S173" s="9" t="n">
        <x:f>IF(AND(R173=1,O173&lt;=$G$13),1,0)</x:f>
        <x:v>0</x:v>
      </x:c>
      <x:c r="T173" s="10" t="n">
        <x:f>EOMONTH(J173-'Сводка'!$B$11,-1)</x:f>
        <x:v>46022</x:v>
      </x:c>
      <x:c r="U173" s="4" t="n">
        <x:f>MATCH(J173,'Сводка'!$R$3:$R$397,0)</x:f>
        <x:v>184</x:v>
      </x:c>
      <x:c r="V173" s="4" t="n">
        <x:f>MATCH(J173-'Сводка'!$B$11,'Сводка'!$R$3:$R$397,0)</x:f>
        <x:v>183</x:v>
      </x:c>
      <x:c r="W173" s="4" t="n">
        <x:f>MATCH(T173,$J$388:$J$400,0)</x:f>
        <x:v>7</x:v>
      </x:c>
      <x:c r="X173" s="3"/>
      <x:c r="Y173" s="3"/>
      <x:c r="Z173" s="3"/>
    </x:row>
    <x:row r="174" ht="15" customHeight="1">
      <x:c r="A174" s="3"/>
      <x:c r="B174" s="3"/>
      <x:c r="C174" s="3"/>
      <x:c r="D174" s="3"/>
      <x:c r="E174" s="3"/>
      <x:c r="F174" s="3"/>
      <x:c r="G174" s="3"/>
      <x:c r="H174" s="3"/>
      <x:c r="I174" s="3"/>
      <x:c r="J174" s="10" t="n">
        <x:v>46025</x:v>
      </x:c>
      <x:c r="K174" s="8" t="n">
        <x:f>INDEX('Сводка'!$S$3:$S$397,U174)</x:f>
        <x:v>6</x:v>
      </x:c>
      <x:c r="L174" s="8" t="n">
        <x:f>INDEX('Сводка'!$S$3:$S$397,V174)</x:f>
        <x:v>6</x:v>
      </x:c>
      <x:c r="M174" s="8" t="n">
        <x:f>INDEX($K$388:$N$400,W174,1)+INDEX($K$388:$N$400,W174,2)*(2*(J174-$T$405)/(T174-$T$405)-1)^1+INDEX($K$388:$N$400,W174,3)*(2*(J174-$T$405)/(T174-$T$405)-1)^2+INDEX($O$388:$Z$400,W174,MONTH(J174))</x:f>
        <x:v>20.014318428950247</x:v>
      </x:c>
      <x:c r="N174" s="8" t="n">
        <x:f>K174-M174</x:f>
        <x:v>-14.014318428950247</x:v>
      </x:c>
      <x:c r="O174" s="8" t="n">
        <x:f>ABS(N174)</x:f>
        <x:v>14.014318428950247</x:v>
      </x:c>
      <x:c r="P174" s="8" t="n">
        <x:f>N174^2</x:f>
        <x:v>196.40112102801453</x:v>
      </x:c>
      <x:c r="Q174" s="8" t="n">
        <x:f>K174-L174</x:f>
        <x:v>0</x:v>
      </x:c>
      <x:c r="R174" s="9" t="n">
        <x:f>IF(AND(INDEX('Сводка'!$T$3:$T$397,U174)=0,INDEX('Сводка'!$T$3:$T$397,V174)=0),1,0)</x:f>
        <x:v>1</x:v>
      </x:c>
      <x:c r="S174" s="9" t="n">
        <x:f>IF(AND(R174=1,O174&lt;=$G$13),1,0)</x:f>
        <x:v>0</x:v>
      </x:c>
      <x:c r="T174" s="10" t="n">
        <x:f>EOMONTH(J174-'Сводка'!$B$11,-1)</x:f>
        <x:v>46022</x:v>
      </x:c>
      <x:c r="U174" s="4" t="n">
        <x:f>MATCH(J174,'Сводка'!$R$3:$R$397,0)</x:f>
        <x:v>185</x:v>
      </x:c>
      <x:c r="V174" s="4" t="n">
        <x:f>MATCH(J174-'Сводка'!$B$11,'Сводка'!$R$3:$R$397,0)</x:f>
        <x:v>184</x:v>
      </x:c>
      <x:c r="W174" s="4" t="n">
        <x:f>MATCH(T174,$J$388:$J$400,0)</x:f>
        <x:v>7</x:v>
      </x:c>
      <x:c r="X174" s="3"/>
      <x:c r="Y174" s="3"/>
      <x:c r="Z174" s="3"/>
    </x:row>
    <x:row r="175" ht="15" customHeight="1">
      <x:c r="A175" s="3"/>
      <x:c r="B175" s="3"/>
      <x:c r="C175" s="3"/>
      <x:c r="D175" s="3"/>
      <x:c r="E175" s="3"/>
      <x:c r="F175" s="3"/>
      <x:c r="G175" s="3"/>
      <x:c r="H175" s="3"/>
      <x:c r="I175" s="3"/>
      <x:c r="J175" s="10" t="n">
        <x:v>46026</x:v>
      </x:c>
      <x:c r="K175" s="8" t="n">
        <x:f>INDEX('Сводка'!$S$3:$S$397,U175)</x:f>
        <x:v>6</x:v>
      </x:c>
      <x:c r="L175" s="8" t="n">
        <x:f>INDEX('Сводка'!$S$3:$S$397,V175)</x:f>
        <x:v>6</x:v>
      </x:c>
      <x:c r="M175" s="8" t="n">
        <x:f>INDEX($K$388:$N$400,W175,1)+INDEX($K$388:$N$400,W175,2)*(2*(J175-$T$405)/(T175-$T$405)-1)^1+INDEX($K$388:$N$400,W175,3)*(2*(J175-$T$405)/(T175-$T$405)-1)^2+INDEX($O$388:$Z$400,W175,MONTH(J175))</x:f>
        <x:v>20.007078309389783</x:v>
      </x:c>
      <x:c r="N175" s="8" t="n">
        <x:f>K175-M175</x:f>
        <x:v>-14.007078309389783</x:v>
      </x:c>
      <x:c r="O175" s="8" t="n">
        <x:f>ABS(N175)</x:f>
        <x:v>14.007078309389783</x:v>
      </x:c>
      <x:c r="P175" s="8" t="n">
        <x:f>N175^2</x:f>
        <x:v>196.19824276537776</x:v>
      </x:c>
      <x:c r="Q175" s="8" t="n">
        <x:f>K175-L175</x:f>
        <x:v>0</x:v>
      </x:c>
      <x:c r="R175" s="9" t="n">
        <x:f>IF(AND(INDEX('Сводка'!$T$3:$T$397,U175)=0,INDEX('Сводка'!$T$3:$T$397,V175)=0),1,0)</x:f>
        <x:v>1</x:v>
      </x:c>
      <x:c r="S175" s="9" t="n">
        <x:f>IF(AND(R175=1,O175&lt;=$G$13),1,0)</x:f>
        <x:v>0</x:v>
      </x:c>
      <x:c r="T175" s="10" t="n">
        <x:f>EOMONTH(J175-'Сводка'!$B$11,-1)</x:f>
        <x:v>46022</x:v>
      </x:c>
      <x:c r="U175" s="4" t="n">
        <x:f>MATCH(J175,'Сводка'!$R$3:$R$397,0)</x:f>
        <x:v>186</x:v>
      </x:c>
      <x:c r="V175" s="4" t="n">
        <x:f>MATCH(J175-'Сводка'!$B$11,'Сводка'!$R$3:$R$397,0)</x:f>
        <x:v>185</x:v>
      </x:c>
      <x:c r="W175" s="4" t="n">
        <x:f>MATCH(T175,$J$388:$J$400,0)</x:f>
        <x:v>7</x:v>
      </x:c>
      <x:c r="X175" s="3"/>
      <x:c r="Y175" s="3"/>
      <x:c r="Z175" s="3"/>
    </x:row>
    <x:row r="176" ht="15" customHeight="1">
      <x:c r="A176" s="3"/>
      <x:c r="B176" s="3"/>
      <x:c r="C176" s="3"/>
      <x:c r="D176" s="3"/>
      <x:c r="E176" s="3"/>
      <x:c r="F176" s="3"/>
      <x:c r="G176" s="3"/>
      <x:c r="H176" s="3"/>
      <x:c r="I176" s="3"/>
      <x:c r="J176" s="10" t="n">
        <x:v>46027</x:v>
      </x:c>
      <x:c r="K176" s="8" t="n">
        <x:f>INDEX('Сводка'!$S$3:$S$397,U176)</x:f>
        <x:v>6</x:v>
      </x:c>
      <x:c r="L176" s="8" t="n">
        <x:f>INDEX('Сводка'!$S$3:$S$397,V176)</x:f>
        <x:v>6</x:v>
      </x:c>
      <x:c r="M176" s="8" t="n">
        <x:f>INDEX($K$388:$N$400,W176,1)+INDEX($K$388:$N$400,W176,2)*(2*(J176-$T$405)/(T176-$T$405)-1)^1+INDEX($K$388:$N$400,W176,3)*(2*(J176-$T$405)/(T176-$T$405)-1)^2+INDEX($O$388:$Z$400,W176,MONTH(J176))</x:f>
        <x:v>19.999831940643446</x:v>
      </x:c>
      <x:c r="N176" s="8" t="n">
        <x:f>K176-M176</x:f>
        <x:v>-13.999831940643446</x:v>
      </x:c>
      <x:c r="O176" s="8" t="n">
        <x:f>ABS(N176)</x:f>
        <x:v>13.999831940643446</x:v>
      </x:c>
      <x:c r="P176" s="8" t="n">
        <x:f>N176^2</x:f>
        <x:v>195.99529436626045</x:v>
      </x:c>
      <x:c r="Q176" s="8" t="n">
        <x:f>K176-L176</x:f>
        <x:v>0</x:v>
      </x:c>
      <x:c r="R176" s="9" t="n">
        <x:f>IF(AND(INDEX('Сводка'!$T$3:$T$397,U176)=0,INDEX('Сводка'!$T$3:$T$397,V176)=0),1,0)</x:f>
        <x:v>1</x:v>
      </x:c>
      <x:c r="S176" s="9" t="n">
        <x:f>IF(AND(R176=1,O176&lt;=$G$13),1,0)</x:f>
        <x:v>0</x:v>
      </x:c>
      <x:c r="T176" s="10" t="n">
        <x:f>EOMONTH(J176-'Сводка'!$B$11,-1)</x:f>
        <x:v>46022</x:v>
      </x:c>
      <x:c r="U176" s="4" t="n">
        <x:f>MATCH(J176,'Сводка'!$R$3:$R$397,0)</x:f>
        <x:v>187</x:v>
      </x:c>
      <x:c r="V176" s="4" t="n">
        <x:f>MATCH(J176-'Сводка'!$B$11,'Сводка'!$R$3:$R$397,0)</x:f>
        <x:v>186</x:v>
      </x:c>
      <x:c r="W176" s="4" t="n">
        <x:f>MATCH(T176,$J$388:$J$400,0)</x:f>
        <x:v>7</x:v>
      </x:c>
      <x:c r="X176" s="3"/>
      <x:c r="Y176" s="3"/>
      <x:c r="Z176" s="3"/>
    </x:row>
    <x:row r="177" ht="15" customHeight="1">
      <x:c r="A177" s="3"/>
      <x:c r="B177" s="3"/>
      <x:c r="C177" s="3"/>
      <x:c r="D177" s="3"/>
      <x:c r="E177" s="3"/>
      <x:c r="F177" s="3"/>
      <x:c r="G177" s="3"/>
      <x:c r="H177" s="3"/>
      <x:c r="I177" s="3"/>
      <x:c r="J177" s="10" t="n">
        <x:v>46028</x:v>
      </x:c>
      <x:c r="K177" s="8" t="n">
        <x:f>INDEX('Сводка'!$S$3:$S$397,U177)</x:f>
        <x:v>2</x:v>
      </x:c>
      <x:c r="L177" s="8" t="n">
        <x:f>INDEX('Сводка'!$S$3:$S$397,V177)</x:f>
        <x:v>6</x:v>
      </x:c>
      <x:c r="M177" s="8" t="n">
        <x:f>INDEX($K$388:$N$400,W177,1)+INDEX($K$388:$N$400,W177,2)*(2*(J177-$T$405)/(T177-$T$405)-1)^1+INDEX($K$388:$N$400,W177,3)*(2*(J177-$T$405)/(T177-$T$405)-1)^2+INDEX($O$388:$Z$400,W177,MONTH(J177))</x:f>
        <x:v>19.992579322711237</x:v>
      </x:c>
      <x:c r="N177" s="8" t="n">
        <x:f>K177-M177</x:f>
        <x:v>-17.992579322711237</x:v>
      </x:c>
      <x:c r="O177" s="8" t="n">
        <x:f>ABS(N177)</x:f>
        <x:v>17.992579322711237</x:v>
      </x:c>
      <x:c r="P177" s="8" t="n">
        <x:f>N177^2</x:f>
        <x:v>323.7329106840559</x:v>
      </x:c>
      <x:c r="Q177" s="8" t="n">
        <x:f>K177-L177</x:f>
        <x:v>-4</x:v>
      </x:c>
      <x:c r="R177" s="9" t="n">
        <x:f>IF(AND(INDEX('Сводка'!$T$3:$T$397,U177)=0,INDEX('Сводка'!$T$3:$T$397,V177)=0),1,0)</x:f>
        <x:v>1</x:v>
      </x:c>
      <x:c r="S177" s="9" t="n">
        <x:f>IF(AND(R177=1,O177&lt;=$G$13),1,0)</x:f>
        <x:v>0</x:v>
      </x:c>
      <x:c r="T177" s="10" t="n">
        <x:f>EOMONTH(J177-'Сводка'!$B$11,-1)</x:f>
        <x:v>46022</x:v>
      </x:c>
      <x:c r="U177" s="4" t="n">
        <x:f>MATCH(J177,'Сводка'!$R$3:$R$397,0)</x:f>
        <x:v>188</x:v>
      </x:c>
      <x:c r="V177" s="4" t="n">
        <x:f>MATCH(J177-'Сводка'!$B$11,'Сводка'!$R$3:$R$397,0)</x:f>
        <x:v>187</x:v>
      </x:c>
      <x:c r="W177" s="4" t="n">
        <x:f>MATCH(T177,$J$388:$J$400,0)</x:f>
        <x:v>7</x:v>
      </x:c>
      <x:c r="X177" s="3"/>
      <x:c r="Y177" s="3"/>
      <x:c r="Z177" s="3"/>
    </x:row>
    <x:row r="178" ht="15" customHeight="1">
      <x:c r="A178" s="3"/>
      <x:c r="B178" s="3"/>
      <x:c r="C178" s="3"/>
      <x:c r="D178" s="3"/>
      <x:c r="E178" s="3"/>
      <x:c r="F178" s="3"/>
      <x:c r="G178" s="3"/>
      <x:c r="H178" s="3"/>
      <x:c r="I178" s="3"/>
      <x:c r="J178" s="10" t="n">
        <x:v>46029</x:v>
      </x:c>
      <x:c r="K178" s="8" t="n">
        <x:f>INDEX('Сводка'!$S$3:$S$397,U178)</x:f>
        <x:v>-2</x:v>
      </x:c>
      <x:c r="L178" s="8" t="n">
        <x:f>INDEX('Сводка'!$S$3:$S$397,V178)</x:f>
        <x:v>2</x:v>
      </x:c>
      <x:c r="M178" s="8" t="n">
        <x:f>INDEX($K$388:$N$400,W178,1)+INDEX($K$388:$N$400,W178,2)*(2*(J178-$T$405)/(T178-$T$405)-1)^1+INDEX($K$388:$N$400,W178,3)*(2*(J178-$T$405)/(T178-$T$405)-1)^2+INDEX($O$388:$Z$400,W178,MONTH(J178))</x:f>
        <x:v>19.98532045559311</x:v>
      </x:c>
      <x:c r="N178" s="8" t="n">
        <x:f>K178-M178</x:f>
        <x:v>-21.98532045559311</x:v>
      </x:c>
      <x:c r="O178" s="8" t="n">
        <x:f>ABS(N178)</x:f>
        <x:v>21.98532045559311</x:v>
      </x:c>
      <x:c r="P178" s="8" t="n">
        <x:f>N178^2</x:f>
        <x:v>483.3543155351209</x:v>
      </x:c>
      <x:c r="Q178" s="8" t="n">
        <x:f>K178-L178</x:f>
        <x:v>-4</x:v>
      </x:c>
      <x:c r="R178" s="9" t="n">
        <x:f>IF(AND(INDEX('Сводка'!$T$3:$T$397,U178)=0,INDEX('Сводка'!$T$3:$T$397,V178)=0),1,0)</x:f>
        <x:v>1</x:v>
      </x:c>
      <x:c r="S178" s="9" t="n">
        <x:f>IF(AND(R178=1,O178&lt;=$G$13),1,0)</x:f>
        <x:v>0</x:v>
      </x:c>
      <x:c r="T178" s="10" t="n">
        <x:f>EOMONTH(J178-'Сводка'!$B$11,-1)</x:f>
        <x:v>46022</x:v>
      </x:c>
      <x:c r="U178" s="4" t="n">
        <x:f>MATCH(J178,'Сводка'!$R$3:$R$397,0)</x:f>
        <x:v>189</x:v>
      </x:c>
      <x:c r="V178" s="4" t="n">
        <x:f>MATCH(J178-'Сводка'!$B$11,'Сводка'!$R$3:$R$397,0)</x:f>
        <x:v>188</x:v>
      </x:c>
      <x:c r="W178" s="4" t="n">
        <x:f>MATCH(T178,$J$388:$J$400,0)</x:f>
        <x:v>7</x:v>
      </x:c>
      <x:c r="X178" s="3"/>
      <x:c r="Y178" s="3"/>
      <x:c r="Z178" s="3"/>
    </x:row>
    <x:row r="179" ht="15" customHeight="1">
      <x:c r="A179" s="3"/>
      <x:c r="B179" s="3"/>
      <x:c r="C179" s="3"/>
      <x:c r="D179" s="3"/>
      <x:c r="E179" s="3"/>
      <x:c r="F179" s="3"/>
      <x:c r="G179" s="3"/>
      <x:c r="H179" s="3"/>
      <x:c r="I179" s="3"/>
      <x:c r="J179" s="10" t="n">
        <x:v>46030</x:v>
      </x:c>
      <x:c r="K179" s="8" t="n">
        <x:f>INDEX('Сводка'!$S$3:$S$397,U179)</x:f>
        <x:v>-7</x:v>
      </x:c>
      <x:c r="L179" s="8" t="n">
        <x:f>INDEX('Сводка'!$S$3:$S$397,V179)</x:f>
        <x:v>-2</x:v>
      </x:c>
      <x:c r="M179" s="8" t="n">
        <x:f>INDEX($K$388:$N$400,W179,1)+INDEX($K$388:$N$400,W179,2)*(2*(J179-$T$405)/(T179-$T$405)-1)^1+INDEX($K$388:$N$400,W179,3)*(2*(J179-$T$405)/(T179-$T$405)-1)^2+INDEX($O$388:$Z$400,W179,MONTH(J179))</x:f>
        <x:v>19.978055339289142</x:v>
      </x:c>
      <x:c r="N179" s="8" t="n">
        <x:f>K179-M179</x:f>
        <x:v>-26.978055339289142</x:v>
      </x:c>
      <x:c r="O179" s="8" t="n">
        <x:f>ABS(N179)</x:f>
        <x:v>26.978055339289142</x:v>
      </x:c>
      <x:c r="P179" s="8" t="n">
        <x:f>N179^2</x:f>
        <x:v>727.8154698897474</x:v>
      </x:c>
      <x:c r="Q179" s="8" t="n">
        <x:f>K179-L179</x:f>
        <x:v>-5</x:v>
      </x:c>
      <x:c r="R179" s="9" t="n">
        <x:f>IF(AND(INDEX('Сводка'!$T$3:$T$397,U179)=0,INDEX('Сводка'!$T$3:$T$397,V179)=0),1,0)</x:f>
        <x:v>1</x:v>
      </x:c>
      <x:c r="S179" s="9" t="n">
        <x:f>IF(AND(R179=1,O179&lt;=$G$13),1,0)</x:f>
        <x:v>0</x:v>
      </x:c>
      <x:c r="T179" s="10" t="n">
        <x:f>EOMONTH(J179-'Сводка'!$B$11,-1)</x:f>
        <x:v>46022</x:v>
      </x:c>
      <x:c r="U179" s="4" t="n">
        <x:f>MATCH(J179,'Сводка'!$R$3:$R$397,0)</x:f>
        <x:v>190</x:v>
      </x:c>
      <x:c r="V179" s="4" t="n">
        <x:f>MATCH(J179-'Сводка'!$B$11,'Сводка'!$R$3:$R$397,0)</x:f>
        <x:v>189</x:v>
      </x:c>
      <x:c r="W179" s="4" t="n">
        <x:f>MATCH(T179,$J$388:$J$400,0)</x:f>
        <x:v>7</x:v>
      </x:c>
      <x:c r="X179" s="3"/>
      <x:c r="Y179" s="3"/>
      <x:c r="Z179" s="3"/>
    </x:row>
    <x:row r="180" ht="15" customHeight="1">
      <x:c r="A180" s="3"/>
      <x:c r="B180" s="3"/>
      <x:c r="C180" s="3"/>
      <x:c r="D180" s="3"/>
      <x:c r="E180" s="3"/>
      <x:c r="F180" s="3"/>
      <x:c r="G180" s="3"/>
      <x:c r="H180" s="3"/>
      <x:c r="I180" s="3"/>
      <x:c r="J180" s="10" t="n">
        <x:v>46031</x:v>
      </x:c>
      <x:c r="K180" s="8" t="n">
        <x:f>INDEX('Сводка'!$S$3:$S$397,U180)</x:f>
        <x:v>-10</x:v>
      </x:c>
      <x:c r="L180" s="8" t="n">
        <x:f>INDEX('Сводка'!$S$3:$S$397,V180)</x:f>
        <x:v>-7</x:v>
      </x:c>
      <x:c r="M180" s="8" t="n">
        <x:f>INDEX($K$388:$N$400,W180,1)+INDEX($K$388:$N$400,W180,2)*(2*(J180-$T$405)/(T180-$T$405)-1)^1+INDEX($K$388:$N$400,W180,3)*(2*(J180-$T$405)/(T180-$T$405)-1)^2+INDEX($O$388:$Z$400,W180,MONTH(J180))</x:f>
        <x:v>19.970783973799257</x:v>
      </x:c>
      <x:c r="N180" s="8" t="n">
        <x:f>K180-M180</x:f>
        <x:v>-29.970783973799257</x:v>
      </x:c>
      <x:c r="O180" s="8" t="n">
        <x:f>ABS(N180)</x:f>
        <x:v>29.970783973799257</x:v>
      </x:c>
      <x:c r="P180" s="8" t="n">
        <x:f>N180^2</x:f>
        <x:v>898.2478920041424</x:v>
      </x:c>
      <x:c r="Q180" s="8" t="n">
        <x:f>K180-L180</x:f>
        <x:v>-3</x:v>
      </x:c>
      <x:c r="R180" s="9" t="n">
        <x:f>IF(AND(INDEX('Сводка'!$T$3:$T$397,U180)=0,INDEX('Сводка'!$T$3:$T$397,V180)=0),1,0)</x:f>
        <x:v>1</x:v>
      </x:c>
      <x:c r="S180" s="9" t="n">
        <x:f>IF(AND(R180=1,O180&lt;=$G$13),1,0)</x:f>
        <x:v>0</x:v>
      </x:c>
      <x:c r="T180" s="10" t="n">
        <x:f>EOMONTH(J180-'Сводка'!$B$11,-1)</x:f>
        <x:v>46022</x:v>
      </x:c>
      <x:c r="U180" s="4" t="n">
        <x:f>MATCH(J180,'Сводка'!$R$3:$R$397,0)</x:f>
        <x:v>191</x:v>
      </x:c>
      <x:c r="V180" s="4" t="n">
        <x:f>MATCH(J180-'Сводка'!$B$11,'Сводка'!$R$3:$R$397,0)</x:f>
        <x:v>190</x:v>
      </x:c>
      <x:c r="W180" s="4" t="n">
        <x:f>MATCH(T180,$J$388:$J$400,0)</x:f>
        <x:v>7</x:v>
      </x:c>
      <x:c r="X180" s="3"/>
      <x:c r="Y180" s="3"/>
      <x:c r="Z180" s="3"/>
    </x:row>
    <x:row r="181" ht="15" customHeight="1">
      <x:c r="A181" s="3"/>
      <x:c r="B181" s="3"/>
      <x:c r="C181" s="3"/>
      <x:c r="D181" s="3"/>
      <x:c r="E181" s="3"/>
      <x:c r="F181" s="3"/>
      <x:c r="G181" s="3"/>
      <x:c r="H181" s="3"/>
      <x:c r="I181" s="3"/>
      <x:c r="J181" s="10" t="n">
        <x:v>46032</x:v>
      </x:c>
      <x:c r="K181" s="8" t="n">
        <x:f>INDEX('Сводка'!$S$3:$S$397,U181)</x:f>
        <x:v>-13</x:v>
      </x:c>
      <x:c r="L181" s="8" t="n">
        <x:f>INDEX('Сводка'!$S$3:$S$397,V181)</x:f>
        <x:v>-10</x:v>
      </x:c>
      <x:c r="M181" s="8" t="n">
        <x:f>INDEX($K$388:$N$400,W181,1)+INDEX($K$388:$N$400,W181,2)*(2*(J181-$T$405)/(T181-$T$405)-1)^1+INDEX($K$388:$N$400,W181,3)*(2*(J181-$T$405)/(T181-$T$405)-1)^2+INDEX($O$388:$Z$400,W181,MONTH(J181))</x:f>
        <x:v>19.963506359123528</x:v>
      </x:c>
      <x:c r="N181" s="8" t="n">
        <x:f>K181-M181</x:f>
        <x:v>-32.96350635912353</x:v>
      </x:c>
      <x:c r="O181" s="8" t="n">
        <x:f>ABS(N181)</x:f>
        <x:v>32.96350635912353</x:v>
      </x:c>
      <x:c r="P181" s="8" t="n">
        <x:f>N181^2</x:f>
        <x:v>1086.5927514879772</x:v>
      </x:c>
      <x:c r="Q181" s="8" t="n">
        <x:f>K181-L181</x:f>
        <x:v>-3</x:v>
      </x:c>
      <x:c r="R181" s="9" t="n">
        <x:f>IF(AND(INDEX('Сводка'!$T$3:$T$397,U181)=0,INDEX('Сводка'!$T$3:$T$397,V181)=0),1,0)</x:f>
        <x:v>1</x:v>
      </x:c>
      <x:c r="S181" s="9" t="n">
        <x:f>IF(AND(R181=1,O181&lt;=$G$13),1,0)</x:f>
        <x:v>0</x:v>
      </x:c>
      <x:c r="T181" s="10" t="n">
        <x:f>EOMONTH(J181-'Сводка'!$B$11,-1)</x:f>
        <x:v>46022</x:v>
      </x:c>
      <x:c r="U181" s="4" t="n">
        <x:f>MATCH(J181,'Сводка'!$R$3:$R$397,0)</x:f>
        <x:v>192</x:v>
      </x:c>
      <x:c r="V181" s="4" t="n">
        <x:f>MATCH(J181-'Сводка'!$B$11,'Сводка'!$R$3:$R$397,0)</x:f>
        <x:v>191</x:v>
      </x:c>
      <x:c r="W181" s="4" t="n">
        <x:f>MATCH(T181,$J$388:$J$400,0)</x:f>
        <x:v>7</x:v>
      </x:c>
      <x:c r="X181" s="3"/>
      <x:c r="Y181" s="3"/>
      <x:c r="Z181" s="3"/>
    </x:row>
    <x:row r="182" ht="15" customHeight="1">
      <x:c r="A182" s="3"/>
      <x:c r="B182" s="3"/>
      <x:c r="C182" s="3"/>
      <x:c r="D182" s="3"/>
      <x:c r="E182" s="3"/>
      <x:c r="F182" s="3"/>
      <x:c r="G182" s="3"/>
      <x:c r="H182" s="3"/>
      <x:c r="I182" s="3"/>
      <x:c r="J182" s="10" t="n">
        <x:v>46033</x:v>
      </x:c>
      <x:c r="K182" s="8" t="n">
        <x:f>INDEX('Сводка'!$S$3:$S$397,U182)</x:f>
        <x:v>-17</x:v>
      </x:c>
      <x:c r="L182" s="8" t="n">
        <x:f>INDEX('Сводка'!$S$3:$S$397,V182)</x:f>
        <x:v>-13</x:v>
      </x:c>
      <x:c r="M182" s="8" t="n">
        <x:f>INDEX($K$388:$N$400,W182,1)+INDEX($K$388:$N$400,W182,2)*(2*(J182-$T$405)/(T182-$T$405)-1)^1+INDEX($K$388:$N$400,W182,3)*(2*(J182-$T$405)/(T182-$T$405)-1)^2+INDEX($O$388:$Z$400,W182,MONTH(J182))</x:f>
        <x:v>19.956222495261883</x:v>
      </x:c>
      <x:c r="N182" s="8" t="n">
        <x:f>K182-M182</x:f>
        <x:v>-36.95622249526188</x:v>
      </x:c>
      <x:c r="O182" s="8" t="n">
        <x:f>ABS(N182)</x:f>
        <x:v>36.95622249526188</x:v>
      </x:c>
      <x:c r="P182" s="8" t="n">
        <x:f>N182^2</x:f>
        <x:v>1365.7623811193005</x:v>
      </x:c>
      <x:c r="Q182" s="8" t="n">
        <x:f>K182-L182</x:f>
        <x:v>-4</x:v>
      </x:c>
      <x:c r="R182" s="9" t="n">
        <x:f>IF(AND(INDEX('Сводка'!$T$3:$T$397,U182)=0,INDEX('Сводка'!$T$3:$T$397,V182)=0),1,0)</x:f>
        <x:v>1</x:v>
      </x:c>
      <x:c r="S182" s="9" t="n">
        <x:f>IF(AND(R182=1,O182&lt;=$G$13),1,0)</x:f>
        <x:v>0</x:v>
      </x:c>
      <x:c r="T182" s="10" t="n">
        <x:f>EOMONTH(J182-'Сводка'!$B$11,-1)</x:f>
        <x:v>46022</x:v>
      </x:c>
      <x:c r="U182" s="4" t="n">
        <x:f>MATCH(J182,'Сводка'!$R$3:$R$397,0)</x:f>
        <x:v>193</x:v>
      </x:c>
      <x:c r="V182" s="4" t="n">
        <x:f>MATCH(J182-'Сводка'!$B$11,'Сводка'!$R$3:$R$397,0)</x:f>
        <x:v>192</x:v>
      </x:c>
      <x:c r="W182" s="4" t="n">
        <x:f>MATCH(T182,$J$388:$J$400,0)</x:f>
        <x:v>7</x:v>
      </x:c>
      <x:c r="X182" s="3"/>
      <x:c r="Y182" s="3"/>
      <x:c r="Z182" s="3"/>
    </x:row>
    <x:row r="183" ht="15" customHeight="1">
      <x:c r="A183" s="3"/>
      <x:c r="B183" s="3"/>
      <x:c r="C183" s="3"/>
      <x:c r="D183" s="3"/>
      <x:c r="E183" s="3"/>
      <x:c r="F183" s="3"/>
      <x:c r="G183" s="3"/>
      <x:c r="H183" s="3"/>
      <x:c r="I183" s="3"/>
      <x:c r="J183" s="10" t="n">
        <x:v>46034</x:v>
      </x:c>
      <x:c r="K183" s="8" t="n">
        <x:f>INDEX('Сводка'!$S$3:$S$397,U183)</x:f>
        <x:v>-19</x:v>
      </x:c>
      <x:c r="L183" s="8" t="n">
        <x:f>INDEX('Сводка'!$S$3:$S$397,V183)</x:f>
        <x:v>-17</x:v>
      </x:c>
      <x:c r="M183" s="8" t="n">
        <x:f>INDEX($K$388:$N$400,W183,1)+INDEX($K$388:$N$400,W183,2)*(2*(J183-$T$405)/(T183-$T$405)-1)^1+INDEX($K$388:$N$400,W183,3)*(2*(J183-$T$405)/(T183-$T$405)-1)^2+INDEX($O$388:$Z$400,W183,MONTH(J183))</x:f>
        <x:v>19.948932382214394</x:v>
      </x:c>
      <x:c r="N183" s="8" t="n">
        <x:f>K183-M183</x:f>
        <x:v>-38.948932382214394</x:v>
      </x:c>
      <x:c r="O183" s="8" t="n">
        <x:f>ABS(N183)</x:f>
        <x:v>38.948932382214394</x:v>
      </x:c>
      <x:c r="P183" s="8" t="n">
        <x:f>N183^2</x:f>
        <x:v>1517.0193337143091</x:v>
      </x:c>
      <x:c r="Q183" s="8" t="n">
        <x:f>K183-L183</x:f>
        <x:v>-2</x:v>
      </x:c>
      <x:c r="R183" s="9" t="n">
        <x:f>IF(AND(INDEX('Сводка'!$T$3:$T$397,U183)=0,INDEX('Сводка'!$T$3:$T$397,V183)=0),1,0)</x:f>
        <x:v>1</x:v>
      </x:c>
      <x:c r="S183" s="9" t="n">
        <x:f>IF(AND(R183=1,O183&lt;=$G$13),1,0)</x:f>
        <x:v>0</x:v>
      </x:c>
      <x:c r="T183" s="10" t="n">
        <x:f>EOMONTH(J183-'Сводка'!$B$11,-1)</x:f>
        <x:v>46022</x:v>
      </x:c>
      <x:c r="U183" s="4" t="n">
        <x:f>MATCH(J183,'Сводка'!$R$3:$R$397,0)</x:f>
        <x:v>194</x:v>
      </x:c>
      <x:c r="V183" s="4" t="n">
        <x:f>MATCH(J183-'Сводка'!$B$11,'Сводка'!$R$3:$R$397,0)</x:f>
        <x:v>193</x:v>
      </x:c>
      <x:c r="W183" s="4" t="n">
        <x:f>MATCH(T183,$J$388:$J$400,0)</x:f>
        <x:v>7</x:v>
      </x:c>
      <x:c r="X183" s="3"/>
      <x:c r="Y183" s="3"/>
      <x:c r="Z183" s="3"/>
    </x:row>
    <x:row r="184" ht="15" customHeight="1">
      <x:c r="A184" s="3"/>
      <x:c r="B184" s="3"/>
      <x:c r="C184" s="3"/>
      <x:c r="D184" s="3"/>
      <x:c r="E184" s="3"/>
      <x:c r="F184" s="3"/>
      <x:c r="G184" s="3"/>
      <x:c r="H184" s="3"/>
      <x:c r="I184" s="3"/>
      <x:c r="J184" s="10" t="n">
        <x:v>46035</x:v>
      </x:c>
      <x:c r="K184" s="8" t="n">
        <x:f>INDEX('Сводка'!$S$3:$S$397,U184)</x:f>
        <x:v>-22</x:v>
      </x:c>
      <x:c r="L184" s="8" t="n">
        <x:f>INDEX('Сводка'!$S$3:$S$397,V184)</x:f>
        <x:v>-19</x:v>
      </x:c>
      <x:c r="M184" s="8" t="n">
        <x:f>INDEX($K$388:$N$400,W184,1)+INDEX($K$388:$N$400,W184,2)*(2*(J184-$T$405)/(T184-$T$405)-1)^1+INDEX($K$388:$N$400,W184,3)*(2*(J184-$T$405)/(T184-$T$405)-1)^2+INDEX($O$388:$Z$400,W184,MONTH(J184))</x:f>
        <x:v>19.941636019981004</x:v>
      </x:c>
      <x:c r="N184" s="8" t="n">
        <x:f>K184-M184</x:f>
        <x:v>-41.941636019981004</x:v>
      </x:c>
      <x:c r="O184" s="8" t="n">
        <x:f>ABS(N184)</x:f>
        <x:v>41.941636019981004</x:v>
      </x:c>
      <x:c r="P184" s="8" t="n">
        <x:f>N184^2</x:f>
        <x:v>1759.100832032568</x:v>
      </x:c>
      <x:c r="Q184" s="8" t="n">
        <x:f>K184-L184</x:f>
        <x:v>-3</x:v>
      </x:c>
      <x:c r="R184" s="9" t="n">
        <x:f>IF(AND(INDEX('Сводка'!$T$3:$T$397,U184)=0,INDEX('Сводка'!$T$3:$T$397,V184)=0),1,0)</x:f>
        <x:v>1</x:v>
      </x:c>
      <x:c r="S184" s="9" t="n">
        <x:f>IF(AND(R184=1,O184&lt;=$G$13),1,0)</x:f>
        <x:v>0</x:v>
      </x:c>
      <x:c r="T184" s="10" t="n">
        <x:f>EOMONTH(J184-'Сводка'!$B$11,-1)</x:f>
        <x:v>46022</x:v>
      </x:c>
      <x:c r="U184" s="4" t="n">
        <x:f>MATCH(J184,'Сводка'!$R$3:$R$397,0)</x:f>
        <x:v>195</x:v>
      </x:c>
      <x:c r="V184" s="4" t="n">
        <x:f>MATCH(J184-'Сводка'!$B$11,'Сводка'!$R$3:$R$397,0)</x:f>
        <x:v>194</x:v>
      </x:c>
      <x:c r="W184" s="4" t="n">
        <x:f>MATCH(T184,$J$388:$J$400,0)</x:f>
        <x:v>7</x:v>
      </x:c>
      <x:c r="X184" s="3"/>
      <x:c r="Y184" s="3"/>
      <x:c r="Z184" s="3"/>
    </x:row>
    <x:row r="185" ht="15" customHeight="1">
      <x:c r="A185" s="3"/>
      <x:c r="B185" s="3"/>
      <x:c r="C185" s="3"/>
      <x:c r="D185" s="3"/>
      <x:c r="E185" s="3"/>
      <x:c r="F185" s="3"/>
      <x:c r="G185" s="3"/>
      <x:c r="H185" s="3"/>
      <x:c r="I185" s="3"/>
      <x:c r="J185" s="10" t="n">
        <x:v>46036</x:v>
      </x:c>
      <x:c r="K185" s="8" t="n">
        <x:f>INDEX('Сводка'!$S$3:$S$397,U185)</x:f>
        <x:v>-25</x:v>
      </x:c>
      <x:c r="L185" s="8" t="n">
        <x:f>INDEX('Сводка'!$S$3:$S$397,V185)</x:f>
        <x:v>-22</x:v>
      </x:c>
      <x:c r="M185" s="8" t="n">
        <x:f>INDEX($K$388:$N$400,W185,1)+INDEX($K$388:$N$400,W185,2)*(2*(J185-$T$405)/(T185-$T$405)-1)^1+INDEX($K$388:$N$400,W185,3)*(2*(J185-$T$405)/(T185-$T$405)-1)^2+INDEX($O$388:$Z$400,W185,MONTH(J185))</x:f>
        <x:v>19.93433340856174</x:v>
      </x:c>
      <x:c r="N185" s="8" t="n">
        <x:f>K185-M185</x:f>
        <x:v>-44.93433340856174</x:v>
      </x:c>
      <x:c r="O185" s="8" t="n">
        <x:f>ABS(N185)</x:f>
        <x:v>44.93433340856174</x:v>
      </x:c>
      <x:c r="P185" s="8" t="n">
        <x:f>N185^2</x:f>
        <x:v>2019.094318871788</x:v>
      </x:c>
      <x:c r="Q185" s="8" t="n">
        <x:f>K185-L185</x:f>
        <x:v>-3</x:v>
      </x:c>
      <x:c r="R185" s="9" t="n">
        <x:f>IF(AND(INDEX('Сводка'!$T$3:$T$397,U185)=0,INDEX('Сводка'!$T$3:$T$397,V185)=0),1,0)</x:f>
        <x:v>1</x:v>
      </x:c>
      <x:c r="S185" s="9" t="n">
        <x:f>IF(AND(R185=1,O185&lt;=$G$13),1,0)</x:f>
        <x:v>0</x:v>
      </x:c>
      <x:c r="T185" s="10" t="n">
        <x:f>EOMONTH(J185-'Сводка'!$B$11,-1)</x:f>
        <x:v>46022</x:v>
      </x:c>
      <x:c r="U185" s="4" t="n">
        <x:f>MATCH(J185,'Сводка'!$R$3:$R$397,0)</x:f>
        <x:v>196</x:v>
      </x:c>
      <x:c r="V185" s="4" t="n">
        <x:f>MATCH(J185-'Сводка'!$B$11,'Сводка'!$R$3:$R$397,0)</x:f>
        <x:v>195</x:v>
      </x:c>
      <x:c r="W185" s="4" t="n">
        <x:f>MATCH(T185,$J$388:$J$400,0)</x:f>
        <x:v>7</x:v>
      </x:c>
      <x:c r="X185" s="3"/>
      <x:c r="Y185" s="3"/>
      <x:c r="Z185" s="3"/>
    </x:row>
    <x:row r="186" ht="15" customHeight="1">
      <x:c r="A186" s="3"/>
      <x:c r="B186" s="3"/>
      <x:c r="C186" s="3"/>
      <x:c r="D186" s="3"/>
      <x:c r="E186" s="3"/>
      <x:c r="F186" s="3"/>
      <x:c r="G186" s="3"/>
      <x:c r="H186" s="3"/>
      <x:c r="I186" s="3"/>
      <x:c r="J186" s="10" t="n">
        <x:v>46037</x:v>
      </x:c>
      <x:c r="K186" s="8" t="n">
        <x:f>INDEX('Сводка'!$S$3:$S$397,U186)</x:f>
        <x:v>-26</x:v>
      </x:c>
      <x:c r="L186" s="8" t="n">
        <x:f>INDEX('Сводка'!$S$3:$S$397,V186)</x:f>
        <x:v>-25</x:v>
      </x:c>
      <x:c r="M186" s="8" t="n">
        <x:f>INDEX($K$388:$N$400,W186,1)+INDEX($K$388:$N$400,W186,2)*(2*(J186-$T$405)/(T186-$T$405)-1)^1+INDEX($K$388:$N$400,W186,3)*(2*(J186-$T$405)/(T186-$T$405)-1)^2+INDEX($O$388:$Z$400,W186,MONTH(J186))</x:f>
        <x:v>19.92702454795659</x:v>
      </x:c>
      <x:c r="N186" s="8" t="n">
        <x:f>K186-M186</x:f>
        <x:v>-45.92702454795659</x:v>
      </x:c>
      <x:c r="O186" s="8" t="n">
        <x:f>ABS(N186)</x:f>
        <x:v>45.92702454795659</x:v>
      </x:c>
      <x:c r="P186" s="8" t="n">
        <x:f>N186^2</x:f>
        <x:v>2109.291583828607</x:v>
      </x:c>
      <x:c r="Q186" s="8" t="n">
        <x:f>K186-L186</x:f>
        <x:v>-1</x:v>
      </x:c>
      <x:c r="R186" s="9" t="n">
        <x:f>IF(AND(INDEX('Сводка'!$T$3:$T$397,U186)=0,INDEX('Сводка'!$T$3:$T$397,V186)=0),1,0)</x:f>
        <x:v>1</x:v>
      </x:c>
      <x:c r="S186" s="9" t="n">
        <x:f>IF(AND(R186=1,O186&lt;=$G$13),1,0)</x:f>
        <x:v>0</x:v>
      </x:c>
      <x:c r="T186" s="10" t="n">
        <x:f>EOMONTH(J186-'Сводка'!$B$11,-1)</x:f>
        <x:v>46022</x:v>
      </x:c>
      <x:c r="U186" s="4" t="n">
        <x:f>MATCH(J186,'Сводка'!$R$3:$R$397,0)</x:f>
        <x:v>197</x:v>
      </x:c>
      <x:c r="V186" s="4" t="n">
        <x:f>MATCH(J186-'Сводка'!$B$11,'Сводка'!$R$3:$R$397,0)</x:f>
        <x:v>196</x:v>
      </x:c>
      <x:c r="W186" s="4" t="n">
        <x:f>MATCH(T186,$J$388:$J$400,0)</x:f>
        <x:v>7</x:v>
      </x:c>
      <x:c r="X186" s="3"/>
      <x:c r="Y186" s="3"/>
      <x:c r="Z186" s="3"/>
    </x:row>
    <x:row r="187" ht="15" customHeight="1">
      <x:c r="A187" s="3"/>
      <x:c r="B187" s="3"/>
      <x:c r="C187" s="3"/>
      <x:c r="D187" s="3"/>
      <x:c r="E187" s="3"/>
      <x:c r="F187" s="3"/>
      <x:c r="G187" s="3"/>
      <x:c r="H187" s="3"/>
      <x:c r="I187" s="3"/>
      <x:c r="J187" s="10" t="n">
        <x:v>46038</x:v>
      </x:c>
      <x:c r="K187" s="8" t="n">
        <x:f>INDEX('Сводка'!$S$3:$S$397,U187)</x:f>
        <x:v>-28</x:v>
      </x:c>
      <x:c r="L187" s="8" t="n">
        <x:f>INDEX('Сводка'!$S$3:$S$397,V187)</x:f>
        <x:v>-26</x:v>
      </x:c>
      <x:c r="M187" s="8" t="n">
        <x:f>INDEX($K$388:$N$400,W187,1)+INDEX($K$388:$N$400,W187,2)*(2*(J187-$T$405)/(T187-$T$405)-1)^1+INDEX($K$388:$N$400,W187,3)*(2*(J187-$T$405)/(T187-$T$405)-1)^2+INDEX($O$388:$Z$400,W187,MONTH(J187))</x:f>
        <x:v>19.91970943816557</x:v>
      </x:c>
      <x:c r="N187" s="8" t="n">
        <x:f>K187-M187</x:f>
        <x:v>-47.91970943816557</x:v>
      </x:c>
      <x:c r="O187" s="8" t="n">
        <x:f>ABS(N187)</x:f>
        <x:v>47.91970943816557</x:v>
      </x:c>
      <x:c r="P187" s="8" t="n">
        <x:f>N187^2</x:f>
        <x:v>2296.2985526382145</x:v>
      </x:c>
      <x:c r="Q187" s="8" t="n">
        <x:f>K187-L187</x:f>
        <x:v>-2</x:v>
      </x:c>
      <x:c r="R187" s="9" t="n">
        <x:f>IF(AND(INDEX('Сводка'!$T$3:$T$397,U187)=0,INDEX('Сводка'!$T$3:$T$397,V187)=0),1,0)</x:f>
        <x:v>1</x:v>
      </x:c>
      <x:c r="S187" s="9" t="n">
        <x:f>IF(AND(R187=1,O187&lt;=$G$13),1,0)</x:f>
        <x:v>0</x:v>
      </x:c>
      <x:c r="T187" s="10" t="n">
        <x:f>EOMONTH(J187-'Сводка'!$B$11,-1)</x:f>
        <x:v>46022</x:v>
      </x:c>
      <x:c r="U187" s="4" t="n">
        <x:f>MATCH(J187,'Сводка'!$R$3:$R$397,0)</x:f>
        <x:v>198</x:v>
      </x:c>
      <x:c r="V187" s="4" t="n">
        <x:f>MATCH(J187-'Сводка'!$B$11,'Сводка'!$R$3:$R$397,0)</x:f>
        <x:v>197</x:v>
      </x:c>
      <x:c r="W187" s="4" t="n">
        <x:f>MATCH(T187,$J$388:$J$400,0)</x:f>
        <x:v>7</x:v>
      </x:c>
      <x:c r="X187" s="3"/>
      <x:c r="Y187" s="3"/>
      <x:c r="Z187" s="3"/>
    </x:row>
    <x:row r="188" ht="15" customHeight="1">
      <x:c r="A188" s="3"/>
      <x:c r="B188" s="3"/>
      <x:c r="C188" s="3"/>
      <x:c r="D188" s="3"/>
      <x:c r="E188" s="3"/>
      <x:c r="F188" s="3"/>
      <x:c r="G188" s="3"/>
      <x:c r="H188" s="3"/>
      <x:c r="I188" s="3"/>
      <x:c r="J188" s="10" t="n">
        <x:v>46039</x:v>
      </x:c>
      <x:c r="K188" s="8" t="n">
        <x:f>INDEX('Сводка'!$S$3:$S$397,U188)</x:f>
        <x:v>-29</x:v>
      </x:c>
      <x:c r="L188" s="8" t="n">
        <x:f>INDEX('Сводка'!$S$3:$S$397,V188)</x:f>
        <x:v>-28</x:v>
      </x:c>
      <x:c r="M188" s="8" t="n">
        <x:f>INDEX($K$388:$N$400,W188,1)+INDEX($K$388:$N$400,W188,2)*(2*(J188-$T$405)/(T188-$T$405)-1)^1+INDEX($K$388:$N$400,W188,3)*(2*(J188-$T$405)/(T188-$T$405)-1)^2+INDEX($O$388:$Z$400,W188,MONTH(J188))</x:f>
        <x:v>19.912388079188645</x:v>
      </x:c>
      <x:c r="N188" s="8" t="n">
        <x:f>K188-M188</x:f>
        <x:v>-48.912388079188645</x:v>
      </x:c>
      <x:c r="O188" s="8" t="n">
        <x:f>ABS(N188)</x:f>
        <x:v>48.912388079188645</x:v>
      </x:c>
      <x:c r="P188" s="8" t="n">
        <x:f>N188^2</x:f>
        <x:v>2392.4217076091554</x:v>
      </x:c>
      <x:c r="Q188" s="8" t="n">
        <x:f>K188-L188</x:f>
        <x:v>-1</x:v>
      </x:c>
      <x:c r="R188" s="9" t="n">
        <x:f>IF(AND(INDEX('Сводка'!$T$3:$T$397,U188)=0,INDEX('Сводка'!$T$3:$T$397,V188)=0),1,0)</x:f>
        <x:v>1</x:v>
      </x:c>
      <x:c r="S188" s="9" t="n">
        <x:f>IF(AND(R188=1,O188&lt;=$G$13),1,0)</x:f>
        <x:v>0</x:v>
      </x:c>
      <x:c r="T188" s="10" t="n">
        <x:f>EOMONTH(J188-'Сводка'!$B$11,-1)</x:f>
        <x:v>46022</x:v>
      </x:c>
      <x:c r="U188" s="4" t="n">
        <x:f>MATCH(J188,'Сводка'!$R$3:$R$397,0)</x:f>
        <x:v>199</x:v>
      </x:c>
      <x:c r="V188" s="4" t="n">
        <x:f>MATCH(J188-'Сводка'!$B$11,'Сводка'!$R$3:$R$397,0)</x:f>
        <x:v>198</x:v>
      </x:c>
      <x:c r="W188" s="4" t="n">
        <x:f>MATCH(T188,$J$388:$J$400,0)</x:f>
        <x:v>7</x:v>
      </x:c>
      <x:c r="X188" s="3"/>
      <x:c r="Y188" s="3"/>
      <x:c r="Z188" s="3"/>
    </x:row>
    <x:row r="189" ht="15" customHeight="1">
      <x:c r="A189" s="3"/>
      <x:c r="B189" s="3"/>
      <x:c r="C189" s="3"/>
      <x:c r="D189" s="3"/>
      <x:c r="E189" s="3"/>
      <x:c r="F189" s="3"/>
      <x:c r="G189" s="3"/>
      <x:c r="H189" s="3"/>
      <x:c r="I189" s="3"/>
      <x:c r="J189" s="10" t="n">
        <x:v>46040</x:v>
      </x:c>
      <x:c r="K189" s="8" t="n">
        <x:f>INDEX('Сводка'!$S$3:$S$397,U189)</x:f>
        <x:v>-34</x:v>
      </x:c>
      <x:c r="L189" s="8" t="n">
        <x:f>INDEX('Сводка'!$S$3:$S$397,V189)</x:f>
        <x:v>-29</x:v>
      </x:c>
      <x:c r="M189" s="8" t="n">
        <x:f>INDEX($K$388:$N$400,W189,1)+INDEX($K$388:$N$400,W189,2)*(2*(J189-$T$405)/(T189-$T$405)-1)^1+INDEX($K$388:$N$400,W189,3)*(2*(J189-$T$405)/(T189-$T$405)-1)^2+INDEX($O$388:$Z$400,W189,MONTH(J189))</x:f>
        <x:v>19.90506047102585</x:v>
      </x:c>
      <x:c r="N189" s="8" t="n">
        <x:f>K189-M189</x:f>
        <x:v>-53.90506047102585</x:v>
      </x:c>
      <x:c r="O189" s="8" t="n">
        <x:f>ABS(N189)</x:f>
        <x:v>53.90506047102585</x:v>
      </x:c>
      <x:c r="P189" s="8" t="n">
        <x:f>N189^2</x:f>
        <x:v>2905.7555443849533</x:v>
      </x:c>
      <x:c r="Q189" s="8" t="n">
        <x:f>K189-L189</x:f>
        <x:v>-5</x:v>
      </x:c>
      <x:c r="R189" s="9" t="n">
        <x:f>IF(AND(INDEX('Сводка'!$T$3:$T$397,U189)=0,INDEX('Сводка'!$T$3:$T$397,V189)=0),1,0)</x:f>
        <x:v>1</x:v>
      </x:c>
      <x:c r="S189" s="9" t="n">
        <x:f>IF(AND(R189=1,O189&lt;=$G$13),1,0)</x:f>
        <x:v>0</x:v>
      </x:c>
      <x:c r="T189" s="10" t="n">
        <x:f>EOMONTH(J189-'Сводка'!$B$11,-1)</x:f>
        <x:v>46022</x:v>
      </x:c>
      <x:c r="U189" s="4" t="n">
        <x:f>MATCH(J189,'Сводка'!$R$3:$R$397,0)</x:f>
        <x:v>200</x:v>
      </x:c>
      <x:c r="V189" s="4" t="n">
        <x:f>MATCH(J189-'Сводка'!$B$11,'Сводка'!$R$3:$R$397,0)</x:f>
        <x:v>199</x:v>
      </x:c>
      <x:c r="W189" s="4" t="n">
        <x:f>MATCH(T189,$J$388:$J$400,0)</x:f>
        <x:v>7</x:v>
      </x:c>
      <x:c r="X189" s="3"/>
      <x:c r="Y189" s="3"/>
      <x:c r="Z189" s="3"/>
    </x:row>
    <x:row r="190" ht="15" customHeight="1">
      <x:c r="A190" s="3"/>
      <x:c r="B190" s="3"/>
      <x:c r="C190" s="3"/>
      <x:c r="D190" s="3"/>
      <x:c r="E190" s="3"/>
      <x:c r="F190" s="3"/>
      <x:c r="G190" s="3"/>
      <x:c r="H190" s="3"/>
      <x:c r="I190" s="3"/>
      <x:c r="J190" s="10" t="n">
        <x:v>46041</x:v>
      </x:c>
      <x:c r="K190" s="8" t="n">
        <x:f>INDEX('Сводка'!$S$3:$S$397,U190)</x:f>
        <x:v>-34</x:v>
      </x:c>
      <x:c r="L190" s="8" t="n">
        <x:f>INDEX('Сводка'!$S$3:$S$397,V190)</x:f>
        <x:v>-34</x:v>
      </x:c>
      <x:c r="M190" s="8" t="n">
        <x:f>INDEX($K$388:$N$400,W190,1)+INDEX($K$388:$N$400,W190,2)*(2*(J190-$T$405)/(T190-$T$405)-1)^1+INDEX($K$388:$N$400,W190,3)*(2*(J190-$T$405)/(T190-$T$405)-1)^2+INDEX($O$388:$Z$400,W190,MONTH(J190))</x:f>
        <x:v>19.89772661367718</x:v>
      </x:c>
      <x:c r="N190" s="8" t="n">
        <x:f>K190-M190</x:f>
        <x:v>-53.89772661367718</x:v>
      </x:c>
      <x:c r="O190" s="8" t="n">
        <x:f>ABS(N190)</x:f>
        <x:v>53.89772661367718</x:v>
      </x:c>
      <x:c r="P190" s="8" t="n">
        <x:f>N190^2</x:f>
        <x:v>2904.9649341226855</x:v>
      </x:c>
      <x:c r="Q190" s="8" t="n">
        <x:f>K190-L190</x:f>
        <x:v>0</x:v>
      </x:c>
      <x:c r="R190" s="9" t="n">
        <x:f>IF(AND(INDEX('Сводка'!$T$3:$T$397,U190)=0,INDEX('Сводка'!$T$3:$T$397,V190)=0),1,0)</x:f>
        <x:v>1</x:v>
      </x:c>
      <x:c r="S190" s="9" t="n">
        <x:f>IF(AND(R190=1,O190&lt;=$G$13),1,0)</x:f>
        <x:v>0</x:v>
      </x:c>
      <x:c r="T190" s="10" t="n">
        <x:f>EOMONTH(J190-'Сводка'!$B$11,-1)</x:f>
        <x:v>46022</x:v>
      </x:c>
      <x:c r="U190" s="4" t="n">
        <x:f>MATCH(J190,'Сводка'!$R$3:$R$397,0)</x:f>
        <x:v>201</x:v>
      </x:c>
      <x:c r="V190" s="4" t="n">
        <x:f>MATCH(J190-'Сводка'!$B$11,'Сводка'!$R$3:$R$397,0)</x:f>
        <x:v>200</x:v>
      </x:c>
      <x:c r="W190" s="4" t="n">
        <x:f>MATCH(T190,$J$388:$J$400,0)</x:f>
        <x:v>7</x:v>
      </x:c>
      <x:c r="X190" s="3"/>
      <x:c r="Y190" s="3"/>
      <x:c r="Z190" s="3"/>
    </x:row>
    <x:row r="191" ht="15" customHeight="1">
      <x:c r="A191" s="3"/>
      <x:c r="B191" s="3"/>
      <x:c r="C191" s="3"/>
      <x:c r="D191" s="3"/>
      <x:c r="E191" s="3"/>
      <x:c r="F191" s="3"/>
      <x:c r="G191" s="3"/>
      <x:c r="H191" s="3"/>
      <x:c r="I191" s="3"/>
      <x:c r="J191" s="10" t="n">
        <x:v>46042</x:v>
      </x:c>
      <x:c r="K191" s="8" t="n">
        <x:f>INDEX('Сводка'!$S$3:$S$397,U191)</x:f>
        <x:v>-39</x:v>
      </x:c>
      <x:c r="L191" s="8" t="n">
        <x:f>INDEX('Сводка'!$S$3:$S$397,V191)</x:f>
        <x:v>-34</x:v>
      </x:c>
      <x:c r="M191" s="8" t="n">
        <x:f>INDEX($K$388:$N$400,W191,1)+INDEX($K$388:$N$400,W191,2)*(2*(J191-$T$405)/(T191-$T$405)-1)^1+INDEX($K$388:$N$400,W191,3)*(2*(J191-$T$405)/(T191-$T$405)-1)^2+INDEX($O$388:$Z$400,W191,MONTH(J191))</x:f>
        <x:v>19.890386507142622</x:v>
      </x:c>
      <x:c r="N191" s="8" t="n">
        <x:f>K191-M191</x:f>
        <x:v>-58.89038650714262</x:v>
      </x:c>
      <x:c r="O191" s="8" t="n">
        <x:f>ABS(N191)</x:f>
        <x:v>58.89038650714262</x:v>
      </x:c>
      <x:c r="P191" s="8" t="n">
        <x:f>N191^2</x:f>
        <x:v>3468.077622960646</x:v>
      </x:c>
      <x:c r="Q191" s="8" t="n">
        <x:f>K191-L191</x:f>
        <x:v>-5</x:v>
      </x:c>
      <x:c r="R191" s="9" t="n">
        <x:f>IF(AND(INDEX('Сводка'!$T$3:$T$397,U191)=0,INDEX('Сводка'!$T$3:$T$397,V191)=0),1,0)</x:f>
        <x:v>1</x:v>
      </x:c>
      <x:c r="S191" s="9" t="n">
        <x:f>IF(AND(R191=1,O191&lt;=$G$13),1,0)</x:f>
        <x:v>0</x:v>
      </x:c>
      <x:c r="T191" s="10" t="n">
        <x:f>EOMONTH(J191-'Сводка'!$B$11,-1)</x:f>
        <x:v>46022</x:v>
      </x:c>
      <x:c r="U191" s="4" t="n">
        <x:f>MATCH(J191,'Сводка'!$R$3:$R$397,0)</x:f>
        <x:v>202</x:v>
      </x:c>
      <x:c r="V191" s="4" t="n">
        <x:f>MATCH(J191-'Сводка'!$B$11,'Сводка'!$R$3:$R$397,0)</x:f>
        <x:v>201</x:v>
      </x:c>
      <x:c r="W191" s="4" t="n">
        <x:f>MATCH(T191,$J$388:$J$400,0)</x:f>
        <x:v>7</x:v>
      </x:c>
      <x:c r="X191" s="3"/>
      <x:c r="Y191" s="3"/>
      <x:c r="Z191" s="3"/>
    </x:row>
    <x:row r="192" ht="15" customHeight="1">
      <x:c r="A192" s="3"/>
      <x:c r="B192" s="3"/>
      <x:c r="C192" s="3"/>
      <x:c r="D192" s="3"/>
      <x:c r="E192" s="3"/>
      <x:c r="F192" s="3"/>
      <x:c r="G192" s="3"/>
      <x:c r="H192" s="3"/>
      <x:c r="I192" s="3"/>
      <x:c r="J192" s="10" t="n">
        <x:v>46043</x:v>
      </x:c>
      <x:c r="K192" s="8" t="n">
        <x:f>INDEX('Сводка'!$S$3:$S$397,U192)</x:f>
        <x:v>-41</x:v>
      </x:c>
      <x:c r="L192" s="8" t="n">
        <x:f>INDEX('Сводка'!$S$3:$S$397,V192)</x:f>
        <x:v>-39</x:v>
      </x:c>
      <x:c r="M192" s="8" t="n">
        <x:f>INDEX($K$388:$N$400,W192,1)+INDEX($K$388:$N$400,W192,2)*(2*(J192-$T$405)/(T192-$T$405)-1)^1+INDEX($K$388:$N$400,W192,3)*(2*(J192-$T$405)/(T192-$T$405)-1)^2+INDEX($O$388:$Z$400,W192,MONTH(J192))</x:f>
        <x:v>19.88304015142222</x:v>
      </x:c>
      <x:c r="N192" s="8" t="n">
        <x:f>K192-M192</x:f>
        <x:v>-60.88304015142222</x:v>
      </x:c>
      <x:c r="O192" s="8" t="n">
        <x:f>ABS(N192)</x:f>
        <x:v>60.88304015142222</x:v>
      </x:c>
      <x:c r="P192" s="8" t="n">
        <x:f>N192^2</x:f>
        <x:v>3706.74457807969</x:v>
      </x:c>
      <x:c r="Q192" s="8" t="n">
        <x:f>K192-L192</x:f>
        <x:v>-2</x:v>
      </x:c>
      <x:c r="R192" s="9" t="n">
        <x:f>IF(AND(INDEX('Сводка'!$T$3:$T$397,U192)=0,INDEX('Сводка'!$T$3:$T$397,V192)=0),1,0)</x:f>
        <x:v>1</x:v>
      </x:c>
      <x:c r="S192" s="9" t="n">
        <x:f>IF(AND(R192=1,O192&lt;=$G$13),1,0)</x:f>
        <x:v>0</x:v>
      </x:c>
      <x:c r="T192" s="10" t="n">
        <x:f>EOMONTH(J192-'Сводка'!$B$11,-1)</x:f>
        <x:v>46022</x:v>
      </x:c>
      <x:c r="U192" s="4" t="n">
        <x:f>MATCH(J192,'Сводка'!$R$3:$R$397,0)</x:f>
        <x:v>203</x:v>
      </x:c>
      <x:c r="V192" s="4" t="n">
        <x:f>MATCH(J192-'Сводка'!$B$11,'Сводка'!$R$3:$R$397,0)</x:f>
        <x:v>202</x:v>
      </x:c>
      <x:c r="W192" s="4" t="n">
        <x:f>MATCH(T192,$J$388:$J$400,0)</x:f>
        <x:v>7</x:v>
      </x:c>
      <x:c r="X192" s="3"/>
      <x:c r="Y192" s="3"/>
      <x:c r="Z192" s="3"/>
    </x:row>
    <x:row r="193" ht="15" customHeight="1">
      <x:c r="A193" s="3"/>
      <x:c r="B193" s="3"/>
      <x:c r="C193" s="3"/>
      <x:c r="D193" s="3"/>
      <x:c r="E193" s="3"/>
      <x:c r="F193" s="3"/>
      <x:c r="G193" s="3"/>
      <x:c r="H193" s="3"/>
      <x:c r="I193" s="3"/>
      <x:c r="J193" s="10" t="n">
        <x:v>46044</x:v>
      </x:c>
      <x:c r="K193" s="8" t="n">
        <x:f>INDEX('Сводка'!$S$3:$S$397,U193)</x:f>
        <x:v>-41</x:v>
      </x:c>
      <x:c r="L193" s="8" t="n">
        <x:f>INDEX('Сводка'!$S$3:$S$397,V193)</x:f>
        <x:v>-41</x:v>
      </x:c>
      <x:c r="M193" s="8" t="n">
        <x:f>INDEX($K$388:$N$400,W193,1)+INDEX($K$388:$N$400,W193,2)*(2*(J193-$T$405)/(T193-$T$405)-1)^1+INDEX($K$388:$N$400,W193,3)*(2*(J193-$T$405)/(T193-$T$405)-1)^2+INDEX($O$388:$Z$400,W193,MONTH(J193))</x:f>
        <x:v>19.875687546515877</x:v>
      </x:c>
      <x:c r="N193" s="8" t="n">
        <x:f>K193-M193</x:f>
        <x:v>-60.87568754651588</x:v>
      </x:c>
      <x:c r="O193" s="8" t="n">
        <x:f>ABS(N193)</x:f>
        <x:v>60.87568754651588</x:v>
      </x:c>
      <x:c r="P193" s="8" t="n">
        <x:f>N193^2</x:f>
        <x:v>3705.849334261028</x:v>
      </x:c>
      <x:c r="Q193" s="8" t="n">
        <x:f>K193-L193</x:f>
        <x:v>0</x:v>
      </x:c>
      <x:c r="R193" s="9" t="n">
        <x:f>IF(AND(INDEX('Сводка'!$T$3:$T$397,U193)=0,INDEX('Сводка'!$T$3:$T$397,V193)=0),1,0)</x:f>
        <x:v>1</x:v>
      </x:c>
      <x:c r="S193" s="9" t="n">
        <x:f>IF(AND(R193=1,O193&lt;=$G$13),1,0)</x:f>
        <x:v>0</x:v>
      </x:c>
      <x:c r="T193" s="10" t="n">
        <x:f>EOMONTH(J193-'Сводка'!$B$11,-1)</x:f>
        <x:v>46022</x:v>
      </x:c>
      <x:c r="U193" s="4" t="n">
        <x:f>MATCH(J193,'Сводка'!$R$3:$R$397,0)</x:f>
        <x:v>204</x:v>
      </x:c>
      <x:c r="V193" s="4" t="n">
        <x:f>MATCH(J193-'Сводка'!$B$11,'Сводка'!$R$3:$R$397,0)</x:f>
        <x:v>203</x:v>
      </x:c>
      <x:c r="W193" s="4" t="n">
        <x:f>MATCH(T193,$J$388:$J$400,0)</x:f>
        <x:v>7</x:v>
      </x:c>
      <x:c r="X193" s="3"/>
      <x:c r="Y193" s="3"/>
      <x:c r="Z193" s="3"/>
    </x:row>
    <x:row r="194" ht="15" customHeight="1">
      <x:c r="A194" s="3"/>
      <x:c r="B194" s="3"/>
      <x:c r="C194" s="3"/>
      <x:c r="D194" s="3"/>
      <x:c r="E194" s="3"/>
      <x:c r="F194" s="3"/>
      <x:c r="G194" s="3"/>
      <x:c r="H194" s="3"/>
      <x:c r="I194" s="3"/>
      <x:c r="J194" s="10" t="n">
        <x:v>46045</x:v>
      </x:c>
      <x:c r="K194" s="8" t="n">
        <x:f>INDEX('Сводка'!$S$3:$S$397,U194)</x:f>
        <x:v>-37</x:v>
      </x:c>
      <x:c r="L194" s="8" t="n">
        <x:f>INDEX('Сводка'!$S$3:$S$397,V194)</x:f>
        <x:v>-41</x:v>
      </x:c>
      <x:c r="M194" s="8" t="n">
        <x:f>INDEX($K$388:$N$400,W194,1)+INDEX($K$388:$N$400,W194,2)*(2*(J194-$T$405)/(T194-$T$405)-1)^1+INDEX($K$388:$N$400,W194,3)*(2*(J194-$T$405)/(T194-$T$405)-1)^2+INDEX($O$388:$Z$400,W194,MONTH(J194))</x:f>
        <x:v>19.868328692423717</x:v>
      </x:c>
      <x:c r="N194" s="8" t="n">
        <x:f>K194-M194</x:f>
        <x:v>-56.86832869242372</x:v>
      </x:c>
      <x:c r="O194" s="8" t="n">
        <x:f>ABS(N194)</x:f>
        <x:v>56.86832869242372</x:v>
      </x:c>
      <x:c r="P194" s="8" t="n">
        <x:f>N194^2</x:f>
        <x:v>3234.0068082695425</x:v>
      </x:c>
      <x:c r="Q194" s="8" t="n">
        <x:f>K194-L194</x:f>
        <x:v>4</x:v>
      </x:c>
      <x:c r="R194" s="9" t="n">
        <x:f>IF(AND(INDEX('Сводка'!$T$3:$T$397,U194)=0,INDEX('Сводка'!$T$3:$T$397,V194)=0),1,0)</x:f>
        <x:v>1</x:v>
      </x:c>
      <x:c r="S194" s="9" t="n">
        <x:f>IF(AND(R194=1,O194&lt;=$G$13),1,0)</x:f>
        <x:v>0</x:v>
      </x:c>
      <x:c r="T194" s="10" t="n">
        <x:f>EOMONTH(J194-'Сводка'!$B$11,-1)</x:f>
        <x:v>46022</x:v>
      </x:c>
      <x:c r="U194" s="4" t="n">
        <x:f>MATCH(J194,'Сводка'!$R$3:$R$397,0)</x:f>
        <x:v>205</x:v>
      </x:c>
      <x:c r="V194" s="4" t="n">
        <x:f>MATCH(J194-'Сводка'!$B$11,'Сводка'!$R$3:$R$397,0)</x:f>
        <x:v>204</x:v>
      </x:c>
      <x:c r="W194" s="4" t="n">
        <x:f>MATCH(T194,$J$388:$J$400,0)</x:f>
        <x:v>7</x:v>
      </x:c>
      <x:c r="X194" s="3"/>
      <x:c r="Y194" s="3"/>
      <x:c r="Z194" s="3"/>
    </x:row>
    <x:row r="195" ht="15" customHeight="1">
      <x:c r="A195" s="3"/>
      <x:c r="B195" s="3"/>
      <x:c r="C195" s="3"/>
      <x:c r="D195" s="3"/>
      <x:c r="E195" s="3"/>
      <x:c r="F195" s="3"/>
      <x:c r="G195" s="3"/>
      <x:c r="H195" s="3"/>
      <x:c r="I195" s="3"/>
      <x:c r="J195" s="10" t="n">
        <x:v>46046</x:v>
      </x:c>
      <x:c r="K195" s="8" t="n">
        <x:f>INDEX('Сводка'!$S$3:$S$397,U195)</x:f>
        <x:v>-39</x:v>
      </x:c>
      <x:c r="L195" s="8" t="n">
        <x:f>INDEX('Сводка'!$S$3:$S$397,V195)</x:f>
        <x:v>-37</x:v>
      </x:c>
      <x:c r="M195" s="8" t="n">
        <x:f>INDEX($K$388:$N$400,W195,1)+INDEX($K$388:$N$400,W195,2)*(2*(J195-$T$405)/(T195-$T$405)-1)^1+INDEX($K$388:$N$400,W195,3)*(2*(J195-$T$405)/(T195-$T$405)-1)^2+INDEX($O$388:$Z$400,W195,MONTH(J195))</x:f>
        <x:v>19.860963589145612</x:v>
      </x:c>
      <x:c r="N195" s="8" t="n">
        <x:f>K195-M195</x:f>
        <x:v>-58.86096358914561</x:v>
      </x:c>
      <x:c r="O195" s="8" t="n">
        <x:f>ABS(N195)</x:f>
        <x:v>58.86096358914561</x:v>
      </x:c>
      <x:c r="P195" s="8" t="n">
        <x:f>N195^2</x:f>
        <x:v>3464.6130346427253</x:v>
      </x:c>
      <x:c r="Q195" s="8" t="n">
        <x:f>K195-L195</x:f>
        <x:v>-2</x:v>
      </x:c>
      <x:c r="R195" s="9" t="n">
        <x:f>IF(AND(INDEX('Сводка'!$T$3:$T$397,U195)=0,INDEX('Сводка'!$T$3:$T$397,V195)=0),1,0)</x:f>
        <x:v>1</x:v>
      </x:c>
      <x:c r="S195" s="9" t="n">
        <x:f>IF(AND(R195=1,O195&lt;=$G$13),1,0)</x:f>
        <x:v>0</x:v>
      </x:c>
      <x:c r="T195" s="10" t="n">
        <x:f>EOMONTH(J195-'Сводка'!$B$11,-1)</x:f>
        <x:v>46022</x:v>
      </x:c>
      <x:c r="U195" s="4" t="n">
        <x:f>MATCH(J195,'Сводка'!$R$3:$R$397,0)</x:f>
        <x:v>206</x:v>
      </x:c>
      <x:c r="V195" s="4" t="n">
        <x:f>MATCH(J195-'Сводка'!$B$11,'Сводка'!$R$3:$R$397,0)</x:f>
        <x:v>205</x:v>
      </x:c>
      <x:c r="W195" s="4" t="n">
        <x:f>MATCH(T195,$J$388:$J$400,0)</x:f>
        <x:v>7</x:v>
      </x:c>
      <x:c r="X195" s="3"/>
      <x:c r="Y195" s="3"/>
      <x:c r="Z195" s="3"/>
    </x:row>
    <x:row r="196" ht="15" customHeight="1">
      <x:c r="A196" s="3"/>
      <x:c r="B196" s="3"/>
      <x:c r="C196" s="3"/>
      <x:c r="D196" s="3"/>
      <x:c r="E196" s="3"/>
      <x:c r="F196" s="3"/>
      <x:c r="G196" s="3"/>
      <x:c r="H196" s="3"/>
      <x:c r="I196" s="3"/>
      <x:c r="J196" s="10" t="n">
        <x:v>46047</x:v>
      </x:c>
      <x:c r="K196" s="8" t="n">
        <x:f>INDEX('Сводка'!$S$3:$S$397,U196)</x:f>
        <x:v>-36</x:v>
      </x:c>
      <x:c r="L196" s="8" t="n">
        <x:f>INDEX('Сводка'!$S$3:$S$397,V196)</x:f>
        <x:v>-39</x:v>
      </x:c>
      <x:c r="M196" s="8" t="n">
        <x:f>INDEX($K$388:$N$400,W196,1)+INDEX($K$388:$N$400,W196,2)*(2*(J196-$T$405)/(T196-$T$405)-1)^1+INDEX($K$388:$N$400,W196,3)*(2*(J196-$T$405)/(T196-$T$405)-1)^2+INDEX($O$388:$Z$400,W196,MONTH(J196))</x:f>
        <x:v>19.853592236681664</x:v>
      </x:c>
      <x:c r="N196" s="8" t="n">
        <x:f>K196-M196</x:f>
        <x:v>-55.85359223668166</x:v>
      </x:c>
      <x:c r="O196" s="8" t="n">
        <x:f>ABS(N196)</x:f>
        <x:v>55.85359223668166</x:v>
      </x:c>
      <x:c r="P196" s="8" t="n">
        <x:f>N196^2</x:f>
        <x:v>3119.6237657415063</x:v>
      </x:c>
      <x:c r="Q196" s="8" t="n">
        <x:f>K196-L196</x:f>
        <x:v>3</x:v>
      </x:c>
      <x:c r="R196" s="9" t="n">
        <x:f>IF(AND(INDEX('Сводка'!$T$3:$T$397,U196)=0,INDEX('Сводка'!$T$3:$T$397,V196)=0),1,0)</x:f>
        <x:v>1</x:v>
      </x:c>
      <x:c r="S196" s="9" t="n">
        <x:f>IF(AND(R196=1,O196&lt;=$G$13),1,0)</x:f>
        <x:v>0</x:v>
      </x:c>
      <x:c r="T196" s="10" t="n">
        <x:f>EOMONTH(J196-'Сводка'!$B$11,-1)</x:f>
        <x:v>46022</x:v>
      </x:c>
      <x:c r="U196" s="4" t="n">
        <x:f>MATCH(J196,'Сводка'!$R$3:$R$397,0)</x:f>
        <x:v>207</x:v>
      </x:c>
      <x:c r="V196" s="4" t="n">
        <x:f>MATCH(J196-'Сводка'!$B$11,'Сводка'!$R$3:$R$397,0)</x:f>
        <x:v>206</x:v>
      </x:c>
      <x:c r="W196" s="4" t="n">
        <x:f>MATCH(T196,$J$388:$J$400,0)</x:f>
        <x:v>7</x:v>
      </x:c>
      <x:c r="X196" s="3"/>
      <x:c r="Y196" s="3"/>
      <x:c r="Z196" s="3"/>
    </x:row>
    <x:row r="197" ht="15" customHeight="1">
      <x:c r="A197" s="3"/>
      <x:c r="B197" s="3"/>
      <x:c r="C197" s="3"/>
      <x:c r="D197" s="3"/>
      <x:c r="E197" s="3"/>
      <x:c r="F197" s="3"/>
      <x:c r="G197" s="3"/>
      <x:c r="H197" s="3"/>
      <x:c r="I197" s="3"/>
      <x:c r="J197" s="10" t="n">
        <x:v>46048</x:v>
      </x:c>
      <x:c r="K197" s="8" t="n">
        <x:f>INDEX('Сводка'!$S$3:$S$397,U197)</x:f>
        <x:v>-36</x:v>
      </x:c>
      <x:c r="L197" s="8" t="n">
        <x:f>INDEX('Сводка'!$S$3:$S$397,V197)</x:f>
        <x:v>-36</x:v>
      </x:c>
      <x:c r="M197" s="8" t="n">
        <x:f>INDEX($K$388:$N$400,W197,1)+INDEX($K$388:$N$400,W197,2)*(2*(J197-$T$405)/(T197-$T$405)-1)^1+INDEX($K$388:$N$400,W197,3)*(2*(J197-$T$405)/(T197-$T$405)-1)^2+INDEX($O$388:$Z$400,W197,MONTH(J197))</x:f>
        <x:v>19.846214635031828</x:v>
      </x:c>
      <x:c r="N197" s="8" t="n">
        <x:f>K197-M197</x:f>
        <x:v>-55.84621463503183</x:v>
      </x:c>
      <x:c r="O197" s="8" t="n">
        <x:f>ABS(N197)</x:f>
        <x:v>55.84621463503183</x:v>
      </x:c>
      <x:c r="P197" s="8" t="n">
        <x:f>N197^2</x:f>
        <x:v>3118.799689062043</x:v>
      </x:c>
      <x:c r="Q197" s="8" t="n">
        <x:f>K197-L197</x:f>
        <x:v>0</x:v>
      </x:c>
      <x:c r="R197" s="9" t="n">
        <x:f>IF(AND(INDEX('Сводка'!$T$3:$T$397,U197)=0,INDEX('Сводка'!$T$3:$T$397,V197)=0),1,0)</x:f>
        <x:v>1</x:v>
      </x:c>
      <x:c r="S197" s="9" t="n">
        <x:f>IF(AND(R197=1,O197&lt;=$G$13),1,0)</x:f>
        <x:v>0</x:v>
      </x:c>
      <x:c r="T197" s="10" t="n">
        <x:f>EOMONTH(J197-'Сводка'!$B$11,-1)</x:f>
        <x:v>46022</x:v>
      </x:c>
      <x:c r="U197" s="4" t="n">
        <x:f>MATCH(J197,'Сводка'!$R$3:$R$397,0)</x:f>
        <x:v>208</x:v>
      </x:c>
      <x:c r="V197" s="4" t="n">
        <x:f>MATCH(J197-'Сводка'!$B$11,'Сводка'!$R$3:$R$397,0)</x:f>
        <x:v>207</x:v>
      </x:c>
      <x:c r="W197" s="4" t="n">
        <x:f>MATCH(T197,$J$388:$J$400,0)</x:f>
        <x:v>7</x:v>
      </x:c>
      <x:c r="X197" s="3"/>
      <x:c r="Y197" s="3"/>
      <x:c r="Z197" s="3"/>
    </x:row>
    <x:row r="198" ht="15" customHeight="1">
      <x:c r="A198" s="3"/>
      <x:c r="B198" s="3"/>
      <x:c r="C198" s="3"/>
      <x:c r="D198" s="3"/>
      <x:c r="E198" s="3"/>
      <x:c r="F198" s="3"/>
      <x:c r="G198" s="3"/>
      <x:c r="H198" s="3"/>
      <x:c r="I198" s="3"/>
      <x:c r="J198" s="10" t="n">
        <x:v>46049</x:v>
      </x:c>
      <x:c r="K198" s="8" t="n">
        <x:f>INDEX('Сводка'!$S$3:$S$397,U198)</x:f>
        <x:v>-38</x:v>
      </x:c>
      <x:c r="L198" s="8" t="n">
        <x:f>INDEX('Сводка'!$S$3:$S$397,V198)</x:f>
        <x:v>-36</x:v>
      </x:c>
      <x:c r="M198" s="8" t="n">
        <x:f>INDEX($K$388:$N$400,W198,1)+INDEX($K$388:$N$400,W198,2)*(2*(J198-$T$405)/(T198-$T$405)-1)^1+INDEX($K$388:$N$400,W198,3)*(2*(J198-$T$405)/(T198-$T$405)-1)^2+INDEX($O$388:$Z$400,W198,MONTH(J198))</x:f>
        <x:v>19.83883078419612</x:v>
      </x:c>
      <x:c r="N198" s="8" t="n">
        <x:f>K198-M198</x:f>
        <x:v>-57.83883078419612</x:v>
      </x:c>
      <x:c r="O198" s="8" t="n">
        <x:f>ABS(N198)</x:f>
        <x:v>57.83883078419612</x:v>
      </x:c>
      <x:c r="P198" s="8" t="n">
        <x:f>N198^2</x:f>
        <x:v>3345.3303464828728</x:v>
      </x:c>
      <x:c r="Q198" s="8" t="n">
        <x:f>K198-L198</x:f>
        <x:v>-2</x:v>
      </x:c>
      <x:c r="R198" s="9" t="n">
        <x:f>IF(AND(INDEX('Сводка'!$T$3:$T$397,U198)=0,INDEX('Сводка'!$T$3:$T$397,V198)=0),1,0)</x:f>
        <x:v>1</x:v>
      </x:c>
      <x:c r="S198" s="9" t="n">
        <x:f>IF(AND(R198=1,O198&lt;=$G$13),1,0)</x:f>
        <x:v>0</x:v>
      </x:c>
      <x:c r="T198" s="10" t="n">
        <x:f>EOMONTH(J198-'Сводка'!$B$11,-1)</x:f>
        <x:v>46022</x:v>
      </x:c>
      <x:c r="U198" s="4" t="n">
        <x:f>MATCH(J198,'Сводка'!$R$3:$R$397,0)</x:f>
        <x:v>209</x:v>
      </x:c>
      <x:c r="V198" s="4" t="n">
        <x:f>MATCH(J198-'Сводка'!$B$11,'Сводка'!$R$3:$R$397,0)</x:f>
        <x:v>208</x:v>
      </x:c>
      <x:c r="W198" s="4" t="n">
        <x:f>MATCH(T198,$J$388:$J$400,0)</x:f>
        <x:v>7</x:v>
      </x:c>
      <x:c r="X198" s="3"/>
      <x:c r="Y198" s="3"/>
      <x:c r="Z198" s="3"/>
    </x:row>
    <x:row r="199" ht="15" customHeight="1">
      <x:c r="A199" s="3"/>
      <x:c r="B199" s="3"/>
      <x:c r="C199" s="3"/>
      <x:c r="D199" s="3"/>
      <x:c r="E199" s="3"/>
      <x:c r="F199" s="3"/>
      <x:c r="G199" s="3"/>
      <x:c r="H199" s="3"/>
      <x:c r="I199" s="3"/>
      <x:c r="J199" s="10" t="n">
        <x:v>46050</x:v>
      </x:c>
      <x:c r="K199" s="8" t="n">
        <x:f>INDEX('Сводка'!$S$3:$S$397,U199)</x:f>
        <x:v>-33</x:v>
      </x:c>
      <x:c r="L199" s="8" t="n">
        <x:f>INDEX('Сводка'!$S$3:$S$397,V199)</x:f>
        <x:v>-38</x:v>
      </x:c>
      <x:c r="M199" s="8" t="n">
        <x:f>INDEX($K$388:$N$400,W199,1)+INDEX($K$388:$N$400,W199,2)*(2*(J199-$T$405)/(T199-$T$405)-1)^1+INDEX($K$388:$N$400,W199,3)*(2*(J199-$T$405)/(T199-$T$405)-1)^2+INDEX($O$388:$Z$400,W199,MONTH(J199))</x:f>
        <x:v>19.83144068417451</x:v>
      </x:c>
      <x:c r="N199" s="8" t="n">
        <x:f>K199-M199</x:f>
        <x:v>-52.83144068417451</x:v>
      </x:c>
      <x:c r="O199" s="8" t="n">
        <x:f>ABS(N199)</x:f>
        <x:v>52.83144068417451</x:v>
      </x:c>
      <x:c r="P199" s="8" t="n">
        <x:f>N199^2</x:f>
        <x:v>2791.1611247654496</x:v>
      </x:c>
      <x:c r="Q199" s="8" t="n">
        <x:f>K199-L199</x:f>
        <x:v>5</x:v>
      </x:c>
      <x:c r="R199" s="9" t="n">
        <x:f>IF(AND(INDEX('Сводка'!$T$3:$T$397,U199)=0,INDEX('Сводка'!$T$3:$T$397,V199)=0),1,0)</x:f>
        <x:v>1</x:v>
      </x:c>
      <x:c r="S199" s="9" t="n">
        <x:f>IF(AND(R199=1,O199&lt;=$G$13),1,0)</x:f>
        <x:v>0</x:v>
      </x:c>
      <x:c r="T199" s="10" t="n">
        <x:f>EOMONTH(J199-'Сводка'!$B$11,-1)</x:f>
        <x:v>46022</x:v>
      </x:c>
      <x:c r="U199" s="4" t="n">
        <x:f>MATCH(J199,'Сводка'!$R$3:$R$397,0)</x:f>
        <x:v>210</x:v>
      </x:c>
      <x:c r="V199" s="4" t="n">
        <x:f>MATCH(J199-'Сводка'!$B$11,'Сводка'!$R$3:$R$397,0)</x:f>
        <x:v>209</x:v>
      </x:c>
      <x:c r="W199" s="4" t="n">
        <x:f>MATCH(T199,$J$388:$J$400,0)</x:f>
        <x:v>7</x:v>
      </x:c>
      <x:c r="X199" s="3"/>
      <x:c r="Y199" s="3"/>
      <x:c r="Z199" s="3"/>
    </x:row>
    <x:row r="200" ht="15" customHeight="1">
      <x:c r="A200" s="3"/>
      <x:c r="B200" s="3"/>
      <x:c r="C200" s="3"/>
      <x:c r="D200" s="3"/>
      <x:c r="E200" s="3"/>
      <x:c r="F200" s="3"/>
      <x:c r="G200" s="3"/>
      <x:c r="H200" s="3"/>
      <x:c r="I200" s="3"/>
      <x:c r="J200" s="10" t="n">
        <x:v>46051</x:v>
      </x:c>
      <x:c r="K200" s="8" t="n">
        <x:f>INDEX('Сводка'!$S$3:$S$397,U200)</x:f>
        <x:v>-33</x:v>
      </x:c>
      <x:c r="L200" s="8" t="n">
        <x:f>INDEX('Сводка'!$S$3:$S$397,V200)</x:f>
        <x:v>-33</x:v>
      </x:c>
      <x:c r="M200" s="8" t="n">
        <x:f>INDEX($K$388:$N$400,W200,1)+INDEX($K$388:$N$400,W200,2)*(2*(J200-$T$405)/(T200-$T$405)-1)^1+INDEX($K$388:$N$400,W200,3)*(2*(J200-$T$405)/(T200-$T$405)-1)^2+INDEX($O$388:$Z$400,W200,MONTH(J200))</x:f>
        <x:v>19.824044334967056</x:v>
      </x:c>
      <x:c r="N200" s="8" t="n">
        <x:f>K200-M200</x:f>
        <x:v>-52.824044334967056</x:v>
      </x:c>
      <x:c r="O200" s="8" t="n">
        <x:f>ABS(N200)</x:f>
        <x:v>52.824044334967056</x:v>
      </x:c>
      <x:c r="P200" s="8" t="n">
        <x:f>N200^2</x:f>
        <x:v>2790.379659902565</x:v>
      </x:c>
      <x:c r="Q200" s="8" t="n">
        <x:f>K200-L200</x:f>
        <x:v>0</x:v>
      </x:c>
      <x:c r="R200" s="9" t="n">
        <x:f>IF(AND(INDEX('Сводка'!$T$3:$T$397,U200)=0,INDEX('Сводка'!$T$3:$T$397,V200)=0),1,0)</x:f>
        <x:v>1</x:v>
      </x:c>
      <x:c r="S200" s="9" t="n">
        <x:f>IF(AND(R200=1,O200&lt;=$G$13),1,0)</x:f>
        <x:v>0</x:v>
      </x:c>
      <x:c r="T200" s="10" t="n">
        <x:f>EOMONTH(J200-'Сводка'!$B$11,-1)</x:f>
        <x:v>46022</x:v>
      </x:c>
      <x:c r="U200" s="4" t="n">
        <x:f>MATCH(J200,'Сводка'!$R$3:$R$397,0)</x:f>
        <x:v>211</x:v>
      </x:c>
      <x:c r="V200" s="4" t="n">
        <x:f>MATCH(J200-'Сводка'!$B$11,'Сводка'!$R$3:$R$397,0)</x:f>
        <x:v>210</x:v>
      </x:c>
      <x:c r="W200" s="4" t="n">
        <x:f>MATCH(T200,$J$388:$J$400,0)</x:f>
        <x:v>7</x:v>
      </x:c>
      <x:c r="X200" s="3"/>
      <x:c r="Y200" s="3"/>
      <x:c r="Z200" s="3"/>
    </x:row>
    <x:row r="201" ht="15" customHeight="1">
      <x:c r="A201" s="3"/>
      <x:c r="B201" s="3"/>
      <x:c r="C201" s="3"/>
      <x:c r="D201" s="3"/>
      <x:c r="E201" s="3"/>
      <x:c r="F201" s="3"/>
      <x:c r="G201" s="3"/>
      <x:c r="H201" s="3"/>
      <x:c r="I201" s="3"/>
      <x:c r="J201" s="10" t="n">
        <x:v>46052</x:v>
      </x:c>
      <x:c r="K201" s="8" t="n">
        <x:f>INDEX('Сводка'!$S$3:$S$397,U201)</x:f>
        <x:v>-36</x:v>
      </x:c>
      <x:c r="L201" s="8" t="n">
        <x:f>INDEX('Сводка'!$S$3:$S$397,V201)</x:f>
        <x:v>-33</x:v>
      </x:c>
      <x:c r="M201" s="8" t="n">
        <x:f>INDEX($K$388:$N$400,W201,1)+INDEX($K$388:$N$400,W201,2)*(2*(J201-$T$405)/(T201-$T$405)-1)^1+INDEX($K$388:$N$400,W201,3)*(2*(J201-$T$405)/(T201-$T$405)-1)^2+INDEX($O$388:$Z$400,W201,MONTH(J201))</x:f>
        <x:v>19.8166417365737</x:v>
      </x:c>
      <x:c r="N201" s="8" t="n">
        <x:f>K201-M201</x:f>
        <x:v>-55.8166417365737</x:v>
      </x:c>
      <x:c r="O201" s="8" t="n">
        <x:f>ABS(N201)</x:f>
        <x:v>55.8166417365737</x:v>
      </x:c>
      <x:c r="P201" s="8" t="n">
        <x:f>N201^2</x:f>
        <x:v>3115.4974947490214</x:v>
      </x:c>
      <x:c r="Q201" s="8" t="n">
        <x:f>K201-L201</x:f>
        <x:v>-3</x:v>
      </x:c>
      <x:c r="R201" s="9" t="n">
        <x:f>IF(AND(INDEX('Сводка'!$T$3:$T$397,U201)=0,INDEX('Сводка'!$T$3:$T$397,V201)=0),1,0)</x:f>
        <x:v>1</x:v>
      </x:c>
      <x:c r="S201" s="9" t="n">
        <x:f>IF(AND(R201=1,O201&lt;=$G$13),1,0)</x:f>
        <x:v>0</x:v>
      </x:c>
      <x:c r="T201" s="10" t="n">
        <x:f>EOMONTH(J201-'Сводка'!$B$11,-1)</x:f>
        <x:v>46022</x:v>
      </x:c>
      <x:c r="U201" s="4" t="n">
        <x:f>MATCH(J201,'Сводка'!$R$3:$R$397,0)</x:f>
        <x:v>212</x:v>
      </x:c>
      <x:c r="V201" s="4" t="n">
        <x:f>MATCH(J201-'Сводка'!$B$11,'Сводка'!$R$3:$R$397,0)</x:f>
        <x:v>211</x:v>
      </x:c>
      <x:c r="W201" s="4" t="n">
        <x:f>MATCH(T201,$J$388:$J$400,0)</x:f>
        <x:v>7</x:v>
      </x:c>
      <x:c r="X201" s="3"/>
      <x:c r="Y201" s="3"/>
      <x:c r="Z201" s="3"/>
    </x:row>
    <x:row r="202" ht="15" customHeight="1">
      <x:c r="A202" s="3"/>
      <x:c r="B202" s="3"/>
      <x:c r="C202" s="3"/>
      <x:c r="D202" s="3"/>
      <x:c r="E202" s="3"/>
      <x:c r="F202" s="3"/>
      <x:c r="G202" s="3"/>
      <x:c r="H202" s="3"/>
      <x:c r="I202" s="3"/>
      <x:c r="J202" s="10" t="n">
        <x:v>46053</x:v>
      </x:c>
      <x:c r="K202" s="8" t="n">
        <x:f>INDEX('Сводка'!$S$3:$S$397,U202)</x:f>
        <x:v>-32</x:v>
      </x:c>
      <x:c r="L202" s="8" t="n">
        <x:f>INDEX('Сводка'!$S$3:$S$397,V202)</x:f>
        <x:v>-36</x:v>
      </x:c>
      <x:c r="M202" s="8" t="n">
        <x:f>INDEX($K$388:$N$400,W202,1)+INDEX($K$388:$N$400,W202,2)*(2*(J202-$T$405)/(T202-$T$405)-1)^1+INDEX($K$388:$N$400,W202,3)*(2*(J202-$T$405)/(T202-$T$405)-1)^2+INDEX($O$388:$Z$400,W202,MONTH(J202))</x:f>
        <x:v>19.809232888994444</x:v>
      </x:c>
      <x:c r="N202" s="8" t="n">
        <x:f>K202-M202</x:f>
        <x:v>-51.809232888994444</x:v>
      </x:c>
      <x:c r="O202" s="8" t="n">
        <x:f>ABS(N202)</x:f>
        <x:v>51.809232888994444</x:v>
      </x:c>
      <x:c r="P202" s="8" t="n">
        <x:f>N202^2</x:f>
        <x:v>2684.1966125460635</x:v>
      </x:c>
      <x:c r="Q202" s="8" t="n">
        <x:f>K202-L202</x:f>
        <x:v>4</x:v>
      </x:c>
      <x:c r="R202" s="9" t="n">
        <x:f>IF(AND(INDEX('Сводка'!$T$3:$T$397,U202)=0,INDEX('Сводка'!$T$3:$T$397,V202)=0),1,0)</x:f>
        <x:v>1</x:v>
      </x:c>
      <x:c r="S202" s="9" t="n">
        <x:f>IF(AND(R202=1,O202&lt;=$G$13),1,0)</x:f>
        <x:v>0</x:v>
      </x:c>
      <x:c r="T202" s="10" t="n">
        <x:f>EOMONTH(J202-'Сводка'!$B$11,-1)</x:f>
        <x:v>46022</x:v>
      </x:c>
      <x:c r="U202" s="4" t="n">
        <x:f>MATCH(J202,'Сводка'!$R$3:$R$397,0)</x:f>
        <x:v>213</x:v>
      </x:c>
      <x:c r="V202" s="4" t="n">
        <x:f>MATCH(J202-'Сводка'!$B$11,'Сводка'!$R$3:$R$397,0)</x:f>
        <x:v>212</x:v>
      </x:c>
      <x:c r="W202" s="4" t="n">
        <x:f>MATCH(T202,$J$388:$J$400,0)</x:f>
        <x:v>7</x:v>
      </x:c>
      <x:c r="X202" s="3"/>
      <x:c r="Y202" s="3"/>
      <x:c r="Z202" s="3"/>
    </x:row>
    <x:row r="203" ht="15" customHeight="1">
      <x:c r="A203" s="3"/>
      <x:c r="B203" s="3"/>
      <x:c r="C203" s="3"/>
      <x:c r="D203" s="3"/>
      <x:c r="E203" s="3"/>
      <x:c r="F203" s="3"/>
      <x:c r="G203" s="3"/>
      <x:c r="H203" s="3"/>
      <x:c r="I203" s="3"/>
      <x:c r="J203" s="10" t="n">
        <x:v>46054</x:v>
      </x:c>
      <x:c r="K203" s="8" t="n">
        <x:f>INDEX('Сводка'!$S$3:$S$397,U203)</x:f>
        <x:v>-34</x:v>
      </x:c>
      <x:c r="L203" s="8" t="n">
        <x:f>INDEX('Сводка'!$S$3:$S$397,V203)</x:f>
        <x:v>-32</x:v>
      </x:c>
      <x:c r="M203" s="8" t="n">
        <x:f>INDEX($K$388:$N$400,W203,1)+INDEX($K$388:$N$400,W203,2)*(2*(J203-$T$405)/(T203-$T$405)-1)^1+INDEX($K$388:$N$400,W203,3)*(2*(J203-$T$405)/(T203-$T$405)-1)^2+INDEX($O$388:$Z$400,W203,MONTH(J203))</x:f>
        <x:v>-31.791000607161237</x:v>
      </x:c>
      <x:c r="N203" s="8" t="n">
        <x:f>K203-M203</x:f>
        <x:v>-2.208999392838763</x:v>
      </x:c>
      <x:c r="O203" s="8" t="n">
        <x:f>ABS(N203)</x:f>
        <x:v>2.208999392838763</x:v>
      </x:c>
      <x:c r="P203" s="8" t="n">
        <x:f>N203^2</x:f>
        <x:v>4.879678317562023</x:v>
      </x:c>
      <x:c r="Q203" s="8" t="n">
        <x:f>K203-L203</x:f>
        <x:v>-2</x:v>
      </x:c>
      <x:c r="R203" s="9" t="n">
        <x:f>IF(AND(INDEX('Сводка'!$T$3:$T$397,U203)=0,INDEX('Сводка'!$T$3:$T$397,V203)=0),1,0)</x:f>
        <x:v>1</x:v>
      </x:c>
      <x:c r="S203" s="9" t="n">
        <x:f>IF(AND(R203=1,O203&lt;=$G$13),1,0)</x:f>
        <x:v>1</x:v>
      </x:c>
      <x:c r="T203" s="10" t="n">
        <x:f>EOMONTH(J203-'Сводка'!$B$11,-1)</x:f>
        <x:v>46022</x:v>
      </x:c>
      <x:c r="U203" s="4" t="n">
        <x:f>MATCH(J203,'Сводка'!$R$3:$R$397,0)</x:f>
        <x:v>214</x:v>
      </x:c>
      <x:c r="V203" s="4" t="n">
        <x:f>MATCH(J203-'Сводка'!$B$11,'Сводка'!$R$3:$R$397,0)</x:f>
        <x:v>213</x:v>
      </x:c>
      <x:c r="W203" s="4" t="n">
        <x:f>MATCH(T203,$J$388:$J$400,0)</x:f>
        <x:v>7</x:v>
      </x:c>
      <x:c r="X203" s="3"/>
      <x:c r="Y203" s="3"/>
      <x:c r="Z203" s="3"/>
    </x:row>
    <x:row r="204" ht="15" customHeight="1">
      <x:c r="A204" s="3"/>
      <x:c r="B204" s="3"/>
      <x:c r="C204" s="3"/>
      <x:c r="D204" s="3"/>
      <x:c r="E204" s="3"/>
      <x:c r="F204" s="3"/>
      <x:c r="G204" s="3"/>
      <x:c r="H204" s="3"/>
      <x:c r="I204" s="3"/>
      <x:c r="J204" s="10" t="n">
        <x:v>46055</x:v>
      </x:c>
      <x:c r="K204" s="8" t="n">
        <x:f>INDEX('Сводка'!$S$3:$S$397,U204)</x:f>
        <x:v>-33</x:v>
      </x:c>
      <x:c r="L204" s="8" t="n">
        <x:f>INDEX('Сводка'!$S$3:$S$397,V204)</x:f>
        <x:v>-34</x:v>
      </x:c>
      <x:c r="M204" s="8" t="n">
        <x:f>INDEX($K$388:$N$400,W204,1)+INDEX($K$388:$N$400,W204,2)*(2*(J204-$T$405)/(T204-$T$405)-1)^1+INDEX($K$388:$N$400,W204,3)*(2*(J204-$T$405)/(T204-$T$405)-1)^2+INDEX($O$388:$Z$400,W204,MONTH(J204))</x:f>
        <x:v>-33.201711566368175</x:v>
      </x:c>
      <x:c r="N204" s="8" t="n">
        <x:f>K204-M204</x:f>
        <x:v>0.201711566368175</x:v>
      </x:c>
      <x:c r="O204" s="8" t="n">
        <x:f>ABS(N204)</x:f>
        <x:v>0.201711566368175</x:v>
      </x:c>
      <x:c r="P204" s="8" t="n">
        <x:f>N204^2</x:f>
        <x:v>0.040687556006702666</x:v>
      </x:c>
      <x:c r="Q204" s="8" t="n">
        <x:f>K204-L204</x:f>
        <x:v>1</x:v>
      </x:c>
      <x:c r="R204" s="9" t="n">
        <x:f>IF(AND(INDEX('Сводка'!$T$3:$T$397,U204)=0,INDEX('Сводка'!$T$3:$T$397,V204)=0),1,0)</x:f>
        <x:v>1</x:v>
      </x:c>
      <x:c r="S204" s="9" t="n">
        <x:f>IF(AND(R204=1,O204&lt;=$G$13),1,0)</x:f>
        <x:v>1</x:v>
      </x:c>
      <x:c r="T204" s="10" t="n">
        <x:f>EOMONTH(J204-'Сводка'!$B$11,-1)</x:f>
        <x:v>46053</x:v>
      </x:c>
      <x:c r="U204" s="4" t="n">
        <x:f>MATCH(J204,'Сводка'!$R$3:$R$397,0)</x:f>
        <x:v>215</x:v>
      </x:c>
      <x:c r="V204" s="4" t="n">
        <x:f>MATCH(J204-'Сводка'!$B$11,'Сводка'!$R$3:$R$397,0)</x:f>
        <x:v>214</x:v>
      </x:c>
      <x:c r="W204" s="4" t="n">
        <x:f>MATCH(T204,$J$388:$J$400,0)</x:f>
        <x:v>8</x:v>
      </x:c>
      <x:c r="X204" s="3"/>
      <x:c r="Y204" s="3"/>
      <x:c r="Z204" s="3"/>
    </x:row>
    <x:row r="205" ht="15" customHeight="1">
      <x:c r="A205" s="3"/>
      <x:c r="B205" s="3"/>
      <x:c r="C205" s="3"/>
      <x:c r="D205" s="3"/>
      <x:c r="E205" s="3"/>
      <x:c r="F205" s="3"/>
      <x:c r="G205" s="3"/>
      <x:c r="H205" s="3"/>
      <x:c r="I205" s="3"/>
      <x:c r="J205" s="10" t="n">
        <x:v>46056</x:v>
      </x:c>
      <x:c r="K205" s="8" t="n">
        <x:f>INDEX('Сводка'!$S$3:$S$397,U205)</x:f>
        <x:v>-36</x:v>
      </x:c>
      <x:c r="L205" s="8" t="n">
        <x:f>INDEX('Сводка'!$S$3:$S$397,V205)</x:f>
        <x:v>-33</x:v>
      </x:c>
      <x:c r="M205" s="8" t="n">
        <x:f>INDEX($K$388:$N$400,W205,1)+INDEX($K$388:$N$400,W205,2)*(2*(J205-$T$405)/(T205-$T$405)-1)^1+INDEX($K$388:$N$400,W205,3)*(2*(J205-$T$405)/(T205-$T$405)-1)^2+INDEX($O$388:$Z$400,W205,MONTH(J205))</x:f>
        <x:v>-33.20978544875325</x:v>
      </x:c>
      <x:c r="N205" s="8" t="n">
        <x:f>K205-M205</x:f>
        <x:v>-2.7902145512467484</x:v>
      </x:c>
      <x:c r="O205" s="8" t="n">
        <x:f>ABS(N205)</x:f>
        <x:v>2.7902145512467484</x:v>
      </x:c>
      <x:c r="P205" s="8" t="n">
        <x:f>N205^2</x:f>
        <x:v>7.785297241989094</x:v>
      </x:c>
      <x:c r="Q205" s="8" t="n">
        <x:f>K205-L205</x:f>
        <x:v>-3</x:v>
      </x:c>
      <x:c r="R205" s="9" t="n">
        <x:f>IF(AND(INDEX('Сводка'!$T$3:$T$397,U205)=0,INDEX('Сводка'!$T$3:$T$397,V205)=0),1,0)</x:f>
        <x:v>1</x:v>
      </x:c>
      <x:c r="S205" s="9" t="n">
        <x:f>IF(AND(R205=1,O205&lt;=$G$13),1,0)</x:f>
        <x:v>1</x:v>
      </x:c>
      <x:c r="T205" s="10" t="n">
        <x:f>EOMONTH(J205-'Сводка'!$B$11,-1)</x:f>
        <x:v>46053</x:v>
      </x:c>
      <x:c r="U205" s="4" t="n">
        <x:f>MATCH(J205,'Сводка'!$R$3:$R$397,0)</x:f>
        <x:v>216</x:v>
      </x:c>
      <x:c r="V205" s="4" t="n">
        <x:f>MATCH(J205-'Сводка'!$B$11,'Сводка'!$R$3:$R$397,0)</x:f>
        <x:v>215</x:v>
      </x:c>
      <x:c r="W205" s="4" t="n">
        <x:f>MATCH(T205,$J$388:$J$400,0)</x:f>
        <x:v>8</x:v>
      </x:c>
      <x:c r="X205" s="3"/>
      <x:c r="Y205" s="3"/>
      <x:c r="Z205" s="3"/>
    </x:row>
    <x:row r="206" ht="15" customHeight="1">
      <x:c r="A206" s="3"/>
      <x:c r="B206" s="3"/>
      <x:c r="C206" s="3"/>
      <x:c r="D206" s="3"/>
      <x:c r="E206" s="3"/>
      <x:c r="F206" s="3"/>
      <x:c r="G206" s="3"/>
      <x:c r="H206" s="3"/>
      <x:c r="I206" s="3"/>
      <x:c r="J206" s="10" t="n">
        <x:v>46057</x:v>
      </x:c>
      <x:c r="K206" s="8" t="n">
        <x:f>INDEX('Сводка'!$S$3:$S$397,U206)</x:f>
        <x:v>-34</x:v>
      </x:c>
      <x:c r="L206" s="8" t="n">
        <x:f>INDEX('Сводка'!$S$3:$S$397,V206)</x:f>
        <x:v>-36</x:v>
      </x:c>
      <x:c r="M206" s="8" t="n">
        <x:f>INDEX($K$388:$N$400,W206,1)+INDEX($K$388:$N$400,W206,2)*(2*(J206-$T$405)/(T206-$T$405)-1)^1+INDEX($K$388:$N$400,W206,3)*(2*(J206-$T$405)/(T206-$T$405)-1)^2+INDEX($O$388:$Z$400,W206,MONTH(J206))</x:f>
        <x:v>-33.21786569955961</x:v>
      </x:c>
      <x:c r="N206" s="8" t="n">
        <x:f>K206-M206</x:f>
        <x:v>-0.78213430044039</x:v>
      </x:c>
      <x:c r="O206" s="8" t="n">
        <x:f>ABS(N206)</x:f>
        <x:v>0.78213430044039</x:v>
      </x:c>
      <x:c r="P206" s="8" t="n">
        <x:f>N206^2</x:f>
        <x:v>0.6117340639253782</x:v>
      </x:c>
      <x:c r="Q206" s="8" t="n">
        <x:f>K206-L206</x:f>
        <x:v>2</x:v>
      </x:c>
      <x:c r="R206" s="9" t="n">
        <x:f>IF(AND(INDEX('Сводка'!$T$3:$T$397,U206)=0,INDEX('Сводка'!$T$3:$T$397,V206)=0),1,0)</x:f>
        <x:v>1</x:v>
      </x:c>
      <x:c r="S206" s="9" t="n">
        <x:f>IF(AND(R206=1,O206&lt;=$G$13),1,0)</x:f>
        <x:v>1</x:v>
      </x:c>
      <x:c r="T206" s="10" t="n">
        <x:f>EOMONTH(J206-'Сводка'!$B$11,-1)</x:f>
        <x:v>46053</x:v>
      </x:c>
      <x:c r="U206" s="4" t="n">
        <x:f>MATCH(J206,'Сводка'!$R$3:$R$397,0)</x:f>
        <x:v>217</x:v>
      </x:c>
      <x:c r="V206" s="4" t="n">
        <x:f>MATCH(J206-'Сводка'!$B$11,'Сводка'!$R$3:$R$397,0)</x:f>
        <x:v>216</x:v>
      </x:c>
      <x:c r="W206" s="4" t="n">
        <x:f>MATCH(T206,$J$388:$J$400,0)</x:f>
        <x:v>8</x:v>
      </x:c>
      <x:c r="X206" s="3"/>
      <x:c r="Y206" s="3"/>
      <x:c r="Z206" s="3"/>
    </x:row>
    <x:row r="207" ht="15" customHeight="1">
      <x:c r="A207" s="3"/>
      <x:c r="B207" s="3"/>
      <x:c r="C207" s="3"/>
      <x:c r="D207" s="3"/>
      <x:c r="E207" s="3"/>
      <x:c r="F207" s="3"/>
      <x:c r="G207" s="3"/>
      <x:c r="H207" s="3"/>
      <x:c r="I207" s="3"/>
      <x:c r="J207" s="10" t="n">
        <x:v>46058</x:v>
      </x:c>
      <x:c r="K207" s="8" t="n">
        <x:f>INDEX('Сводка'!$S$3:$S$397,U207)</x:f>
        <x:v>-35</x:v>
      </x:c>
      <x:c r="L207" s="8" t="n">
        <x:f>INDEX('Сводка'!$S$3:$S$397,V207)</x:f>
        <x:v>-34</x:v>
      </x:c>
      <x:c r="M207" s="8" t="n">
        <x:f>INDEX($K$388:$N$400,W207,1)+INDEX($K$388:$N$400,W207,2)*(2*(J207-$T$405)/(T207-$T$405)-1)^1+INDEX($K$388:$N$400,W207,3)*(2*(J207-$T$405)/(T207-$T$405)-1)^2+INDEX($O$388:$Z$400,W207,MONTH(J207))</x:f>
        <x:v>-33.22595231878721</x:v>
      </x:c>
      <x:c r="N207" s="8" t="n">
        <x:f>K207-M207</x:f>
        <x:v>-1.7740476812127923</x:v>
      </x:c>
      <x:c r="O207" s="8" t="n">
        <x:f>ABS(N207)</x:f>
        <x:v>1.7740476812127923</x:v>
      </x:c>
      <x:c r="P207" s="8" t="n">
        <x:f>N207^2</x:f>
        <x:v>3.147245175216485</x:v>
      </x:c>
      <x:c r="Q207" s="8" t="n">
        <x:f>K207-L207</x:f>
        <x:v>-1</x:v>
      </x:c>
      <x:c r="R207" s="9" t="n">
        <x:f>IF(AND(INDEX('Сводка'!$T$3:$T$397,U207)=0,INDEX('Сводка'!$T$3:$T$397,V207)=0),1,0)</x:f>
        <x:v>1</x:v>
      </x:c>
      <x:c r="S207" s="9" t="n">
        <x:f>IF(AND(R207=1,O207&lt;=$G$13),1,0)</x:f>
        <x:v>1</x:v>
      </x:c>
      <x:c r="T207" s="10" t="n">
        <x:f>EOMONTH(J207-'Сводка'!$B$11,-1)</x:f>
        <x:v>46053</x:v>
      </x:c>
      <x:c r="U207" s="4" t="n">
        <x:f>MATCH(J207,'Сводка'!$R$3:$R$397,0)</x:f>
        <x:v>218</x:v>
      </x:c>
      <x:c r="V207" s="4" t="n">
        <x:f>MATCH(J207-'Сводка'!$B$11,'Сводка'!$R$3:$R$397,0)</x:f>
        <x:v>217</x:v>
      </x:c>
      <x:c r="W207" s="4" t="n">
        <x:f>MATCH(T207,$J$388:$J$400,0)</x:f>
        <x:v>8</x:v>
      </x:c>
      <x:c r="X207" s="3"/>
      <x:c r="Y207" s="3"/>
      <x:c r="Z207" s="3"/>
    </x:row>
    <x:row r="208" ht="15" customHeight="1">
      <x:c r="A208" s="3"/>
      <x:c r="B208" s="3"/>
      <x:c r="C208" s="3"/>
      <x:c r="D208" s="3"/>
      <x:c r="E208" s="3"/>
      <x:c r="F208" s="3"/>
      <x:c r="G208" s="3"/>
      <x:c r="H208" s="3"/>
      <x:c r="I208" s="3"/>
      <x:c r="J208" s="10" t="n">
        <x:v>46059</x:v>
      </x:c>
      <x:c r="K208" s="8" t="n">
        <x:f>INDEX('Сводка'!$S$3:$S$397,U208)</x:f>
        <x:v>-38</x:v>
      </x:c>
      <x:c r="L208" s="8" t="n">
        <x:f>INDEX('Сводка'!$S$3:$S$397,V208)</x:f>
        <x:v>-35</x:v>
      </x:c>
      <x:c r="M208" s="8" t="n">
        <x:f>INDEX($K$388:$N$400,W208,1)+INDEX($K$388:$N$400,W208,2)*(2*(J208-$T$405)/(T208-$T$405)-1)^1+INDEX($K$388:$N$400,W208,3)*(2*(J208-$T$405)/(T208-$T$405)-1)^2+INDEX($O$388:$Z$400,W208,MONTH(J208))</x:f>
        <x:v>-33.23404530643609</x:v>
      </x:c>
      <x:c r="N208" s="8" t="n">
        <x:f>K208-M208</x:f>
        <x:v>-4.765954693563913</x:v>
      </x:c>
      <x:c r="O208" s="8" t="n">
        <x:f>ABS(N208)</x:f>
        <x:v>4.765954693563913</x:v>
      </x:c>
      <x:c r="P208" s="8" t="n">
        <x:f>N208^2</x:f>
        <x:v>22.71432414110389</x:v>
      </x:c>
      <x:c r="Q208" s="8" t="n">
        <x:f>K208-L208</x:f>
        <x:v>-3</x:v>
      </x:c>
      <x:c r="R208" s="9" t="n">
        <x:f>IF(AND(INDEX('Сводка'!$T$3:$T$397,U208)=0,INDEX('Сводка'!$T$3:$T$397,V208)=0),1,0)</x:f>
        <x:v>1</x:v>
      </x:c>
      <x:c r="S208" s="9" t="n">
        <x:f>IF(AND(R208=1,O208&lt;=$G$13),1,0)</x:f>
        <x:v>1</x:v>
      </x:c>
      <x:c r="T208" s="10" t="n">
        <x:f>EOMONTH(J208-'Сводка'!$B$11,-1)</x:f>
        <x:v>46053</x:v>
      </x:c>
      <x:c r="U208" s="4" t="n">
        <x:f>MATCH(J208,'Сводка'!$R$3:$R$397,0)</x:f>
        <x:v>219</x:v>
      </x:c>
      <x:c r="V208" s="4" t="n">
        <x:f>MATCH(J208-'Сводка'!$B$11,'Сводка'!$R$3:$R$397,0)</x:f>
        <x:v>218</x:v>
      </x:c>
      <x:c r="W208" s="4" t="n">
        <x:f>MATCH(T208,$J$388:$J$400,0)</x:f>
        <x:v>8</x:v>
      </x:c>
      <x:c r="X208" s="3"/>
      <x:c r="Y208" s="3"/>
      <x:c r="Z208" s="3"/>
    </x:row>
    <x:row r="209" ht="15" customHeight="1">
      <x:c r="A209" s="3"/>
      <x:c r="B209" s="3"/>
      <x:c r="C209" s="3"/>
      <x:c r="D209" s="3"/>
      <x:c r="E209" s="3"/>
      <x:c r="F209" s="3"/>
      <x:c r="G209" s="3"/>
      <x:c r="H209" s="3"/>
      <x:c r="I209" s="3"/>
      <x:c r="J209" s="10" t="n">
        <x:v>46060</x:v>
      </x:c>
      <x:c r="K209" s="8" t="n">
        <x:f>INDEX('Сводка'!$S$3:$S$397,U209)</x:f>
        <x:v>-41</x:v>
      </x:c>
      <x:c r="L209" s="8" t="n">
        <x:f>INDEX('Сводка'!$S$3:$S$397,V209)</x:f>
        <x:v>-38</x:v>
      </x:c>
      <x:c r="M209" s="8" t="n">
        <x:f>INDEX($K$388:$N$400,W209,1)+INDEX($K$388:$N$400,W209,2)*(2*(J209-$T$405)/(T209-$T$405)-1)^1+INDEX($K$388:$N$400,W209,3)*(2*(J209-$T$405)/(T209-$T$405)-1)^2+INDEX($O$388:$Z$400,W209,MONTH(J209))</x:f>
        <x:v>-33.242144662506206</x:v>
      </x:c>
      <x:c r="N209" s="8" t="n">
        <x:f>K209-M209</x:f>
        <x:v>-7.757855337493794</x:v>
      </x:c>
      <x:c r="O209" s="8" t="n">
        <x:f>ABS(N209)</x:f>
        <x:v>7.757855337493794</x:v>
      </x:c>
      <x:c r="P209" s="8" t="n">
        <x:f>N209^2</x:f>
        <x:v>60.18431943748095</x:v>
      </x:c>
      <x:c r="Q209" s="8" t="n">
        <x:f>K209-L209</x:f>
        <x:v>-3</x:v>
      </x:c>
      <x:c r="R209" s="9" t="n">
        <x:f>IF(AND(INDEX('Сводка'!$T$3:$T$397,U209)=0,INDEX('Сводка'!$T$3:$T$397,V209)=0),1,0)</x:f>
        <x:v>1</x:v>
      </x:c>
      <x:c r="S209" s="9" t="n">
        <x:f>IF(AND(R209=1,O209&lt;=$G$13),1,0)</x:f>
        <x:v>0</x:v>
      </x:c>
      <x:c r="T209" s="10" t="n">
        <x:f>EOMONTH(J209-'Сводка'!$B$11,-1)</x:f>
        <x:v>46053</x:v>
      </x:c>
      <x:c r="U209" s="4" t="n">
        <x:f>MATCH(J209,'Сводка'!$R$3:$R$397,0)</x:f>
        <x:v>220</x:v>
      </x:c>
      <x:c r="V209" s="4" t="n">
        <x:f>MATCH(J209-'Сводка'!$B$11,'Сводка'!$R$3:$R$397,0)</x:f>
        <x:v>219</x:v>
      </x:c>
      <x:c r="W209" s="4" t="n">
        <x:f>MATCH(T209,$J$388:$J$400,0)</x:f>
        <x:v>8</x:v>
      </x:c>
      <x:c r="X209" s="3"/>
      <x:c r="Y209" s="3"/>
      <x:c r="Z209" s="3"/>
    </x:row>
    <x:row r="210" ht="15" customHeight="1">
      <x:c r="A210" s="3"/>
      <x:c r="B210" s="3"/>
      <x:c r="C210" s="3"/>
      <x:c r="D210" s="3"/>
      <x:c r="E210" s="3"/>
      <x:c r="F210" s="3"/>
      <x:c r="G210" s="3"/>
      <x:c r="H210" s="3"/>
      <x:c r="I210" s="3"/>
      <x:c r="J210" s="10" t="n">
        <x:v>46061</x:v>
      </x:c>
      <x:c r="K210" s="8" t="n">
        <x:f>INDEX('Сводка'!$S$3:$S$397,U210)</x:f>
        <x:v>-43</x:v>
      </x:c>
      <x:c r="L210" s="8" t="n">
        <x:f>INDEX('Сводка'!$S$3:$S$397,V210)</x:f>
        <x:v>-41</x:v>
      </x:c>
      <x:c r="M210" s="8" t="n">
        <x:f>INDEX($K$388:$N$400,W210,1)+INDEX($K$388:$N$400,W210,2)*(2*(J210-$T$405)/(T210-$T$405)-1)^1+INDEX($K$388:$N$400,W210,3)*(2*(J210-$T$405)/(T210-$T$405)-1)^2+INDEX($O$388:$Z$400,W210,MONTH(J210))</x:f>
        <x:v>-33.25025038699755</x:v>
      </x:c>
      <x:c r="N210" s="8" t="n">
        <x:f>K210-M210</x:f>
        <x:v>-9.74974961300245</x:v>
      </x:c>
      <x:c r="O210" s="8" t="n">
        <x:f>ABS(N210)</x:f>
        <x:v>9.74974961300245</x:v>
      </x:c>
      <x:c r="P210" s="8" t="n">
        <x:f>N210^2</x:f>
        <x:v>95.05761751624142</x:v>
      </x:c>
      <x:c r="Q210" s="8" t="n">
        <x:f>K210-L210</x:f>
        <x:v>-2</x:v>
      </x:c>
      <x:c r="R210" s="9" t="n">
        <x:f>IF(AND(INDEX('Сводка'!$T$3:$T$397,U210)=0,INDEX('Сводка'!$T$3:$T$397,V210)=0),1,0)</x:f>
        <x:v>1</x:v>
      </x:c>
      <x:c r="S210" s="9" t="n">
        <x:f>IF(AND(R210=1,O210&lt;=$G$13),1,0)</x:f>
        <x:v>0</x:v>
      </x:c>
      <x:c r="T210" s="10" t="n">
        <x:f>EOMONTH(J210-'Сводка'!$B$11,-1)</x:f>
        <x:v>46053</x:v>
      </x:c>
      <x:c r="U210" s="4" t="n">
        <x:f>MATCH(J210,'Сводка'!$R$3:$R$397,0)</x:f>
        <x:v>221</x:v>
      </x:c>
      <x:c r="V210" s="4" t="n">
        <x:f>MATCH(J210-'Сводка'!$B$11,'Сводка'!$R$3:$R$397,0)</x:f>
        <x:v>220</x:v>
      </x:c>
      <x:c r="W210" s="4" t="n">
        <x:f>MATCH(T210,$J$388:$J$400,0)</x:f>
        <x:v>8</x:v>
      </x:c>
      <x:c r="X210" s="3"/>
      <x:c r="Y210" s="3"/>
      <x:c r="Z210" s="3"/>
    </x:row>
    <x:row r="211" ht="15" customHeight="1">
      <x:c r="A211" s="3"/>
      <x:c r="B211" s="3"/>
      <x:c r="C211" s="3"/>
      <x:c r="D211" s="3"/>
      <x:c r="E211" s="3"/>
      <x:c r="F211" s="3"/>
      <x:c r="G211" s="3"/>
      <x:c r="H211" s="3"/>
      <x:c r="I211" s="3"/>
      <x:c r="J211" s="10" t="n">
        <x:v>46062</x:v>
      </x:c>
      <x:c r="K211" s="8" t="n">
        <x:f>INDEX('Сводка'!$S$3:$S$397,U211)</x:f>
        <x:v>-43</x:v>
      </x:c>
      <x:c r="L211" s="8" t="n">
        <x:f>INDEX('Сводка'!$S$3:$S$397,V211)</x:f>
        <x:v>-43</x:v>
      </x:c>
      <x:c r="M211" s="8" t="n">
        <x:f>INDEX($K$388:$N$400,W211,1)+INDEX($K$388:$N$400,W211,2)*(2*(J211-$T$405)/(T211-$T$405)-1)^1+INDEX($K$388:$N$400,W211,3)*(2*(J211-$T$405)/(T211-$T$405)-1)^2+INDEX($O$388:$Z$400,W211,MONTH(J211))</x:f>
        <x:v>-33.25836247991019</x:v>
      </x:c>
      <x:c r="N211" s="8" t="n">
        <x:f>K211-M211</x:f>
        <x:v>-9.74163752008981</x:v>
      </x:c>
      <x:c r="O211" s="8" t="n">
        <x:f>ABS(N211)</x:f>
        <x:v>9.74163752008981</x:v>
      </x:c>
      <x:c r="P211" s="8" t="n">
        <x:f>N211^2</x:f>
        <x:v>94.89950157282155</x:v>
      </x:c>
      <x:c r="Q211" s="8" t="n">
        <x:f>K211-L211</x:f>
        <x:v>0</x:v>
      </x:c>
      <x:c r="R211" s="9" t="n">
        <x:f>IF(AND(INDEX('Сводка'!$T$3:$T$397,U211)=0,INDEX('Сводка'!$T$3:$T$397,V211)=0),1,0)</x:f>
        <x:v>1</x:v>
      </x:c>
      <x:c r="S211" s="9" t="n">
        <x:f>IF(AND(R211=1,O211&lt;=$G$13),1,0)</x:f>
        <x:v>0</x:v>
      </x:c>
      <x:c r="T211" s="10" t="n">
        <x:f>EOMONTH(J211-'Сводка'!$B$11,-1)</x:f>
        <x:v>46053</x:v>
      </x:c>
      <x:c r="U211" s="4" t="n">
        <x:f>MATCH(J211,'Сводка'!$R$3:$R$397,0)</x:f>
        <x:v>222</x:v>
      </x:c>
      <x:c r="V211" s="4" t="n">
        <x:f>MATCH(J211-'Сводка'!$B$11,'Сводка'!$R$3:$R$397,0)</x:f>
        <x:v>221</x:v>
      </x:c>
      <x:c r="W211" s="4" t="n">
        <x:f>MATCH(T211,$J$388:$J$400,0)</x:f>
        <x:v>8</x:v>
      </x:c>
      <x:c r="X211" s="3"/>
      <x:c r="Y211" s="3"/>
      <x:c r="Z211" s="3"/>
    </x:row>
    <x:row r="212" ht="15" customHeight="1">
      <x:c r="A212" s="3"/>
      <x:c r="B212" s="3"/>
      <x:c r="C212" s="3"/>
      <x:c r="D212" s="3"/>
      <x:c r="E212" s="3"/>
      <x:c r="F212" s="3"/>
      <x:c r="G212" s="3"/>
      <x:c r="H212" s="3"/>
      <x:c r="I212" s="3"/>
      <x:c r="J212" s="10" t="n">
        <x:v>46063</x:v>
      </x:c>
      <x:c r="K212" s="8" t="n">
        <x:f>INDEX('Сводка'!$S$3:$S$397,U212)</x:f>
        <x:v>-44</x:v>
      </x:c>
      <x:c r="L212" s="8" t="n">
        <x:f>INDEX('Сводка'!$S$3:$S$397,V212)</x:f>
        <x:v>-43</x:v>
      </x:c>
      <x:c r="M212" s="8" t="n">
        <x:f>INDEX($K$388:$N$400,W212,1)+INDEX($K$388:$N$400,W212,2)*(2*(J212-$T$405)/(T212-$T$405)-1)^1+INDEX($K$388:$N$400,W212,3)*(2*(J212-$T$405)/(T212-$T$405)-1)^2+INDEX($O$388:$Z$400,W212,MONTH(J212))</x:f>
        <x:v>-33.2664809412441</x:v>
      </x:c>
      <x:c r="N212" s="8" t="n">
        <x:f>K212-M212</x:f>
        <x:v>-10.733519058755903</x:v>
      </x:c>
      <x:c r="O212" s="8" t="n">
        <x:f>ABS(N212)</x:f>
        <x:v>10.733519058755903</x:v>
      </x:c>
      <x:c r="P212" s="8" t="n">
        <x:f>N212^2</x:f>
        <x:v>115.2084313846762</x:v>
      </x:c>
      <x:c r="Q212" s="8" t="n">
        <x:f>K212-L212</x:f>
        <x:v>-1</x:v>
      </x:c>
      <x:c r="R212" s="9" t="n">
        <x:f>IF(AND(INDEX('Сводка'!$T$3:$T$397,U212)=0,INDEX('Сводка'!$T$3:$T$397,V212)=0),1,0)</x:f>
        <x:v>1</x:v>
      </x:c>
      <x:c r="S212" s="9" t="n">
        <x:f>IF(AND(R212=1,O212&lt;=$G$13),1,0)</x:f>
        <x:v>0</x:v>
      </x:c>
      <x:c r="T212" s="10" t="n">
        <x:f>EOMONTH(J212-'Сводка'!$B$11,-1)</x:f>
        <x:v>46053</x:v>
      </x:c>
      <x:c r="U212" s="4" t="n">
        <x:f>MATCH(J212,'Сводка'!$R$3:$R$397,0)</x:f>
        <x:v>223</x:v>
      </x:c>
      <x:c r="V212" s="4" t="n">
        <x:f>MATCH(J212-'Сводка'!$B$11,'Сводка'!$R$3:$R$397,0)</x:f>
        <x:v>222</x:v>
      </x:c>
      <x:c r="W212" s="4" t="n">
        <x:f>MATCH(T212,$J$388:$J$400,0)</x:f>
        <x:v>8</x:v>
      </x:c>
      <x:c r="X212" s="3"/>
      <x:c r="Y212" s="3"/>
      <x:c r="Z212" s="3"/>
    </x:row>
    <x:row r="213" ht="15" customHeight="1">
      <x:c r="A213" s="3"/>
      <x:c r="B213" s="3"/>
      <x:c r="C213" s="3"/>
      <x:c r="D213" s="3"/>
      <x:c r="E213" s="3"/>
      <x:c r="F213" s="3"/>
      <x:c r="G213" s="3"/>
      <x:c r="H213" s="3"/>
      <x:c r="I213" s="3"/>
      <x:c r="J213" s="10" t="n">
        <x:v>46064</x:v>
      </x:c>
      <x:c r="K213" s="8" t="n">
        <x:f>INDEX('Сводка'!$S$3:$S$397,U213)</x:f>
        <x:v>-44</x:v>
      </x:c>
      <x:c r="L213" s="8" t="n">
        <x:f>INDEX('Сводка'!$S$3:$S$397,V213)</x:f>
        <x:v>-44</x:v>
      </x:c>
      <x:c r="M213" s="8" t="n">
        <x:f>INDEX($K$388:$N$400,W213,1)+INDEX($K$388:$N$400,W213,2)*(2*(J213-$T$405)/(T213-$T$405)-1)^1+INDEX($K$388:$N$400,W213,3)*(2*(J213-$T$405)/(T213-$T$405)-1)^2+INDEX($O$388:$Z$400,W213,MONTH(J213))</x:f>
        <x:v>-33.27460577099923</x:v>
      </x:c>
      <x:c r="N213" s="8" t="n">
        <x:f>K213-M213</x:f>
        <x:v>-10.72539422900077</x:v>
      </x:c>
      <x:c r="O213" s="8" t="n">
        <x:f>ABS(N213)</x:f>
        <x:v>10.72539422900077</x:v>
      </x:c>
      <x:c r="P213" s="8" t="n">
        <x:f>N213^2</x:f>
        <x:v>115.03408136748303</x:v>
      </x:c>
      <x:c r="Q213" s="8" t="n">
        <x:f>K213-L213</x:f>
        <x:v>0</x:v>
      </x:c>
      <x:c r="R213" s="9" t="n">
        <x:f>IF(AND(INDEX('Сводка'!$T$3:$T$397,U213)=0,INDEX('Сводка'!$T$3:$T$397,V213)=0),1,0)</x:f>
        <x:v>1</x:v>
      </x:c>
      <x:c r="S213" s="9" t="n">
        <x:f>IF(AND(R213=1,O213&lt;=$G$13),1,0)</x:f>
        <x:v>0</x:v>
      </x:c>
      <x:c r="T213" s="10" t="n">
        <x:f>EOMONTH(J213-'Сводка'!$B$11,-1)</x:f>
        <x:v>46053</x:v>
      </x:c>
      <x:c r="U213" s="4" t="n">
        <x:f>MATCH(J213,'Сводка'!$R$3:$R$397,0)</x:f>
        <x:v>224</x:v>
      </x:c>
      <x:c r="V213" s="4" t="n">
        <x:f>MATCH(J213-'Сводка'!$B$11,'Сводка'!$R$3:$R$397,0)</x:f>
        <x:v>223</x:v>
      </x:c>
      <x:c r="W213" s="4" t="n">
        <x:f>MATCH(T213,$J$388:$J$400,0)</x:f>
        <x:v>8</x:v>
      </x:c>
      <x:c r="X213" s="3"/>
      <x:c r="Y213" s="3"/>
      <x:c r="Z213" s="3"/>
    </x:row>
    <x:row r="214" ht="15" customHeight="1">
      <x:c r="A214" s="3"/>
      <x:c r="B214" s="3"/>
      <x:c r="C214" s="3"/>
      <x:c r="D214" s="3"/>
      <x:c r="E214" s="3"/>
      <x:c r="F214" s="3"/>
      <x:c r="G214" s="3"/>
      <x:c r="H214" s="3"/>
      <x:c r="I214" s="3"/>
      <x:c r="J214" s="10" t="n">
        <x:v>46065</x:v>
      </x:c>
      <x:c r="K214" s="8" t="n">
        <x:f>INDEX('Сводка'!$S$3:$S$397,U214)</x:f>
        <x:v>-44</x:v>
      </x:c>
      <x:c r="L214" s="8" t="n">
        <x:f>INDEX('Сводка'!$S$3:$S$397,V214)</x:f>
        <x:v>-44</x:v>
      </x:c>
      <x:c r="M214" s="8" t="n">
        <x:f>INDEX($K$388:$N$400,W214,1)+INDEX($K$388:$N$400,W214,2)*(2*(J214-$T$405)/(T214-$T$405)-1)^1+INDEX($K$388:$N$400,W214,3)*(2*(J214-$T$405)/(T214-$T$405)-1)^2+INDEX($O$388:$Z$400,W214,MONTH(J214))</x:f>
        <x:v>-33.28273696917563</x:v>
      </x:c>
      <x:c r="N214" s="8" t="n">
        <x:f>K214-M214</x:f>
        <x:v>-10.71726303082437</x:v>
      </x:c>
      <x:c r="O214" s="8" t="n">
        <x:f>ABS(N214)</x:f>
        <x:v>10.71726303082437</x:v>
      </x:c>
      <x:c r="P214" s="8" t="n">
        <x:f>N214^2</x:f>
        <x:v>114.85972687187476</x:v>
      </x:c>
      <x:c r="Q214" s="8" t="n">
        <x:f>K214-L214</x:f>
        <x:v>0</x:v>
      </x:c>
      <x:c r="R214" s="9" t="n">
        <x:f>IF(AND(INDEX('Сводка'!$T$3:$T$397,U214)=0,INDEX('Сводка'!$T$3:$T$397,V214)=0),1,0)</x:f>
        <x:v>1</x:v>
      </x:c>
      <x:c r="S214" s="9" t="n">
        <x:f>IF(AND(R214=1,O214&lt;=$G$13),1,0)</x:f>
        <x:v>0</x:v>
      </x:c>
      <x:c r="T214" s="10" t="n">
        <x:f>EOMONTH(J214-'Сводка'!$B$11,-1)</x:f>
        <x:v>46053</x:v>
      </x:c>
      <x:c r="U214" s="4" t="n">
        <x:f>MATCH(J214,'Сводка'!$R$3:$R$397,0)</x:f>
        <x:v>225</x:v>
      </x:c>
      <x:c r="V214" s="4" t="n">
        <x:f>MATCH(J214-'Сводка'!$B$11,'Сводка'!$R$3:$R$397,0)</x:f>
        <x:v>224</x:v>
      </x:c>
      <x:c r="W214" s="4" t="n">
        <x:f>MATCH(T214,$J$388:$J$400,0)</x:f>
        <x:v>8</x:v>
      </x:c>
      <x:c r="X214" s="3"/>
      <x:c r="Y214" s="3"/>
      <x:c r="Z214" s="3"/>
    </x:row>
    <x:row r="215" ht="15" customHeight="1">
      <x:c r="A215" s="3"/>
      <x:c r="B215" s="3"/>
      <x:c r="C215" s="3"/>
      <x:c r="D215" s="3"/>
      <x:c r="E215" s="3"/>
      <x:c r="F215" s="3"/>
      <x:c r="G215" s="3"/>
      <x:c r="H215" s="3"/>
      <x:c r="I215" s="3"/>
      <x:c r="J215" s="10" t="n">
        <x:v>46066</x:v>
      </x:c>
      <x:c r="K215" s="8" t="n">
        <x:f>INDEX('Сводка'!$S$3:$S$397,U215)</x:f>
        <x:v>-41</x:v>
      </x:c>
      <x:c r="L215" s="8" t="n">
        <x:f>INDEX('Сводка'!$S$3:$S$397,V215)</x:f>
        <x:v>-44</x:v>
      </x:c>
      <x:c r="M215" s="8" t="n">
        <x:f>INDEX($K$388:$N$400,W215,1)+INDEX($K$388:$N$400,W215,2)*(2*(J215-$T$405)/(T215-$T$405)-1)^1+INDEX($K$388:$N$400,W215,3)*(2*(J215-$T$405)/(T215-$T$405)-1)^2+INDEX($O$388:$Z$400,W215,MONTH(J215))</x:f>
        <x:v>-33.29087453577327</x:v>
      </x:c>
      <x:c r="N215" s="8" t="n">
        <x:f>K215-M215</x:f>
        <x:v>-7.70912546422673</x:v>
      </x:c>
      <x:c r="O215" s="8" t="n">
        <x:f>ABS(N215)</x:f>
        <x:v>7.70912546422673</x:v>
      </x:c>
      <x:c r="P215" s="8" t="n">
        <x:f>N215^2</x:f>
        <x:v>59.430615423188996</x:v>
      </x:c>
      <x:c r="Q215" s="8" t="n">
        <x:f>K215-L215</x:f>
        <x:v>3</x:v>
      </x:c>
      <x:c r="R215" s="9" t="n">
        <x:f>IF(AND(INDEX('Сводка'!$T$3:$T$397,U215)=0,INDEX('Сводка'!$T$3:$T$397,V215)=0),1,0)</x:f>
        <x:v>1</x:v>
      </x:c>
      <x:c r="S215" s="9" t="n">
        <x:f>IF(AND(R215=1,O215&lt;=$G$13),1,0)</x:f>
        <x:v>0</x:v>
      </x:c>
      <x:c r="T215" s="10" t="n">
        <x:f>EOMONTH(J215-'Сводка'!$B$11,-1)</x:f>
        <x:v>46053</x:v>
      </x:c>
      <x:c r="U215" s="4" t="n">
        <x:f>MATCH(J215,'Сводка'!$R$3:$R$397,0)</x:f>
        <x:v>226</x:v>
      </x:c>
      <x:c r="V215" s="4" t="n">
        <x:f>MATCH(J215-'Сводка'!$B$11,'Сводка'!$R$3:$R$397,0)</x:f>
        <x:v>225</x:v>
      </x:c>
      <x:c r="W215" s="4" t="n">
        <x:f>MATCH(T215,$J$388:$J$400,0)</x:f>
        <x:v>8</x:v>
      </x:c>
      <x:c r="X215" s="3"/>
      <x:c r="Y215" s="3"/>
      <x:c r="Z215" s="3"/>
    </x:row>
    <x:row r="216" ht="15" customHeight="1">
      <x:c r="A216" s="3"/>
      <x:c r="B216" s="3"/>
      <x:c r="C216" s="3"/>
      <x:c r="D216" s="3"/>
      <x:c r="E216" s="3"/>
      <x:c r="F216" s="3"/>
      <x:c r="G216" s="3"/>
      <x:c r="H216" s="3"/>
      <x:c r="I216" s="3"/>
      <x:c r="J216" s="10" t="n">
        <x:v>46067</x:v>
      </x:c>
      <x:c r="K216" s="8" t="n">
        <x:f>INDEX('Сводка'!$S$3:$S$397,U216)</x:f>
        <x:v>-39</x:v>
      </x:c>
      <x:c r="L216" s="8" t="n">
        <x:f>INDEX('Сводка'!$S$3:$S$397,V216)</x:f>
        <x:v>-41</x:v>
      </x:c>
      <x:c r="M216" s="8" t="n">
        <x:f>INDEX($K$388:$N$400,W216,1)+INDEX($K$388:$N$400,W216,2)*(2*(J216-$T$405)/(T216-$T$405)-1)^1+INDEX($K$388:$N$400,W216,3)*(2*(J216-$T$405)/(T216-$T$405)-1)^2+INDEX($O$388:$Z$400,W216,MONTH(J216))</x:f>
        <x:v>-33.299018470792205</x:v>
      </x:c>
      <x:c r="N216" s="8" t="n">
        <x:f>K216-M216</x:f>
        <x:v>-5.7009815292077946</x:v>
      </x:c>
      <x:c r="O216" s="8" t="n">
        <x:f>ABS(N216)</x:f>
        <x:v>5.7009815292077946</x:v>
      </x:c>
      <x:c r="P216" s="8" t="n">
        <x:f>N216^2</x:f>
        <x:v>32.50119039636844</x:v>
      </x:c>
      <x:c r="Q216" s="8" t="n">
        <x:f>K216-L216</x:f>
        <x:v>2</x:v>
      </x:c>
      <x:c r="R216" s="9" t="n">
        <x:f>IF(AND(INDEX('Сводка'!$T$3:$T$397,U216)=0,INDEX('Сводка'!$T$3:$T$397,V216)=0),1,0)</x:f>
        <x:v>1</x:v>
      </x:c>
      <x:c r="S216" s="9" t="n">
        <x:f>IF(AND(R216=1,O216&lt;=$G$13),1,0)</x:f>
        <x:v>1</x:v>
      </x:c>
      <x:c r="T216" s="10" t="n">
        <x:f>EOMONTH(J216-'Сводка'!$B$11,-1)</x:f>
        <x:v>46053</x:v>
      </x:c>
      <x:c r="U216" s="4" t="n">
        <x:f>MATCH(J216,'Сводка'!$R$3:$R$397,0)</x:f>
        <x:v>227</x:v>
      </x:c>
      <x:c r="V216" s="4" t="n">
        <x:f>MATCH(J216-'Сводка'!$B$11,'Сводка'!$R$3:$R$397,0)</x:f>
        <x:v>226</x:v>
      </x:c>
      <x:c r="W216" s="4" t="n">
        <x:f>MATCH(T216,$J$388:$J$400,0)</x:f>
        <x:v>8</x:v>
      </x:c>
      <x:c r="X216" s="3"/>
      <x:c r="Y216" s="3"/>
      <x:c r="Z216" s="3"/>
    </x:row>
    <x:row r="217" ht="15" customHeight="1">
      <x:c r="A217" s="3"/>
      <x:c r="B217" s="3"/>
      <x:c r="C217" s="3"/>
      <x:c r="D217" s="3"/>
      <x:c r="E217" s="3"/>
      <x:c r="F217" s="3"/>
      <x:c r="G217" s="3"/>
      <x:c r="H217" s="3"/>
      <x:c r="I217" s="3"/>
      <x:c r="J217" s="10" t="n">
        <x:v>46068</x:v>
      </x:c>
      <x:c r="K217" s="8" t="n">
        <x:f>INDEX('Сводка'!$S$3:$S$397,U217)</x:f>
        <x:v>-38</x:v>
      </x:c>
      <x:c r="L217" s="8" t="n">
        <x:f>INDEX('Сводка'!$S$3:$S$397,V217)</x:f>
        <x:v>-39</x:v>
      </x:c>
      <x:c r="M217" s="8" t="n">
        <x:f>INDEX($K$388:$N$400,W217,1)+INDEX($K$388:$N$400,W217,2)*(2*(J217-$T$405)/(T217-$T$405)-1)^1+INDEX($K$388:$N$400,W217,3)*(2*(J217-$T$405)/(T217-$T$405)-1)^2+INDEX($O$388:$Z$400,W217,MONTH(J217))</x:f>
        <x:v>-33.307168774232395</x:v>
      </x:c>
      <x:c r="N217" s="8" t="n">
        <x:f>K217-M217</x:f>
        <x:v>-4.6928312257676055</x:v>
      </x:c>
      <x:c r="O217" s="8" t="n">
        <x:f>ABS(N217)</x:f>
        <x:v>4.6928312257676055</x:v>
      </x:c>
      <x:c r="P217" s="8" t="n">
        <x:f>N217^2</x:f>
        <x:v>22.022664913539487</x:v>
      </x:c>
      <x:c r="Q217" s="8" t="n">
        <x:f>K217-L217</x:f>
        <x:v>1</x:v>
      </x:c>
      <x:c r="R217" s="9" t="n">
        <x:f>IF(AND(INDEX('Сводка'!$T$3:$T$397,U217)=0,INDEX('Сводка'!$T$3:$T$397,V217)=0),1,0)</x:f>
        <x:v>1</x:v>
      </x:c>
      <x:c r="S217" s="9" t="n">
        <x:f>IF(AND(R217=1,O217&lt;=$G$13),1,0)</x:f>
        <x:v>1</x:v>
      </x:c>
      <x:c r="T217" s="10" t="n">
        <x:f>EOMONTH(J217-'Сводка'!$B$11,-1)</x:f>
        <x:v>46053</x:v>
      </x:c>
      <x:c r="U217" s="4" t="n">
        <x:f>MATCH(J217,'Сводка'!$R$3:$R$397,0)</x:f>
        <x:v>228</x:v>
      </x:c>
      <x:c r="V217" s="4" t="n">
        <x:f>MATCH(J217-'Сводка'!$B$11,'Сводка'!$R$3:$R$397,0)</x:f>
        <x:v>227</x:v>
      </x:c>
      <x:c r="W217" s="4" t="n">
        <x:f>MATCH(T217,$J$388:$J$400,0)</x:f>
        <x:v>8</x:v>
      </x:c>
      <x:c r="X217" s="3"/>
      <x:c r="Y217" s="3"/>
      <x:c r="Z217" s="3"/>
    </x:row>
    <x:row r="218" ht="15" customHeight="1">
      <x:c r="A218" s="3"/>
      <x:c r="B218" s="3"/>
      <x:c r="C218" s="3"/>
      <x:c r="D218" s="3"/>
      <x:c r="E218" s="3"/>
      <x:c r="F218" s="3"/>
      <x:c r="G218" s="3"/>
      <x:c r="H218" s="3"/>
      <x:c r="I218" s="3"/>
      <x:c r="J218" s="10" t="n">
        <x:v>46069</x:v>
      </x:c>
      <x:c r="K218" s="8" t="n">
        <x:f>INDEX('Сводка'!$S$3:$S$397,U218)</x:f>
        <x:v>-38</x:v>
      </x:c>
      <x:c r="L218" s="8" t="n">
        <x:f>INDEX('Сводка'!$S$3:$S$397,V218)</x:f>
        <x:v>-38</x:v>
      </x:c>
      <x:c r="M218" s="8" t="n">
        <x:f>INDEX($K$388:$N$400,W218,1)+INDEX($K$388:$N$400,W218,2)*(2*(J218-$T$405)/(T218-$T$405)-1)^1+INDEX($K$388:$N$400,W218,3)*(2*(J218-$T$405)/(T218-$T$405)-1)^2+INDEX($O$388:$Z$400,W218,MONTH(J218))</x:f>
        <x:v>-33.315325446093766</x:v>
      </x:c>
      <x:c r="N218" s="8" t="n">
        <x:f>K218-M218</x:f>
        <x:v>-4.684674553906234</x:v>
      </x:c>
      <x:c r="O218" s="8" t="n">
        <x:f>ABS(N218)</x:f>
        <x:v>4.684674553906234</x:v>
      </x:c>
      <x:c r="P218" s="8" t="n">
        <x:f>N218^2</x:f>
        <x:v>21.946175676016573</x:v>
      </x:c>
      <x:c r="Q218" s="8" t="n">
        <x:f>K218-L218</x:f>
        <x:v>0</x:v>
      </x:c>
      <x:c r="R218" s="9" t="n">
        <x:f>IF(AND(INDEX('Сводка'!$T$3:$T$397,U218)=0,INDEX('Сводка'!$T$3:$T$397,V218)=0),1,0)</x:f>
        <x:v>1</x:v>
      </x:c>
      <x:c r="S218" s="9" t="n">
        <x:f>IF(AND(R218=1,O218&lt;=$G$13),1,0)</x:f>
        <x:v>1</x:v>
      </x:c>
      <x:c r="T218" s="10" t="n">
        <x:f>EOMONTH(J218-'Сводка'!$B$11,-1)</x:f>
        <x:v>46053</x:v>
      </x:c>
      <x:c r="U218" s="4" t="n">
        <x:f>MATCH(J218,'Сводка'!$R$3:$R$397,0)</x:f>
        <x:v>229</x:v>
      </x:c>
      <x:c r="V218" s="4" t="n">
        <x:f>MATCH(J218-'Сводка'!$B$11,'Сводка'!$R$3:$R$397,0)</x:f>
        <x:v>228</x:v>
      </x:c>
      <x:c r="W218" s="4" t="n">
        <x:f>MATCH(T218,$J$388:$J$400,0)</x:f>
        <x:v>8</x:v>
      </x:c>
      <x:c r="X218" s="3"/>
      <x:c r="Y218" s="3"/>
      <x:c r="Z218" s="3"/>
    </x:row>
    <x:row r="219" ht="15" customHeight="1">
      <x:c r="A219" s="3"/>
      <x:c r="B219" s="3"/>
      <x:c r="C219" s="3"/>
      <x:c r="D219" s="3"/>
      <x:c r="E219" s="3"/>
      <x:c r="F219" s="3"/>
      <x:c r="G219" s="3"/>
      <x:c r="H219" s="3"/>
      <x:c r="I219" s="3"/>
      <x:c r="J219" s="10" t="n">
        <x:v>46070</x:v>
      </x:c>
      <x:c r="K219" s="8" t="n">
        <x:f>INDEX('Сводка'!$S$3:$S$397,U219)</x:f>
        <x:v>-40</x:v>
      </x:c>
      <x:c r="L219" s="8" t="n">
        <x:f>INDEX('Сводка'!$S$3:$S$397,V219)</x:f>
        <x:v>-38</x:v>
      </x:c>
      <x:c r="M219" s="8" t="n">
        <x:f>INDEX($K$388:$N$400,W219,1)+INDEX($K$388:$N$400,W219,2)*(2*(J219-$T$405)/(T219-$T$405)-1)^1+INDEX($K$388:$N$400,W219,3)*(2*(J219-$T$405)/(T219-$T$405)-1)^2+INDEX($O$388:$Z$400,W219,MONTH(J219))</x:f>
        <x:v>-33.323488486376476</x:v>
      </x:c>
      <x:c r="N219" s="8" t="n">
        <x:f>K219-M219</x:f>
        <x:v>-6.676511513623524</x:v>
      </x:c>
      <x:c r="O219" s="8" t="n">
        <x:f>ABS(N219)</x:f>
        <x:v>6.676511513623524</x:v>
      </x:c>
      <x:c r="P219" s="8" t="n">
        <x:f>N219^2</x:f>
        <x:v>44.575805991547476</x:v>
      </x:c>
      <x:c r="Q219" s="8" t="n">
        <x:f>K219-L219</x:f>
        <x:v>-2</x:v>
      </x:c>
      <x:c r="R219" s="9" t="n">
        <x:f>IF(AND(INDEX('Сводка'!$T$3:$T$397,U219)=0,INDEX('Сводка'!$T$3:$T$397,V219)=0),1,0)</x:f>
        <x:v>1</x:v>
      </x:c>
      <x:c r="S219" s="9" t="n">
        <x:f>IF(AND(R219=1,O219&lt;=$G$13),1,0)</x:f>
        <x:v>1</x:v>
      </x:c>
      <x:c r="T219" s="10" t="n">
        <x:f>EOMONTH(J219-'Сводка'!$B$11,-1)</x:f>
        <x:v>46053</x:v>
      </x:c>
      <x:c r="U219" s="4" t="n">
        <x:f>MATCH(J219,'Сводка'!$R$3:$R$397,0)</x:f>
        <x:v>230</x:v>
      </x:c>
      <x:c r="V219" s="4" t="n">
        <x:f>MATCH(J219-'Сводка'!$B$11,'Сводка'!$R$3:$R$397,0)</x:f>
        <x:v>229</x:v>
      </x:c>
      <x:c r="W219" s="4" t="n">
        <x:f>MATCH(T219,$J$388:$J$400,0)</x:f>
        <x:v>8</x:v>
      </x:c>
      <x:c r="X219" s="3"/>
      <x:c r="Y219" s="3"/>
      <x:c r="Z219" s="3"/>
    </x:row>
    <x:row r="220" ht="15" customHeight="1">
      <x:c r="A220" s="3"/>
      <x:c r="B220" s="3"/>
      <x:c r="C220" s="3"/>
      <x:c r="D220" s="3"/>
      <x:c r="E220" s="3"/>
      <x:c r="F220" s="3"/>
      <x:c r="G220" s="3"/>
      <x:c r="H220" s="3"/>
      <x:c r="I220" s="3"/>
      <x:c r="J220" s="10" t="n">
        <x:v>46071</x:v>
      </x:c>
      <x:c r="K220" s="8" t="n">
        <x:f>INDEX('Сводка'!$S$3:$S$397,U220)</x:f>
        <x:v>-40</x:v>
      </x:c>
      <x:c r="L220" s="8" t="n">
        <x:f>INDEX('Сводка'!$S$3:$S$397,V220)</x:f>
        <x:v>-40</x:v>
      </x:c>
      <x:c r="M220" s="8" t="n">
        <x:f>INDEX($K$388:$N$400,W220,1)+INDEX($K$388:$N$400,W220,2)*(2*(J220-$T$405)/(T220-$T$405)-1)^1+INDEX($K$388:$N$400,W220,3)*(2*(J220-$T$405)/(T220-$T$405)-1)^2+INDEX($O$388:$Z$400,W220,MONTH(J220))</x:f>
        <x:v>-33.331657895080426</x:v>
      </x:c>
      <x:c r="N220" s="8" t="n">
        <x:f>K220-M220</x:f>
        <x:v>-6.668342104919574</x:v>
      </x:c>
      <x:c r="O220" s="8" t="n">
        <x:f>ABS(N220)</x:f>
        <x:v>6.668342104919574</x:v>
      </x:c>
      <x:c r="P220" s="8" t="n">
        <x:f>N220^2</x:f>
        <x:v>44.46678642824322</x:v>
      </x:c>
      <x:c r="Q220" s="8" t="n">
        <x:f>K220-L220</x:f>
        <x:v>0</x:v>
      </x:c>
      <x:c r="R220" s="9" t="n">
        <x:f>IF(AND(INDEX('Сводка'!$T$3:$T$397,U220)=0,INDEX('Сводка'!$T$3:$T$397,V220)=0),1,0)</x:f>
        <x:v>1</x:v>
      </x:c>
      <x:c r="S220" s="9" t="n">
        <x:f>IF(AND(R220=1,O220&lt;=$G$13),1,0)</x:f>
        <x:v>1</x:v>
      </x:c>
      <x:c r="T220" s="10" t="n">
        <x:f>EOMONTH(J220-'Сводка'!$B$11,-1)</x:f>
        <x:v>46053</x:v>
      </x:c>
      <x:c r="U220" s="4" t="n">
        <x:f>MATCH(J220,'Сводка'!$R$3:$R$397,0)</x:f>
        <x:v>231</x:v>
      </x:c>
      <x:c r="V220" s="4" t="n">
        <x:f>MATCH(J220-'Сводка'!$B$11,'Сводка'!$R$3:$R$397,0)</x:f>
        <x:v>230</x:v>
      </x:c>
      <x:c r="W220" s="4" t="n">
        <x:f>MATCH(T220,$J$388:$J$400,0)</x:f>
        <x:v>8</x:v>
      </x:c>
      <x:c r="X220" s="3"/>
      <x:c r="Y220" s="3"/>
      <x:c r="Z220" s="3"/>
    </x:row>
    <x:row r="221" ht="15" customHeight="1">
      <x:c r="A221" s="3"/>
      <x:c r="B221" s="3"/>
      <x:c r="C221" s="3"/>
      <x:c r="D221" s="3"/>
      <x:c r="E221" s="3"/>
      <x:c r="F221" s="3"/>
      <x:c r="G221" s="3"/>
      <x:c r="H221" s="3"/>
      <x:c r="I221" s="3"/>
      <x:c r="J221" s="10" t="n">
        <x:v>46072</x:v>
      </x:c>
      <x:c r="K221" s="8" t="n">
        <x:f>INDEX('Сводка'!$S$3:$S$397,U221)</x:f>
        <x:v>-42</x:v>
      </x:c>
      <x:c r="L221" s="8" t="n">
        <x:f>INDEX('Сводка'!$S$3:$S$397,V221)</x:f>
        <x:v>-40</x:v>
      </x:c>
      <x:c r="M221" s="8" t="n">
        <x:f>INDEX($K$388:$N$400,W221,1)+INDEX($K$388:$N$400,W221,2)*(2*(J221-$T$405)/(T221-$T$405)-1)^1+INDEX($K$388:$N$400,W221,3)*(2*(J221-$T$405)/(T221-$T$405)-1)^2+INDEX($O$388:$Z$400,W221,MONTH(J221))</x:f>
        <x:v>-33.33983367220563</x:v>
      </x:c>
      <x:c r="N221" s="8" t="n">
        <x:f>K221-M221</x:f>
        <x:v>-8.660166327794371</x:v>
      </x:c>
      <x:c r="O221" s="8" t="n">
        <x:f>ABS(N221)</x:f>
        <x:v>8.660166327794371</x:v>
      </x:c>
      <x:c r="P221" s="8" t="n">
        <x:f>N221^2</x:f>
        <x:v>74.99848082506345</x:v>
      </x:c>
      <x:c r="Q221" s="8" t="n">
        <x:f>K221-L221</x:f>
        <x:v>-2</x:v>
      </x:c>
      <x:c r="R221" s="9" t="n">
        <x:f>IF(AND(INDEX('Сводка'!$T$3:$T$397,U221)=0,INDEX('Сводка'!$T$3:$T$397,V221)=0),1,0)</x:f>
        <x:v>1</x:v>
      </x:c>
      <x:c r="S221" s="9" t="n">
        <x:f>IF(AND(R221=1,O221&lt;=$G$13),1,0)</x:f>
        <x:v>0</x:v>
      </x:c>
      <x:c r="T221" s="10" t="n">
        <x:f>EOMONTH(J221-'Сводка'!$B$11,-1)</x:f>
        <x:v>46053</x:v>
      </x:c>
      <x:c r="U221" s="4" t="n">
        <x:f>MATCH(J221,'Сводка'!$R$3:$R$397,0)</x:f>
        <x:v>232</x:v>
      </x:c>
      <x:c r="V221" s="4" t="n">
        <x:f>MATCH(J221-'Сводка'!$B$11,'Сводка'!$R$3:$R$397,0)</x:f>
        <x:v>231</x:v>
      </x:c>
      <x:c r="W221" s="4" t="n">
        <x:f>MATCH(T221,$J$388:$J$400,0)</x:f>
        <x:v>8</x:v>
      </x:c>
      <x:c r="X221" s="3"/>
      <x:c r="Y221" s="3"/>
      <x:c r="Z221" s="3"/>
    </x:row>
    <x:row r="222" ht="15" customHeight="1">
      <x:c r="A222" s="3"/>
      <x:c r="B222" s="3"/>
      <x:c r="C222" s="3"/>
      <x:c r="D222" s="3"/>
      <x:c r="E222" s="3"/>
      <x:c r="F222" s="3"/>
      <x:c r="G222" s="3"/>
      <x:c r="H222" s="3"/>
      <x:c r="I222" s="3"/>
      <x:c r="J222" s="10" t="n">
        <x:v>46073</x:v>
      </x:c>
      <x:c r="K222" s="8" t="n">
        <x:f>INDEX('Сводка'!$S$3:$S$397,U222)</x:f>
        <x:v>-43</x:v>
      </x:c>
      <x:c r="L222" s="8" t="n">
        <x:f>INDEX('Сводка'!$S$3:$S$397,V222)</x:f>
        <x:v>-42</x:v>
      </x:c>
      <x:c r="M222" s="8" t="n">
        <x:f>INDEX($K$388:$N$400,W222,1)+INDEX($K$388:$N$400,W222,2)*(2*(J222-$T$405)/(T222-$T$405)-1)^1+INDEX($K$388:$N$400,W222,3)*(2*(J222-$T$405)/(T222-$T$405)-1)^2+INDEX($O$388:$Z$400,W222,MONTH(J222))</x:f>
        <x:v>-33.34801581775207</x:v>
      </x:c>
      <x:c r="N222" s="8" t="n">
        <x:f>K222-M222</x:f>
        <x:v>-9.65198418224793</x:v>
      </x:c>
      <x:c r="O222" s="8" t="n">
        <x:f>ABS(N222)</x:f>
        <x:v>9.65198418224793</x:v>
      </x:c>
      <x:c r="P222" s="8" t="n">
        <x:f>N222^2</x:f>
        <x:v>93.16079865436423</x:v>
      </x:c>
      <x:c r="Q222" s="8" t="n">
        <x:f>K222-L222</x:f>
        <x:v>-1</x:v>
      </x:c>
      <x:c r="R222" s="9" t="n">
        <x:f>IF(AND(INDEX('Сводка'!$T$3:$T$397,U222)=0,INDEX('Сводка'!$T$3:$T$397,V222)=0),1,0)</x:f>
        <x:v>1</x:v>
      </x:c>
      <x:c r="S222" s="9" t="n">
        <x:f>IF(AND(R222=1,O222&lt;=$G$13),1,0)</x:f>
        <x:v>0</x:v>
      </x:c>
      <x:c r="T222" s="10" t="n">
        <x:f>EOMONTH(J222-'Сводка'!$B$11,-1)</x:f>
        <x:v>46053</x:v>
      </x:c>
      <x:c r="U222" s="4" t="n">
        <x:f>MATCH(J222,'Сводка'!$R$3:$R$397,0)</x:f>
        <x:v>233</x:v>
      </x:c>
      <x:c r="V222" s="4" t="n">
        <x:f>MATCH(J222-'Сводка'!$B$11,'Сводка'!$R$3:$R$397,0)</x:f>
        <x:v>232</x:v>
      </x:c>
      <x:c r="W222" s="4" t="n">
        <x:f>MATCH(T222,$J$388:$J$400,0)</x:f>
        <x:v>8</x:v>
      </x:c>
      <x:c r="X222" s="3"/>
      <x:c r="Y222" s="3"/>
      <x:c r="Z222" s="3"/>
    </x:row>
    <x:row r="223" ht="15" customHeight="1">
      <x:c r="A223" s="3"/>
      <x:c r="B223" s="3"/>
      <x:c r="C223" s="3"/>
      <x:c r="D223" s="3"/>
      <x:c r="E223" s="3"/>
      <x:c r="F223" s="3"/>
      <x:c r="G223" s="3"/>
      <x:c r="H223" s="3"/>
      <x:c r="I223" s="3"/>
      <x:c r="J223" s="10" t="n">
        <x:v>46074</x:v>
      </x:c>
      <x:c r="K223" s="8" t="n">
        <x:f>INDEX('Сводка'!$S$3:$S$397,U223)</x:f>
        <x:v>-43</x:v>
      </x:c>
      <x:c r="L223" s="8" t="n">
        <x:f>INDEX('Сводка'!$S$3:$S$397,V223)</x:f>
        <x:v>-43</x:v>
      </x:c>
      <x:c r="M223" s="8" t="n">
        <x:f>INDEX($K$388:$N$400,W223,1)+INDEX($K$388:$N$400,W223,2)*(2*(J223-$T$405)/(T223-$T$405)-1)^1+INDEX($K$388:$N$400,W223,3)*(2*(J223-$T$405)/(T223-$T$405)-1)^2+INDEX($O$388:$Z$400,W223,MONTH(J223))</x:f>
        <x:v>-33.356204331719766</x:v>
      </x:c>
      <x:c r="N223" s="8" t="n">
        <x:f>K223-M223</x:f>
        <x:v>-9.643795668280234</x:v>
      </x:c>
      <x:c r="O223" s="8" t="n">
        <x:f>ABS(N223)</x:f>
        <x:v>9.643795668280234</x:v>
      </x:c>
      <x:c r="P223" s="8" t="n">
        <x:f>N223^2</x:f>
        <x:v>93.0027948915406</x:v>
      </x:c>
      <x:c r="Q223" s="8" t="n">
        <x:f>K223-L223</x:f>
        <x:v>0</x:v>
      </x:c>
      <x:c r="R223" s="9" t="n">
        <x:f>IF(AND(INDEX('Сводка'!$T$3:$T$397,U223)=0,INDEX('Сводка'!$T$3:$T$397,V223)=0),1,0)</x:f>
        <x:v>1</x:v>
      </x:c>
      <x:c r="S223" s="9" t="n">
        <x:f>IF(AND(R223=1,O223&lt;=$G$13),1,0)</x:f>
        <x:v>0</x:v>
      </x:c>
      <x:c r="T223" s="10" t="n">
        <x:f>EOMONTH(J223-'Сводка'!$B$11,-1)</x:f>
        <x:v>46053</x:v>
      </x:c>
      <x:c r="U223" s="4" t="n">
        <x:f>MATCH(J223,'Сводка'!$R$3:$R$397,0)</x:f>
        <x:v>234</x:v>
      </x:c>
      <x:c r="V223" s="4" t="n">
        <x:f>MATCH(J223-'Сводка'!$B$11,'Сводка'!$R$3:$R$397,0)</x:f>
        <x:v>233</x:v>
      </x:c>
      <x:c r="W223" s="4" t="n">
        <x:f>MATCH(T223,$J$388:$J$400,0)</x:f>
        <x:v>8</x:v>
      </x:c>
      <x:c r="X223" s="3"/>
      <x:c r="Y223" s="3"/>
      <x:c r="Z223" s="3"/>
    </x:row>
    <x:row r="224" ht="15" customHeight="1">
      <x:c r="A224" s="3"/>
      <x:c r="B224" s="3"/>
      <x:c r="C224" s="3"/>
      <x:c r="D224" s="3"/>
      <x:c r="E224" s="3"/>
      <x:c r="F224" s="3"/>
      <x:c r="G224" s="3"/>
      <x:c r="H224" s="3"/>
      <x:c r="I224" s="3"/>
      <x:c r="J224" s="10" t="n">
        <x:v>46075</x:v>
      </x:c>
      <x:c r="K224" s="8" t="n">
        <x:f>INDEX('Сводка'!$S$3:$S$397,U224)</x:f>
        <x:v>-43</x:v>
      </x:c>
      <x:c r="L224" s="8" t="n">
        <x:f>INDEX('Сводка'!$S$3:$S$397,V224)</x:f>
        <x:v>-43</x:v>
      </x:c>
      <x:c r="M224" s="8" t="n">
        <x:f>INDEX($K$388:$N$400,W224,1)+INDEX($K$388:$N$400,W224,2)*(2*(J224-$T$405)/(T224-$T$405)-1)^1+INDEX($K$388:$N$400,W224,3)*(2*(J224-$T$405)/(T224-$T$405)-1)^2+INDEX($O$388:$Z$400,W224,MONTH(J224))</x:f>
        <x:v>-33.364399214108744</x:v>
      </x:c>
      <x:c r="N224" s="8" t="n">
        <x:f>K224-M224</x:f>
        <x:v>-9.635600785891256</x:v>
      </x:c>
      <x:c r="O224" s="8" t="n">
        <x:f>ABS(N224)</x:f>
        <x:v>9.635600785891256</x:v>
      </x:c>
      <x:c r="P224" s="8" t="n">
        <x:f>N224^2</x:f>
        <x:v>92.84480250506819</x:v>
      </x:c>
      <x:c r="Q224" s="8" t="n">
        <x:f>K224-L224</x:f>
        <x:v>0</x:v>
      </x:c>
      <x:c r="R224" s="9" t="n">
        <x:f>IF(AND(INDEX('Сводка'!$T$3:$T$397,U224)=0,INDEX('Сводка'!$T$3:$T$397,V224)=0),1,0)</x:f>
        <x:v>1</x:v>
      </x:c>
      <x:c r="S224" s="9" t="n">
        <x:f>IF(AND(R224=1,O224&lt;=$G$13),1,0)</x:f>
        <x:v>0</x:v>
      </x:c>
      <x:c r="T224" s="10" t="n">
        <x:f>EOMONTH(J224-'Сводка'!$B$11,-1)</x:f>
        <x:v>46053</x:v>
      </x:c>
      <x:c r="U224" s="4" t="n">
        <x:f>MATCH(J224,'Сводка'!$R$3:$R$397,0)</x:f>
        <x:v>235</x:v>
      </x:c>
      <x:c r="V224" s="4" t="n">
        <x:f>MATCH(J224-'Сводка'!$B$11,'Сводка'!$R$3:$R$397,0)</x:f>
        <x:v>234</x:v>
      </x:c>
      <x:c r="W224" s="4" t="n">
        <x:f>MATCH(T224,$J$388:$J$400,0)</x:f>
        <x:v>8</x:v>
      </x:c>
      <x:c r="X224" s="3"/>
      <x:c r="Y224" s="3"/>
      <x:c r="Z224" s="3"/>
    </x:row>
    <x:row r="225" ht="15" customHeight="1">
      <x:c r="A225" s="3"/>
      <x:c r="B225" s="3"/>
      <x:c r="C225" s="3"/>
      <x:c r="D225" s="3"/>
      <x:c r="E225" s="3"/>
      <x:c r="F225" s="3"/>
      <x:c r="G225" s="3"/>
      <x:c r="H225" s="3"/>
      <x:c r="I225" s="3"/>
      <x:c r="J225" s="10" t="n">
        <x:v>46076</x:v>
      </x:c>
      <x:c r="K225" s="8" t="n">
        <x:f>INDEX('Сводка'!$S$3:$S$397,U225)</x:f>
        <x:v>-44</x:v>
      </x:c>
      <x:c r="L225" s="8" t="n">
        <x:f>INDEX('Сводка'!$S$3:$S$397,V225)</x:f>
        <x:v>-43</x:v>
      </x:c>
      <x:c r="M225" s="8" t="n">
        <x:f>INDEX($K$388:$N$400,W225,1)+INDEX($K$388:$N$400,W225,2)*(2*(J225-$T$405)/(T225-$T$405)-1)^1+INDEX($K$388:$N$400,W225,3)*(2*(J225-$T$405)/(T225-$T$405)-1)^2+INDEX($O$388:$Z$400,W225,MONTH(J225))</x:f>
        <x:v>-33.372600464918975</x:v>
      </x:c>
      <x:c r="N225" s="8" t="n">
        <x:f>K225-M225</x:f>
        <x:v>-10.627399535081025</x:v>
      </x:c>
      <x:c r="O225" s="8" t="n">
        <x:f>ABS(N225)</x:f>
        <x:v>10.627399535081025</x:v>
      </x:c>
      <x:c r="P225" s="8" t="n">
        <x:f>N225^2</x:f>
        <x:v>112.9416208782404</x:v>
      </x:c>
      <x:c r="Q225" s="8" t="n">
        <x:f>K225-L225</x:f>
        <x:v>-1</x:v>
      </x:c>
      <x:c r="R225" s="9" t="n">
        <x:f>IF(AND(INDEX('Сводка'!$T$3:$T$397,U225)=0,INDEX('Сводка'!$T$3:$T$397,V225)=0),1,0)</x:f>
        <x:v>1</x:v>
      </x:c>
      <x:c r="S225" s="9" t="n">
        <x:f>IF(AND(R225=1,O225&lt;=$G$13),1,0)</x:f>
        <x:v>0</x:v>
      </x:c>
      <x:c r="T225" s="10" t="n">
        <x:f>EOMONTH(J225-'Сводка'!$B$11,-1)</x:f>
        <x:v>46053</x:v>
      </x:c>
      <x:c r="U225" s="4" t="n">
        <x:f>MATCH(J225,'Сводка'!$R$3:$R$397,0)</x:f>
        <x:v>236</x:v>
      </x:c>
      <x:c r="V225" s="4" t="n">
        <x:f>MATCH(J225-'Сводка'!$B$11,'Сводка'!$R$3:$R$397,0)</x:f>
        <x:v>235</x:v>
      </x:c>
      <x:c r="W225" s="4" t="n">
        <x:f>MATCH(T225,$J$388:$J$400,0)</x:f>
        <x:v>8</x:v>
      </x:c>
      <x:c r="X225" s="3"/>
      <x:c r="Y225" s="3"/>
      <x:c r="Z225" s="3"/>
    </x:row>
    <x:row r="226" ht="15" customHeight="1">
      <x:c r="A226" s="3"/>
      <x:c r="B226" s="3"/>
      <x:c r="C226" s="3"/>
      <x:c r="D226" s="3"/>
      <x:c r="E226" s="3"/>
      <x:c r="F226" s="3"/>
      <x:c r="G226" s="3"/>
      <x:c r="H226" s="3"/>
      <x:c r="I226" s="3"/>
      <x:c r="J226" s="10" t="n">
        <x:v>46077</x:v>
      </x:c>
      <x:c r="K226" s="8" t="n">
        <x:f>INDEX('Сводка'!$S$3:$S$397,U226)</x:f>
        <x:v>-46</x:v>
      </x:c>
      <x:c r="L226" s="8" t="n">
        <x:f>INDEX('Сводка'!$S$3:$S$397,V226)</x:f>
        <x:v>-44</x:v>
      </x:c>
      <x:c r="M226" s="8" t="n">
        <x:f>INDEX($K$388:$N$400,W226,1)+INDEX($K$388:$N$400,W226,2)*(2*(J226-$T$405)/(T226-$T$405)-1)^1+INDEX($K$388:$N$400,W226,3)*(2*(J226-$T$405)/(T226-$T$405)-1)^2+INDEX($O$388:$Z$400,W226,MONTH(J226))</x:f>
        <x:v>-33.38080808415046</x:v>
      </x:c>
      <x:c r="N226" s="8" t="n">
        <x:f>K226-M226</x:f>
        <x:v>-12.619191915849541</x:v>
      </x:c>
      <x:c r="O226" s="8" t="n">
        <x:f>ABS(N226)</x:f>
        <x:v>12.619191915849541</x:v>
      </x:c>
      <x:c r="P226" s="8" t="n">
        <x:f>N226^2</x:f>
        <x:v>159.2440046090424</x:v>
      </x:c>
      <x:c r="Q226" s="8" t="n">
        <x:f>K226-L226</x:f>
        <x:v>-2</x:v>
      </x:c>
      <x:c r="R226" s="9" t="n">
        <x:f>IF(AND(INDEX('Сводка'!$T$3:$T$397,U226)=0,INDEX('Сводка'!$T$3:$T$397,V226)=0),1,0)</x:f>
        <x:v>1</x:v>
      </x:c>
      <x:c r="S226" s="9" t="n">
        <x:f>IF(AND(R226=1,O226&lt;=$G$13),1,0)</x:f>
        <x:v>0</x:v>
      </x:c>
      <x:c r="T226" s="10" t="n">
        <x:f>EOMONTH(J226-'Сводка'!$B$11,-1)</x:f>
        <x:v>46053</x:v>
      </x:c>
      <x:c r="U226" s="4" t="n">
        <x:f>MATCH(J226,'Сводка'!$R$3:$R$397,0)</x:f>
        <x:v>237</x:v>
      </x:c>
      <x:c r="V226" s="4" t="n">
        <x:f>MATCH(J226-'Сводка'!$B$11,'Сводка'!$R$3:$R$397,0)</x:f>
        <x:v>236</x:v>
      </x:c>
      <x:c r="W226" s="4" t="n">
        <x:f>MATCH(T226,$J$388:$J$400,0)</x:f>
        <x:v>8</x:v>
      </x:c>
      <x:c r="X226" s="3"/>
      <x:c r="Y226" s="3"/>
      <x:c r="Z226" s="3"/>
    </x:row>
    <x:row r="227" ht="15" customHeight="1">
      <x:c r="A227" s="3"/>
      <x:c r="B227" s="3"/>
      <x:c r="C227" s="3"/>
      <x:c r="D227" s="3"/>
      <x:c r="E227" s="3"/>
      <x:c r="F227" s="3"/>
      <x:c r="G227" s="3"/>
      <x:c r="H227" s="3"/>
      <x:c r="I227" s="3"/>
      <x:c r="J227" s="10" t="n">
        <x:v>46078</x:v>
      </x:c>
      <x:c r="K227" s="8" t="n">
        <x:f>INDEX('Сводка'!$S$3:$S$397,U227)</x:f>
        <x:v>-46</x:v>
      </x:c>
      <x:c r="L227" s="8" t="n">
        <x:f>INDEX('Сводка'!$S$3:$S$397,V227)</x:f>
        <x:v>-46</x:v>
      </x:c>
      <x:c r="M227" s="8" t="n">
        <x:f>INDEX($K$388:$N$400,W227,1)+INDEX($K$388:$N$400,W227,2)*(2*(J227-$T$405)/(T227-$T$405)-1)^1+INDEX($K$388:$N$400,W227,3)*(2*(J227-$T$405)/(T227-$T$405)-1)^2+INDEX($O$388:$Z$400,W227,MONTH(J227))</x:f>
        <x:v>-33.38902207180314</x:v>
      </x:c>
      <x:c r="N227" s="8" t="n">
        <x:f>K227-M227</x:f>
        <x:v>-12.61097792819686</x:v>
      </x:c>
      <x:c r="O227" s="8" t="n">
        <x:f>ABS(N227)</x:f>
        <x:v>12.61097792819686</x:v>
      </x:c>
      <x:c r="P227" s="8" t="n">
        <x:f>N227^2</x:f>
        <x:v>159.03676430546835</x:v>
      </x:c>
      <x:c r="Q227" s="8" t="n">
        <x:f>K227-L227</x:f>
        <x:v>0</x:v>
      </x:c>
      <x:c r="R227" s="9" t="n">
        <x:f>IF(AND(INDEX('Сводка'!$T$3:$T$397,U227)=0,INDEX('Сводка'!$T$3:$T$397,V227)=0),1,0)</x:f>
        <x:v>1</x:v>
      </x:c>
      <x:c r="S227" s="9" t="n">
        <x:f>IF(AND(R227=1,O227&lt;=$G$13),1,0)</x:f>
        <x:v>0</x:v>
      </x:c>
      <x:c r="T227" s="10" t="n">
        <x:f>EOMONTH(J227-'Сводка'!$B$11,-1)</x:f>
        <x:v>46053</x:v>
      </x:c>
      <x:c r="U227" s="4" t="n">
        <x:f>MATCH(J227,'Сводка'!$R$3:$R$397,0)</x:f>
        <x:v>238</x:v>
      </x:c>
      <x:c r="V227" s="4" t="n">
        <x:f>MATCH(J227-'Сводка'!$B$11,'Сводка'!$R$3:$R$397,0)</x:f>
        <x:v>237</x:v>
      </x:c>
      <x:c r="W227" s="4" t="n">
        <x:f>MATCH(T227,$J$388:$J$400,0)</x:f>
        <x:v>8</x:v>
      </x:c>
      <x:c r="X227" s="3"/>
      <x:c r="Y227" s="3"/>
      <x:c r="Z227" s="3"/>
    </x:row>
    <x:row r="228" ht="15" customHeight="1">
      <x:c r="A228" s="3"/>
      <x:c r="B228" s="3"/>
      <x:c r="C228" s="3"/>
      <x:c r="D228" s="3"/>
      <x:c r="E228" s="3"/>
      <x:c r="F228" s="3"/>
      <x:c r="G228" s="3"/>
      <x:c r="H228" s="3"/>
      <x:c r="I228" s="3"/>
      <x:c r="J228" s="10" t="n">
        <x:v>46079</x:v>
      </x:c>
      <x:c r="K228" s="8" t="n">
        <x:f>INDEX('Сводка'!$S$3:$S$397,U228)</x:f>
        <x:v>-48</x:v>
      </x:c>
      <x:c r="L228" s="8" t="n">
        <x:f>INDEX('Сводка'!$S$3:$S$397,V228)</x:f>
        <x:v>-46</x:v>
      </x:c>
      <x:c r="M228" s="8" t="n">
        <x:f>INDEX($K$388:$N$400,W228,1)+INDEX($K$388:$N$400,W228,2)*(2*(J228-$T$405)/(T228-$T$405)-1)^1+INDEX($K$388:$N$400,W228,3)*(2*(J228-$T$405)/(T228-$T$405)-1)^2+INDEX($O$388:$Z$400,W228,MONTH(J228))</x:f>
        <x:v>-33.39724242787716</x:v>
      </x:c>
      <x:c r="N228" s="8" t="n">
        <x:f>K228-M228</x:f>
        <x:v>-14.60275757212284</x:v>
      </x:c>
      <x:c r="O228" s="8" t="n">
        <x:f>ABS(N228)</x:f>
        <x:v>14.60275757212284</x:v>
      </x:c>
      <x:c r="P228" s="8" t="n">
        <x:f>N228^2</x:f>
        <x:v>213.24052871019094</x:v>
      </x:c>
      <x:c r="Q228" s="8" t="n">
        <x:f>K228-L228</x:f>
        <x:v>-2</x:v>
      </x:c>
      <x:c r="R228" s="9" t="n">
        <x:f>IF(AND(INDEX('Сводка'!$T$3:$T$397,U228)=0,INDEX('Сводка'!$T$3:$T$397,V228)=0),1,0)</x:f>
        <x:v>1</x:v>
      </x:c>
      <x:c r="S228" s="9" t="n">
        <x:f>IF(AND(R228=1,O228&lt;=$G$13),1,0)</x:f>
        <x:v>0</x:v>
      </x:c>
      <x:c r="T228" s="10" t="n">
        <x:f>EOMONTH(J228-'Сводка'!$B$11,-1)</x:f>
        <x:v>46053</x:v>
      </x:c>
      <x:c r="U228" s="4" t="n">
        <x:f>MATCH(J228,'Сводка'!$R$3:$R$397,0)</x:f>
        <x:v>239</x:v>
      </x:c>
      <x:c r="V228" s="4" t="n">
        <x:f>MATCH(J228-'Сводка'!$B$11,'Сводка'!$R$3:$R$397,0)</x:f>
        <x:v>238</x:v>
      </x:c>
      <x:c r="W228" s="4" t="n">
        <x:f>MATCH(T228,$J$388:$J$400,0)</x:f>
        <x:v>8</x:v>
      </x:c>
      <x:c r="X228" s="3"/>
      <x:c r="Y228" s="3"/>
      <x:c r="Z228" s="3"/>
    </x:row>
    <x:row r="229" ht="15" customHeight="1">
      <x:c r="A229" s="3"/>
      <x:c r="B229" s="3"/>
      <x:c r="C229" s="3"/>
      <x:c r="D229" s="3"/>
      <x:c r="E229" s="3"/>
      <x:c r="F229" s="3"/>
      <x:c r="G229" s="3"/>
      <x:c r="H229" s="3"/>
      <x:c r="I229" s="3"/>
      <x:c r="J229" s="10" t="n">
        <x:v>46080</x:v>
      </x:c>
      <x:c r="K229" s="8" t="n">
        <x:f>INDEX('Сводка'!$S$3:$S$397,U229)</x:f>
        <x:v>-51</x:v>
      </x:c>
      <x:c r="L229" s="8" t="n">
        <x:f>INDEX('Сводка'!$S$3:$S$397,V229)</x:f>
        <x:v>-48</x:v>
      </x:c>
      <x:c r="M229" s="8" t="n">
        <x:f>INDEX($K$388:$N$400,W229,1)+INDEX($K$388:$N$400,W229,2)*(2*(J229-$T$405)/(T229-$T$405)-1)^1+INDEX($K$388:$N$400,W229,3)*(2*(J229-$T$405)/(T229-$T$405)-1)^2+INDEX($O$388:$Z$400,W229,MONTH(J229))</x:f>
        <x:v>-33.405469152372405</x:v>
      </x:c>
      <x:c r="N229" s="8" t="n">
        <x:f>K229-M229</x:f>
        <x:v>-17.594530847627595</x:v>
      </x:c>
      <x:c r="O229" s="8" t="n">
        <x:f>ABS(N229)</x:f>
        <x:v>17.594530847627595</x:v>
      </x:c>
      <x:c r="P229" s="8" t="n">
        <x:f>N229^2</x:f>
        <x:v>309.56751574811904</x:v>
      </x:c>
      <x:c r="Q229" s="8" t="n">
        <x:f>K229-L229</x:f>
        <x:v>-3</x:v>
      </x:c>
      <x:c r="R229" s="9" t="n">
        <x:f>IF(AND(INDEX('Сводка'!$T$3:$T$397,U229)=0,INDEX('Сводка'!$T$3:$T$397,V229)=0),1,0)</x:f>
        <x:v>1</x:v>
      </x:c>
      <x:c r="S229" s="9" t="n">
        <x:f>IF(AND(R229=1,O229&lt;=$G$13),1,0)</x:f>
        <x:v>0</x:v>
      </x:c>
      <x:c r="T229" s="10" t="n">
        <x:f>EOMONTH(J229-'Сводка'!$B$11,-1)</x:f>
        <x:v>46053</x:v>
      </x:c>
      <x:c r="U229" s="4" t="n">
        <x:f>MATCH(J229,'Сводка'!$R$3:$R$397,0)</x:f>
        <x:v>240</x:v>
      </x:c>
      <x:c r="V229" s="4" t="n">
        <x:f>MATCH(J229-'Сводка'!$B$11,'Сводка'!$R$3:$R$397,0)</x:f>
        <x:v>239</x:v>
      </x:c>
      <x:c r="W229" s="4" t="n">
        <x:f>MATCH(T229,$J$388:$J$400,0)</x:f>
        <x:v>8</x:v>
      </x:c>
      <x:c r="X229" s="3"/>
      <x:c r="Y229" s="3"/>
      <x:c r="Z229" s="3"/>
    </x:row>
    <x:row r="230" ht="15" customHeight="1">
      <x:c r="A230" s="3"/>
      <x:c r="B230" s="3"/>
      <x:c r="C230" s="3"/>
      <x:c r="D230" s="3"/>
      <x:c r="E230" s="3"/>
      <x:c r="F230" s="3"/>
      <x:c r="G230" s="3"/>
      <x:c r="H230" s="3"/>
      <x:c r="I230" s="3"/>
      <x:c r="J230" s="10" t="n">
        <x:v>46081</x:v>
      </x:c>
      <x:c r="K230" s="8" t="n">
        <x:f>INDEX('Сводка'!$S$3:$S$397,U230)</x:f>
        <x:v>-54</x:v>
      </x:c>
      <x:c r="L230" s="8" t="n">
        <x:f>INDEX('Сводка'!$S$3:$S$397,V230)</x:f>
        <x:v>-51</x:v>
      </x:c>
      <x:c r="M230" s="8" t="n">
        <x:f>INDEX($K$388:$N$400,W230,1)+INDEX($K$388:$N$400,W230,2)*(2*(J230-$T$405)/(T230-$T$405)-1)^1+INDEX($K$388:$N$400,W230,3)*(2*(J230-$T$405)/(T230-$T$405)-1)^2+INDEX($O$388:$Z$400,W230,MONTH(J230))</x:f>
        <x:v>-33.4137022452889</x:v>
      </x:c>
      <x:c r="N230" s="8" t="n">
        <x:f>K230-M230</x:f>
        <x:v>-20.586297754711097</x:v>
      </x:c>
      <x:c r="O230" s="8" t="n">
        <x:f>ABS(N230)</x:f>
        <x:v>20.586297754711097</x:v>
      </x:c>
      <x:c r="P230" s="8" t="n">
        <x:f>N230^2</x:f>
        <x:v>423.79565524562315</x:v>
      </x:c>
      <x:c r="Q230" s="8" t="n">
        <x:f>K230-L230</x:f>
        <x:v>-3</x:v>
      </x:c>
      <x:c r="R230" s="9" t="n">
        <x:f>IF(AND(INDEX('Сводка'!$T$3:$T$397,U230)=0,INDEX('Сводка'!$T$3:$T$397,V230)=0),1,0)</x:f>
        <x:v>1</x:v>
      </x:c>
      <x:c r="S230" s="9" t="n">
        <x:f>IF(AND(R230=1,O230&lt;=$G$13),1,0)</x:f>
        <x:v>0</x:v>
      </x:c>
      <x:c r="T230" s="10" t="n">
        <x:f>EOMONTH(J230-'Сводка'!$B$11,-1)</x:f>
        <x:v>46053</x:v>
      </x:c>
      <x:c r="U230" s="4" t="n">
        <x:f>MATCH(J230,'Сводка'!$R$3:$R$397,0)</x:f>
        <x:v>241</x:v>
      </x:c>
      <x:c r="V230" s="4" t="n">
        <x:f>MATCH(J230-'Сводка'!$B$11,'Сводка'!$R$3:$R$397,0)</x:f>
        <x:v>240</x:v>
      </x:c>
      <x:c r="W230" s="4" t="n">
        <x:f>MATCH(T230,$J$388:$J$400,0)</x:f>
        <x:v>8</x:v>
      </x:c>
      <x:c r="X230" s="3"/>
      <x:c r="Y230" s="3"/>
      <x:c r="Z230" s="3"/>
    </x:row>
    <x:row r="231" ht="15" customHeight="1">
      <x:c r="A231" s="3"/>
      <x:c r="B231" s="3"/>
      <x:c r="C231" s="3"/>
      <x:c r="D231" s="3"/>
      <x:c r="E231" s="3"/>
      <x:c r="F231" s="3"/>
      <x:c r="G231" s="3"/>
      <x:c r="H231" s="3"/>
      <x:c r="I231" s="3"/>
      <x:c r="J231" s="10" t="n">
        <x:v>46082</x:v>
      </x:c>
      <x:c r="K231" s="8" t="n">
        <x:f>INDEX('Сводка'!$S$3:$S$397,U231)</x:f>
        <x:v>-55</x:v>
      </x:c>
      <x:c r="L231" s="8" t="n">
        <x:f>INDEX('Сводка'!$S$3:$S$397,V231)</x:f>
        <x:v>-54</x:v>
      </x:c>
      <x:c r="M231" s="8" t="n">
        <x:f>INDEX($K$388:$N$400,W231,1)+INDEX($K$388:$N$400,W231,2)*(2*(J231-$T$405)/(T231-$T$405)-1)^1+INDEX($K$388:$N$400,W231,3)*(2*(J231-$T$405)/(T231-$T$405)-1)^2+INDEX($O$388:$Z$400,W231,MONTH(J231))</x:f>
        <x:v>-45.49613034009623</x:v>
      </x:c>
      <x:c r="N231" s="8" t="n">
        <x:f>K231-M231</x:f>
        <x:v>-9.50386965990377</x:v>
      </x:c>
      <x:c r="O231" s="8" t="n">
        <x:f>ABS(N231)</x:f>
        <x:v>9.50386965990377</x:v>
      </x:c>
      <x:c r="P231" s="8" t="n">
        <x:f>N231^2</x:f>
        <x:v>90.32353851243941</x:v>
      </x:c>
      <x:c r="Q231" s="8" t="n">
        <x:f>K231-L231</x:f>
        <x:v>-1</x:v>
      </x:c>
      <x:c r="R231" s="9" t="n">
        <x:f>IF(AND(INDEX('Сводка'!$T$3:$T$397,U231)=0,INDEX('Сводка'!$T$3:$T$397,V231)=0),1,0)</x:f>
        <x:v>1</x:v>
      </x:c>
      <x:c r="S231" s="9" t="n">
        <x:f>IF(AND(R231=1,O231&lt;=$G$13),1,0)</x:f>
        <x:v>0</x:v>
      </x:c>
      <x:c r="T231" s="10" t="n">
        <x:f>EOMONTH(J231-'Сводка'!$B$11,-1)</x:f>
        <x:v>46053</x:v>
      </x:c>
      <x:c r="U231" s="4" t="n">
        <x:f>MATCH(J231,'Сводка'!$R$3:$R$397,0)</x:f>
        <x:v>242</x:v>
      </x:c>
      <x:c r="V231" s="4" t="n">
        <x:f>MATCH(J231-'Сводка'!$B$11,'Сводка'!$R$3:$R$397,0)</x:f>
        <x:v>241</x:v>
      </x:c>
      <x:c r="W231" s="4" t="n">
        <x:f>MATCH(T231,$J$388:$J$400,0)</x:f>
        <x:v>8</x:v>
      </x:c>
      <x:c r="X231" s="3"/>
      <x:c r="Y231" s="3"/>
      <x:c r="Z231" s="3"/>
    </x:row>
    <x:row r="232" ht="15" customHeight="1">
      <x:c r="A232" s="3"/>
      <x:c r="B232" s="3"/>
      <x:c r="C232" s="3"/>
      <x:c r="D232" s="3"/>
      <x:c r="E232" s="3"/>
      <x:c r="F232" s="3"/>
      <x:c r="G232" s="3"/>
      <x:c r="H232" s="3"/>
      <x:c r="I232" s="3"/>
      <x:c r="J232" s="10" t="n">
        <x:v>46083</x:v>
      </x:c>
      <x:c r="K232" s="8" t="n">
        <x:f>INDEX('Сводка'!$S$3:$S$397,U232)</x:f>
        <x:v>-57</x:v>
      </x:c>
      <x:c r="L232" s="8" t="n">
        <x:f>INDEX('Сводка'!$S$3:$S$397,V232)</x:f>
        <x:v>-55</x:v>
      </x:c>
      <x:c r="M232" s="8" t="n">
        <x:f>INDEX($K$388:$N$400,W232,1)+INDEX($K$388:$N$400,W232,2)*(2*(J232-$T$405)/(T232-$T$405)-1)^1+INDEX($K$388:$N$400,W232,3)*(2*(J232-$T$405)/(T232-$T$405)-1)^2+INDEX($O$388:$Z$400,W232,MONTH(J232))</x:f>
        <x:v>-45.747982880404834</x:v>
      </x:c>
      <x:c r="N232" s="8" t="n">
        <x:f>K232-M232</x:f>
        <x:v>-11.252017119595166</x:v>
      </x:c>
      <x:c r="O232" s="8" t="n">
        <x:f>ABS(N232)</x:f>
        <x:v>11.252017119595166</x:v>
      </x:c>
      <x:c r="P232" s="8" t="n">
        <x:f>N232^2</x:f>
        <x:v>126.6078892596627</x:v>
      </x:c>
      <x:c r="Q232" s="8" t="n">
        <x:f>K232-L232</x:f>
        <x:v>-2</x:v>
      </x:c>
      <x:c r="R232" s="9" t="n">
        <x:f>IF(AND(INDEX('Сводка'!$T$3:$T$397,U232)=0,INDEX('Сводка'!$T$3:$T$397,V232)=0),1,0)</x:f>
        <x:v>1</x:v>
      </x:c>
      <x:c r="S232" s="9" t="n">
        <x:f>IF(AND(R232=1,O232&lt;=$G$13),1,0)</x:f>
        <x:v>0</x:v>
      </x:c>
      <x:c r="T232" s="10" t="n">
        <x:f>EOMONTH(J232-'Сводка'!$B$11,-1)</x:f>
        <x:v>46081</x:v>
      </x:c>
      <x:c r="U232" s="4" t="n">
        <x:f>MATCH(J232,'Сводка'!$R$3:$R$397,0)</x:f>
        <x:v>243</x:v>
      </x:c>
      <x:c r="V232" s="4" t="n">
        <x:f>MATCH(J232-'Сводка'!$B$11,'Сводка'!$R$3:$R$397,0)</x:f>
        <x:v>242</x:v>
      </x:c>
      <x:c r="W232" s="4" t="n">
        <x:f>MATCH(T232,$J$388:$J$400,0)</x:f>
        <x:v>9</x:v>
      </x:c>
      <x:c r="X232" s="3"/>
      <x:c r="Y232" s="3"/>
      <x:c r="Z232" s="3"/>
    </x:row>
    <x:row r="233" ht="15" customHeight="1">
      <x:c r="A233" s="3"/>
      <x:c r="B233" s="3"/>
      <x:c r="C233" s="3"/>
      <x:c r="D233" s="3"/>
      <x:c r="E233" s="3"/>
      <x:c r="F233" s="3"/>
      <x:c r="G233" s="3"/>
      <x:c r="H233" s="3"/>
      <x:c r="I233" s="3"/>
      <x:c r="J233" s="10" t="n">
        <x:v>46084</x:v>
      </x:c>
      <x:c r="K233" s="8" t="n">
        <x:f>INDEX('Сводка'!$S$3:$S$397,U233)</x:f>
        <x:v>-58</x:v>
      </x:c>
      <x:c r="L233" s="8" t="n">
        <x:f>INDEX('Сводка'!$S$3:$S$397,V233)</x:f>
        <x:v>-57</x:v>
      </x:c>
      <x:c r="M233" s="8" t="n">
        <x:f>INDEX($K$388:$N$400,W233,1)+INDEX($K$388:$N$400,W233,2)*(2*(J233-$T$405)/(T233-$T$405)-1)^1+INDEX($K$388:$N$400,W233,3)*(2*(J233-$T$405)/(T233-$T$405)-1)^2+INDEX($O$388:$Z$400,W233,MONTH(J233))</x:f>
        <x:v>-45.756349970421056</x:v>
      </x:c>
      <x:c r="N233" s="8" t="n">
        <x:f>K233-M233</x:f>
        <x:v>-12.243650029578944</x:v>
      </x:c>
      <x:c r="O233" s="8" t="n">
        <x:f>ABS(N233)</x:f>
        <x:v>12.243650029578944</x:v>
      </x:c>
      <x:c r="P233" s="8" t="n">
        <x:f>N233^2</x:f>
        <x:v>149.9069660468085</x:v>
      </x:c>
      <x:c r="Q233" s="8" t="n">
        <x:f>K233-L233</x:f>
        <x:v>-1</x:v>
      </x:c>
      <x:c r="R233" s="9" t="n">
        <x:f>IF(AND(INDEX('Сводка'!$T$3:$T$397,U233)=0,INDEX('Сводка'!$T$3:$T$397,V233)=0),1,0)</x:f>
        <x:v>1</x:v>
      </x:c>
      <x:c r="S233" s="9" t="n">
        <x:f>IF(AND(R233=1,O233&lt;=$G$13),1,0)</x:f>
        <x:v>0</x:v>
      </x:c>
      <x:c r="T233" s="10" t="n">
        <x:f>EOMONTH(J233-'Сводка'!$B$11,-1)</x:f>
        <x:v>46081</x:v>
      </x:c>
      <x:c r="U233" s="4" t="n">
        <x:f>MATCH(J233,'Сводка'!$R$3:$R$397,0)</x:f>
        <x:v>244</x:v>
      </x:c>
      <x:c r="V233" s="4" t="n">
        <x:f>MATCH(J233-'Сводка'!$B$11,'Сводка'!$R$3:$R$397,0)</x:f>
        <x:v>243</x:v>
      </x:c>
      <x:c r="W233" s="4" t="n">
        <x:f>MATCH(T233,$J$388:$J$400,0)</x:f>
        <x:v>9</x:v>
      </x:c>
      <x:c r="X233" s="3"/>
      <x:c r="Y233" s="3"/>
      <x:c r="Z233" s="3"/>
    </x:row>
    <x:row r="234" ht="15" customHeight="1">
      <x:c r="A234" s="3"/>
      <x:c r="B234" s="3"/>
      <x:c r="C234" s="3"/>
      <x:c r="D234" s="3"/>
      <x:c r="E234" s="3"/>
      <x:c r="F234" s="3"/>
      <x:c r="G234" s="3"/>
      <x:c r="H234" s="3"/>
      <x:c r="I234" s="3"/>
      <x:c r="J234" s="10" t="n">
        <x:v>46085</x:v>
      </x:c>
      <x:c r="K234" s="8" t="n">
        <x:f>INDEX('Сводка'!$S$3:$S$397,U234)</x:f>
        <x:v>-58</x:v>
      </x:c>
      <x:c r="L234" s="8" t="n">
        <x:f>INDEX('Сводка'!$S$3:$S$397,V234)</x:f>
        <x:v>-58</x:v>
      </x:c>
      <x:c r="M234" s="8" t="n">
        <x:f>INDEX($K$388:$N$400,W234,1)+INDEX($K$388:$N$400,W234,2)*(2*(J234-$T$405)/(T234-$T$405)-1)^1+INDEX($K$388:$N$400,W234,3)*(2*(J234-$T$405)/(T234-$T$405)-1)^2+INDEX($O$388:$Z$400,W234,MONTH(J234))</x:f>
        <x:v>-45.76472345003762</x:v>
      </x:c>
      <x:c r="N234" s="8" t="n">
        <x:f>K234-M234</x:f>
        <x:v>-12.235276549962379</x:v>
      </x:c>
      <x:c r="O234" s="8" t="n">
        <x:f>ABS(N234)</x:f>
        <x:v>12.235276549962379</x:v>
      </x:c>
      <x:c r="P234" s="8" t="n">
        <x:f>N234^2</x:f>
        <x:v>149.7019922540593</x:v>
      </x:c>
      <x:c r="Q234" s="8" t="n">
        <x:f>K234-L234</x:f>
        <x:v>0</x:v>
      </x:c>
      <x:c r="R234" s="9" t="n">
        <x:f>IF(AND(INDEX('Сводка'!$T$3:$T$397,U234)=0,INDEX('Сводка'!$T$3:$T$397,V234)=0),1,0)</x:f>
        <x:v>1</x:v>
      </x:c>
      <x:c r="S234" s="9" t="n">
        <x:f>IF(AND(R234=1,O234&lt;=$G$13),1,0)</x:f>
        <x:v>0</x:v>
      </x:c>
      <x:c r="T234" s="10" t="n">
        <x:f>EOMONTH(J234-'Сводка'!$B$11,-1)</x:f>
        <x:v>46081</x:v>
      </x:c>
      <x:c r="U234" s="4" t="n">
        <x:f>MATCH(J234,'Сводка'!$R$3:$R$397,0)</x:f>
        <x:v>245</x:v>
      </x:c>
      <x:c r="V234" s="4" t="n">
        <x:f>MATCH(J234-'Сводка'!$B$11,'Сводка'!$R$3:$R$397,0)</x:f>
        <x:v>244</x:v>
      </x:c>
      <x:c r="W234" s="4" t="n">
        <x:f>MATCH(T234,$J$388:$J$400,0)</x:f>
        <x:v>9</x:v>
      </x:c>
      <x:c r="X234" s="3"/>
      <x:c r="Y234" s="3"/>
      <x:c r="Z234" s="3"/>
    </x:row>
    <x:row r="235" ht="15" customHeight="1">
      <x:c r="A235" s="3"/>
      <x:c r="B235" s="3"/>
      <x:c r="C235" s="3"/>
      <x:c r="D235" s="3"/>
      <x:c r="E235" s="3"/>
      <x:c r="F235" s="3"/>
      <x:c r="G235" s="3"/>
      <x:c r="H235" s="3"/>
      <x:c r="I235" s="3"/>
      <x:c r="J235" s="10" t="n">
        <x:v>46086</x:v>
      </x:c>
      <x:c r="K235" s="8" t="n">
        <x:f>INDEX('Сводка'!$S$3:$S$397,U235)</x:f>
        <x:v>-58</x:v>
      </x:c>
      <x:c r="L235" s="8" t="n">
        <x:f>INDEX('Сводка'!$S$3:$S$397,V235)</x:f>
        <x:v>-58</x:v>
      </x:c>
      <x:c r="M235" s="8" t="n">
        <x:f>INDEX($K$388:$N$400,W235,1)+INDEX($K$388:$N$400,W235,2)*(2*(J235-$T$405)/(T235-$T$405)-1)^1+INDEX($K$388:$N$400,W235,3)*(2*(J235-$T$405)/(T235-$T$405)-1)^2+INDEX($O$388:$Z$400,W235,MONTH(J235))</x:f>
        <x:v>-45.77310331925449</x:v>
      </x:c>
      <x:c r="N235" s="8" t="n">
        <x:f>K235-M235</x:f>
        <x:v>-12.226896680745512</x:v>
      </x:c>
      <x:c r="O235" s="8" t="n">
        <x:f>ABS(N235)</x:f>
        <x:v>12.226896680745512</x:v>
      </x:c>
      <x:c r="P235" s="8" t="n">
        <x:f>N235^2</x:f>
        <x:v>149.4970024416256</x:v>
      </x:c>
      <x:c r="Q235" s="8" t="n">
        <x:f>K235-L235</x:f>
        <x:v>0</x:v>
      </x:c>
      <x:c r="R235" s="9" t="n">
        <x:f>IF(AND(INDEX('Сводка'!$T$3:$T$397,U235)=0,INDEX('Сводка'!$T$3:$T$397,V235)=0),1,0)</x:f>
        <x:v>1</x:v>
      </x:c>
      <x:c r="S235" s="9" t="n">
        <x:f>IF(AND(R235=1,O235&lt;=$G$13),1,0)</x:f>
        <x:v>0</x:v>
      </x:c>
      <x:c r="T235" s="10" t="n">
        <x:f>EOMONTH(J235-'Сводка'!$B$11,-1)</x:f>
        <x:v>46081</x:v>
      </x:c>
      <x:c r="U235" s="4" t="n">
        <x:f>MATCH(J235,'Сводка'!$R$3:$R$397,0)</x:f>
        <x:v>246</x:v>
      </x:c>
      <x:c r="V235" s="4" t="n">
        <x:f>MATCH(J235-'Сводка'!$B$11,'Сводка'!$R$3:$R$397,0)</x:f>
        <x:v>245</x:v>
      </x:c>
      <x:c r="W235" s="4" t="n">
        <x:f>MATCH(T235,$J$388:$J$400,0)</x:f>
        <x:v>9</x:v>
      </x:c>
      <x:c r="X235" s="3"/>
      <x:c r="Y235" s="3"/>
      <x:c r="Z235" s="3"/>
    </x:row>
    <x:row r="236" ht="15" customHeight="1">
      <x:c r="A236" s="3"/>
      <x:c r="B236" s="3"/>
      <x:c r="C236" s="3"/>
      <x:c r="D236" s="3"/>
      <x:c r="E236" s="3"/>
      <x:c r="F236" s="3"/>
      <x:c r="G236" s="3"/>
      <x:c r="H236" s="3"/>
      <x:c r="I236" s="3"/>
      <x:c r="J236" s="10" t="n">
        <x:v>46087</x:v>
      </x:c>
      <x:c r="K236" s="8" t="n">
        <x:f>INDEX('Сводка'!$S$3:$S$397,U236)</x:f>
        <x:v>-57</x:v>
      </x:c>
      <x:c r="L236" s="8" t="n">
        <x:f>INDEX('Сводка'!$S$3:$S$397,V236)</x:f>
        <x:v>-58</x:v>
      </x:c>
      <x:c r="M236" s="8" t="n">
        <x:f>INDEX($K$388:$N$400,W236,1)+INDEX($K$388:$N$400,W236,2)*(2*(J236-$T$405)/(T236-$T$405)-1)^1+INDEX($K$388:$N$400,W236,3)*(2*(J236-$T$405)/(T236-$T$405)-1)^2+INDEX($O$388:$Z$400,W236,MONTH(J236))</x:f>
        <x:v>-45.781489578071785</x:v>
      </x:c>
      <x:c r="N236" s="8" t="n">
        <x:f>K236-M236</x:f>
        <x:v>-11.218510421928215</x:v>
      </x:c>
      <x:c r="O236" s="8" t="n">
        <x:f>ABS(N236)</x:f>
        <x:v>11.218510421928215</x:v>
      </x:c>
      <x:c r="P236" s="8" t="n">
        <x:f>N236^2</x:f>
        <x:v>125.85497608691198</x:v>
      </x:c>
      <x:c r="Q236" s="8" t="n">
        <x:f>K236-L236</x:f>
        <x:v>1</x:v>
      </x:c>
      <x:c r="R236" s="9" t="n">
        <x:f>IF(AND(INDEX('Сводка'!$T$3:$T$397,U236)=0,INDEX('Сводка'!$T$3:$T$397,V236)=0),1,0)</x:f>
        <x:v>1</x:v>
      </x:c>
      <x:c r="S236" s="9" t="n">
        <x:f>IF(AND(R236=1,O236&lt;=$G$13),1,0)</x:f>
        <x:v>0</x:v>
      </x:c>
      <x:c r="T236" s="10" t="n">
        <x:f>EOMONTH(J236-'Сводка'!$B$11,-1)</x:f>
        <x:v>46081</x:v>
      </x:c>
      <x:c r="U236" s="4" t="n">
        <x:f>MATCH(J236,'Сводка'!$R$3:$R$397,0)</x:f>
        <x:v>247</x:v>
      </x:c>
      <x:c r="V236" s="4" t="n">
        <x:f>MATCH(J236-'Сводка'!$B$11,'Сводка'!$R$3:$R$397,0)</x:f>
        <x:v>246</x:v>
      </x:c>
      <x:c r="W236" s="4" t="n">
        <x:f>MATCH(T236,$J$388:$J$400,0)</x:f>
        <x:v>9</x:v>
      </x:c>
      <x:c r="X236" s="3"/>
      <x:c r="Y236" s="3"/>
      <x:c r="Z236" s="3"/>
    </x:row>
    <x:row r="237" ht="15" customHeight="1">
      <x:c r="A237" s="3"/>
      <x:c r="B237" s="3"/>
      <x:c r="C237" s="3"/>
      <x:c r="D237" s="3"/>
      <x:c r="E237" s="3"/>
      <x:c r="F237" s="3"/>
      <x:c r="G237" s="3"/>
      <x:c r="H237" s="3"/>
      <x:c r="I237" s="3"/>
      <x:c r="J237" s="10" t="n">
        <x:v>46088</x:v>
      </x:c>
      <x:c r="K237" s="8" t="n">
        <x:f>INDEX('Сводка'!$S$3:$S$397,U237)</x:f>
        <x:v>-57</x:v>
      </x:c>
      <x:c r="L237" s="8" t="n">
        <x:f>INDEX('Сводка'!$S$3:$S$397,V237)</x:f>
        <x:v>-57</x:v>
      </x:c>
      <x:c r="M237" s="8" t="n">
        <x:f>INDEX($K$388:$N$400,W237,1)+INDEX($K$388:$N$400,W237,2)*(2*(J237-$T$405)/(T237-$T$405)-1)^1+INDEX($K$388:$N$400,W237,3)*(2*(J237-$T$405)/(T237-$T$405)-1)^2+INDEX($O$388:$Z$400,W237,MONTH(J237))</x:f>
        <x:v>-45.78988222648937</x:v>
      </x:c>
      <x:c r="N237" s="8" t="n">
        <x:f>K237-M237</x:f>
        <x:v>-11.210117773510632</x:v>
      </x:c>
      <x:c r="O237" s="8" t="n">
        <x:f>ABS(N237)</x:f>
        <x:v>11.210117773510632</x:v>
      </x:c>
      <x:c r="P237" s="8" t="n">
        <x:f>N237^2</x:f>
        <x:v>125.66674049597897</x:v>
      </x:c>
      <x:c r="Q237" s="8" t="n">
        <x:f>K237-L237</x:f>
        <x:v>0</x:v>
      </x:c>
      <x:c r="R237" s="9" t="n">
        <x:f>IF(AND(INDEX('Сводка'!$T$3:$T$397,U237)=0,INDEX('Сводка'!$T$3:$T$397,V237)=0),1,0)</x:f>
        <x:v>1</x:v>
      </x:c>
      <x:c r="S237" s="9" t="n">
        <x:f>IF(AND(R237=1,O237&lt;=$G$13),1,0)</x:f>
        <x:v>0</x:v>
      </x:c>
      <x:c r="T237" s="10" t="n">
        <x:f>EOMONTH(J237-'Сводка'!$B$11,-1)</x:f>
        <x:v>46081</x:v>
      </x:c>
      <x:c r="U237" s="4" t="n">
        <x:f>MATCH(J237,'Сводка'!$R$3:$R$397,0)</x:f>
        <x:v>248</x:v>
      </x:c>
      <x:c r="V237" s="4" t="n">
        <x:f>MATCH(J237-'Сводка'!$B$11,'Сводка'!$R$3:$R$397,0)</x:f>
        <x:v>247</x:v>
      </x:c>
      <x:c r="W237" s="4" t="n">
        <x:f>MATCH(T237,$J$388:$J$400,0)</x:f>
        <x:v>9</x:v>
      </x:c>
      <x:c r="X237" s="3"/>
      <x:c r="Y237" s="3"/>
      <x:c r="Z237" s="3"/>
    </x:row>
    <x:row r="238" ht="15" customHeight="1">
      <x:c r="A238" s="3"/>
      <x:c r="B238" s="3"/>
      <x:c r="C238" s="3"/>
      <x:c r="D238" s="3"/>
      <x:c r="E238" s="3"/>
      <x:c r="F238" s="3"/>
      <x:c r="G238" s="3"/>
      <x:c r="H238" s="3"/>
      <x:c r="I238" s="3"/>
      <x:c r="J238" s="10" t="n">
        <x:v>46089</x:v>
      </x:c>
      <x:c r="K238" s="8" t="n">
        <x:f>INDEX('Сводка'!$S$3:$S$397,U238)</x:f>
        <x:v>-59</x:v>
      </x:c>
      <x:c r="L238" s="8" t="n">
        <x:f>INDEX('Сводка'!$S$3:$S$397,V238)</x:f>
        <x:v>-57</x:v>
      </x:c>
      <x:c r="M238" s="8" t="n">
        <x:f>INDEX($K$388:$N$400,W238,1)+INDEX($K$388:$N$400,W238,2)*(2*(J238-$T$405)/(T238-$T$405)-1)^1+INDEX($K$388:$N$400,W238,3)*(2*(J238-$T$405)/(T238-$T$405)-1)^2+INDEX($O$388:$Z$400,W238,MONTH(J238))</x:f>
        <x:v>-45.798281264507324</x:v>
      </x:c>
      <x:c r="N238" s="8" t="n">
        <x:f>K238-M238</x:f>
        <x:v>-13.201718735492676</x:v>
      </x:c>
      <x:c r="O238" s="8" t="n">
        <x:f>ABS(N238)</x:f>
        <x:v>13.201718735492676</x:v>
      </x:c>
      <x:c r="P238" s="8" t="n">
        <x:f>N238^2</x:f>
        <x:v>174.28537757105835</x:v>
      </x:c>
      <x:c r="Q238" s="8" t="n">
        <x:f>K238-L238</x:f>
        <x:v>-2</x:v>
      </x:c>
      <x:c r="R238" s="9" t="n">
        <x:f>IF(AND(INDEX('Сводка'!$T$3:$T$397,U238)=0,INDEX('Сводка'!$T$3:$T$397,V238)=0),1,0)</x:f>
        <x:v>1</x:v>
      </x:c>
      <x:c r="S238" s="9" t="n">
        <x:f>IF(AND(R238=1,O238&lt;=$G$13),1,0)</x:f>
        <x:v>0</x:v>
      </x:c>
      <x:c r="T238" s="10" t="n">
        <x:f>EOMONTH(J238-'Сводка'!$B$11,-1)</x:f>
        <x:v>46081</x:v>
      </x:c>
      <x:c r="U238" s="4" t="n">
        <x:f>MATCH(J238,'Сводка'!$R$3:$R$397,0)</x:f>
        <x:v>249</x:v>
      </x:c>
      <x:c r="V238" s="4" t="n">
        <x:f>MATCH(J238-'Сводка'!$B$11,'Сводка'!$R$3:$R$397,0)</x:f>
        <x:v>248</x:v>
      </x:c>
      <x:c r="W238" s="4" t="n">
        <x:f>MATCH(T238,$J$388:$J$400,0)</x:f>
        <x:v>9</x:v>
      </x:c>
      <x:c r="X238" s="3"/>
      <x:c r="Y238" s="3"/>
      <x:c r="Z238" s="3"/>
    </x:row>
    <x:row r="239" ht="15" customHeight="1">
      <x:c r="A239" s="3"/>
      <x:c r="B239" s="3"/>
      <x:c r="C239" s="3"/>
      <x:c r="D239" s="3"/>
      <x:c r="E239" s="3"/>
      <x:c r="F239" s="3"/>
      <x:c r="G239" s="3"/>
      <x:c r="H239" s="3"/>
      <x:c r="I239" s="3"/>
      <x:c r="J239" s="10" t="n">
        <x:v>46090</x:v>
      </x:c>
      <x:c r="K239" s="8" t="n">
        <x:f>INDEX('Сводка'!$S$3:$S$397,U239)</x:f>
        <x:v>-61</x:v>
      </x:c>
      <x:c r="L239" s="8" t="n">
        <x:f>INDEX('Сводка'!$S$3:$S$397,V239)</x:f>
        <x:v>-59</x:v>
      </x:c>
      <x:c r="M239" s="8" t="n">
        <x:f>INDEX($K$388:$N$400,W239,1)+INDEX($K$388:$N$400,W239,2)*(2*(J239-$T$405)/(T239-$T$405)-1)^1+INDEX($K$388:$N$400,W239,3)*(2*(J239-$T$405)/(T239-$T$405)-1)^2+INDEX($O$388:$Z$400,W239,MONTH(J239))</x:f>
        <x:v>-45.80668669212562</x:v>
      </x:c>
      <x:c r="N239" s="8" t="n">
        <x:f>K239-M239</x:f>
        <x:v>-15.193313307874377</x:v>
      </x:c>
      <x:c r="O239" s="8" t="n">
        <x:f>ABS(N239)</x:f>
        <x:v>15.193313307874377</x:v>
      </x:c>
      <x:c r="P239" s="8" t="n">
        <x:f>N239^2</x:f>
        <x:v>230.83676927123264</x:v>
      </x:c>
      <x:c r="Q239" s="8" t="n">
        <x:f>K239-L239</x:f>
        <x:v>-2</x:v>
      </x:c>
      <x:c r="R239" s="9" t="n">
        <x:f>IF(AND(INDEX('Сводка'!$T$3:$T$397,U239)=0,INDEX('Сводка'!$T$3:$T$397,V239)=0),1,0)</x:f>
        <x:v>1</x:v>
      </x:c>
      <x:c r="S239" s="9" t="n">
        <x:f>IF(AND(R239=1,O239&lt;=$G$13),1,0)</x:f>
        <x:v>0</x:v>
      </x:c>
      <x:c r="T239" s="10" t="n">
        <x:f>EOMONTH(J239-'Сводка'!$B$11,-1)</x:f>
        <x:v>46081</x:v>
      </x:c>
      <x:c r="U239" s="4" t="n">
        <x:f>MATCH(J239,'Сводка'!$R$3:$R$397,0)</x:f>
        <x:v>250</x:v>
      </x:c>
      <x:c r="V239" s="4" t="n">
        <x:f>MATCH(J239-'Сводка'!$B$11,'Сводка'!$R$3:$R$397,0)</x:f>
        <x:v>249</x:v>
      </x:c>
      <x:c r="W239" s="4" t="n">
        <x:f>MATCH(T239,$J$388:$J$400,0)</x:f>
        <x:v>9</x:v>
      </x:c>
      <x:c r="X239" s="3"/>
      <x:c r="Y239" s="3"/>
      <x:c r="Z239" s="3"/>
    </x:row>
    <x:row r="240" ht="15" customHeight="1">
      <x:c r="A240" s="3"/>
      <x:c r="B240" s="3"/>
      <x:c r="C240" s="3"/>
      <x:c r="D240" s="3"/>
      <x:c r="E240" s="3"/>
      <x:c r="F240" s="3"/>
      <x:c r="G240" s="3"/>
      <x:c r="H240" s="3"/>
      <x:c r="I240" s="3"/>
      <x:c r="J240" s="10" t="n">
        <x:v>46091</x:v>
      </x:c>
      <x:c r="K240" s="8" t="n">
        <x:f>INDEX('Сводка'!$S$3:$S$397,U240)</x:f>
        <x:v>-64</x:v>
      </x:c>
      <x:c r="L240" s="8" t="n">
        <x:f>INDEX('Сводка'!$S$3:$S$397,V240)</x:f>
        <x:v>-61</x:v>
      </x:c>
      <x:c r="M240" s="8" t="n">
        <x:f>INDEX($K$388:$N$400,W240,1)+INDEX($K$388:$N$400,W240,2)*(2*(J240-$T$405)/(T240-$T$405)-1)^1+INDEX($K$388:$N$400,W240,3)*(2*(J240-$T$405)/(T240-$T$405)-1)^2+INDEX($O$388:$Z$400,W240,MONTH(J240))</x:f>
        <x:v>-45.81509850934428</x:v>
      </x:c>
      <x:c r="N240" s="8" t="n">
        <x:f>K240-M240</x:f>
        <x:v>-18.18490149065572</x:v>
      </x:c>
      <x:c r="O240" s="8" t="n">
        <x:f>ABS(N240)</x:f>
        <x:v>18.18490149065572</x:v>
      </x:c>
      <x:c r="P240" s="8" t="n">
        <x:f>N240^2</x:f>
        <x:v>330.6906422248526</x:v>
      </x:c>
      <x:c r="Q240" s="8" t="n">
        <x:f>K240-L240</x:f>
        <x:v>-3</x:v>
      </x:c>
      <x:c r="R240" s="9" t="n">
        <x:f>IF(AND(INDEX('Сводка'!$T$3:$T$397,U240)=0,INDEX('Сводка'!$T$3:$T$397,V240)=0),1,0)</x:f>
        <x:v>1</x:v>
      </x:c>
      <x:c r="S240" s="9" t="n">
        <x:f>IF(AND(R240=1,O240&lt;=$G$13),1,0)</x:f>
        <x:v>0</x:v>
      </x:c>
      <x:c r="T240" s="10" t="n">
        <x:f>EOMONTH(J240-'Сводка'!$B$11,-1)</x:f>
        <x:v>46081</x:v>
      </x:c>
      <x:c r="U240" s="4" t="n">
        <x:f>MATCH(J240,'Сводка'!$R$3:$R$397,0)</x:f>
        <x:v>251</x:v>
      </x:c>
      <x:c r="V240" s="4" t="n">
        <x:f>MATCH(J240-'Сводка'!$B$11,'Сводка'!$R$3:$R$397,0)</x:f>
        <x:v>250</x:v>
      </x:c>
      <x:c r="W240" s="4" t="n">
        <x:f>MATCH(T240,$J$388:$J$400,0)</x:f>
        <x:v>9</x:v>
      </x:c>
      <x:c r="X240" s="3"/>
      <x:c r="Y240" s="3"/>
      <x:c r="Z240" s="3"/>
    </x:row>
    <x:row r="241" ht="15" customHeight="1">
      <x:c r="A241" s="3"/>
      <x:c r="B241" s="3"/>
      <x:c r="C241" s="3"/>
      <x:c r="D241" s="3"/>
      <x:c r="E241" s="3"/>
      <x:c r="F241" s="3"/>
      <x:c r="G241" s="3"/>
      <x:c r="H241" s="3"/>
      <x:c r="I241" s="3"/>
      <x:c r="J241" s="10" t="n">
        <x:v>46092</x:v>
      </x:c>
      <x:c r="K241" s="8" t="n">
        <x:f>INDEX('Сводка'!$S$3:$S$397,U241)</x:f>
        <x:v>-69</x:v>
      </x:c>
      <x:c r="L241" s="8" t="n">
        <x:f>INDEX('Сводка'!$S$3:$S$397,V241)</x:f>
        <x:v>-64</x:v>
      </x:c>
      <x:c r="M241" s="8" t="n">
        <x:f>INDEX($K$388:$N$400,W241,1)+INDEX($K$388:$N$400,W241,2)*(2*(J241-$T$405)/(T241-$T$405)-1)^1+INDEX($K$388:$N$400,W241,3)*(2*(J241-$T$405)/(T241-$T$405)-1)^2+INDEX($O$388:$Z$400,W241,MONTH(J241))</x:f>
        <x:v>-45.82351671616328</x:v>
      </x:c>
      <x:c r="N241" s="8" t="n">
        <x:f>K241-M241</x:f>
        <x:v>-23.176483283836717</x:v>
      </x:c>
      <x:c r="O241" s="8" t="n">
        <x:f>ABS(N241)</x:f>
        <x:v>23.176483283836717</x:v>
      </x:c>
      <x:c r="P241" s="8" t="n">
        <x:f>N241^2</x:f>
        <x:v>537.1493774059628</x:v>
      </x:c>
      <x:c r="Q241" s="8" t="n">
        <x:f>K241-L241</x:f>
        <x:v>-5</x:v>
      </x:c>
      <x:c r="R241" s="9" t="n">
        <x:f>IF(AND(INDEX('Сводка'!$T$3:$T$397,U241)=0,INDEX('Сводка'!$T$3:$T$397,V241)=0),1,0)</x:f>
        <x:v>1</x:v>
      </x:c>
      <x:c r="S241" s="9" t="n">
        <x:f>IF(AND(R241=1,O241&lt;=$G$13),1,0)</x:f>
        <x:v>0</x:v>
      </x:c>
      <x:c r="T241" s="10" t="n">
        <x:f>EOMONTH(J241-'Сводка'!$B$11,-1)</x:f>
        <x:v>46081</x:v>
      </x:c>
      <x:c r="U241" s="4" t="n">
        <x:f>MATCH(J241,'Сводка'!$R$3:$R$397,0)</x:f>
        <x:v>252</x:v>
      </x:c>
      <x:c r="V241" s="4" t="n">
        <x:f>MATCH(J241-'Сводка'!$B$11,'Сводка'!$R$3:$R$397,0)</x:f>
        <x:v>251</x:v>
      </x:c>
      <x:c r="W241" s="4" t="n">
        <x:f>MATCH(T241,$J$388:$J$400,0)</x:f>
        <x:v>9</x:v>
      </x:c>
      <x:c r="X241" s="3"/>
      <x:c r="Y241" s="3"/>
      <x:c r="Z241" s="3"/>
    </x:row>
    <x:row r="242" ht="15" customHeight="1">
      <x:c r="A242" s="3"/>
      <x:c r="B242" s="3"/>
      <x:c r="C242" s="3"/>
      <x:c r="D242" s="3"/>
      <x:c r="E242" s="3"/>
      <x:c r="F242" s="3"/>
      <x:c r="G242" s="3"/>
      <x:c r="H242" s="3"/>
      <x:c r="I242" s="3"/>
      <x:c r="J242" s="10" t="n">
        <x:v>46093</x:v>
      </x:c>
      <x:c r="K242" s="8" t="n">
        <x:f>INDEX('Сводка'!$S$3:$S$397,U242)</x:f>
        <x:v>-73</x:v>
      </x:c>
      <x:c r="L242" s="8" t="n">
        <x:f>INDEX('Сводка'!$S$3:$S$397,V242)</x:f>
        <x:v>-69</x:v>
      </x:c>
      <x:c r="M242" s="8" t="n">
        <x:f>INDEX($K$388:$N$400,W242,1)+INDEX($K$388:$N$400,W242,2)*(2*(J242-$T$405)/(T242-$T$405)-1)^1+INDEX($K$388:$N$400,W242,3)*(2*(J242-$T$405)/(T242-$T$405)-1)^2+INDEX($O$388:$Z$400,W242,MONTH(J242))</x:f>
        <x:v>-45.831941312582615</x:v>
      </x:c>
      <x:c r="N242" s="8" t="n">
        <x:f>K242-M242</x:f>
        <x:v>-27.168058687417385</x:v>
      </x:c>
      <x:c r="O242" s="8" t="n">
        <x:f>ABS(N242)</x:f>
        <x:v>27.168058687417385</x:v>
      </x:c>
      <x:c r="P242" s="8" t="n">
        <x:f>N242^2</x:f>
        <x:v>738.1034128429553</x:v>
      </x:c>
      <x:c r="Q242" s="8" t="n">
        <x:f>K242-L242</x:f>
        <x:v>-4</x:v>
      </x:c>
      <x:c r="R242" s="9" t="n">
        <x:f>IF(AND(INDEX('Сводка'!$T$3:$T$397,U242)=0,INDEX('Сводка'!$T$3:$T$397,V242)=0),1,0)</x:f>
        <x:v>1</x:v>
      </x:c>
      <x:c r="S242" s="9" t="n">
        <x:f>IF(AND(R242=1,O242&lt;=$G$13),1,0)</x:f>
        <x:v>0</x:v>
      </x:c>
      <x:c r="T242" s="10" t="n">
        <x:f>EOMONTH(J242-'Сводка'!$B$11,-1)</x:f>
        <x:v>46081</x:v>
      </x:c>
      <x:c r="U242" s="4" t="n">
        <x:f>MATCH(J242,'Сводка'!$R$3:$R$397,0)</x:f>
        <x:v>253</x:v>
      </x:c>
      <x:c r="V242" s="4" t="n">
        <x:f>MATCH(J242-'Сводка'!$B$11,'Сводка'!$R$3:$R$397,0)</x:f>
        <x:v>252</x:v>
      </x:c>
      <x:c r="W242" s="4" t="n">
        <x:f>MATCH(T242,$J$388:$J$400,0)</x:f>
        <x:v>9</x:v>
      </x:c>
      <x:c r="X242" s="3"/>
      <x:c r="Y242" s="3"/>
      <x:c r="Z242" s="3"/>
    </x:row>
    <x:row r="243" ht="15" customHeight="1">
      <x:c r="A243" s="3"/>
      <x:c r="B243" s="3"/>
      <x:c r="C243" s="3"/>
      <x:c r="D243" s="3"/>
      <x:c r="E243" s="3"/>
      <x:c r="F243" s="3"/>
      <x:c r="G243" s="3"/>
      <x:c r="H243" s="3"/>
      <x:c r="I243" s="3"/>
      <x:c r="J243" s="10" t="n">
        <x:v>46094</x:v>
      </x:c>
      <x:c r="K243" s="8" t="n">
        <x:f>INDEX('Сводка'!$S$3:$S$397,U243)</x:f>
        <x:v>-73</x:v>
      </x:c>
      <x:c r="L243" s="8" t="n">
        <x:f>INDEX('Сводка'!$S$3:$S$397,V243)</x:f>
        <x:v>-73</x:v>
      </x:c>
      <x:c r="M243" s="8" t="n">
        <x:f>INDEX($K$388:$N$400,W243,1)+INDEX($K$388:$N$400,W243,2)*(2*(J243-$T$405)/(T243-$T$405)-1)^1+INDEX($K$388:$N$400,W243,3)*(2*(J243-$T$405)/(T243-$T$405)-1)^2+INDEX($O$388:$Z$400,W243,MONTH(J243))</x:f>
        <x:v>-45.84037229860232</x:v>
      </x:c>
      <x:c r="N243" s="8" t="n">
        <x:f>K243-M243</x:f>
        <x:v>-27.15962770139768</x:v>
      </x:c>
      <x:c r="O243" s="8" t="n">
        <x:f>ABS(N243)</x:f>
        <x:v>27.15962770139768</x:v>
      </x:c>
      <x:c r="P243" s="8" t="n">
        <x:f>N243^2</x:f>
        <x:v>737.6453768785283</x:v>
      </x:c>
      <x:c r="Q243" s="8" t="n">
        <x:f>K243-L243</x:f>
        <x:v>0</x:v>
      </x:c>
      <x:c r="R243" s="9" t="n">
        <x:f>IF(AND(INDEX('Сводка'!$T$3:$T$397,U243)=0,INDEX('Сводка'!$T$3:$T$397,V243)=0),1,0)</x:f>
        <x:v>1</x:v>
      </x:c>
      <x:c r="S243" s="9" t="n">
        <x:f>IF(AND(R243=1,O243&lt;=$G$13),1,0)</x:f>
        <x:v>0</x:v>
      </x:c>
      <x:c r="T243" s="10" t="n">
        <x:f>EOMONTH(J243-'Сводка'!$B$11,-1)</x:f>
        <x:v>46081</x:v>
      </x:c>
      <x:c r="U243" s="4" t="n">
        <x:f>MATCH(J243,'Сводка'!$R$3:$R$397,0)</x:f>
        <x:v>254</x:v>
      </x:c>
      <x:c r="V243" s="4" t="n">
        <x:f>MATCH(J243-'Сводка'!$B$11,'Сводка'!$R$3:$R$397,0)</x:f>
        <x:v>253</x:v>
      </x:c>
      <x:c r="W243" s="4" t="n">
        <x:f>MATCH(T243,$J$388:$J$400,0)</x:f>
        <x:v>9</x:v>
      </x:c>
      <x:c r="X243" s="3"/>
      <x:c r="Y243" s="3"/>
      <x:c r="Z243" s="3"/>
    </x:row>
    <x:row r="244" ht="15" customHeight="1">
      <x:c r="A244" s="3"/>
      <x:c r="B244" s="3"/>
      <x:c r="C244" s="3"/>
      <x:c r="D244" s="3"/>
      <x:c r="E244" s="3"/>
      <x:c r="F244" s="3"/>
      <x:c r="G244" s="3"/>
      <x:c r="H244" s="3"/>
      <x:c r="I244" s="3"/>
      <x:c r="J244" s="10" t="n">
        <x:v>46095</x:v>
      </x:c>
      <x:c r="K244" s="8" t="n">
        <x:f>INDEX('Сводка'!$S$3:$S$397,U244)</x:f>
        <x:v>-75</x:v>
      </x:c>
      <x:c r="L244" s="8" t="n">
        <x:f>INDEX('Сводка'!$S$3:$S$397,V244)</x:f>
        <x:v>-73</x:v>
      </x:c>
      <x:c r="M244" s="8" t="n">
        <x:f>INDEX($K$388:$N$400,W244,1)+INDEX($K$388:$N$400,W244,2)*(2*(J244-$T$405)/(T244-$T$405)-1)^1+INDEX($K$388:$N$400,W244,3)*(2*(J244-$T$405)/(T244-$T$405)-1)^2+INDEX($O$388:$Z$400,W244,MONTH(J244))</x:f>
        <x:v>-45.84880967422235</x:v>
      </x:c>
      <x:c r="N244" s="8" t="n">
        <x:f>K244-M244</x:f>
        <x:v>-29.151190325777648</x:v>
      </x:c>
      <x:c r="O244" s="8" t="n">
        <x:f>ABS(N244)</x:f>
        <x:v>29.151190325777648</x:v>
      </x:c>
      <x:c r="P244" s="8" t="n">
        <x:f>N244^2</x:f>
        <x:v>849.7918974097123</x:v>
      </x:c>
      <x:c r="Q244" s="8" t="n">
        <x:f>K244-L244</x:f>
        <x:v>-2</x:v>
      </x:c>
      <x:c r="R244" s="9" t="n">
        <x:f>IF(AND(INDEX('Сводка'!$T$3:$T$397,U244)=0,INDEX('Сводка'!$T$3:$T$397,V244)=0),1,0)</x:f>
        <x:v>1</x:v>
      </x:c>
      <x:c r="S244" s="9" t="n">
        <x:f>IF(AND(R244=1,O244&lt;=$G$13),1,0)</x:f>
        <x:v>0</x:v>
      </x:c>
      <x:c r="T244" s="10" t="n">
        <x:f>EOMONTH(J244-'Сводка'!$B$11,-1)</x:f>
        <x:v>46081</x:v>
      </x:c>
      <x:c r="U244" s="4" t="n">
        <x:f>MATCH(J244,'Сводка'!$R$3:$R$397,0)</x:f>
        <x:v>255</x:v>
      </x:c>
      <x:c r="V244" s="4" t="n">
        <x:f>MATCH(J244-'Сводка'!$B$11,'Сводка'!$R$3:$R$397,0)</x:f>
        <x:v>254</x:v>
      </x:c>
      <x:c r="W244" s="4" t="n">
        <x:f>MATCH(T244,$J$388:$J$400,0)</x:f>
        <x:v>9</x:v>
      </x:c>
      <x:c r="X244" s="3"/>
      <x:c r="Y244" s="3"/>
      <x:c r="Z244" s="3"/>
    </x:row>
    <x:row r="245" ht="15" customHeight="1">
      <x:c r="A245" s="3"/>
      <x:c r="B245" s="3"/>
      <x:c r="C245" s="3"/>
      <x:c r="D245" s="3"/>
      <x:c r="E245" s="3"/>
      <x:c r="F245" s="3"/>
      <x:c r="G245" s="3"/>
      <x:c r="H245" s="3"/>
      <x:c r="I245" s="3"/>
      <x:c r="J245" s="10" t="n">
        <x:v>46096</x:v>
      </x:c>
      <x:c r="K245" s="8" t="n">
        <x:f>INDEX('Сводка'!$S$3:$S$397,U245)</x:f>
        <x:v>-76</x:v>
      </x:c>
      <x:c r="L245" s="8" t="n">
        <x:f>INDEX('Сводка'!$S$3:$S$397,V245)</x:f>
        <x:v>-75</x:v>
      </x:c>
      <x:c r="M245" s="8" t="n">
        <x:f>INDEX($K$388:$N$400,W245,1)+INDEX($K$388:$N$400,W245,2)*(2*(J245-$T$405)/(T245-$T$405)-1)^1+INDEX($K$388:$N$400,W245,3)*(2*(J245-$T$405)/(T245-$T$405)-1)^2+INDEX($O$388:$Z$400,W245,MONTH(J245))</x:f>
        <x:v>-45.85725343944276</x:v>
      </x:c>
      <x:c r="N245" s="8" t="n">
        <x:f>K245-M245</x:f>
        <x:v>-30.142746560557242</x:v>
      </x:c>
      <x:c r="O245" s="8" t="n">
        <x:f>ABS(N245)</x:f>
        <x:v>30.142746560557242</x:v>
      </x:c>
      <x:c r="P245" s="8" t="n">
        <x:f>N245^2</x:f>
        <x:v>908.5851702139854</x:v>
      </x:c>
      <x:c r="Q245" s="8" t="n">
        <x:f>K245-L245</x:f>
        <x:v>-1</x:v>
      </x:c>
      <x:c r="R245" s="9" t="n">
        <x:f>IF(AND(INDEX('Сводка'!$T$3:$T$397,U245)=0,INDEX('Сводка'!$T$3:$T$397,V245)=0),1,0)</x:f>
        <x:v>1</x:v>
      </x:c>
      <x:c r="S245" s="9" t="n">
        <x:f>IF(AND(R245=1,O245&lt;=$G$13),1,0)</x:f>
        <x:v>0</x:v>
      </x:c>
      <x:c r="T245" s="10" t="n">
        <x:f>EOMONTH(J245-'Сводка'!$B$11,-1)</x:f>
        <x:v>46081</x:v>
      </x:c>
      <x:c r="U245" s="4" t="n">
        <x:f>MATCH(J245,'Сводка'!$R$3:$R$397,0)</x:f>
        <x:v>256</x:v>
      </x:c>
      <x:c r="V245" s="4" t="n">
        <x:f>MATCH(J245-'Сводка'!$B$11,'Сводка'!$R$3:$R$397,0)</x:f>
        <x:v>255</x:v>
      </x:c>
      <x:c r="W245" s="4" t="n">
        <x:f>MATCH(T245,$J$388:$J$400,0)</x:f>
        <x:v>9</x:v>
      </x:c>
      <x:c r="X245" s="3"/>
      <x:c r="Y245" s="3"/>
      <x:c r="Z245" s="3"/>
    </x:row>
    <x:row r="246" ht="15" customHeight="1">
      <x:c r="A246" s="3"/>
      <x:c r="B246" s="3"/>
      <x:c r="C246" s="3"/>
      <x:c r="D246" s="3"/>
      <x:c r="E246" s="3"/>
      <x:c r="F246" s="3"/>
      <x:c r="G246" s="3"/>
      <x:c r="H246" s="3"/>
      <x:c r="I246" s="3"/>
      <x:c r="J246" s="10" t="n">
        <x:v>46097</x:v>
      </x:c>
      <x:c r="K246" s="8" t="n">
        <x:f>INDEX('Сводка'!$S$3:$S$397,U246)</x:f>
        <x:v>-76</x:v>
      </x:c>
      <x:c r="L246" s="8" t="n">
        <x:f>INDEX('Сводка'!$S$3:$S$397,V246)</x:f>
        <x:v>-76</x:v>
      </x:c>
      <x:c r="M246" s="8" t="n">
        <x:f>INDEX($K$388:$N$400,W246,1)+INDEX($K$388:$N$400,W246,2)*(2*(J246-$T$405)/(T246-$T$405)-1)^1+INDEX($K$388:$N$400,W246,3)*(2*(J246-$T$405)/(T246-$T$405)-1)^2+INDEX($O$388:$Z$400,W246,MONTH(J246))</x:f>
        <x:v>-45.86570359426348</x:v>
      </x:c>
      <x:c r="N246" s="8" t="n">
        <x:f>K246-M246</x:f>
        <x:v>-30.13429640573652</x:v>
      </x:c>
      <x:c r="O246" s="8" t="n">
        <x:f>ABS(N246)</x:f>
        <x:v>30.13429640573652</x:v>
      </x:c>
      <x:c r="P246" s="8" t="n">
        <x:f>N246^2</x:f>
        <x:v>908.075819868785</x:v>
      </x:c>
      <x:c r="Q246" s="8" t="n">
        <x:f>K246-L246</x:f>
        <x:v>0</x:v>
      </x:c>
      <x:c r="R246" s="9" t="n">
        <x:f>IF(AND(INDEX('Сводка'!$T$3:$T$397,U246)=0,INDEX('Сводка'!$T$3:$T$397,V246)=0),1,0)</x:f>
        <x:v>1</x:v>
      </x:c>
      <x:c r="S246" s="9" t="n">
        <x:f>IF(AND(R246=1,O246&lt;=$G$13),1,0)</x:f>
        <x:v>0</x:v>
      </x:c>
      <x:c r="T246" s="10" t="n">
        <x:f>EOMONTH(J246-'Сводка'!$B$11,-1)</x:f>
        <x:v>46081</x:v>
      </x:c>
      <x:c r="U246" s="4" t="n">
        <x:f>MATCH(J246,'Сводка'!$R$3:$R$397,0)</x:f>
        <x:v>257</x:v>
      </x:c>
      <x:c r="V246" s="4" t="n">
        <x:f>MATCH(J246-'Сводка'!$B$11,'Сводка'!$R$3:$R$397,0)</x:f>
        <x:v>256</x:v>
      </x:c>
      <x:c r="W246" s="4" t="n">
        <x:f>MATCH(T246,$J$388:$J$400,0)</x:f>
        <x:v>9</x:v>
      </x:c>
      <x:c r="X246" s="3"/>
      <x:c r="Y246" s="3"/>
      <x:c r="Z246" s="3"/>
    </x:row>
    <x:row r="247" ht="15" customHeight="1">
      <x:c r="A247" s="3"/>
      <x:c r="B247" s="3"/>
      <x:c r="C247" s="3"/>
      <x:c r="D247" s="3"/>
      <x:c r="E247" s="3"/>
      <x:c r="F247" s="3"/>
      <x:c r="G247" s="3"/>
      <x:c r="H247" s="3"/>
      <x:c r="I247" s="3"/>
      <x:c r="J247" s="10" t="n">
        <x:v>46098</x:v>
      </x:c>
      <x:c r="K247" s="8" t="n">
        <x:f>INDEX('Сводка'!$S$3:$S$397,U247)</x:f>
        <x:v>-76</x:v>
      </x:c>
      <x:c r="L247" s="8" t="n">
        <x:f>INDEX('Сводка'!$S$3:$S$397,V247)</x:f>
        <x:v>-76</x:v>
      </x:c>
      <x:c r="M247" s="8" t="n">
        <x:f>INDEX($K$388:$N$400,W247,1)+INDEX($K$388:$N$400,W247,2)*(2*(J247-$T$405)/(T247-$T$405)-1)^1+INDEX($K$388:$N$400,W247,3)*(2*(J247-$T$405)/(T247-$T$405)-1)^2+INDEX($O$388:$Z$400,W247,MONTH(J247))</x:f>
        <x:v>-45.87416013868457</x:v>
      </x:c>
      <x:c r="N247" s="8" t="n">
        <x:f>K247-M247</x:f>
        <x:v>-30.125839861315427</x:v>
      </x:c>
      <x:c r="O247" s="8" t="n">
        <x:f>ABS(N247)</x:f>
        <x:v>30.125839861315427</x:v>
      </x:c>
      <x:c r="P247" s="8" t="n">
        <x:f>N247^2</x:f>
        <x:v>907.5662273496215</x:v>
      </x:c>
      <x:c r="Q247" s="8" t="n">
        <x:f>K247-L247</x:f>
        <x:v>0</x:v>
      </x:c>
      <x:c r="R247" s="9" t="n">
        <x:f>IF(AND(INDEX('Сводка'!$T$3:$T$397,U247)=0,INDEX('Сводка'!$T$3:$T$397,V247)=0),1,0)</x:f>
        <x:v>1</x:v>
      </x:c>
      <x:c r="S247" s="9" t="n">
        <x:f>IF(AND(R247=1,O247&lt;=$G$13),1,0)</x:f>
        <x:v>0</x:v>
      </x:c>
      <x:c r="T247" s="10" t="n">
        <x:f>EOMONTH(J247-'Сводка'!$B$11,-1)</x:f>
        <x:v>46081</x:v>
      </x:c>
      <x:c r="U247" s="4" t="n">
        <x:f>MATCH(J247,'Сводка'!$R$3:$R$397,0)</x:f>
        <x:v>258</x:v>
      </x:c>
      <x:c r="V247" s="4" t="n">
        <x:f>MATCH(J247-'Сводка'!$B$11,'Сводка'!$R$3:$R$397,0)</x:f>
        <x:v>257</x:v>
      </x:c>
      <x:c r="W247" s="4" t="n">
        <x:f>MATCH(T247,$J$388:$J$400,0)</x:f>
        <x:v>9</x:v>
      </x:c>
      <x:c r="X247" s="3"/>
      <x:c r="Y247" s="3"/>
      <x:c r="Z247" s="3"/>
    </x:row>
    <x:row r="248" ht="15" customHeight="1">
      <x:c r="A248" s="3"/>
      <x:c r="B248" s="3"/>
      <x:c r="C248" s="3"/>
      <x:c r="D248" s="3"/>
      <x:c r="E248" s="3"/>
      <x:c r="F248" s="3"/>
      <x:c r="G248" s="3"/>
      <x:c r="H248" s="3"/>
      <x:c r="I248" s="3"/>
      <x:c r="J248" s="10" t="n">
        <x:v>46099</x:v>
      </x:c>
      <x:c r="K248" s="8" t="n">
        <x:f>INDEX('Сводка'!$S$3:$S$397,U248)</x:f>
        <x:v>-74</x:v>
      </x:c>
      <x:c r="L248" s="8" t="n">
        <x:f>INDEX('Сводка'!$S$3:$S$397,V248)</x:f>
        <x:v>-76</x:v>
      </x:c>
      <x:c r="M248" s="8" t="n">
        <x:f>INDEX($K$388:$N$400,W248,1)+INDEX($K$388:$N$400,W248,2)*(2*(J248-$T$405)/(T248-$T$405)-1)^1+INDEX($K$388:$N$400,W248,3)*(2*(J248-$T$405)/(T248-$T$405)-1)^2+INDEX($O$388:$Z$400,W248,MONTH(J248))</x:f>
        <x:v>-45.882623072706</x:v>
      </x:c>
      <x:c r="N248" s="8" t="n">
        <x:f>K248-M248</x:f>
        <x:v>-28.117376927294004</x:v>
      </x:c>
      <x:c r="O248" s="8" t="n">
        <x:f>ABS(N248)</x:f>
        <x:v>28.117376927294004</x:v>
      </x:c>
      <x:c r="P248" s="8" t="n">
        <x:f>N248^2</x:f>
        <x:v>790.5868852715251</x:v>
      </x:c>
      <x:c r="Q248" s="8" t="n">
        <x:f>K248-L248</x:f>
        <x:v>2</x:v>
      </x:c>
      <x:c r="R248" s="9" t="n">
        <x:f>IF(AND(INDEX('Сводка'!$T$3:$T$397,U248)=0,INDEX('Сводка'!$T$3:$T$397,V248)=0),1,0)</x:f>
        <x:v>1</x:v>
      </x:c>
      <x:c r="S248" s="9" t="n">
        <x:f>IF(AND(R248=1,O248&lt;=$G$13),1,0)</x:f>
        <x:v>0</x:v>
      </x:c>
      <x:c r="T248" s="10" t="n">
        <x:f>EOMONTH(J248-'Сводка'!$B$11,-1)</x:f>
        <x:v>46081</x:v>
      </x:c>
      <x:c r="U248" s="4" t="n">
        <x:f>MATCH(J248,'Сводка'!$R$3:$R$397,0)</x:f>
        <x:v>259</x:v>
      </x:c>
      <x:c r="V248" s="4" t="n">
        <x:f>MATCH(J248-'Сводка'!$B$11,'Сводка'!$R$3:$R$397,0)</x:f>
        <x:v>258</x:v>
      </x:c>
      <x:c r="W248" s="4" t="n">
        <x:f>MATCH(T248,$J$388:$J$400,0)</x:f>
        <x:v>9</x:v>
      </x:c>
      <x:c r="X248" s="3"/>
      <x:c r="Y248" s="3"/>
      <x:c r="Z248" s="3"/>
    </x:row>
    <x:row r="249" ht="15" customHeight="1">
      <x:c r="A249" s="3"/>
      <x:c r="B249" s="3"/>
      <x:c r="C249" s="3"/>
      <x:c r="D249" s="3"/>
      <x:c r="E249" s="3"/>
      <x:c r="F249" s="3"/>
      <x:c r="G249" s="3"/>
      <x:c r="H249" s="3"/>
      <x:c r="I249" s="3"/>
      <x:c r="J249" s="10" t="n">
        <x:v>46100</x:v>
      </x:c>
      <x:c r="K249" s="8" t="n">
        <x:f>INDEX('Сводка'!$S$3:$S$397,U249)</x:f>
        <x:v>-73</x:v>
      </x:c>
      <x:c r="L249" s="8" t="n">
        <x:f>INDEX('Сводка'!$S$3:$S$397,V249)</x:f>
        <x:v>-74</x:v>
      </x:c>
      <x:c r="M249" s="8" t="n">
        <x:f>INDEX($K$388:$N$400,W249,1)+INDEX($K$388:$N$400,W249,2)*(2*(J249-$T$405)/(T249-$T$405)-1)^1+INDEX($K$388:$N$400,W249,3)*(2*(J249-$T$405)/(T249-$T$405)-1)^2+INDEX($O$388:$Z$400,W249,MONTH(J249))</x:f>
        <x:v>-45.89109239632779</x:v>
      </x:c>
      <x:c r="N249" s="8" t="n">
        <x:f>K249-M249</x:f>
        <x:v>-27.108907603672208</x:v>
      </x:c>
      <x:c r="O249" s="8" t="n">
        <x:f>ABS(N249)</x:f>
        <x:v>27.108907603672208</x:v>
      </x:c>
      <x:c r="P249" s="8" t="n">
        <x:f>N249^2</x:f>
        <x:v>734.8928714644368</x:v>
      </x:c>
      <x:c r="Q249" s="8" t="n">
        <x:f>K249-L249</x:f>
        <x:v>1</x:v>
      </x:c>
      <x:c r="R249" s="9" t="n">
        <x:f>IF(AND(INDEX('Сводка'!$T$3:$T$397,U249)=0,INDEX('Сводка'!$T$3:$T$397,V249)=0),1,0)</x:f>
        <x:v>1</x:v>
      </x:c>
      <x:c r="S249" s="9" t="n">
        <x:f>IF(AND(R249=1,O249&lt;=$G$13),1,0)</x:f>
        <x:v>0</x:v>
      </x:c>
      <x:c r="T249" s="10" t="n">
        <x:f>EOMONTH(J249-'Сводка'!$B$11,-1)</x:f>
        <x:v>46081</x:v>
      </x:c>
      <x:c r="U249" s="4" t="n">
        <x:f>MATCH(J249,'Сводка'!$R$3:$R$397,0)</x:f>
        <x:v>260</x:v>
      </x:c>
      <x:c r="V249" s="4" t="n">
        <x:f>MATCH(J249-'Сводка'!$B$11,'Сводка'!$R$3:$R$397,0)</x:f>
        <x:v>259</x:v>
      </x:c>
      <x:c r="W249" s="4" t="n">
        <x:f>MATCH(T249,$J$388:$J$400,0)</x:f>
        <x:v>9</x:v>
      </x:c>
      <x:c r="X249" s="3"/>
      <x:c r="Y249" s="3"/>
      <x:c r="Z249" s="3"/>
    </x:row>
    <x:row r="250" ht="15" customHeight="1">
      <x:c r="A250" s="3"/>
      <x:c r="B250" s="3"/>
      <x:c r="C250" s="3"/>
      <x:c r="D250" s="3"/>
      <x:c r="E250" s="3"/>
      <x:c r="F250" s="3"/>
      <x:c r="G250" s="3"/>
      <x:c r="H250" s="3"/>
      <x:c r="I250" s="3"/>
      <x:c r="J250" s="10" t="n">
        <x:v>46101</x:v>
      </x:c>
      <x:c r="K250" s="8" t="n">
        <x:f>INDEX('Сводка'!$S$3:$S$397,U250)</x:f>
        <x:v>-73</x:v>
      </x:c>
      <x:c r="L250" s="8" t="n">
        <x:f>INDEX('Сводка'!$S$3:$S$397,V250)</x:f>
        <x:v>-73</x:v>
      </x:c>
      <x:c r="M250" s="8" t="n">
        <x:f>INDEX($K$388:$N$400,W250,1)+INDEX($K$388:$N$400,W250,2)*(2*(J250-$T$405)/(T250-$T$405)-1)^1+INDEX($K$388:$N$400,W250,3)*(2*(J250-$T$405)/(T250-$T$405)-1)^2+INDEX($O$388:$Z$400,W250,MONTH(J250))</x:f>
        <x:v>-45.89956810954993</x:v>
      </x:c>
      <x:c r="N250" s="8" t="n">
        <x:f>K250-M250</x:f>
        <x:v>-27.100431890450068</x:v>
      </x:c>
      <x:c r="O250" s="8" t="n">
        <x:f>ABS(N250)</x:f>
        <x:v>27.100431890450068</x:v>
      </x:c>
      <x:c r="P250" s="8" t="n">
        <x:f>N250^2</x:f>
        <x:v>734.4334086489231</x:v>
      </x:c>
      <x:c r="Q250" s="8" t="n">
        <x:f>K250-L250</x:f>
        <x:v>0</x:v>
      </x:c>
      <x:c r="R250" s="9" t="n">
        <x:f>IF(AND(INDEX('Сводка'!$T$3:$T$397,U250)=0,INDEX('Сводка'!$T$3:$T$397,V250)=0),1,0)</x:f>
        <x:v>1</x:v>
      </x:c>
      <x:c r="S250" s="9" t="n">
        <x:f>IF(AND(R250=1,O250&lt;=$G$13),1,0)</x:f>
        <x:v>0</x:v>
      </x:c>
      <x:c r="T250" s="10" t="n">
        <x:f>EOMONTH(J250-'Сводка'!$B$11,-1)</x:f>
        <x:v>46081</x:v>
      </x:c>
      <x:c r="U250" s="4" t="n">
        <x:f>MATCH(J250,'Сводка'!$R$3:$R$397,0)</x:f>
        <x:v>261</x:v>
      </x:c>
      <x:c r="V250" s="4" t="n">
        <x:f>MATCH(J250-'Сводка'!$B$11,'Сводка'!$R$3:$R$397,0)</x:f>
        <x:v>260</x:v>
      </x:c>
      <x:c r="W250" s="4" t="n">
        <x:f>MATCH(T250,$J$388:$J$400,0)</x:f>
        <x:v>9</x:v>
      </x:c>
      <x:c r="X250" s="3"/>
      <x:c r="Y250" s="3"/>
      <x:c r="Z250" s="3"/>
    </x:row>
    <x:row r="251" ht="15" customHeight="1">
      <x:c r="A251" s="3"/>
      <x:c r="B251" s="3"/>
      <x:c r="C251" s="3"/>
      <x:c r="D251" s="3"/>
      <x:c r="E251" s="3"/>
      <x:c r="F251" s="3"/>
      <x:c r="G251" s="3"/>
      <x:c r="H251" s="3"/>
      <x:c r="I251" s="3"/>
      <x:c r="J251" s="10" t="n">
        <x:v>46102</x:v>
      </x:c>
      <x:c r="K251" s="8" t="n">
        <x:f>INDEX('Сводка'!$S$3:$S$397,U251)</x:f>
        <x:v>-71</x:v>
      </x:c>
      <x:c r="L251" s="8" t="n">
        <x:f>INDEX('Сводка'!$S$3:$S$397,V251)</x:f>
        <x:v>-73</x:v>
      </x:c>
      <x:c r="M251" s="8" t="n">
        <x:f>INDEX($K$388:$N$400,W251,1)+INDEX($K$388:$N$400,W251,2)*(2*(J251-$T$405)/(T251-$T$405)-1)^1+INDEX($K$388:$N$400,W251,3)*(2*(J251-$T$405)/(T251-$T$405)-1)^2+INDEX($O$388:$Z$400,W251,MONTH(J251))</x:f>
        <x:v>-45.90805021237237</x:v>
      </x:c>
      <x:c r="N251" s="8" t="n">
        <x:f>K251-M251</x:f>
        <x:v>-25.091949787627627</x:v>
      </x:c>
      <x:c r="O251" s="8" t="n">
        <x:f>ABS(N251)</x:f>
        <x:v>25.091949787627627</x:v>
      </x:c>
      <x:c r="P251" s="8" t="n">
        <x:f>N251^2</x:f>
        <x:v>629.6059441448261</x:v>
      </x:c>
      <x:c r="Q251" s="8" t="n">
        <x:f>K251-L251</x:f>
        <x:v>2</x:v>
      </x:c>
      <x:c r="R251" s="9" t="n">
        <x:f>IF(AND(INDEX('Сводка'!$T$3:$T$397,U251)=0,INDEX('Сводка'!$T$3:$T$397,V251)=0),1,0)</x:f>
        <x:v>1</x:v>
      </x:c>
      <x:c r="S251" s="9" t="n">
        <x:f>IF(AND(R251=1,O251&lt;=$G$13),1,0)</x:f>
        <x:v>0</x:v>
      </x:c>
      <x:c r="T251" s="10" t="n">
        <x:f>EOMONTH(J251-'Сводка'!$B$11,-1)</x:f>
        <x:v>46081</x:v>
      </x:c>
      <x:c r="U251" s="4" t="n">
        <x:f>MATCH(J251,'Сводка'!$R$3:$R$397,0)</x:f>
        <x:v>262</x:v>
      </x:c>
      <x:c r="V251" s="4" t="n">
        <x:f>MATCH(J251-'Сводка'!$B$11,'Сводка'!$R$3:$R$397,0)</x:f>
        <x:v>261</x:v>
      </x:c>
      <x:c r="W251" s="4" t="n">
        <x:f>MATCH(T251,$J$388:$J$400,0)</x:f>
        <x:v>9</x:v>
      </x:c>
      <x:c r="X251" s="3"/>
      <x:c r="Y251" s="3"/>
      <x:c r="Z251" s="3"/>
    </x:row>
    <x:row r="252" ht="15" customHeight="1">
      <x:c r="A252" s="3"/>
      <x:c r="B252" s="3"/>
      <x:c r="C252" s="3"/>
      <x:c r="D252" s="3"/>
      <x:c r="E252" s="3"/>
      <x:c r="F252" s="3"/>
      <x:c r="G252" s="3"/>
      <x:c r="H252" s="3"/>
      <x:c r="I252" s="3"/>
      <x:c r="J252" s="10" t="n">
        <x:v>46103</x:v>
      </x:c>
      <x:c r="K252" s="8" t="n">
        <x:f>INDEX('Сводка'!$S$3:$S$397,U252)</x:f>
        <x:v>-71</x:v>
      </x:c>
      <x:c r="L252" s="8" t="n">
        <x:f>INDEX('Сводка'!$S$3:$S$397,V252)</x:f>
        <x:v>-71</x:v>
      </x:c>
      <x:c r="M252" s="8" t="n">
        <x:f>INDEX($K$388:$N$400,W252,1)+INDEX($K$388:$N$400,W252,2)*(2*(J252-$T$405)/(T252-$T$405)-1)^1+INDEX($K$388:$N$400,W252,3)*(2*(J252-$T$405)/(T252-$T$405)-1)^2+INDEX($O$388:$Z$400,W252,MONTH(J252))</x:f>
        <x:v>-45.9165387047952</x:v>
      </x:c>
      <x:c r="N252" s="8" t="n">
        <x:f>K252-M252</x:f>
        <x:v>-25.0834612952048</x:v>
      </x:c>
      <x:c r="O252" s="8" t="n">
        <x:f>ABS(N252)</x:f>
        <x:v>25.0834612952048</x:v>
      </x:c>
      <x:c r="P252" s="8" t="n">
        <x:f>N252^2</x:f>
        <x:v>629.1800305480372</x:v>
      </x:c>
      <x:c r="Q252" s="8" t="n">
        <x:f>K252-L252</x:f>
        <x:v>0</x:v>
      </x:c>
      <x:c r="R252" s="9" t="n">
        <x:f>IF(AND(INDEX('Сводка'!$T$3:$T$397,U252)=0,INDEX('Сводка'!$T$3:$T$397,V252)=0),1,0)</x:f>
        <x:v>1</x:v>
      </x:c>
      <x:c r="S252" s="9" t="n">
        <x:f>IF(AND(R252=1,O252&lt;=$G$13),1,0)</x:f>
        <x:v>0</x:v>
      </x:c>
      <x:c r="T252" s="10" t="n">
        <x:f>EOMONTH(J252-'Сводка'!$B$11,-1)</x:f>
        <x:v>46081</x:v>
      </x:c>
      <x:c r="U252" s="4" t="n">
        <x:f>MATCH(J252,'Сводка'!$R$3:$R$397,0)</x:f>
        <x:v>263</x:v>
      </x:c>
      <x:c r="V252" s="4" t="n">
        <x:f>MATCH(J252-'Сводка'!$B$11,'Сводка'!$R$3:$R$397,0)</x:f>
        <x:v>262</x:v>
      </x:c>
      <x:c r="W252" s="4" t="n">
        <x:f>MATCH(T252,$J$388:$J$400,0)</x:f>
        <x:v>9</x:v>
      </x:c>
      <x:c r="X252" s="3"/>
      <x:c r="Y252" s="3"/>
      <x:c r="Z252" s="3"/>
    </x:row>
    <x:row r="253" ht="15" customHeight="1">
      <x:c r="A253" s="3"/>
      <x:c r="B253" s="3"/>
      <x:c r="C253" s="3"/>
      <x:c r="D253" s="3"/>
      <x:c r="E253" s="3"/>
      <x:c r="F253" s="3"/>
      <x:c r="G253" s="3"/>
      <x:c r="H253" s="3"/>
      <x:c r="I253" s="3"/>
      <x:c r="J253" s="10" t="n">
        <x:v>46104</x:v>
      </x:c>
      <x:c r="K253" s="8" t="n">
        <x:f>INDEX('Сводка'!$S$3:$S$397,U253)</x:f>
        <x:v>-71</x:v>
      </x:c>
      <x:c r="L253" s="8" t="n">
        <x:f>INDEX('Сводка'!$S$3:$S$397,V253)</x:f>
        <x:v>-71</x:v>
      </x:c>
      <x:c r="M253" s="8" t="n">
        <x:f>INDEX($K$388:$N$400,W253,1)+INDEX($K$388:$N$400,W253,2)*(2*(J253-$T$405)/(T253-$T$405)-1)^1+INDEX($K$388:$N$400,W253,3)*(2*(J253-$T$405)/(T253-$T$405)-1)^2+INDEX($O$388:$Z$400,W253,MONTH(J253))</x:f>
        <x:v>-45.92503358681839</x:v>
      </x:c>
      <x:c r="N253" s="8" t="n">
        <x:f>K253-M253</x:f>
        <x:v>-25.074966413181613</x:v>
      </x:c>
      <x:c r="O253" s="8" t="n">
        <x:f>ABS(N253)</x:f>
        <x:v>25.074966413181613</x:v>
      </x:c>
      <x:c r="P253" s="8" t="n">
        <x:f>N253^2</x:f>
        <x:v>628.753940622186</x:v>
      </x:c>
      <x:c r="Q253" s="8" t="n">
        <x:f>K253-L253</x:f>
        <x:v>0</x:v>
      </x:c>
      <x:c r="R253" s="9" t="n">
        <x:f>IF(AND(INDEX('Сводка'!$T$3:$T$397,U253)=0,INDEX('Сводка'!$T$3:$T$397,V253)=0),1,0)</x:f>
        <x:v>1</x:v>
      </x:c>
      <x:c r="S253" s="9" t="n">
        <x:f>IF(AND(R253=1,O253&lt;=$G$13),1,0)</x:f>
        <x:v>0</x:v>
      </x:c>
      <x:c r="T253" s="10" t="n">
        <x:f>EOMONTH(J253-'Сводка'!$B$11,-1)</x:f>
        <x:v>46081</x:v>
      </x:c>
      <x:c r="U253" s="4" t="n">
        <x:f>MATCH(J253,'Сводка'!$R$3:$R$397,0)</x:f>
        <x:v>264</x:v>
      </x:c>
      <x:c r="V253" s="4" t="n">
        <x:f>MATCH(J253-'Сводка'!$B$11,'Сводка'!$R$3:$R$397,0)</x:f>
        <x:v>263</x:v>
      </x:c>
      <x:c r="W253" s="4" t="n">
        <x:f>MATCH(T253,$J$388:$J$400,0)</x:f>
        <x:v>9</x:v>
      </x:c>
      <x:c r="X253" s="3"/>
      <x:c r="Y253" s="3"/>
      <x:c r="Z253" s="3"/>
    </x:row>
    <x:row r="254" ht="15" customHeight="1">
      <x:c r="A254" s="3"/>
      <x:c r="B254" s="3"/>
      <x:c r="C254" s="3"/>
      <x:c r="D254" s="3"/>
      <x:c r="E254" s="3"/>
      <x:c r="F254" s="3"/>
      <x:c r="G254" s="3"/>
      <x:c r="H254" s="3"/>
      <x:c r="I254" s="3"/>
      <x:c r="J254" s="10" t="n">
        <x:v>46105</x:v>
      </x:c>
      <x:c r="K254" s="8" t="n">
        <x:f>INDEX('Сводка'!$S$3:$S$397,U254)</x:f>
        <x:v>-71</x:v>
      </x:c>
      <x:c r="L254" s="8" t="n">
        <x:f>INDEX('Сводка'!$S$3:$S$397,V254)</x:f>
        <x:v>-71</x:v>
      </x:c>
      <x:c r="M254" s="8" t="n">
        <x:f>INDEX($K$388:$N$400,W254,1)+INDEX($K$388:$N$400,W254,2)*(2*(J254-$T$405)/(T254-$T$405)-1)^1+INDEX($K$388:$N$400,W254,3)*(2*(J254-$T$405)/(T254-$T$405)-1)^2+INDEX($O$388:$Z$400,W254,MONTH(J254))</x:f>
        <x:v>-45.9335348584419</x:v>
      </x:c>
      <x:c r="N254" s="8" t="n">
        <x:f>K254-M254</x:f>
        <x:v>-25.066465141558098</x:v>
      </x:c>
      <x:c r="O254" s="8" t="n">
        <x:f>ABS(N254)</x:f>
        <x:v>25.066465141558098</x:v>
      </x:c>
      <x:c r="P254" s="8" t="n">
        <x:f>N254^2</x:f>
        <x:v>628.3276746929472</x:v>
      </x:c>
      <x:c r="Q254" s="8" t="n">
        <x:f>K254-L254</x:f>
        <x:v>0</x:v>
      </x:c>
      <x:c r="R254" s="9" t="n">
        <x:f>IF(AND(INDEX('Сводка'!$T$3:$T$397,U254)=0,INDEX('Сводка'!$T$3:$T$397,V254)=0),1,0)</x:f>
        <x:v>1</x:v>
      </x:c>
      <x:c r="S254" s="9" t="n">
        <x:f>IF(AND(R254=1,O254&lt;=$G$13),1,0)</x:f>
        <x:v>0</x:v>
      </x:c>
      <x:c r="T254" s="10" t="n">
        <x:f>EOMONTH(J254-'Сводка'!$B$11,-1)</x:f>
        <x:v>46081</x:v>
      </x:c>
      <x:c r="U254" s="4" t="n">
        <x:f>MATCH(J254,'Сводка'!$R$3:$R$397,0)</x:f>
        <x:v>265</x:v>
      </x:c>
      <x:c r="V254" s="4" t="n">
        <x:f>MATCH(J254-'Сводка'!$B$11,'Сводка'!$R$3:$R$397,0)</x:f>
        <x:v>264</x:v>
      </x:c>
      <x:c r="W254" s="4" t="n">
        <x:f>MATCH(T254,$J$388:$J$400,0)</x:f>
        <x:v>9</x:v>
      </x:c>
      <x:c r="X254" s="3"/>
      <x:c r="Y254" s="3"/>
      <x:c r="Z254" s="3"/>
    </x:row>
    <x:row r="255" ht="15" customHeight="1">
      <x:c r="A255" s="3"/>
      <x:c r="B255" s="3"/>
      <x:c r="C255" s="3"/>
      <x:c r="D255" s="3"/>
      <x:c r="E255" s="3"/>
      <x:c r="F255" s="3"/>
      <x:c r="G255" s="3"/>
      <x:c r="H255" s="3"/>
      <x:c r="I255" s="3"/>
      <x:c r="J255" s="10" t="n">
        <x:v>46106</x:v>
      </x:c>
      <x:c r="K255" s="8" t="n">
        <x:f>INDEX('Сводка'!$S$3:$S$397,U255)</x:f>
        <x:v>-72</x:v>
      </x:c>
      <x:c r="L255" s="8" t="n">
        <x:f>INDEX('Сводка'!$S$3:$S$397,V255)</x:f>
        <x:v>-71</x:v>
      </x:c>
      <x:c r="M255" s="8" t="n">
        <x:f>INDEX($K$388:$N$400,W255,1)+INDEX($K$388:$N$400,W255,2)*(2*(J255-$T$405)/(T255-$T$405)-1)^1+INDEX($K$388:$N$400,W255,3)*(2*(J255-$T$405)/(T255-$T$405)-1)^2+INDEX($O$388:$Z$400,W255,MONTH(J255))</x:f>
        <x:v>-45.94204251966579</x:v>
      </x:c>
      <x:c r="N255" s="8" t="n">
        <x:f>K255-M255</x:f>
        <x:v>-26.05795748033421</x:v>
      </x:c>
      <x:c r="O255" s="8" t="n">
        <x:f>ABS(N255)</x:f>
        <x:v>26.05795748033421</x:v>
      </x:c>
      <x:c r="P255" s="8" t="n">
        <x:f>N255^2</x:f>
        <x:v>679.0171480469056</x:v>
      </x:c>
      <x:c r="Q255" s="8" t="n">
        <x:f>K255-L255</x:f>
        <x:v>-1</x:v>
      </x:c>
      <x:c r="R255" s="9" t="n">
        <x:f>IF(AND(INDEX('Сводка'!$T$3:$T$397,U255)=0,INDEX('Сводка'!$T$3:$T$397,V255)=0),1,0)</x:f>
        <x:v>1</x:v>
      </x:c>
      <x:c r="S255" s="9" t="n">
        <x:f>IF(AND(R255=1,O255&lt;=$G$13),1,0)</x:f>
        <x:v>0</x:v>
      </x:c>
      <x:c r="T255" s="10" t="n">
        <x:f>EOMONTH(J255-'Сводка'!$B$11,-1)</x:f>
        <x:v>46081</x:v>
      </x:c>
      <x:c r="U255" s="4" t="n">
        <x:f>MATCH(J255,'Сводка'!$R$3:$R$397,0)</x:f>
        <x:v>266</x:v>
      </x:c>
      <x:c r="V255" s="4" t="n">
        <x:f>MATCH(J255-'Сводка'!$B$11,'Сводка'!$R$3:$R$397,0)</x:f>
        <x:v>265</x:v>
      </x:c>
      <x:c r="W255" s="4" t="n">
        <x:f>MATCH(T255,$J$388:$J$400,0)</x:f>
        <x:v>9</x:v>
      </x:c>
      <x:c r="X255" s="3"/>
      <x:c r="Y255" s="3"/>
      <x:c r="Z255" s="3"/>
    </x:row>
    <x:row r="256" ht="15" customHeight="1">
      <x:c r="A256" s="3"/>
      <x:c r="B256" s="3"/>
      <x:c r="C256" s="3"/>
      <x:c r="D256" s="3"/>
      <x:c r="E256" s="3"/>
      <x:c r="F256" s="3"/>
      <x:c r="G256" s="3"/>
      <x:c r="H256" s="3"/>
      <x:c r="I256" s="3"/>
      <x:c r="J256" s="10" t="n">
        <x:v>46107</x:v>
      </x:c>
      <x:c r="K256" s="8" t="n">
        <x:f>INDEX('Сводка'!$S$3:$S$397,U256)</x:f>
        <x:v>-72</x:v>
      </x:c>
      <x:c r="L256" s="8" t="n">
        <x:f>INDEX('Сводка'!$S$3:$S$397,V256)</x:f>
        <x:v>-72</x:v>
      </x:c>
      <x:c r="M256" s="8" t="n">
        <x:f>INDEX($K$388:$N$400,W256,1)+INDEX($K$388:$N$400,W256,2)*(2*(J256-$T$405)/(T256-$T$405)-1)^1+INDEX($K$388:$N$400,W256,3)*(2*(J256-$T$405)/(T256-$T$405)-1)^2+INDEX($O$388:$Z$400,W256,MONTH(J256))</x:f>
        <x:v>-45.95055657048998</x:v>
      </x:c>
      <x:c r="N256" s="8" t="n">
        <x:f>K256-M256</x:f>
        <x:v>-26.04944342951002</x:v>
      </x:c>
      <x:c r="O256" s="8" t="n">
        <x:f>ABS(N256)</x:f>
        <x:v>26.04944342951002</x:v>
      </x:c>
      <x:c r="P256" s="8" t="n">
        <x:f>N256^2</x:f>
        <x:v>678.5735029872428</x:v>
      </x:c>
      <x:c r="Q256" s="8" t="n">
        <x:f>K256-L256</x:f>
        <x:v>0</x:v>
      </x:c>
      <x:c r="R256" s="9" t="n">
        <x:f>IF(AND(INDEX('Сводка'!$T$3:$T$397,U256)=0,INDEX('Сводка'!$T$3:$T$397,V256)=0),1,0)</x:f>
        <x:v>1</x:v>
      </x:c>
      <x:c r="S256" s="9" t="n">
        <x:f>IF(AND(R256=1,O256&lt;=$G$13),1,0)</x:f>
        <x:v>0</x:v>
      </x:c>
      <x:c r="T256" s="10" t="n">
        <x:f>EOMONTH(J256-'Сводка'!$B$11,-1)</x:f>
        <x:v>46081</x:v>
      </x:c>
      <x:c r="U256" s="4" t="n">
        <x:f>MATCH(J256,'Сводка'!$R$3:$R$397,0)</x:f>
        <x:v>267</x:v>
      </x:c>
      <x:c r="V256" s="4" t="n">
        <x:f>MATCH(J256-'Сводка'!$B$11,'Сводка'!$R$3:$R$397,0)</x:f>
        <x:v>266</x:v>
      </x:c>
      <x:c r="W256" s="4" t="n">
        <x:f>MATCH(T256,$J$388:$J$400,0)</x:f>
        <x:v>9</x:v>
      </x:c>
      <x:c r="X256" s="3"/>
      <x:c r="Y256" s="3"/>
      <x:c r="Z256" s="3"/>
    </x:row>
    <x:row r="257" ht="15" customHeight="1">
      <x:c r="A257" s="3"/>
      <x:c r="B257" s="3"/>
      <x:c r="C257" s="3"/>
      <x:c r="D257" s="3"/>
      <x:c r="E257" s="3"/>
      <x:c r="F257" s="3"/>
      <x:c r="G257" s="3"/>
      <x:c r="H257" s="3"/>
      <x:c r="I257" s="3"/>
      <x:c r="J257" s="10" t="n">
        <x:v>46108</x:v>
      </x:c>
      <x:c r="K257" s="8" t="n">
        <x:f>INDEX('Сводка'!$S$3:$S$397,U257)</x:f>
        <x:v>-71</x:v>
      </x:c>
      <x:c r="L257" s="8" t="n">
        <x:f>INDEX('Сводка'!$S$3:$S$397,V257)</x:f>
        <x:v>-72</x:v>
      </x:c>
      <x:c r="M257" s="8" t="n">
        <x:f>INDEX($K$388:$N$400,W257,1)+INDEX($K$388:$N$400,W257,2)*(2*(J257-$T$405)/(T257-$T$405)-1)^1+INDEX($K$388:$N$400,W257,3)*(2*(J257-$T$405)/(T257-$T$405)-1)^2+INDEX($O$388:$Z$400,W257,MONTH(J257))</x:f>
        <x:v>-45.95907701091457</x:v>
      </x:c>
      <x:c r="N257" s="8" t="n">
        <x:f>K257-M257</x:f>
        <x:v>-25.04092298908543</x:v>
      </x:c>
      <x:c r="O257" s="8" t="n">
        <x:f>ABS(N257)</x:f>
        <x:v>25.04092298908543</x:v>
      </x:c>
      <x:c r="P257" s="8" t="n">
        <x:f>N257^2</x:f>
        <x:v>627.0478241453072</x:v>
      </x:c>
      <x:c r="Q257" s="8" t="n">
        <x:f>K257-L257</x:f>
        <x:v>1</x:v>
      </x:c>
      <x:c r="R257" s="9" t="n">
        <x:f>IF(AND(INDEX('Сводка'!$T$3:$T$397,U257)=0,INDEX('Сводка'!$T$3:$T$397,V257)=0),1,0)</x:f>
        <x:v>1</x:v>
      </x:c>
      <x:c r="S257" s="9" t="n">
        <x:f>IF(AND(R257=1,O257&lt;=$G$13),1,0)</x:f>
        <x:v>0</x:v>
      </x:c>
      <x:c r="T257" s="10" t="n">
        <x:f>EOMONTH(J257-'Сводка'!$B$11,-1)</x:f>
        <x:v>46081</x:v>
      </x:c>
      <x:c r="U257" s="4" t="n">
        <x:f>MATCH(J257,'Сводка'!$R$3:$R$397,0)</x:f>
        <x:v>268</x:v>
      </x:c>
      <x:c r="V257" s="4" t="n">
        <x:f>MATCH(J257-'Сводка'!$B$11,'Сводка'!$R$3:$R$397,0)</x:f>
        <x:v>267</x:v>
      </x:c>
      <x:c r="W257" s="4" t="n">
        <x:f>MATCH(T257,$J$388:$J$400,0)</x:f>
        <x:v>9</x:v>
      </x:c>
      <x:c r="X257" s="3"/>
      <x:c r="Y257" s="3"/>
      <x:c r="Z257" s="3"/>
    </x:row>
    <x:row r="258" ht="15" customHeight="1">
      <x:c r="A258" s="3"/>
      <x:c r="B258" s="3"/>
      <x:c r="C258" s="3"/>
      <x:c r="D258" s="3"/>
      <x:c r="E258" s="3"/>
      <x:c r="F258" s="3"/>
      <x:c r="G258" s="3"/>
      <x:c r="H258" s="3"/>
      <x:c r="I258" s="3"/>
      <x:c r="J258" s="10" t="n">
        <x:v>46109</x:v>
      </x:c>
      <x:c r="K258" s="8" t="n">
        <x:f>INDEX('Сводка'!$S$3:$S$397,U258)</x:f>
        <x:v>-71</x:v>
      </x:c>
      <x:c r="L258" s="8" t="n">
        <x:f>INDEX('Сводка'!$S$3:$S$397,V258)</x:f>
        <x:v>-71</x:v>
      </x:c>
      <x:c r="M258" s="8" t="n">
        <x:f>INDEX($K$388:$N$400,W258,1)+INDEX($K$388:$N$400,W258,2)*(2*(J258-$T$405)/(T258-$T$405)-1)^1+INDEX($K$388:$N$400,W258,3)*(2*(J258-$T$405)/(T258-$T$405)-1)^2+INDEX($O$388:$Z$400,W258,MONTH(J258))</x:f>
        <x:v>-45.96760384093946</x:v>
      </x:c>
      <x:c r="N258" s="8" t="n">
        <x:f>K258-M258</x:f>
        <x:v>-25.03239615906054</x:v>
      </x:c>
      <x:c r="O258" s="8" t="n">
        <x:f>ABS(N258)</x:f>
        <x:v>25.03239615906054</x:v>
      </x:c>
      <x:c r="P258" s="8" t="n">
        <x:f>N258^2</x:f>
        <x:v>626.6208574641488</x:v>
      </x:c>
      <x:c r="Q258" s="8" t="n">
        <x:f>K258-L258</x:f>
        <x:v>0</x:v>
      </x:c>
      <x:c r="R258" s="9" t="n">
        <x:f>IF(AND(INDEX('Сводка'!$T$3:$T$397,U258)=0,INDEX('Сводка'!$T$3:$T$397,V258)=0),1,0)</x:f>
        <x:v>1</x:v>
      </x:c>
      <x:c r="S258" s="9" t="n">
        <x:f>IF(AND(R258=1,O258&lt;=$G$13),1,0)</x:f>
        <x:v>0</x:v>
      </x:c>
      <x:c r="T258" s="10" t="n">
        <x:f>EOMONTH(J258-'Сводка'!$B$11,-1)</x:f>
        <x:v>46081</x:v>
      </x:c>
      <x:c r="U258" s="4" t="n">
        <x:f>MATCH(J258,'Сводка'!$R$3:$R$397,0)</x:f>
        <x:v>269</x:v>
      </x:c>
      <x:c r="V258" s="4" t="n">
        <x:f>MATCH(J258-'Сводка'!$B$11,'Сводка'!$R$3:$R$397,0)</x:f>
        <x:v>268</x:v>
      </x:c>
      <x:c r="W258" s="4" t="n">
        <x:f>MATCH(T258,$J$388:$J$400,0)</x:f>
        <x:v>9</x:v>
      </x:c>
      <x:c r="X258" s="3"/>
      <x:c r="Y258" s="3"/>
      <x:c r="Z258" s="3"/>
    </x:row>
    <x:row r="259" ht="15" customHeight="1">
      <x:c r="A259" s="3"/>
      <x:c r="B259" s="3"/>
      <x:c r="C259" s="3"/>
      <x:c r="D259" s="3"/>
      <x:c r="E259" s="3"/>
      <x:c r="F259" s="3"/>
      <x:c r="G259" s="3"/>
      <x:c r="H259" s="3"/>
      <x:c r="I259" s="3"/>
      <x:c r="J259" s="10" t="n">
        <x:v>46110</x:v>
      </x:c>
      <x:c r="K259" s="8" t="n">
        <x:f>INDEX('Сводка'!$S$3:$S$397,U259)</x:f>
        <x:v>-71</x:v>
      </x:c>
      <x:c r="L259" s="8" t="n">
        <x:f>INDEX('Сводка'!$S$3:$S$397,V259)</x:f>
        <x:v>-71</x:v>
      </x:c>
      <x:c r="M259" s="8" t="n">
        <x:f>INDEX($K$388:$N$400,W259,1)+INDEX($K$388:$N$400,W259,2)*(2*(J259-$T$405)/(T259-$T$405)-1)^1+INDEX($K$388:$N$400,W259,3)*(2*(J259-$T$405)/(T259-$T$405)-1)^2+INDEX($O$388:$Z$400,W259,MONTH(J259))</x:f>
        <x:v>-45.976137060564724</x:v>
      </x:c>
      <x:c r="N259" s="8" t="n">
        <x:f>K259-M259</x:f>
        <x:v>-25.023862939435276</x:v>
      </x:c>
      <x:c r="O259" s="8" t="n">
        <x:f>ABS(N259)</x:f>
        <x:v>25.023862939435276</x:v>
      </x:c>
      <x:c r="P259" s="8" t="n">
        <x:f>N259^2</x:f>
        <x:v>626.1937164116423</x:v>
      </x:c>
      <x:c r="Q259" s="8" t="n">
        <x:f>K259-L259</x:f>
        <x:v>0</x:v>
      </x:c>
      <x:c r="R259" s="9" t="n">
        <x:f>IF(AND(INDEX('Сводка'!$T$3:$T$397,U259)=0,INDEX('Сводка'!$T$3:$T$397,V259)=0),1,0)</x:f>
        <x:v>1</x:v>
      </x:c>
      <x:c r="S259" s="9" t="n">
        <x:f>IF(AND(R259=1,O259&lt;=$G$13),1,0)</x:f>
        <x:v>0</x:v>
      </x:c>
      <x:c r="T259" s="10" t="n">
        <x:f>EOMONTH(J259-'Сводка'!$B$11,-1)</x:f>
        <x:v>46081</x:v>
      </x:c>
      <x:c r="U259" s="4" t="n">
        <x:f>MATCH(J259,'Сводка'!$R$3:$R$397,0)</x:f>
        <x:v>270</x:v>
      </x:c>
      <x:c r="V259" s="4" t="n">
        <x:f>MATCH(J259-'Сводка'!$B$11,'Сводка'!$R$3:$R$397,0)</x:f>
        <x:v>269</x:v>
      </x:c>
      <x:c r="W259" s="4" t="n">
        <x:f>MATCH(T259,$J$388:$J$400,0)</x:f>
        <x:v>9</x:v>
      </x:c>
      <x:c r="X259" s="3"/>
      <x:c r="Y259" s="3"/>
      <x:c r="Z259" s="3"/>
    </x:row>
    <x:row r="260" ht="15" customHeight="1">
      <x:c r="A260" s="3"/>
      <x:c r="B260" s="3"/>
      <x:c r="C260" s="3"/>
      <x:c r="D260" s="3"/>
      <x:c r="E260" s="3"/>
      <x:c r="F260" s="3"/>
      <x:c r="G260" s="3"/>
      <x:c r="H260" s="3"/>
      <x:c r="I260" s="3"/>
      <x:c r="J260" s="10" t="n">
        <x:v>46111</x:v>
      </x:c>
      <x:c r="K260" s="8" t="n">
        <x:f>INDEX('Сводка'!$S$3:$S$397,U260)</x:f>
        <x:v>-69</x:v>
      </x:c>
      <x:c r="L260" s="8" t="n">
        <x:f>INDEX('Сводка'!$S$3:$S$397,V260)</x:f>
        <x:v>-71</x:v>
      </x:c>
      <x:c r="M260" s="8" t="n">
        <x:f>INDEX($K$388:$N$400,W260,1)+INDEX($K$388:$N$400,W260,2)*(2*(J260-$T$405)/(T260-$T$405)-1)^1+INDEX($K$388:$N$400,W260,3)*(2*(J260-$T$405)/(T260-$T$405)-1)^2+INDEX($O$388:$Z$400,W260,MONTH(J260))</x:f>
        <x:v>-45.98467666979033</x:v>
      </x:c>
      <x:c r="N260" s="8" t="n">
        <x:f>K260-M260</x:f>
        <x:v>-23.015323330209668</x:v>
      </x:c>
      <x:c r="O260" s="8" t="n">
        <x:f>ABS(N260)</x:f>
        <x:v>23.015323330209668</x:v>
      </x:c>
      <x:c r="P260" s="8" t="n">
        <x:f>N260^2</x:f>
        <x:v>529.7051079940934</x:v>
      </x:c>
      <x:c r="Q260" s="8" t="n">
        <x:f>K260-L260</x:f>
        <x:v>2</x:v>
      </x:c>
      <x:c r="R260" s="9" t="n">
        <x:f>IF(AND(INDEX('Сводка'!$T$3:$T$397,U260)=0,INDEX('Сводка'!$T$3:$T$397,V260)=0),1,0)</x:f>
        <x:v>1</x:v>
      </x:c>
      <x:c r="S260" s="9" t="n">
        <x:f>IF(AND(R260=1,O260&lt;=$G$13),1,0)</x:f>
        <x:v>0</x:v>
      </x:c>
      <x:c r="T260" s="10" t="n">
        <x:f>EOMONTH(J260-'Сводка'!$B$11,-1)</x:f>
        <x:v>46081</x:v>
      </x:c>
      <x:c r="U260" s="4" t="n">
        <x:f>MATCH(J260,'Сводка'!$R$3:$R$397,0)</x:f>
        <x:v>271</x:v>
      </x:c>
      <x:c r="V260" s="4" t="n">
        <x:f>MATCH(J260-'Сводка'!$B$11,'Сводка'!$R$3:$R$397,0)</x:f>
        <x:v>270</x:v>
      </x:c>
      <x:c r="W260" s="4" t="n">
        <x:f>MATCH(T260,$J$388:$J$400,0)</x:f>
        <x:v>9</x:v>
      </x:c>
      <x:c r="X260" s="3"/>
      <x:c r="Y260" s="3"/>
      <x:c r="Z260" s="3"/>
    </x:row>
    <x:row r="261" ht="15" customHeight="1">
      <x:c r="A261" s="3"/>
      <x:c r="B261" s="3"/>
      <x:c r="C261" s="3"/>
      <x:c r="D261" s="3"/>
      <x:c r="E261" s="3"/>
      <x:c r="F261" s="3"/>
      <x:c r="G261" s="3"/>
      <x:c r="H261" s="3"/>
      <x:c r="I261" s="3"/>
      <x:c r="J261" s="10" t="n">
        <x:v>46112</x:v>
      </x:c>
      <x:c r="K261" s="8" t="n">
        <x:f>INDEX('Сводка'!$S$3:$S$397,U261)</x:f>
        <x:v>-67</x:v>
      </x:c>
      <x:c r="L261" s="8" t="n">
        <x:f>INDEX('Сводка'!$S$3:$S$397,V261)</x:f>
        <x:v>-69</x:v>
      </x:c>
      <x:c r="M261" s="8" t="n">
        <x:f>INDEX($K$388:$N$400,W261,1)+INDEX($K$388:$N$400,W261,2)*(2*(J261-$T$405)/(T261-$T$405)-1)^1+INDEX($K$388:$N$400,W261,3)*(2*(J261-$T$405)/(T261-$T$405)-1)^2+INDEX($O$388:$Z$400,W261,MONTH(J261))</x:f>
        <x:v>-45.99322266861628</x:v>
      </x:c>
      <x:c r="N261" s="8" t="n">
        <x:f>K261-M261</x:f>
        <x:v>-21.006777331383717</x:v>
      </x:c>
      <x:c r="O261" s="8" t="n">
        <x:f>ABS(N261)</x:f>
        <x:v>21.006777331383717</x:v>
      </x:c>
      <x:c r="P261" s="8" t="n">
        <x:f>N261^2</x:f>
        <x:v>441.2846938503368</x:v>
      </x:c>
      <x:c r="Q261" s="8" t="n">
        <x:f>K261-L261</x:f>
        <x:v>2</x:v>
      </x:c>
      <x:c r="R261" s="9" t="n">
        <x:f>IF(AND(INDEX('Сводка'!$T$3:$T$397,U261)=0,INDEX('Сводка'!$T$3:$T$397,V261)=0),1,0)</x:f>
        <x:v>1</x:v>
      </x:c>
      <x:c r="S261" s="9" t="n">
        <x:f>IF(AND(R261=1,O261&lt;=$G$13),1,0)</x:f>
        <x:v>0</x:v>
      </x:c>
      <x:c r="T261" s="10" t="n">
        <x:f>EOMONTH(J261-'Сводка'!$B$11,-1)</x:f>
        <x:v>46081</x:v>
      </x:c>
      <x:c r="U261" s="4" t="n">
        <x:f>MATCH(J261,'Сводка'!$R$3:$R$397,0)</x:f>
        <x:v>272</x:v>
      </x:c>
      <x:c r="V261" s="4" t="n">
        <x:f>MATCH(J261-'Сводка'!$B$11,'Сводка'!$R$3:$R$397,0)</x:f>
        <x:v>271</x:v>
      </x:c>
      <x:c r="W261" s="4" t="n">
        <x:f>MATCH(T261,$J$388:$J$400,0)</x:f>
        <x:v>9</x:v>
      </x:c>
      <x:c r="X261" s="3"/>
      <x:c r="Y261" s="3"/>
      <x:c r="Z261" s="3"/>
    </x:row>
    <x:row r="262" ht="15" customHeight="1">
      <x:c r="A262" s="3"/>
      <x:c r="B262" s="3"/>
      <x:c r="C262" s="3"/>
      <x:c r="D262" s="3"/>
      <x:c r="E262" s="3"/>
      <x:c r="F262" s="3"/>
      <x:c r="G262" s="3"/>
      <x:c r="H262" s="3"/>
      <x:c r="I262" s="3"/>
      <x:c r="J262" s="10" t="n">
        <x:v>46113</x:v>
      </x:c>
      <x:c r="K262" s="8" t="n">
        <x:f>INDEX('Сводка'!$S$3:$S$397,U262)</x:f>
        <x:v>-65</x:v>
      </x:c>
      <x:c r="L262" s="8" t="n">
        <x:f>INDEX('Сводка'!$S$3:$S$397,V262)</x:f>
        <x:v>-67</x:v>
      </x:c>
      <x:c r="M262" s="8" t="n">
        <x:f>INDEX($K$388:$N$400,W262,1)+INDEX($K$388:$N$400,W262,2)*(2*(J262-$T$405)/(T262-$T$405)-1)^1+INDEX($K$388:$N$400,W262,3)*(2*(J262-$T$405)/(T262-$T$405)-1)^2+INDEX($O$388:$Z$400,W262,MONTH(J262))</x:f>
        <x:v>69.61580255958793</x:v>
      </x:c>
      <x:c r="N262" s="8" t="n">
        <x:f>K262-M262</x:f>
        <x:v>-134.61580255958793</x:v>
      </x:c>
      <x:c r="O262" s="8" t="n">
        <x:f>ABS(N262)</x:f>
        <x:v>134.61580255958793</x:v>
      </x:c>
      <x:c r="P262" s="8" t="n">
        <x:f>N262^2</x:f>
        <x:v>18121.41429876196</x:v>
      </x:c>
      <x:c r="Q262" s="8" t="n">
        <x:f>K262-L262</x:f>
        <x:v>2</x:v>
      </x:c>
      <x:c r="R262" s="9" t="n">
        <x:f>IF(AND(INDEX('Сводка'!$T$3:$T$397,U262)=0,INDEX('Сводка'!$T$3:$T$397,V262)=0),1,0)</x:f>
        <x:v>1</x:v>
      </x:c>
      <x:c r="S262" s="9" t="n">
        <x:f>IF(AND(R262=1,O262&lt;=$G$13),1,0)</x:f>
        <x:v>0</x:v>
      </x:c>
      <x:c r="T262" s="10" t="n">
        <x:f>EOMONTH(J262-'Сводка'!$B$11,-1)</x:f>
        <x:v>46081</x:v>
      </x:c>
      <x:c r="U262" s="4" t="n">
        <x:f>MATCH(J262,'Сводка'!$R$3:$R$397,0)</x:f>
        <x:v>273</x:v>
      </x:c>
      <x:c r="V262" s="4" t="n">
        <x:f>MATCH(J262-'Сводка'!$B$11,'Сводка'!$R$3:$R$397,0)</x:f>
        <x:v>272</x:v>
      </x:c>
      <x:c r="W262" s="4" t="n">
        <x:f>MATCH(T262,$J$388:$J$400,0)</x:f>
        <x:v>9</x:v>
      </x:c>
      <x:c r="X262" s="3"/>
      <x:c r="Y262" s="3"/>
      <x:c r="Z262" s="3"/>
    </x:row>
    <x:row r="263" ht="15" customHeight="1">
      <x:c r="A263" s="3"/>
      <x:c r="B263" s="3"/>
      <x:c r="C263" s="3"/>
      <x:c r="D263" s="3"/>
      <x:c r="E263" s="3"/>
      <x:c r="F263" s="3"/>
      <x:c r="G263" s="3"/>
      <x:c r="H263" s="3"/>
      <x:c r="I263" s="3"/>
      <x:c r="J263" s="10" t="n">
        <x:v>46114</x:v>
      </x:c>
      <x:c r="K263" s="8" t="n">
        <x:f>INDEX('Сводка'!$S$3:$S$397,U263)</x:f>
        <x:v>-59</x:v>
      </x:c>
      <x:c r="L263" s="8" t="n">
        <x:f>INDEX('Сводка'!$S$3:$S$397,V263)</x:f>
        <x:v>-65</x:v>
      </x:c>
      <x:c r="M263" s="8" t="n">
        <x:f>INDEX($K$388:$N$400,W263,1)+INDEX($K$388:$N$400,W263,2)*(2*(J263-$T$405)/(T263-$T$405)-1)^1+INDEX($K$388:$N$400,W263,3)*(2*(J263-$T$405)/(T263-$T$405)-1)^2+INDEX($O$388:$Z$400,W263,MONTH(J263))</x:f>
        <x:v>68.93587609882263</x:v>
      </x:c>
      <x:c r="N263" s="8" t="n">
        <x:f>K263-M263</x:f>
        <x:v>-127.93587609882263</x:v>
      </x:c>
      <x:c r="O263" s="8" t="n">
        <x:f>ABS(N263)</x:f>
        <x:v>127.93587609882263</x:v>
      </x:c>
      <x:c r="P263" s="8" t="n">
        <x:f>N263^2</x:f>
        <x:v>16367.588393173297</x:v>
      </x:c>
      <x:c r="Q263" s="8" t="n">
        <x:f>K263-L263</x:f>
        <x:v>6</x:v>
      </x:c>
      <x:c r="R263" s="9" t="n">
        <x:f>IF(AND(INDEX('Сводка'!$T$3:$T$397,U263)=0,INDEX('Сводка'!$T$3:$T$397,V263)=0),1,0)</x:f>
        <x:v>1</x:v>
      </x:c>
      <x:c r="S263" s="9" t="n">
        <x:f>IF(AND(R263=1,O263&lt;=$G$13),1,0)</x:f>
        <x:v>0</x:v>
      </x:c>
      <x:c r="T263" s="10" t="n">
        <x:f>EOMONTH(J263-'Сводка'!$B$11,-1)</x:f>
        <x:v>46112</x:v>
      </x:c>
      <x:c r="U263" s="4" t="n">
        <x:f>MATCH(J263,'Сводка'!$R$3:$R$397,0)</x:f>
        <x:v>274</x:v>
      </x:c>
      <x:c r="V263" s="4" t="n">
        <x:f>MATCH(J263-'Сводка'!$B$11,'Сводка'!$R$3:$R$397,0)</x:f>
        <x:v>273</x:v>
      </x:c>
      <x:c r="W263" s="4" t="n">
        <x:f>MATCH(T263,$J$388:$J$400,0)</x:f>
        <x:v>10</x:v>
      </x:c>
      <x:c r="X263" s="3"/>
      <x:c r="Y263" s="3"/>
      <x:c r="Z263" s="3"/>
    </x:row>
    <x:row r="264" ht="15" customHeight="1">
      <x:c r="A264" s="3"/>
      <x:c r="B264" s="3"/>
      <x:c r="C264" s="3"/>
      <x:c r="D264" s="3"/>
      <x:c r="E264" s="3"/>
      <x:c r="F264" s="3"/>
      <x:c r="G264" s="3"/>
      <x:c r="H264" s="3"/>
      <x:c r="I264" s="3"/>
      <x:c r="J264" s="10" t="n">
        <x:v>46115</x:v>
      </x:c>
      <x:c r="K264" s="8" t="n">
        <x:f>INDEX('Сводка'!$S$3:$S$397,U264)</x:f>
        <x:v>-52</x:v>
      </x:c>
      <x:c r="L264" s="8" t="n">
        <x:f>INDEX('Сводка'!$S$3:$S$397,V264)</x:f>
        <x:v>-59</x:v>
      </x:c>
      <x:c r="M264" s="8" t="n">
        <x:f>INDEX($K$388:$N$400,W264,1)+INDEX($K$388:$N$400,W264,2)*(2*(J264-$T$405)/(T264-$T$405)-1)^1+INDEX($K$388:$N$400,W264,3)*(2*(J264-$T$405)/(T264-$T$405)-1)^2+INDEX($O$388:$Z$400,W264,MONTH(J264))</x:f>
        <x:v>68.9269850152329</x:v>
      </x:c>
      <x:c r="N264" s="8" t="n">
        <x:f>K264-M264</x:f>
        <x:v>-120.9269850152329</x:v>
      </x:c>
      <x:c r="O264" s="8" t="n">
        <x:f>ABS(N264)</x:f>
        <x:v>120.9269850152329</x:v>
      </x:c>
      <x:c r="P264" s="8" t="n">
        <x:f>N264^2</x:f>
        <x:v>14623.335704874362</x:v>
      </x:c>
      <x:c r="Q264" s="8" t="n">
        <x:f>K264-L264</x:f>
        <x:v>7</x:v>
      </x:c>
      <x:c r="R264" s="9" t="n">
        <x:f>IF(AND(INDEX('Сводка'!$T$3:$T$397,U264)=0,INDEX('Сводка'!$T$3:$T$397,V264)=0),1,0)</x:f>
        <x:v>1</x:v>
      </x:c>
      <x:c r="S264" s="9" t="n">
        <x:f>IF(AND(R264=1,O264&lt;=$G$13),1,0)</x:f>
        <x:v>0</x:v>
      </x:c>
      <x:c r="T264" s="10" t="n">
        <x:f>EOMONTH(J264-'Сводка'!$B$11,-1)</x:f>
        <x:v>46112</x:v>
      </x:c>
      <x:c r="U264" s="4" t="n">
        <x:f>MATCH(J264,'Сводка'!$R$3:$R$397,0)</x:f>
        <x:v>275</x:v>
      </x:c>
      <x:c r="V264" s="4" t="n">
        <x:f>MATCH(J264-'Сводка'!$B$11,'Сводка'!$R$3:$R$397,0)</x:f>
        <x:v>274</x:v>
      </x:c>
      <x:c r="W264" s="4" t="n">
        <x:f>MATCH(T264,$J$388:$J$400,0)</x:f>
        <x:v>10</x:v>
      </x:c>
      <x:c r="X264" s="3"/>
      <x:c r="Y264" s="3"/>
      <x:c r="Z264" s="3"/>
    </x:row>
    <x:row r="265" ht="15" customHeight="1">
      <x:c r="A265" s="3"/>
      <x:c r="B265" s="3"/>
      <x:c r="C265" s="3"/>
      <x:c r="D265" s="3"/>
      <x:c r="E265" s="3"/>
      <x:c r="F265" s="3"/>
      <x:c r="G265" s="3"/>
      <x:c r="H265" s="3"/>
      <x:c r="I265" s="3"/>
      <x:c r="J265" s="10" t="n">
        <x:v>46116</x:v>
      </x:c>
      <x:c r="K265" s="8" t="n">
        <x:f>INDEX('Сводка'!$S$3:$S$397,U265)</x:f>
        <x:v>-42</x:v>
      </x:c>
      <x:c r="L265" s="8" t="n">
        <x:f>INDEX('Сводка'!$S$3:$S$397,V265)</x:f>
        <x:v>-52</x:v>
      </x:c>
      <x:c r="M265" s="8" t="n">
        <x:f>INDEX($K$388:$N$400,W265,1)+INDEX($K$388:$N$400,W265,2)*(2*(J265-$T$405)/(T265-$T$405)-1)^1+INDEX($K$388:$N$400,W265,3)*(2*(J265-$T$405)/(T265-$T$405)-1)^2+INDEX($O$388:$Z$400,W265,MONTH(J265))</x:f>
        <x:v>68.91808748180163</x:v>
      </x:c>
      <x:c r="N265" s="8" t="n">
        <x:f>K265-M265</x:f>
        <x:v>-110.91808748180163</x:v>
      </x:c>
      <x:c r="O265" s="8" t="n">
        <x:f>ABS(N265)</x:f>
        <x:v>110.91808748180163</x:v>
      </x:c>
      <x:c r="P265" s="8" t="n">
        <x:f>N265^2</x:f>
        <x:v>12302.822130620601</x:v>
      </x:c>
      <x:c r="Q265" s="8" t="n">
        <x:f>K265-L265</x:f>
        <x:v>10</x:v>
      </x:c>
      <x:c r="R265" s="9" t="n">
        <x:f>IF(AND(INDEX('Сводка'!$T$3:$T$397,U265)=0,INDEX('Сводка'!$T$3:$T$397,V265)=0),1,0)</x:f>
        <x:v>1</x:v>
      </x:c>
      <x:c r="S265" s="9" t="n">
        <x:f>IF(AND(R265=1,O265&lt;=$G$13),1,0)</x:f>
        <x:v>0</x:v>
      </x:c>
      <x:c r="T265" s="10" t="n">
        <x:f>EOMONTH(J265-'Сводка'!$B$11,-1)</x:f>
        <x:v>46112</x:v>
      </x:c>
      <x:c r="U265" s="4" t="n">
        <x:f>MATCH(J265,'Сводка'!$R$3:$R$397,0)</x:f>
        <x:v>276</x:v>
      </x:c>
      <x:c r="V265" s="4" t="n">
        <x:f>MATCH(J265-'Сводка'!$B$11,'Сводка'!$R$3:$R$397,0)</x:f>
        <x:v>275</x:v>
      </x:c>
      <x:c r="W265" s="4" t="n">
        <x:f>MATCH(T265,$J$388:$J$400,0)</x:f>
        <x:v>10</x:v>
      </x:c>
      <x:c r="X265" s="3"/>
      <x:c r="Y265" s="3"/>
      <x:c r="Z265" s="3"/>
    </x:row>
    <x:row r="266" ht="15" customHeight="1">
      <x:c r="A266" s="3"/>
      <x:c r="B266" s="3"/>
      <x:c r="C266" s="3"/>
      <x:c r="D266" s="3"/>
      <x:c r="E266" s="3"/>
      <x:c r="F266" s="3"/>
      <x:c r="G266" s="3"/>
      <x:c r="H266" s="3"/>
      <x:c r="I266" s="3"/>
      <x:c r="J266" s="10" t="n">
        <x:v>46117</x:v>
      </x:c>
      <x:c r="K266" s="8" t="n">
        <x:f>INDEX('Сводка'!$S$3:$S$397,U266)</x:f>
        <x:v>-35</x:v>
      </x:c>
      <x:c r="L266" s="8" t="n">
        <x:f>INDEX('Сводка'!$S$3:$S$397,V266)</x:f>
        <x:v>-42</x:v>
      </x:c>
      <x:c r="M266" s="8" t="n">
        <x:f>INDEX($K$388:$N$400,W266,1)+INDEX($K$388:$N$400,W266,2)*(2*(J266-$T$405)/(T266-$T$405)-1)^1+INDEX($K$388:$N$400,W266,3)*(2*(J266-$T$405)/(T266-$T$405)-1)^2+INDEX($O$388:$Z$400,W266,MONTH(J266))</x:f>
        <x:v>68.90918349852882</x:v>
      </x:c>
      <x:c r="N266" s="8" t="n">
        <x:f>K266-M266</x:f>
        <x:v>-103.90918349852882</x:v>
      </x:c>
      <x:c r="O266" s="8" t="n">
        <x:f>ABS(N266)</x:f>
        <x:v>103.90918349852882</x:v>
      </x:c>
      <x:c r="P266" s="8" t="n">
        <x:f>N266^2</x:f>
        <x:v>10797.118415330933</x:v>
      </x:c>
      <x:c r="Q266" s="8" t="n">
        <x:f>K266-L266</x:f>
        <x:v>7</x:v>
      </x:c>
      <x:c r="R266" s="9" t="n">
        <x:f>IF(AND(INDEX('Сводка'!$T$3:$T$397,U266)=0,INDEX('Сводка'!$T$3:$T$397,V266)=0),1,0)</x:f>
        <x:v>1</x:v>
      </x:c>
      <x:c r="S266" s="9" t="n">
        <x:f>IF(AND(R266=1,O266&lt;=$G$13),1,0)</x:f>
        <x:v>0</x:v>
      </x:c>
      <x:c r="T266" s="10" t="n">
        <x:f>EOMONTH(J266-'Сводка'!$B$11,-1)</x:f>
        <x:v>46112</x:v>
      </x:c>
      <x:c r="U266" s="4" t="n">
        <x:f>MATCH(J266,'Сводка'!$R$3:$R$397,0)</x:f>
        <x:v>277</x:v>
      </x:c>
      <x:c r="V266" s="4" t="n">
        <x:f>MATCH(J266-'Сводка'!$B$11,'Сводка'!$R$3:$R$397,0)</x:f>
        <x:v>276</x:v>
      </x:c>
      <x:c r="W266" s="4" t="n">
        <x:f>MATCH(T266,$J$388:$J$400,0)</x:f>
        <x:v>10</x:v>
      </x:c>
      <x:c r="X266" s="3"/>
      <x:c r="Y266" s="3"/>
      <x:c r="Z266" s="3"/>
    </x:row>
    <x:row r="267" ht="15" customHeight="1">
      <x:c r="A267" s="3"/>
      <x:c r="B267" s="3"/>
      <x:c r="C267" s="3"/>
      <x:c r="D267" s="3"/>
      <x:c r="E267" s="3"/>
      <x:c r="F267" s="3"/>
      <x:c r="G267" s="3"/>
      <x:c r="H267" s="3"/>
      <x:c r="I267" s="3"/>
      <x:c r="J267" s="10" t="n">
        <x:v>46118</x:v>
      </x:c>
      <x:c r="K267" s="8" t="n">
        <x:f>INDEX('Сводка'!$S$3:$S$397,U267)</x:f>
        <x:v>-17</x:v>
      </x:c>
      <x:c r="L267" s="8" t="n">
        <x:f>INDEX('Сводка'!$S$3:$S$397,V267)</x:f>
        <x:v>-35</x:v>
      </x:c>
      <x:c r="M267" s="8" t="n">
        <x:f>INDEX($K$388:$N$400,W267,1)+INDEX($K$388:$N$400,W267,2)*(2*(J267-$T$405)/(T267-$T$405)-1)^1+INDEX($K$388:$N$400,W267,3)*(2*(J267-$T$405)/(T267-$T$405)-1)^2+INDEX($O$388:$Z$400,W267,MONTH(J267))</x:f>
        <x:v>68.9002730654145</x:v>
      </x:c>
      <x:c r="N267" s="8" t="n">
        <x:f>K267-M267</x:f>
        <x:v>-85.9002730654145</x:v>
      </x:c>
      <x:c r="O267" s="8" t="n">
        <x:f>ABS(N267)</x:f>
        <x:v>85.9002730654145</x:v>
      </x:c>
      <x:c r="P267" s="8" t="n">
        <x:f>N267^2</x:f>
        <x:v>7378.856912712775</x:v>
      </x:c>
      <x:c r="Q267" s="8" t="n">
        <x:f>K267-L267</x:f>
        <x:v>18</x:v>
      </x:c>
      <x:c r="R267" s="9" t="n">
        <x:f>IF(AND(INDEX('Сводка'!$T$3:$T$397,U267)=0,INDEX('Сводка'!$T$3:$T$397,V267)=0),1,0)</x:f>
        <x:v>1</x:v>
      </x:c>
      <x:c r="S267" s="9" t="n">
        <x:f>IF(AND(R267=1,O267&lt;=$G$13),1,0)</x:f>
        <x:v>0</x:v>
      </x:c>
      <x:c r="T267" s="10" t="n">
        <x:f>EOMONTH(J267-'Сводка'!$B$11,-1)</x:f>
        <x:v>46112</x:v>
      </x:c>
      <x:c r="U267" s="4" t="n">
        <x:f>MATCH(J267,'Сводка'!$R$3:$R$397,0)</x:f>
        <x:v>278</x:v>
      </x:c>
      <x:c r="V267" s="4" t="n">
        <x:f>MATCH(J267-'Сводка'!$B$11,'Сводка'!$R$3:$R$397,0)</x:f>
        <x:v>277</x:v>
      </x:c>
      <x:c r="W267" s="4" t="n">
        <x:f>MATCH(T267,$J$388:$J$400,0)</x:f>
        <x:v>10</x:v>
      </x:c>
      <x:c r="X267" s="3"/>
      <x:c r="Y267" s="3"/>
      <x:c r="Z267" s="3"/>
    </x:row>
    <x:row r="268" ht="15" customHeight="1">
      <x:c r="A268" s="3"/>
      <x:c r="B268" s="3"/>
      <x:c r="C268" s="3"/>
      <x:c r="D268" s="3"/>
      <x:c r="E268" s="3"/>
      <x:c r="F268" s="3"/>
      <x:c r="G268" s="3"/>
      <x:c r="H268" s="3"/>
      <x:c r="I268" s="3"/>
      <x:c r="J268" s="10" t="n">
        <x:v>46119</x:v>
      </x:c>
      <x:c r="K268" s="8" t="n">
        <x:f>INDEX('Сводка'!$S$3:$S$397,U268)</x:f>
        <x:v>-3</x:v>
      </x:c>
      <x:c r="L268" s="8" t="n">
        <x:f>INDEX('Сводка'!$S$3:$S$397,V268)</x:f>
        <x:v>-17</x:v>
      </x:c>
      <x:c r="M268" s="8" t="n">
        <x:f>INDEX($K$388:$N$400,W268,1)+INDEX($K$388:$N$400,W268,2)*(2*(J268-$T$405)/(T268-$T$405)-1)^1+INDEX($K$388:$N$400,W268,3)*(2*(J268-$T$405)/(T268-$T$405)-1)^2+INDEX($O$388:$Z$400,W268,MONTH(J268))</x:f>
        <x:v>68.89135618245862</x:v>
      </x:c>
      <x:c r="N268" s="8" t="n">
        <x:f>K268-M268</x:f>
        <x:v>-71.89135618245862</x:v>
      </x:c>
      <x:c r="O268" s="8" t="n">
        <x:f>ABS(N268)</x:f>
        <x:v>71.89135618245862</x:v>
      </x:c>
      <x:c r="P268" s="8" t="n">
        <x:f>N268^2</x:f>
        <x:v>5168.3670937531315</x:v>
      </x:c>
      <x:c r="Q268" s="8" t="n">
        <x:f>K268-L268</x:f>
        <x:v>14</x:v>
      </x:c>
      <x:c r="R268" s="9" t="n">
        <x:f>IF(AND(INDEX('Сводка'!$T$3:$T$397,U268)=0,INDEX('Сводка'!$T$3:$T$397,V268)=0),1,0)</x:f>
        <x:v>1</x:v>
      </x:c>
      <x:c r="S268" s="9" t="n">
        <x:f>IF(AND(R268=1,O268&lt;=$G$13),1,0)</x:f>
        <x:v>0</x:v>
      </x:c>
      <x:c r="T268" s="10" t="n">
        <x:f>EOMONTH(J268-'Сводка'!$B$11,-1)</x:f>
        <x:v>46112</x:v>
      </x:c>
      <x:c r="U268" s="4" t="n">
        <x:f>MATCH(J268,'Сводка'!$R$3:$R$397,0)</x:f>
        <x:v>279</x:v>
      </x:c>
      <x:c r="V268" s="4" t="n">
        <x:f>MATCH(J268-'Сводка'!$B$11,'Сводка'!$R$3:$R$397,0)</x:f>
        <x:v>278</x:v>
      </x:c>
      <x:c r="W268" s="4" t="n">
        <x:f>MATCH(T268,$J$388:$J$400,0)</x:f>
        <x:v>10</x:v>
      </x:c>
      <x:c r="X268" s="3"/>
      <x:c r="Y268" s="3"/>
      <x:c r="Z268" s="3"/>
    </x:row>
    <x:row r="269" ht="15" customHeight="1">
      <x:c r="A269" s="3"/>
      <x:c r="B269" s="3"/>
      <x:c r="C269" s="3"/>
      <x:c r="D269" s="3"/>
      <x:c r="E269" s="3"/>
      <x:c r="F269" s="3"/>
      <x:c r="G269" s="3"/>
      <x:c r="H269" s="3"/>
      <x:c r="I269" s="3"/>
      <x:c r="J269" s="10" t="n">
        <x:v>46120</x:v>
      </x:c>
      <x:c r="K269" s="8" t="n">
        <x:f>INDEX('Сводка'!$S$3:$S$397,U269)</x:f>
        <x:v>17</x:v>
      </x:c>
      <x:c r="L269" s="8" t="n">
        <x:f>INDEX('Сводка'!$S$3:$S$397,V269)</x:f>
        <x:v>-3</x:v>
      </x:c>
      <x:c r="M269" s="8" t="n">
        <x:f>INDEX($K$388:$N$400,W269,1)+INDEX($K$388:$N$400,W269,2)*(2*(J269-$T$405)/(T269-$T$405)-1)^1+INDEX($K$388:$N$400,W269,3)*(2*(J269-$T$405)/(T269-$T$405)-1)^2+INDEX($O$388:$Z$400,W269,MONTH(J269))</x:f>
        <x:v>68.88243284966117</x:v>
      </x:c>
      <x:c r="N269" s="8" t="n">
        <x:f>K269-M269</x:f>
        <x:v>-51.88243284966117</x:v>
      </x:c>
      <x:c r="O269" s="8" t="n">
        <x:f>ABS(N269)</x:f>
        <x:v>51.88243284966117</x:v>
      </x:c>
      <x:c r="P269" s="8" t="n">
        <x:f>N269^2</x:f>
        <x:v>2691.7868383996006</x:v>
      </x:c>
      <x:c r="Q269" s="8" t="n">
        <x:f>K269-L269</x:f>
        <x:v>20</x:v>
      </x:c>
      <x:c r="R269" s="9" t="n">
        <x:f>IF(AND(INDEX('Сводка'!$T$3:$T$397,U269)=0,INDEX('Сводка'!$T$3:$T$397,V269)=0),1,0)</x:f>
        <x:v>1</x:v>
      </x:c>
      <x:c r="S269" s="9" t="n">
        <x:f>IF(AND(R269=1,O269&lt;=$G$13),1,0)</x:f>
        <x:v>0</x:v>
      </x:c>
      <x:c r="T269" s="10" t="n">
        <x:f>EOMONTH(J269-'Сводка'!$B$11,-1)</x:f>
        <x:v>46112</x:v>
      </x:c>
      <x:c r="U269" s="4" t="n">
        <x:f>MATCH(J269,'Сводка'!$R$3:$R$397,0)</x:f>
        <x:v>280</x:v>
      </x:c>
      <x:c r="V269" s="4" t="n">
        <x:f>MATCH(J269-'Сводка'!$B$11,'Сводка'!$R$3:$R$397,0)</x:f>
        <x:v>279</x:v>
      </x:c>
      <x:c r="W269" s="4" t="n">
        <x:f>MATCH(T269,$J$388:$J$400,0)</x:f>
        <x:v>10</x:v>
      </x:c>
      <x:c r="X269" s="3"/>
      <x:c r="Y269" s="3"/>
      <x:c r="Z269" s="3"/>
    </x:row>
    <x:row r="270" ht="15" customHeight="1">
      <x:c r="A270" s="3"/>
      <x:c r="B270" s="3"/>
      <x:c r="C270" s="3"/>
      <x:c r="D270" s="3"/>
      <x:c r="E270" s="3"/>
      <x:c r="F270" s="3"/>
      <x:c r="G270" s="3"/>
      <x:c r="H270" s="3"/>
      <x:c r="I270" s="3"/>
      <x:c r="J270" s="10" t="n">
        <x:v>46121</x:v>
      </x:c>
      <x:c r="K270" s="8" t="n">
        <x:f>INDEX('Сводка'!$S$3:$S$397,U270)</x:f>
        <x:v>44</x:v>
      </x:c>
      <x:c r="L270" s="8" t="n">
        <x:f>INDEX('Сводка'!$S$3:$S$397,V270)</x:f>
        <x:v>17</x:v>
      </x:c>
      <x:c r="M270" s="8" t="n">
        <x:f>INDEX($K$388:$N$400,W270,1)+INDEX($K$388:$N$400,W270,2)*(2*(J270-$T$405)/(T270-$T$405)-1)^1+INDEX($K$388:$N$400,W270,3)*(2*(J270-$T$405)/(T270-$T$405)-1)^2+INDEX($O$388:$Z$400,W270,MONTH(J270))</x:f>
        <x:v>68.8735030670222</x:v>
      </x:c>
      <x:c r="N270" s="8" t="n">
        <x:f>K270-M270</x:f>
        <x:v>-24.8735030670222</x:v>
      </x:c>
      <x:c r="O270" s="8" t="n">
        <x:f>ABS(N270)</x:f>
        <x:v>24.8735030670222</x:v>
      </x:c>
      <x:c r="P270" s="8" t="n">
        <x:f>N270^2</x:f>
        <x:v>618.6911548251627</x:v>
      </x:c>
      <x:c r="Q270" s="8" t="n">
        <x:f>K270-L270</x:f>
        <x:v>27</x:v>
      </x:c>
      <x:c r="R270" s="9" t="n">
        <x:f>IF(AND(INDEX('Сводка'!$T$3:$T$397,U270)=0,INDEX('Сводка'!$T$3:$T$397,V270)=0),1,0)</x:f>
        <x:v>1</x:v>
      </x:c>
      <x:c r="S270" s="9" t="n">
        <x:f>IF(AND(R270=1,O270&lt;=$G$13),1,0)</x:f>
        <x:v>0</x:v>
      </x:c>
      <x:c r="T270" s="10" t="n">
        <x:f>EOMONTH(J270-'Сводка'!$B$11,-1)</x:f>
        <x:v>46112</x:v>
      </x:c>
      <x:c r="U270" s="4" t="n">
        <x:f>MATCH(J270,'Сводка'!$R$3:$R$397,0)</x:f>
        <x:v>281</x:v>
      </x:c>
      <x:c r="V270" s="4" t="n">
        <x:f>MATCH(J270-'Сводка'!$B$11,'Сводка'!$R$3:$R$397,0)</x:f>
        <x:v>280</x:v>
      </x:c>
      <x:c r="W270" s="4" t="n">
        <x:f>MATCH(T270,$J$388:$J$400,0)</x:f>
        <x:v>10</x:v>
      </x:c>
      <x:c r="X270" s="3"/>
      <x:c r="Y270" s="3"/>
      <x:c r="Z270" s="3"/>
    </x:row>
    <x:row r="271" ht="15" customHeight="1">
      <x:c r="A271" s="3"/>
      <x:c r="B271" s="3"/>
      <x:c r="C271" s="3"/>
      <x:c r="D271" s="3"/>
      <x:c r="E271" s="3"/>
      <x:c r="F271" s="3"/>
      <x:c r="G271" s="3"/>
      <x:c r="H271" s="3"/>
      <x:c r="I271" s="3"/>
      <x:c r="J271" s="10" t="n">
        <x:v>46122</x:v>
      </x:c>
      <x:c r="K271" s="8" t="n">
        <x:f>INDEX('Сводка'!$S$3:$S$397,U271)</x:f>
        <x:v>82</x:v>
      </x:c>
      <x:c r="L271" s="8" t="n">
        <x:f>INDEX('Сводка'!$S$3:$S$397,V271)</x:f>
        <x:v>44</x:v>
      </x:c>
      <x:c r="M271" s="8" t="n">
        <x:f>INDEX($K$388:$N$400,W271,1)+INDEX($K$388:$N$400,W271,2)*(2*(J271-$T$405)/(T271-$T$405)-1)^1+INDEX($K$388:$N$400,W271,3)*(2*(J271-$T$405)/(T271-$T$405)-1)^2+INDEX($O$388:$Z$400,W271,MONTH(J271))</x:f>
        <x:v>68.86456683454168</x:v>
      </x:c>
      <x:c r="N271" s="8" t="n">
        <x:f>K271-M271</x:f>
        <x:v>13.135433165458323</x:v>
      </x:c>
      <x:c r="O271" s="8" t="n">
        <x:f>ABS(N271)</x:f>
        <x:v>13.135433165458323</x:v>
      </x:c>
      <x:c r="P271" s="8" t="n">
        <x:f>N271^2</x:f>
        <x:v>172.53960444422248</x:v>
      </x:c>
      <x:c r="Q271" s="8" t="n">
        <x:f>K271-L271</x:f>
        <x:v>38</x:v>
      </x:c>
      <x:c r="R271" s="9" t="n">
        <x:f>IF(AND(INDEX('Сводка'!$T$3:$T$397,U271)=0,INDEX('Сводка'!$T$3:$T$397,V271)=0),1,0)</x:f>
        <x:v>1</x:v>
      </x:c>
      <x:c r="S271" s="9" t="n">
        <x:f>IF(AND(R271=1,O271&lt;=$G$13),1,0)</x:f>
        <x:v>0</x:v>
      </x:c>
      <x:c r="T271" s="10" t="n">
        <x:f>EOMONTH(J271-'Сводка'!$B$11,-1)</x:f>
        <x:v>46112</x:v>
      </x:c>
      <x:c r="U271" s="4" t="n">
        <x:f>MATCH(J271,'Сводка'!$R$3:$R$397,0)</x:f>
        <x:v>282</x:v>
      </x:c>
      <x:c r="V271" s="4" t="n">
        <x:f>MATCH(J271-'Сводка'!$B$11,'Сводка'!$R$3:$R$397,0)</x:f>
        <x:v>281</x:v>
      </x:c>
      <x:c r="W271" s="4" t="n">
        <x:f>MATCH(T271,$J$388:$J$400,0)</x:f>
        <x:v>10</x:v>
      </x:c>
      <x:c r="X271" s="3"/>
      <x:c r="Y271" s="3"/>
      <x:c r="Z271" s="3"/>
    </x:row>
    <x:row r="272" ht="15" customHeight="1">
      <x:c r="A272" s="3"/>
      <x:c r="B272" s="3"/>
      <x:c r="C272" s="3"/>
      <x:c r="D272" s="3"/>
      <x:c r="E272" s="3"/>
      <x:c r="F272" s="3"/>
      <x:c r="G272" s="3"/>
      <x:c r="H272" s="3"/>
      <x:c r="I272" s="3"/>
      <x:c r="J272" s="10" t="n">
        <x:v>46123</x:v>
      </x:c>
      <x:c r="K272" s="8" t="n">
        <x:f>INDEX('Сводка'!$S$3:$S$397,U272)</x:f>
        <x:v>96</x:v>
      </x:c>
      <x:c r="L272" s="8" t="n">
        <x:f>INDEX('Сводка'!$S$3:$S$397,V272)</x:f>
        <x:v>82</x:v>
      </x:c>
      <x:c r="M272" s="8" t="n">
        <x:f>INDEX($K$388:$N$400,W272,1)+INDEX($K$388:$N$400,W272,2)*(2*(J272-$T$405)/(T272-$T$405)-1)^1+INDEX($K$388:$N$400,W272,3)*(2*(J272-$T$405)/(T272-$T$405)-1)^2+INDEX($O$388:$Z$400,W272,MONTH(J272))</x:f>
        <x:v>68.85562415221963</x:v>
      </x:c>
      <x:c r="N272" s="8" t="n">
        <x:f>K272-M272</x:f>
        <x:v>27.144375847780367</x:v>
      </x:c>
      <x:c r="O272" s="8" t="n">
        <x:f>ABS(N272)</x:f>
        <x:v>27.144375847780367</x:v>
      </x:c>
      <x:c r="P272" s="8" t="n">
        <x:f>N272^2</x:f>
        <x:v>736.8171401655621</x:v>
      </x:c>
      <x:c r="Q272" s="8" t="n">
        <x:f>K272-L272</x:f>
        <x:v>14</x:v>
      </x:c>
      <x:c r="R272" s="9" t="n">
        <x:f>IF(AND(INDEX('Сводка'!$T$3:$T$397,U272)=0,INDEX('Сводка'!$T$3:$T$397,V272)=0),1,0)</x:f>
        <x:v>1</x:v>
      </x:c>
      <x:c r="S272" s="9" t="n">
        <x:f>IF(AND(R272=1,O272&lt;=$G$13),1,0)</x:f>
        <x:v>0</x:v>
      </x:c>
      <x:c r="T272" s="10" t="n">
        <x:f>EOMONTH(J272-'Сводка'!$B$11,-1)</x:f>
        <x:v>46112</x:v>
      </x:c>
      <x:c r="U272" s="4" t="n">
        <x:f>MATCH(J272,'Сводка'!$R$3:$R$397,0)</x:f>
        <x:v>283</x:v>
      </x:c>
      <x:c r="V272" s="4" t="n">
        <x:f>MATCH(J272-'Сводка'!$B$11,'Сводка'!$R$3:$R$397,0)</x:f>
        <x:v>282</x:v>
      </x:c>
      <x:c r="W272" s="4" t="n">
        <x:f>MATCH(T272,$J$388:$J$400,0)</x:f>
        <x:v>10</x:v>
      </x:c>
      <x:c r="X272" s="3"/>
      <x:c r="Y272" s="3"/>
      <x:c r="Z272" s="3"/>
    </x:row>
    <x:row r="273" ht="15" customHeight="1">
      <x:c r="A273" s="3"/>
      <x:c r="B273" s="3"/>
      <x:c r="C273" s="3"/>
      <x:c r="D273" s="3"/>
      <x:c r="E273" s="3"/>
      <x:c r="F273" s="3"/>
      <x:c r="G273" s="3"/>
      <x:c r="H273" s="3"/>
      <x:c r="I273" s="3"/>
      <x:c r="J273" s="10" t="n">
        <x:v>46124</x:v>
      </x:c>
      <x:c r="K273" s="8" t="n">
        <x:f>INDEX('Сводка'!$S$3:$S$397,U273)</x:f>
        <x:v>163</x:v>
      </x:c>
      <x:c r="L273" s="8" t="n">
        <x:f>INDEX('Сводка'!$S$3:$S$397,V273)</x:f>
        <x:v>96</x:v>
      </x:c>
      <x:c r="M273" s="8" t="n">
        <x:f>INDEX($K$388:$N$400,W273,1)+INDEX($K$388:$N$400,W273,2)*(2*(J273-$T$405)/(T273-$T$405)-1)^1+INDEX($K$388:$N$400,W273,3)*(2*(J273-$T$405)/(T273-$T$405)-1)^2+INDEX($O$388:$Z$400,W273,MONTH(J273))</x:f>
        <x:v>68.84667502005604</x:v>
      </x:c>
      <x:c r="N273" s="8" t="n">
        <x:f>K273-M273</x:f>
        <x:v>94.15332497994396</x:v>
      </x:c>
      <x:c r="O273" s="8" t="n">
        <x:f>ABS(N273)</x:f>
        <x:v>94.15332497994396</x:v>
      </x:c>
      <x:c r="P273" s="8" t="n">
        <x:f>N273^2</x:f>
        <x:v>8864.84860477894</x:v>
      </x:c>
      <x:c r="Q273" s="8" t="n">
        <x:f>K273-L273</x:f>
        <x:v>67</x:v>
      </x:c>
      <x:c r="R273" s="9" t="n">
        <x:f>IF(AND(INDEX('Сводка'!$T$3:$T$397,U273)=0,INDEX('Сводка'!$T$3:$T$397,V273)=0),1,0)</x:f>
        <x:v>1</x:v>
      </x:c>
      <x:c r="S273" s="9" t="n">
        <x:f>IF(AND(R273=1,O273&lt;=$G$13),1,0)</x:f>
        <x:v>0</x:v>
      </x:c>
      <x:c r="T273" s="10" t="n">
        <x:f>EOMONTH(J273-'Сводка'!$B$11,-1)</x:f>
        <x:v>46112</x:v>
      </x:c>
      <x:c r="U273" s="4" t="n">
        <x:f>MATCH(J273,'Сводка'!$R$3:$R$397,0)</x:f>
        <x:v>284</x:v>
      </x:c>
      <x:c r="V273" s="4" t="n">
        <x:f>MATCH(J273-'Сводка'!$B$11,'Сводка'!$R$3:$R$397,0)</x:f>
        <x:v>283</x:v>
      </x:c>
      <x:c r="W273" s="4" t="n">
        <x:f>MATCH(T273,$J$388:$J$400,0)</x:f>
        <x:v>10</x:v>
      </x:c>
      <x:c r="X273" s="3"/>
      <x:c r="Y273" s="3"/>
      <x:c r="Z273" s="3"/>
    </x:row>
    <x:row r="274" ht="15" customHeight="1">
      <x:c r="A274" s="3"/>
      <x:c r="B274" s="3"/>
      <x:c r="C274" s="3"/>
      <x:c r="D274" s="3"/>
      <x:c r="E274" s="3"/>
      <x:c r="F274" s="3"/>
      <x:c r="G274" s="3"/>
      <x:c r="H274" s="3"/>
      <x:c r="I274" s="3"/>
      <x:c r="J274" s="10" t="n">
        <x:v>46125</x:v>
      </x:c>
      <x:c r="K274" s="8" t="n">
        <x:f>INDEX('Сводка'!$S$3:$S$397,U274)</x:f>
        <x:v>100</x:v>
      </x:c>
      <x:c r="L274" s="8" t="n">
        <x:f>INDEX('Сводка'!$S$3:$S$397,V274)</x:f>
        <x:v>163</x:v>
      </x:c>
      <x:c r="M274" s="8" t="n">
        <x:f>INDEX($K$388:$N$400,W274,1)+INDEX($K$388:$N$400,W274,2)*(2*(J274-$T$405)/(T274-$T$405)-1)^1+INDEX($K$388:$N$400,W274,3)*(2*(J274-$T$405)/(T274-$T$405)-1)^2+INDEX($O$388:$Z$400,W274,MONTH(J274))</x:f>
        <x:v>68.83771943805093</x:v>
      </x:c>
      <x:c r="N274" s="8" t="n">
        <x:f>K274-M274</x:f>
        <x:v>31.162280561949075</x:v>
      </x:c>
      <x:c r="O274" s="8" t="n">
        <x:f>ABS(N274)</x:f>
        <x:v>31.162280561949075</x:v>
      </x:c>
      <x:c r="P274" s="8" t="n">
        <x:f>N274^2</x:f>
        <x:v>971.0877298216292</x:v>
      </x:c>
      <x:c r="Q274" s="8" t="n">
        <x:f>K274-L274</x:f>
        <x:v>-63</x:v>
      </x:c>
      <x:c r="R274" s="9" t="n">
        <x:f>IF(AND(INDEX('Сводка'!$T$3:$T$397,U274)=0,INDEX('Сводка'!$T$3:$T$397,V274)=0),1,0)</x:f>
        <x:v>1</x:v>
      </x:c>
      <x:c r="S274" s="9" t="n">
        <x:f>IF(AND(R274=1,O274&lt;=$G$13),1,0)</x:f>
        <x:v>0</x:v>
      </x:c>
      <x:c r="T274" s="10" t="n">
        <x:f>EOMONTH(J274-'Сводка'!$B$11,-1)</x:f>
        <x:v>46112</x:v>
      </x:c>
      <x:c r="U274" s="4" t="n">
        <x:f>MATCH(J274,'Сводка'!$R$3:$R$397,0)</x:f>
        <x:v>285</x:v>
      </x:c>
      <x:c r="V274" s="4" t="n">
        <x:f>MATCH(J274-'Сводка'!$B$11,'Сводка'!$R$3:$R$397,0)</x:f>
        <x:v>284</x:v>
      </x:c>
      <x:c r="W274" s="4" t="n">
        <x:f>MATCH(T274,$J$388:$J$400,0)</x:f>
        <x:v>10</x:v>
      </x:c>
      <x:c r="X274" s="3"/>
      <x:c r="Y274" s="3"/>
      <x:c r="Z274" s="3"/>
    </x:row>
    <x:row r="275" ht="15" customHeight="1">
      <x:c r="A275" s="3"/>
      <x:c r="B275" s="3"/>
      <x:c r="C275" s="3"/>
      <x:c r="D275" s="3"/>
      <x:c r="E275" s="3"/>
      <x:c r="F275" s="3"/>
      <x:c r="G275" s="3"/>
      <x:c r="H275" s="3"/>
      <x:c r="I275" s="3"/>
      <x:c r="J275" s="10" t="n">
        <x:v>46126</x:v>
      </x:c>
      <x:c r="K275" s="8" t="n">
        <x:f>INDEX('Сводка'!$S$3:$S$397,U275)</x:f>
        <x:v>36</x:v>
      </x:c>
      <x:c r="L275" s="8" t="n">
        <x:f>INDEX('Сводка'!$S$3:$S$397,V275)</x:f>
        <x:v>100</x:v>
      </x:c>
      <x:c r="M275" s="8" t="n">
        <x:f>INDEX($K$388:$N$400,W275,1)+INDEX($K$388:$N$400,W275,2)*(2*(J275-$T$405)/(T275-$T$405)-1)^1+INDEX($K$388:$N$400,W275,3)*(2*(J275-$T$405)/(T275-$T$405)-1)^2+INDEX($O$388:$Z$400,W275,MONTH(J275))</x:f>
        <x:v>68.82875740620423</x:v>
      </x:c>
      <x:c r="N275" s="8" t="n">
        <x:f>K275-M275</x:f>
        <x:v>-32.82875740620423</x:v>
      </x:c>
      <x:c r="O275" s="8" t="n">
        <x:f>ABS(N275)</x:f>
        <x:v>32.82875740620423</x:v>
      </x:c>
      <x:c r="P275" s="8" t="n">
        <x:f>N275^2</x:f>
        <x:v>1077.7273128354093</x:v>
      </x:c>
      <x:c r="Q275" s="8" t="n">
        <x:f>K275-L275</x:f>
        <x:v>-64</x:v>
      </x:c>
      <x:c r="R275" s="9" t="n">
        <x:f>IF(AND(INDEX('Сводка'!$T$3:$T$397,U275)=0,INDEX('Сводка'!$T$3:$T$397,V275)=0),1,0)</x:f>
        <x:v>1</x:v>
      </x:c>
      <x:c r="S275" s="9" t="n">
        <x:f>IF(AND(R275=1,O275&lt;=$G$13),1,0)</x:f>
        <x:v>0</x:v>
      </x:c>
      <x:c r="T275" s="10" t="n">
        <x:f>EOMONTH(J275-'Сводка'!$B$11,-1)</x:f>
        <x:v>46112</x:v>
      </x:c>
      <x:c r="U275" s="4" t="n">
        <x:f>MATCH(J275,'Сводка'!$R$3:$R$397,0)</x:f>
        <x:v>286</x:v>
      </x:c>
      <x:c r="V275" s="4" t="n">
        <x:f>MATCH(J275-'Сводка'!$B$11,'Сводка'!$R$3:$R$397,0)</x:f>
        <x:v>285</x:v>
      </x:c>
      <x:c r="W275" s="4" t="n">
        <x:f>MATCH(T275,$J$388:$J$400,0)</x:f>
        <x:v>10</x:v>
      </x:c>
      <x:c r="X275" s="3"/>
      <x:c r="Y275" s="3"/>
      <x:c r="Z275" s="3"/>
    </x:row>
    <x:row r="276" ht="15" customHeight="1">
      <x:c r="A276" s="3"/>
      <x:c r="B276" s="3"/>
      <x:c r="C276" s="3"/>
      <x:c r="D276" s="3"/>
      <x:c r="E276" s="3"/>
      <x:c r="F276" s="3"/>
      <x:c r="G276" s="3"/>
      <x:c r="H276" s="3"/>
      <x:c r="I276" s="3"/>
      <x:c r="J276" s="10" t="n">
        <x:v>46127</x:v>
      </x:c>
      <x:c r="K276" s="8" t="n">
        <x:f>INDEX('Сводка'!$S$3:$S$397,U276)</x:f>
        <x:v>-4</x:v>
      </x:c>
      <x:c r="L276" s="8" t="n">
        <x:f>INDEX('Сводка'!$S$3:$S$397,V276)</x:f>
        <x:v>36</x:v>
      </x:c>
      <x:c r="M276" s="8" t="n">
        <x:f>INDEX($K$388:$N$400,W276,1)+INDEX($K$388:$N$400,W276,2)*(2*(J276-$T$405)/(T276-$T$405)-1)^1+INDEX($K$388:$N$400,W276,3)*(2*(J276-$T$405)/(T276-$T$405)-1)^2+INDEX($O$388:$Z$400,W276,MONTH(J276))</x:f>
        <x:v>68.81978892451602</x:v>
      </x:c>
      <x:c r="N276" s="8" t="n">
        <x:f>K276-M276</x:f>
        <x:v>-72.81978892451602</x:v>
      </x:c>
      <x:c r="O276" s="8" t="n">
        <x:f>ABS(N276)</x:f>
        <x:v>72.81978892451602</x:v>
      </x:c>
      <x:c r="P276" s="8" t="n">
        <x:f>N276^2</x:f>
        <x:v>5302.721659011066</x:v>
      </x:c>
      <x:c r="Q276" s="8" t="n">
        <x:f>K276-L276</x:f>
        <x:v>-40</x:v>
      </x:c>
      <x:c r="R276" s="9" t="n">
        <x:f>IF(AND(INDEX('Сводка'!$T$3:$T$397,U276)=0,INDEX('Сводка'!$T$3:$T$397,V276)=0),1,0)</x:f>
        <x:v>1</x:v>
      </x:c>
      <x:c r="S276" s="9" t="n">
        <x:f>IF(AND(R276=1,O276&lt;=$G$13),1,0)</x:f>
        <x:v>0</x:v>
      </x:c>
      <x:c r="T276" s="10" t="n">
        <x:f>EOMONTH(J276-'Сводка'!$B$11,-1)</x:f>
        <x:v>46112</x:v>
      </x:c>
      <x:c r="U276" s="4" t="n">
        <x:f>MATCH(J276,'Сводка'!$R$3:$R$397,0)</x:f>
        <x:v>287</x:v>
      </x:c>
      <x:c r="V276" s="4" t="n">
        <x:f>MATCH(J276-'Сводка'!$B$11,'Сводка'!$R$3:$R$397,0)</x:f>
        <x:v>286</x:v>
      </x:c>
      <x:c r="W276" s="4" t="n">
        <x:f>MATCH(T276,$J$388:$J$400,0)</x:f>
        <x:v>10</x:v>
      </x:c>
      <x:c r="X276" s="3"/>
      <x:c r="Y276" s="3"/>
      <x:c r="Z276" s="3"/>
    </x:row>
    <x:row r="277" ht="15" customHeight="1">
      <x:c r="A277" s="3"/>
      <x:c r="B277" s="3"/>
      <x:c r="C277" s="3"/>
      <x:c r="D277" s="3"/>
      <x:c r="E277" s="3"/>
      <x:c r="F277" s="3"/>
      <x:c r="G277" s="3"/>
      <x:c r="H277" s="3"/>
      <x:c r="I277" s="3"/>
      <x:c r="J277" s="10" t="n">
        <x:v>46128</x:v>
      </x:c>
      <x:c r="K277" s="8" t="n">
        <x:f>INDEX('Сводка'!$S$3:$S$397,U277)</x:f>
        <x:v>-14</x:v>
      </x:c>
      <x:c r="L277" s="8" t="n">
        <x:f>INDEX('Сводка'!$S$3:$S$397,V277)</x:f>
        <x:v>-4</x:v>
      </x:c>
      <x:c r="M277" s="8" t="n">
        <x:f>INDEX($K$388:$N$400,W277,1)+INDEX($K$388:$N$400,W277,2)*(2*(J277-$T$405)/(T277-$T$405)-1)^1+INDEX($K$388:$N$400,W277,3)*(2*(J277-$T$405)/(T277-$T$405)-1)^2+INDEX($O$388:$Z$400,W277,MONTH(J277))</x:f>
        <x:v>68.81081399298628</x:v>
      </x:c>
      <x:c r="N277" s="8" t="n">
        <x:f>K277-M277</x:f>
        <x:v>-82.81081399298628</x:v>
      </x:c>
      <x:c r="O277" s="8" t="n">
        <x:f>ABS(N277)</x:f>
        <x:v>82.81081399298628</x:v>
      </x:c>
      <x:c r="P277" s="8" t="n">
        <x:f>N277^2</x:f>
        <x:v>6857.6309141809725</x:v>
      </x:c>
      <x:c r="Q277" s="8" t="n">
        <x:f>K277-L277</x:f>
        <x:v>-10</x:v>
      </x:c>
      <x:c r="R277" s="9" t="n">
        <x:f>IF(AND(INDEX('Сводка'!$T$3:$T$397,U277)=0,INDEX('Сводка'!$T$3:$T$397,V277)=0),1,0)</x:f>
        <x:v>1</x:v>
      </x:c>
      <x:c r="S277" s="9" t="n">
        <x:f>IF(AND(R277=1,O277&lt;=$G$13),1,0)</x:f>
        <x:v>0</x:v>
      </x:c>
      <x:c r="T277" s="10" t="n">
        <x:f>EOMONTH(J277-'Сводка'!$B$11,-1)</x:f>
        <x:v>46112</x:v>
      </x:c>
      <x:c r="U277" s="4" t="n">
        <x:f>MATCH(J277,'Сводка'!$R$3:$R$397,0)</x:f>
        <x:v>288</x:v>
      </x:c>
      <x:c r="V277" s="4" t="n">
        <x:f>MATCH(J277-'Сводка'!$B$11,'Сводка'!$R$3:$R$397,0)</x:f>
        <x:v>287</x:v>
      </x:c>
      <x:c r="W277" s="4" t="n">
        <x:f>MATCH(T277,$J$388:$J$400,0)</x:f>
        <x:v>10</x:v>
      </x:c>
      <x:c r="X277" s="3"/>
      <x:c r="Y277" s="3"/>
      <x:c r="Z277" s="3"/>
    </x:row>
    <x:row r="278" ht="15" customHeight="1">
      <x:c r="A278" s="3"/>
      <x:c r="B278" s="3"/>
      <x:c r="C278" s="3"/>
      <x:c r="D278" s="3"/>
      <x:c r="E278" s="3"/>
      <x:c r="F278" s="3"/>
      <x:c r="G278" s="3"/>
      <x:c r="H278" s="3"/>
      <x:c r="I278" s="3"/>
      <x:c r="J278" s="10" t="n">
        <x:v>46129</x:v>
      </x:c>
      <x:c r="K278" s="8" t="n">
        <x:f>INDEX('Сводка'!$S$3:$S$397,U278)</x:f>
        <x:v>-6</x:v>
      </x:c>
      <x:c r="L278" s="8" t="n">
        <x:f>INDEX('Сводка'!$S$3:$S$397,V278)</x:f>
        <x:v>-14</x:v>
      </x:c>
      <x:c r="M278" s="8" t="n">
        <x:f>INDEX($K$388:$N$400,W278,1)+INDEX($K$388:$N$400,W278,2)*(2*(J278-$T$405)/(T278-$T$405)-1)^1+INDEX($K$388:$N$400,W278,3)*(2*(J278-$T$405)/(T278-$T$405)-1)^2+INDEX($O$388:$Z$400,W278,MONTH(J278))</x:f>
        <x:v>68.80183261161497</x:v>
      </x:c>
      <x:c r="N278" s="8" t="n">
        <x:f>K278-M278</x:f>
        <x:v>-74.80183261161497</x:v>
      </x:c>
      <x:c r="O278" s="8" t="n">
        <x:f>ABS(N278)</x:f>
        <x:v>74.80183261161497</x:v>
      </x:c>
      <x:c r="P278" s="8" t="n">
        <x:f>N278^2</x:f>
        <x:v>5595.314162056065</x:v>
      </x:c>
      <x:c r="Q278" s="8" t="n">
        <x:f>K278-L278</x:f>
        <x:v>8</x:v>
      </x:c>
      <x:c r="R278" s="9" t="n">
        <x:f>IF(AND(INDEX('Сводка'!$T$3:$T$397,U278)=0,INDEX('Сводка'!$T$3:$T$397,V278)=0),1,0)</x:f>
        <x:v>1</x:v>
      </x:c>
      <x:c r="S278" s="9" t="n">
        <x:f>IF(AND(R278=1,O278&lt;=$G$13),1,0)</x:f>
        <x:v>0</x:v>
      </x:c>
      <x:c r="T278" s="10" t="n">
        <x:f>EOMONTH(J278-'Сводка'!$B$11,-1)</x:f>
        <x:v>46112</x:v>
      </x:c>
      <x:c r="U278" s="4" t="n">
        <x:f>MATCH(J278,'Сводка'!$R$3:$R$397,0)</x:f>
        <x:v>289</x:v>
      </x:c>
      <x:c r="V278" s="4" t="n">
        <x:f>MATCH(J278-'Сводка'!$B$11,'Сводка'!$R$3:$R$397,0)</x:f>
        <x:v>288</x:v>
      </x:c>
      <x:c r="W278" s="4" t="n">
        <x:f>MATCH(T278,$J$388:$J$400,0)</x:f>
        <x:v>10</x:v>
      </x:c>
      <x:c r="X278" s="3"/>
      <x:c r="Y278" s="3"/>
      <x:c r="Z278" s="3"/>
    </x:row>
    <x:row r="279" ht="15" customHeight="1">
      <x:c r="A279" s="3"/>
      <x:c r="B279" s="3"/>
      <x:c r="C279" s="3"/>
      <x:c r="D279" s="3"/>
      <x:c r="E279" s="3"/>
      <x:c r="F279" s="3"/>
      <x:c r="G279" s="3"/>
      <x:c r="H279" s="3"/>
      <x:c r="I279" s="3"/>
      <x:c r="J279" s="10" t="n">
        <x:v>46130</x:v>
      </x:c>
      <x:c r="K279" s="8" t="n">
        <x:f>INDEX('Сводка'!$S$3:$S$397,U279)</x:f>
        <x:v>-4</x:v>
      </x:c>
      <x:c r="L279" s="8" t="n">
        <x:f>INDEX('Сводка'!$S$3:$S$397,V279)</x:f>
        <x:v>-6</x:v>
      </x:c>
      <x:c r="M279" s="8" t="n">
        <x:f>INDEX($K$388:$N$400,W279,1)+INDEX($K$388:$N$400,W279,2)*(2*(J279-$T$405)/(T279-$T$405)-1)^1+INDEX($K$388:$N$400,W279,3)*(2*(J279-$T$405)/(T279-$T$405)-1)^2+INDEX($O$388:$Z$400,W279,MONTH(J279))</x:f>
        <x:v>68.79284478040213</x:v>
      </x:c>
      <x:c r="N279" s="8" t="n">
        <x:f>K279-M279</x:f>
        <x:v>-72.79284478040213</x:v>
      </x:c>
      <x:c r="O279" s="8" t="n">
        <x:f>ABS(N279)</x:f>
        <x:v>72.79284478040213</x:v>
      </x:c>
      <x:c r="P279" s="8" t="n">
        <x:f>N279^2</x:f>
        <x:v>5298.798251223719</x:v>
      </x:c>
      <x:c r="Q279" s="8" t="n">
        <x:f>K279-L279</x:f>
        <x:v>2</x:v>
      </x:c>
      <x:c r="R279" s="9" t="n">
        <x:f>IF(AND(INDEX('Сводка'!$T$3:$T$397,U279)=0,INDEX('Сводка'!$T$3:$T$397,V279)=0),1,0)</x:f>
        <x:v>1</x:v>
      </x:c>
      <x:c r="S279" s="9" t="n">
        <x:f>IF(AND(R279=1,O279&lt;=$G$13),1,0)</x:f>
        <x:v>0</x:v>
      </x:c>
      <x:c r="T279" s="10" t="n">
        <x:f>EOMONTH(J279-'Сводка'!$B$11,-1)</x:f>
        <x:v>46112</x:v>
      </x:c>
      <x:c r="U279" s="4" t="n">
        <x:f>MATCH(J279,'Сводка'!$R$3:$R$397,0)</x:f>
        <x:v>290</x:v>
      </x:c>
      <x:c r="V279" s="4" t="n">
        <x:f>MATCH(J279-'Сводка'!$B$11,'Сводка'!$R$3:$R$397,0)</x:f>
        <x:v>289</x:v>
      </x:c>
      <x:c r="W279" s="4" t="n">
        <x:f>MATCH(T279,$J$388:$J$400,0)</x:f>
        <x:v>10</x:v>
      </x:c>
      <x:c r="X279" s="3"/>
      <x:c r="Y279" s="3"/>
      <x:c r="Z279" s="3"/>
    </x:row>
    <x:row r="280" ht="15" customHeight="1">
      <x:c r="A280" s="3"/>
      <x:c r="B280" s="3"/>
      <x:c r="C280" s="3"/>
      <x:c r="D280" s="3"/>
      <x:c r="E280" s="3"/>
      <x:c r="F280" s="3"/>
      <x:c r="G280" s="3"/>
      <x:c r="H280" s="3"/>
      <x:c r="I280" s="3"/>
      <x:c r="J280" s="10" t="n">
        <x:v>46131</x:v>
      </x:c>
      <x:c r="K280" s="8" t="n">
        <x:f>INDEX('Сводка'!$S$3:$S$397,U280)</x:f>
        <x:v>64</x:v>
      </x:c>
      <x:c r="L280" s="8" t="n">
        <x:f>INDEX('Сводка'!$S$3:$S$397,V280)</x:f>
        <x:v>-4</x:v>
      </x:c>
      <x:c r="M280" s="8" t="n">
        <x:f>INDEX($K$388:$N$400,W280,1)+INDEX($K$388:$N$400,W280,2)*(2*(J280-$T$405)/(T280-$T$405)-1)^1+INDEX($K$388:$N$400,W280,3)*(2*(J280-$T$405)/(T280-$T$405)-1)^2+INDEX($O$388:$Z$400,W280,MONTH(J280))</x:f>
        <x:v>68.78385049934775</x:v>
      </x:c>
      <x:c r="N280" s="8" t="n">
        <x:f>K280-M280</x:f>
        <x:v>-4.78385049934775</x:v>
      </x:c>
      <x:c r="O280" s="8" t="n">
        <x:f>ABS(N280)</x:f>
        <x:v>4.78385049934775</x:v>
      </x:c>
      <x:c r="P280" s="8" t="n">
        <x:f>N280^2</x:f>
        <x:v>22.885225600109717</x:v>
      </x:c>
      <x:c r="Q280" s="8" t="n">
        <x:f>K280-L280</x:f>
        <x:v>68</x:v>
      </x:c>
      <x:c r="R280" s="9" t="n">
        <x:f>IF(AND(INDEX('Сводка'!$T$3:$T$397,U280)=0,INDEX('Сводка'!$T$3:$T$397,V280)=0),1,0)</x:f>
        <x:v>1</x:v>
      </x:c>
      <x:c r="S280" s="9" t="n">
        <x:f>IF(AND(R280=1,O280&lt;=$G$13),1,0)</x:f>
        <x:v>1</x:v>
      </x:c>
      <x:c r="T280" s="10" t="n">
        <x:f>EOMONTH(J280-'Сводка'!$B$11,-1)</x:f>
        <x:v>46112</x:v>
      </x:c>
      <x:c r="U280" s="4" t="n">
        <x:f>MATCH(J280,'Сводка'!$R$3:$R$397,0)</x:f>
        <x:v>291</x:v>
      </x:c>
      <x:c r="V280" s="4" t="n">
        <x:f>MATCH(J280-'Сводка'!$B$11,'Сводка'!$R$3:$R$397,0)</x:f>
        <x:v>290</x:v>
      </x:c>
      <x:c r="W280" s="4" t="n">
        <x:f>MATCH(T280,$J$388:$J$400,0)</x:f>
        <x:v>10</x:v>
      </x:c>
      <x:c r="X280" s="3"/>
      <x:c r="Y280" s="3"/>
      <x:c r="Z280" s="3"/>
    </x:row>
    <x:row r="281" ht="15" customHeight="1">
      <x:c r="A281" s="3"/>
      <x:c r="B281" s="3"/>
      <x:c r="C281" s="3"/>
      <x:c r="D281" s="3"/>
      <x:c r="E281" s="3"/>
      <x:c r="F281" s="3"/>
      <x:c r="G281" s="3"/>
      <x:c r="H281" s="3"/>
      <x:c r="I281" s="3"/>
      <x:c r="J281" s="10" t="n">
        <x:v>46132</x:v>
      </x:c>
      <x:c r="K281" s="8" t="n">
        <x:f>INDEX('Сводка'!$S$3:$S$397,U281)</x:f>
        <x:v>82</x:v>
      </x:c>
      <x:c r="L281" s="8" t="n">
        <x:f>INDEX('Сводка'!$S$3:$S$397,V281)</x:f>
        <x:v>64</x:v>
      </x:c>
      <x:c r="M281" s="8" t="n">
        <x:f>INDEX($K$388:$N$400,W281,1)+INDEX($K$388:$N$400,W281,2)*(2*(J281-$T$405)/(T281-$T$405)-1)^1+INDEX($K$388:$N$400,W281,3)*(2*(J281-$T$405)/(T281-$T$405)-1)^2+INDEX($O$388:$Z$400,W281,MONTH(J281))</x:f>
        <x:v>68.77484976845182</x:v>
      </x:c>
      <x:c r="N281" s="8" t="n">
        <x:f>K281-M281</x:f>
        <x:v>13.225150231548184</x:v>
      </x:c>
      <x:c r="O281" s="8" t="n">
        <x:f>ABS(N281)</x:f>
        <x:v>13.225150231548184</x:v>
      </x:c>
      <x:c r="P281" s="8" t="n">
        <x:f>N281^2</x:f>
        <x:v>174.904598647019</x:v>
      </x:c>
      <x:c r="Q281" s="8" t="n">
        <x:f>K281-L281</x:f>
        <x:v>18</x:v>
      </x:c>
      <x:c r="R281" s="9" t="n">
        <x:f>IF(AND(INDEX('Сводка'!$T$3:$T$397,U281)=0,INDEX('Сводка'!$T$3:$T$397,V281)=0),1,0)</x:f>
        <x:v>1</x:v>
      </x:c>
      <x:c r="S281" s="9" t="n">
        <x:f>IF(AND(R281=1,O281&lt;=$G$13),1,0)</x:f>
        <x:v>0</x:v>
      </x:c>
      <x:c r="T281" s="10" t="n">
        <x:f>EOMONTH(J281-'Сводка'!$B$11,-1)</x:f>
        <x:v>46112</x:v>
      </x:c>
      <x:c r="U281" s="4" t="n">
        <x:f>MATCH(J281,'Сводка'!$R$3:$R$397,0)</x:f>
        <x:v>292</x:v>
      </x:c>
      <x:c r="V281" s="4" t="n">
        <x:f>MATCH(J281-'Сводка'!$B$11,'Сводка'!$R$3:$R$397,0)</x:f>
        <x:v>291</x:v>
      </x:c>
      <x:c r="W281" s="4" t="n">
        <x:f>MATCH(T281,$J$388:$J$400,0)</x:f>
        <x:v>10</x:v>
      </x:c>
      <x:c r="X281" s="3"/>
      <x:c r="Y281" s="3"/>
      <x:c r="Z281" s="3"/>
    </x:row>
    <x:row r="282" ht="15" customHeight="1">
      <x:c r="A282" s="3"/>
      <x:c r="B282" s="3"/>
      <x:c r="C282" s="3"/>
      <x:c r="D282" s="3"/>
      <x:c r="E282" s="3"/>
      <x:c r="F282" s="3"/>
      <x:c r="G282" s="3"/>
      <x:c r="H282" s="3"/>
      <x:c r="I282" s="3"/>
      <x:c r="J282" s="10" t="n">
        <x:v>46133</x:v>
      </x:c>
      <x:c r="K282" s="8" t="n">
        <x:f>INDEX('Сводка'!$S$3:$S$397,U282)</x:f>
        <x:v>64</x:v>
      </x:c>
      <x:c r="L282" s="8" t="n">
        <x:f>INDEX('Сводка'!$S$3:$S$397,V282)</x:f>
        <x:v>82</x:v>
      </x:c>
      <x:c r="M282" s="8" t="n">
        <x:f>INDEX($K$388:$N$400,W282,1)+INDEX($K$388:$N$400,W282,2)*(2*(J282-$T$405)/(T282-$T$405)-1)^1+INDEX($K$388:$N$400,W282,3)*(2*(J282-$T$405)/(T282-$T$405)-1)^2+INDEX($O$388:$Z$400,W282,MONTH(J282))</x:f>
        <x:v>68.76584258771435</x:v>
      </x:c>
      <x:c r="N282" s="8" t="n">
        <x:f>K282-M282</x:f>
        <x:v>-4.765842587714346</x:v>
      </x:c>
      <x:c r="O282" s="8" t="n">
        <x:f>ABS(N282)</x:f>
        <x:v>4.765842587714346</x:v>
      </x:c>
      <x:c r="P282" s="8" t="n">
        <x:f>N282^2</x:f>
        <x:v>22.713255570871773</x:v>
      </x:c>
      <x:c r="Q282" s="8" t="n">
        <x:f>K282-L282</x:f>
        <x:v>-18</x:v>
      </x:c>
      <x:c r="R282" s="9" t="n">
        <x:f>IF(AND(INDEX('Сводка'!$T$3:$T$397,U282)=0,INDEX('Сводка'!$T$3:$T$397,V282)=0),1,0)</x:f>
        <x:v>1</x:v>
      </x:c>
      <x:c r="S282" s="9" t="n">
        <x:f>IF(AND(R282=1,O282&lt;=$G$13),1,0)</x:f>
        <x:v>1</x:v>
      </x:c>
      <x:c r="T282" s="10" t="n">
        <x:f>EOMONTH(J282-'Сводка'!$B$11,-1)</x:f>
        <x:v>46112</x:v>
      </x:c>
      <x:c r="U282" s="4" t="n">
        <x:f>MATCH(J282,'Сводка'!$R$3:$R$397,0)</x:f>
        <x:v>293</x:v>
      </x:c>
      <x:c r="V282" s="4" t="n">
        <x:f>MATCH(J282-'Сводка'!$B$11,'Сводка'!$R$3:$R$397,0)</x:f>
        <x:v>292</x:v>
      </x:c>
      <x:c r="W282" s="4" t="n">
        <x:f>MATCH(T282,$J$388:$J$400,0)</x:f>
        <x:v>10</x:v>
      </x:c>
      <x:c r="X282" s="3"/>
      <x:c r="Y282" s="3"/>
      <x:c r="Z282" s="3"/>
    </x:row>
    <x:row r="283" ht="15" customHeight="1">
      <x:c r="A283" s="3"/>
      <x:c r="B283" s="3"/>
      <x:c r="C283" s="3"/>
      <x:c r="D283" s="3"/>
      <x:c r="E283" s="3"/>
      <x:c r="F283" s="3"/>
      <x:c r="G283" s="3"/>
      <x:c r="H283" s="3"/>
      <x:c r="I283" s="3"/>
      <x:c r="J283" s="10" t="n">
        <x:v>46134</x:v>
      </x:c>
      <x:c r="K283" s="8" t="n">
        <x:f>INDEX('Сводка'!$S$3:$S$397,U283)</x:f>
        <x:v>63</x:v>
      </x:c>
      <x:c r="L283" s="8" t="n">
        <x:f>INDEX('Сводка'!$S$3:$S$397,V283)</x:f>
        <x:v>64</x:v>
      </x:c>
      <x:c r="M283" s="8" t="n">
        <x:f>INDEX($K$388:$N$400,W283,1)+INDEX($K$388:$N$400,W283,2)*(2*(J283-$T$405)/(T283-$T$405)-1)^1+INDEX($K$388:$N$400,W283,3)*(2*(J283-$T$405)/(T283-$T$405)-1)^2+INDEX($O$388:$Z$400,W283,MONTH(J283))</x:f>
        <x:v>68.75682895713533</x:v>
      </x:c>
      <x:c r="N283" s="8" t="n">
        <x:f>K283-M283</x:f>
        <x:v>-5.756828957135326</x:v>
      </x:c>
      <x:c r="O283" s="8" t="n">
        <x:f>ABS(N283)</x:f>
        <x:v>5.756828957135326</x:v>
      </x:c>
      <x:c r="P283" s="8" t="n">
        <x:f>N283^2</x:f>
        <x:v>33.141079641711805</x:v>
      </x:c>
      <x:c r="Q283" s="8" t="n">
        <x:f>K283-L283</x:f>
        <x:v>-1</x:v>
      </x:c>
      <x:c r="R283" s="9" t="n">
        <x:f>IF(AND(INDEX('Сводка'!$T$3:$T$397,U283)=0,INDEX('Сводка'!$T$3:$T$397,V283)=0),1,0)</x:f>
        <x:v>1</x:v>
      </x:c>
      <x:c r="S283" s="9" t="n">
        <x:f>IF(AND(R283=1,O283&lt;=$G$13),1,0)</x:f>
        <x:v>1</x:v>
      </x:c>
      <x:c r="T283" s="10" t="n">
        <x:f>EOMONTH(J283-'Сводка'!$B$11,-1)</x:f>
        <x:v>46112</x:v>
      </x:c>
      <x:c r="U283" s="4" t="n">
        <x:f>MATCH(J283,'Сводка'!$R$3:$R$397,0)</x:f>
        <x:v>294</x:v>
      </x:c>
      <x:c r="V283" s="4" t="n">
        <x:f>MATCH(J283-'Сводка'!$B$11,'Сводка'!$R$3:$R$397,0)</x:f>
        <x:v>293</x:v>
      </x:c>
      <x:c r="W283" s="4" t="n">
        <x:f>MATCH(T283,$J$388:$J$400,0)</x:f>
        <x:v>10</x:v>
      </x:c>
      <x:c r="X283" s="3"/>
      <x:c r="Y283" s="3"/>
      <x:c r="Z283" s="3"/>
    </x:row>
    <x:row r="284" ht="15" customHeight="1">
      <x:c r="A284" s="3"/>
      <x:c r="B284" s="3"/>
      <x:c r="C284" s="3"/>
      <x:c r="D284" s="3"/>
      <x:c r="E284" s="3"/>
      <x:c r="F284" s="3"/>
      <x:c r="G284" s="3"/>
      <x:c r="H284" s="3"/>
      <x:c r="I284" s="3"/>
      <x:c r="J284" s="10" t="n">
        <x:v>46135</x:v>
      </x:c>
      <x:c r="K284" s="8" t="n">
        <x:f>INDEX('Сводка'!$S$3:$S$397,U284)</x:f>
        <x:v>55</x:v>
      </x:c>
      <x:c r="L284" s="8" t="n">
        <x:f>INDEX('Сводка'!$S$3:$S$397,V284)</x:f>
        <x:v>63</x:v>
      </x:c>
      <x:c r="M284" s="8" t="n">
        <x:f>INDEX($K$388:$N$400,W284,1)+INDEX($K$388:$N$400,W284,2)*(2*(J284-$T$405)/(T284-$T$405)-1)^1+INDEX($K$388:$N$400,W284,3)*(2*(J284-$T$405)/(T284-$T$405)-1)^2+INDEX($O$388:$Z$400,W284,MONTH(J284))</x:f>
        <x:v>68.74780887671481</x:v>
      </x:c>
      <x:c r="N284" s="8" t="n">
        <x:f>K284-M284</x:f>
        <x:v>-13.747808876714814</x:v>
      </x:c>
      <x:c r="O284" s="8" t="n">
        <x:f>ABS(N284)</x:f>
        <x:v>13.747808876714814</x:v>
      </x:c>
      <x:c r="P284" s="8" t="n">
        <x:f>N284^2</x:f>
        <x:v>189.00224891067862</x:v>
      </x:c>
      <x:c r="Q284" s="8" t="n">
        <x:f>K284-L284</x:f>
        <x:v>-8</x:v>
      </x:c>
      <x:c r="R284" s="9" t="n">
        <x:f>IF(AND(INDEX('Сводка'!$T$3:$T$397,U284)=0,INDEX('Сводка'!$T$3:$T$397,V284)=0),1,0)</x:f>
        <x:v>1</x:v>
      </x:c>
      <x:c r="S284" s="9" t="n">
        <x:f>IF(AND(R284=1,O284&lt;=$G$13),1,0)</x:f>
        <x:v>0</x:v>
      </x:c>
      <x:c r="T284" s="10" t="n">
        <x:f>EOMONTH(J284-'Сводка'!$B$11,-1)</x:f>
        <x:v>46112</x:v>
      </x:c>
      <x:c r="U284" s="4" t="n">
        <x:f>MATCH(J284,'Сводка'!$R$3:$R$397,0)</x:f>
        <x:v>295</x:v>
      </x:c>
      <x:c r="V284" s="4" t="n">
        <x:f>MATCH(J284-'Сводка'!$B$11,'Сводка'!$R$3:$R$397,0)</x:f>
        <x:v>294</x:v>
      </x:c>
      <x:c r="W284" s="4" t="n">
        <x:f>MATCH(T284,$J$388:$J$400,0)</x:f>
        <x:v>10</x:v>
      </x:c>
      <x:c r="X284" s="3"/>
      <x:c r="Y284" s="3"/>
      <x:c r="Z284" s="3"/>
    </x:row>
    <x:row r="285" ht="15" customHeight="1">
      <x:c r="A285" s="3"/>
      <x:c r="B285" s="3"/>
      <x:c r="C285" s="3"/>
      <x:c r="D285" s="3"/>
      <x:c r="E285" s="3"/>
      <x:c r="F285" s="3"/>
      <x:c r="G285" s="3"/>
      <x:c r="H285" s="3"/>
      <x:c r="I285" s="3"/>
      <x:c r="J285" s="10" t="n">
        <x:v>46136</x:v>
      </x:c>
      <x:c r="K285" s="8" t="n">
        <x:f>INDEX('Сводка'!$S$3:$S$397,U285)</x:f>
        <x:v>53</x:v>
      </x:c>
      <x:c r="L285" s="8" t="n">
        <x:f>INDEX('Сводка'!$S$3:$S$397,V285)</x:f>
        <x:v>55</x:v>
      </x:c>
      <x:c r="M285" s="8" t="n">
        <x:f>INDEX($K$388:$N$400,W285,1)+INDEX($K$388:$N$400,W285,2)*(2*(J285-$T$405)/(T285-$T$405)-1)^1+INDEX($K$388:$N$400,W285,3)*(2*(J285-$T$405)/(T285-$T$405)-1)^2+INDEX($O$388:$Z$400,W285,MONTH(J285))</x:f>
        <x:v>68.73878234645272</x:v>
      </x:c>
      <x:c r="N285" s="8" t="n">
        <x:f>K285-M285</x:f>
        <x:v>-15.738782346452723</x:v>
      </x:c>
      <x:c r="O285" s="8" t="n">
        <x:f>ABS(N285)</x:f>
        <x:v>15.738782346452723</x:v>
      </x:c>
      <x:c r="P285" s="8" t="n">
        <x:f>N285^2</x:f>
        <x:v>247.7092697490119</x:v>
      </x:c>
      <x:c r="Q285" s="8" t="n">
        <x:f>K285-L285</x:f>
        <x:v>-2</x:v>
      </x:c>
      <x:c r="R285" s="9" t="n">
        <x:f>IF(AND(INDEX('Сводка'!$T$3:$T$397,U285)=0,INDEX('Сводка'!$T$3:$T$397,V285)=0),1,0)</x:f>
        <x:v>1</x:v>
      </x:c>
      <x:c r="S285" s="9" t="n">
        <x:f>IF(AND(R285=1,O285&lt;=$G$13),1,0)</x:f>
        <x:v>0</x:v>
      </x:c>
      <x:c r="T285" s="10" t="n">
        <x:f>EOMONTH(J285-'Сводка'!$B$11,-1)</x:f>
        <x:v>46112</x:v>
      </x:c>
      <x:c r="U285" s="4" t="n">
        <x:f>MATCH(J285,'Сводка'!$R$3:$R$397,0)</x:f>
        <x:v>296</x:v>
      </x:c>
      <x:c r="V285" s="4" t="n">
        <x:f>MATCH(J285-'Сводка'!$B$11,'Сводка'!$R$3:$R$397,0)</x:f>
        <x:v>295</x:v>
      </x:c>
      <x:c r="W285" s="4" t="n">
        <x:f>MATCH(T285,$J$388:$J$400,0)</x:f>
        <x:v>10</x:v>
      </x:c>
      <x:c r="X285" s="3"/>
      <x:c r="Y285" s="3"/>
      <x:c r="Z285" s="3"/>
    </x:row>
    <x:row r="286" ht="15" customHeight="1">
      <x:c r="A286" s="3"/>
      <x:c r="B286" s="3"/>
      <x:c r="C286" s="3"/>
      <x:c r="D286" s="3"/>
      <x:c r="E286" s="3"/>
      <x:c r="F286" s="3"/>
      <x:c r="G286" s="3"/>
      <x:c r="H286" s="3"/>
      <x:c r="I286" s="3"/>
      <x:c r="J286" s="10" t="n">
        <x:v>46137</x:v>
      </x:c>
      <x:c r="K286" s="8" t="n">
        <x:f>INDEX('Сводка'!$S$3:$S$397,U286)</x:f>
        <x:v>58</x:v>
      </x:c>
      <x:c r="L286" s="8" t="n">
        <x:f>INDEX('Сводка'!$S$3:$S$397,V286)</x:f>
        <x:v>53</x:v>
      </x:c>
      <x:c r="M286" s="8" t="n">
        <x:f>INDEX($K$388:$N$400,W286,1)+INDEX($K$388:$N$400,W286,2)*(2*(J286-$T$405)/(T286-$T$405)-1)^1+INDEX($K$388:$N$400,W286,3)*(2*(J286-$T$405)/(T286-$T$405)-1)^2+INDEX($O$388:$Z$400,W286,MONTH(J286))</x:f>
        <x:v>68.7297493663491</x:v>
      </x:c>
      <x:c r="N286" s="8" t="n">
        <x:f>K286-M286</x:f>
        <x:v>-10.729749366349097</x:v>
      </x:c>
      <x:c r="O286" s="8" t="n">
        <x:f>ABS(N286)</x:f>
        <x:v>10.729749366349097</x:v>
      </x:c>
      <x:c r="P286" s="8" t="n">
        <x:f>N286^2</x:f>
        <x:v>115.12752146466885</x:v>
      </x:c>
      <x:c r="Q286" s="8" t="n">
        <x:f>K286-L286</x:f>
        <x:v>5</x:v>
      </x:c>
      <x:c r="R286" s="9" t="n">
        <x:f>IF(AND(INDEX('Сводка'!$T$3:$T$397,U286)=0,INDEX('Сводка'!$T$3:$T$397,V286)=0),1,0)</x:f>
        <x:v>1</x:v>
      </x:c>
      <x:c r="S286" s="9" t="n">
        <x:f>IF(AND(R286=1,O286&lt;=$G$13),1,0)</x:f>
        <x:v>0</x:v>
      </x:c>
      <x:c r="T286" s="10" t="n">
        <x:f>EOMONTH(J286-'Сводка'!$B$11,-1)</x:f>
        <x:v>46112</x:v>
      </x:c>
      <x:c r="U286" s="4" t="n">
        <x:f>MATCH(J286,'Сводка'!$R$3:$R$397,0)</x:f>
        <x:v>297</x:v>
      </x:c>
      <x:c r="V286" s="4" t="n">
        <x:f>MATCH(J286-'Сводка'!$B$11,'Сводка'!$R$3:$R$397,0)</x:f>
        <x:v>296</x:v>
      </x:c>
      <x:c r="W286" s="4" t="n">
        <x:f>MATCH(T286,$J$388:$J$400,0)</x:f>
        <x:v>10</x:v>
      </x:c>
      <x:c r="X286" s="3"/>
      <x:c r="Y286" s="3"/>
      <x:c r="Z286" s="3"/>
    </x:row>
    <x:row r="287" ht="15" customHeight="1">
      <x:c r="A287" s="3"/>
      <x:c r="B287" s="3"/>
      <x:c r="C287" s="3"/>
      <x:c r="D287" s="3"/>
      <x:c r="E287" s="3"/>
      <x:c r="F287" s="3"/>
      <x:c r="G287" s="3"/>
      <x:c r="H287" s="3"/>
      <x:c r="I287" s="3"/>
      <x:c r="J287" s="10" t="n">
        <x:v>46138</x:v>
      </x:c>
      <x:c r="K287" s="8" t="n">
        <x:f>INDEX('Сводка'!$S$3:$S$397,U287)</x:f>
        <x:v>58</x:v>
      </x:c>
      <x:c r="L287" s="8" t="n">
        <x:f>INDEX('Сводка'!$S$3:$S$397,V287)</x:f>
        <x:v>58</x:v>
      </x:c>
      <x:c r="M287" s="8" t="n">
        <x:f>INDEX($K$388:$N$400,W287,1)+INDEX($K$388:$N$400,W287,2)*(2*(J287-$T$405)/(T287-$T$405)-1)^1+INDEX($K$388:$N$400,W287,3)*(2*(J287-$T$405)/(T287-$T$405)-1)^2+INDEX($O$388:$Z$400,W287,MONTH(J287))</x:f>
        <x:v>68.72070993640392</x:v>
      </x:c>
      <x:c r="N287" s="8" t="n">
        <x:f>K287-M287</x:f>
        <x:v>-10.720709936403921</x:v>
      </x:c>
      <x:c r="O287" s="8" t="n">
        <x:f>ABS(N287)</x:f>
        <x:v>10.720709936403921</x:v>
      </x:c>
      <x:c r="P287" s="8" t="n">
        <x:f>N287^2</x:f>
        <x:v>114.93362154050976</x:v>
      </x:c>
      <x:c r="Q287" s="8" t="n">
        <x:f>K287-L287</x:f>
        <x:v>0</x:v>
      </x:c>
      <x:c r="R287" s="9" t="n">
        <x:f>IF(AND(INDEX('Сводка'!$T$3:$T$397,U287)=0,INDEX('Сводка'!$T$3:$T$397,V287)=0),1,0)</x:f>
        <x:v>1</x:v>
      </x:c>
      <x:c r="S287" s="9" t="n">
        <x:f>IF(AND(R287=1,O287&lt;=$G$13),1,0)</x:f>
        <x:v>0</x:v>
      </x:c>
      <x:c r="T287" s="10" t="n">
        <x:f>EOMONTH(J287-'Сводка'!$B$11,-1)</x:f>
        <x:v>46112</x:v>
      </x:c>
      <x:c r="U287" s="4" t="n">
        <x:f>MATCH(J287,'Сводка'!$R$3:$R$397,0)</x:f>
        <x:v>298</x:v>
      </x:c>
      <x:c r="V287" s="4" t="n">
        <x:f>MATCH(J287-'Сводка'!$B$11,'Сводка'!$R$3:$R$397,0)</x:f>
        <x:v>297</x:v>
      </x:c>
      <x:c r="W287" s="4" t="n">
        <x:f>MATCH(T287,$J$388:$J$400,0)</x:f>
        <x:v>10</x:v>
      </x:c>
      <x:c r="X287" s="3"/>
      <x:c r="Y287" s="3"/>
      <x:c r="Z287" s="3"/>
    </x:row>
    <x:row r="288" ht="15" customHeight="1">
      <x:c r="A288" s="3"/>
      <x:c r="B288" s="3"/>
      <x:c r="C288" s="3"/>
      <x:c r="D288" s="3"/>
      <x:c r="E288" s="3"/>
      <x:c r="F288" s="3"/>
      <x:c r="G288" s="3"/>
      <x:c r="H288" s="3"/>
      <x:c r="I288" s="3"/>
      <x:c r="J288" s="10" t="n">
        <x:v>46139</x:v>
      </x:c>
      <x:c r="K288" s="8" t="n">
        <x:f>INDEX('Сводка'!$S$3:$S$397,U288)</x:f>
        <x:v>61</x:v>
      </x:c>
      <x:c r="L288" s="8" t="n">
        <x:f>INDEX('Сводка'!$S$3:$S$397,V288)</x:f>
        <x:v>58</x:v>
      </x:c>
      <x:c r="M288" s="8" t="n">
        <x:f>INDEX($K$388:$N$400,W288,1)+INDEX($K$388:$N$400,W288,2)*(2*(J288-$T$405)/(T288-$T$405)-1)^1+INDEX($K$388:$N$400,W288,3)*(2*(J288-$T$405)/(T288-$T$405)-1)^2+INDEX($O$388:$Z$400,W288,MONTH(J288))</x:f>
        <x:v>68.71166405661722</x:v>
      </x:c>
      <x:c r="N288" s="8" t="n">
        <x:f>K288-M288</x:f>
        <x:v>-7.711664056617224</x:v>
      </x:c>
      <x:c r="O288" s="8" t="n">
        <x:f>ABS(N288)</x:f>
        <x:v>7.711664056617224</x:v>
      </x:c>
      <x:c r="P288" s="8" t="n">
        <x:f>N288^2</x:f>
        <x:v>59.46976252212201</x:v>
      </x:c>
      <x:c r="Q288" s="8" t="n">
        <x:f>K288-L288</x:f>
        <x:v>3</x:v>
      </x:c>
      <x:c r="R288" s="9" t="n">
        <x:f>IF(AND(INDEX('Сводка'!$T$3:$T$397,U288)=0,INDEX('Сводка'!$T$3:$T$397,V288)=0),1,0)</x:f>
        <x:v>1</x:v>
      </x:c>
      <x:c r="S288" s="9" t="n">
        <x:f>IF(AND(R288=1,O288&lt;=$G$13),1,0)</x:f>
        <x:v>0</x:v>
      </x:c>
      <x:c r="T288" s="10" t="n">
        <x:f>EOMONTH(J288-'Сводка'!$B$11,-1)</x:f>
        <x:v>46112</x:v>
      </x:c>
      <x:c r="U288" s="4" t="n">
        <x:f>MATCH(J288,'Сводка'!$R$3:$R$397,0)</x:f>
        <x:v>299</x:v>
      </x:c>
      <x:c r="V288" s="4" t="n">
        <x:f>MATCH(J288-'Сводка'!$B$11,'Сводка'!$R$3:$R$397,0)</x:f>
        <x:v>298</x:v>
      </x:c>
      <x:c r="W288" s="4" t="n">
        <x:f>MATCH(T288,$J$388:$J$400,0)</x:f>
        <x:v>10</x:v>
      </x:c>
      <x:c r="X288" s="3"/>
      <x:c r="Y288" s="3"/>
      <x:c r="Z288" s="3"/>
    </x:row>
    <x:row r="289" ht="15" customHeight="1">
      <x:c r="A289" s="3"/>
      <x:c r="B289" s="3"/>
      <x:c r="C289" s="3"/>
      <x:c r="D289" s="3"/>
      <x:c r="E289" s="3"/>
      <x:c r="F289" s="3"/>
      <x:c r="G289" s="3"/>
      <x:c r="H289" s="3"/>
      <x:c r="I289" s="3"/>
      <x:c r="J289" s="10" t="n">
        <x:v>46140</x:v>
      </x:c>
      <x:c r="K289" s="8" t="n">
        <x:f>INDEX('Сводка'!$S$3:$S$397,U289)</x:f>
        <x:v>47</x:v>
      </x:c>
      <x:c r="L289" s="8" t="n">
        <x:f>INDEX('Сводка'!$S$3:$S$397,V289)</x:f>
        <x:v>61</x:v>
      </x:c>
      <x:c r="M289" s="8" t="n">
        <x:f>INDEX($K$388:$N$400,W289,1)+INDEX($K$388:$N$400,W289,2)*(2*(J289-$T$405)/(T289-$T$405)-1)^1+INDEX($K$388:$N$400,W289,3)*(2*(J289-$T$405)/(T289-$T$405)-1)^2+INDEX($O$388:$Z$400,W289,MONTH(J289))</x:f>
        <x:v>68.70261172698898</x:v>
      </x:c>
      <x:c r="N289" s="8" t="n">
        <x:f>K289-M289</x:f>
        <x:v>-21.702611726988977</x:v>
      </x:c>
      <x:c r="O289" s="8" t="n">
        <x:f>ABS(N289)</x:f>
        <x:v>21.702611726988977</x:v>
      </x:c>
      <x:c r="P289" s="8" t="n">
        <x:f>N289^2</x:f>
        <x:v>471.0033557724395</x:v>
      </x:c>
      <x:c r="Q289" s="8" t="n">
        <x:f>K289-L289</x:f>
        <x:v>-14</x:v>
      </x:c>
      <x:c r="R289" s="9" t="n">
        <x:f>IF(AND(INDEX('Сводка'!$T$3:$T$397,U289)=0,INDEX('Сводка'!$T$3:$T$397,V289)=0),1,0)</x:f>
        <x:v>1</x:v>
      </x:c>
      <x:c r="S289" s="9" t="n">
        <x:f>IF(AND(R289=1,O289&lt;=$G$13),1,0)</x:f>
        <x:v>0</x:v>
      </x:c>
      <x:c r="T289" s="10" t="n">
        <x:f>EOMONTH(J289-'Сводка'!$B$11,-1)</x:f>
        <x:v>46112</x:v>
      </x:c>
      <x:c r="U289" s="4" t="n">
        <x:f>MATCH(J289,'Сводка'!$R$3:$R$397,0)</x:f>
        <x:v>300</x:v>
      </x:c>
      <x:c r="V289" s="4" t="n">
        <x:f>MATCH(J289-'Сводка'!$B$11,'Сводка'!$R$3:$R$397,0)</x:f>
        <x:v>299</x:v>
      </x:c>
      <x:c r="W289" s="4" t="n">
        <x:f>MATCH(T289,$J$388:$J$400,0)</x:f>
        <x:v>10</x:v>
      </x:c>
      <x:c r="X289" s="3"/>
      <x:c r="Y289" s="3"/>
      <x:c r="Z289" s="3"/>
    </x:row>
    <x:row r="290" ht="15" customHeight="1">
      <x:c r="A290" s="3"/>
      <x:c r="B290" s="3"/>
      <x:c r="C290" s="3"/>
      <x:c r="D290" s="3"/>
      <x:c r="E290" s="3"/>
      <x:c r="F290" s="3"/>
      <x:c r="G290" s="3"/>
      <x:c r="H290" s="3"/>
      <x:c r="I290" s="3"/>
      <x:c r="J290" s="10" t="n">
        <x:v>46141</x:v>
      </x:c>
      <x:c r="K290" s="8" t="n">
        <x:f>INDEX('Сводка'!$S$3:$S$397,U290)</x:f>
        <x:v>37</x:v>
      </x:c>
      <x:c r="L290" s="8" t="n">
        <x:f>INDEX('Сводка'!$S$3:$S$397,V290)</x:f>
        <x:v>47</x:v>
      </x:c>
      <x:c r="M290" s="8" t="n">
        <x:f>INDEX($K$388:$N$400,W290,1)+INDEX($K$388:$N$400,W290,2)*(2*(J290-$T$405)/(T290-$T$405)-1)^1+INDEX($K$388:$N$400,W290,3)*(2*(J290-$T$405)/(T290-$T$405)-1)^2+INDEX($O$388:$Z$400,W290,MONTH(J290))</x:f>
        <x:v>68.69355294751917</x:v>
      </x:c>
      <x:c r="N290" s="8" t="n">
        <x:f>K290-M290</x:f>
        <x:v>-31.693552947519166</x:v>
      </x:c>
      <x:c r="O290" s="8" t="n">
        <x:f>ABS(N290)</x:f>
        <x:v>31.693552947519166</x:v>
      </x:c>
      <x:c r="P290" s="8" t="n">
        <x:f>N290^2</x:f>
        <x:v>1004.4812984372008</x:v>
      </x:c>
      <x:c r="Q290" s="8" t="n">
        <x:f>K290-L290</x:f>
        <x:v>-10</x:v>
      </x:c>
      <x:c r="R290" s="9" t="n">
        <x:f>IF(AND(INDEX('Сводка'!$T$3:$T$397,U290)=0,INDEX('Сводка'!$T$3:$T$397,V290)=0),1,0)</x:f>
        <x:v>1</x:v>
      </x:c>
      <x:c r="S290" s="9" t="n">
        <x:f>IF(AND(R290=1,O290&lt;=$G$13),1,0)</x:f>
        <x:v>0</x:v>
      </x:c>
      <x:c r="T290" s="10" t="n">
        <x:f>EOMONTH(J290-'Сводка'!$B$11,-1)</x:f>
        <x:v>46112</x:v>
      </x:c>
      <x:c r="U290" s="4" t="n">
        <x:f>MATCH(J290,'Сводка'!$R$3:$R$397,0)</x:f>
        <x:v>301</x:v>
      </x:c>
      <x:c r="V290" s="4" t="n">
        <x:f>MATCH(J290-'Сводка'!$B$11,'Сводка'!$R$3:$R$397,0)</x:f>
        <x:v>300</x:v>
      </x:c>
      <x:c r="W290" s="4" t="n">
        <x:f>MATCH(T290,$J$388:$J$400,0)</x:f>
        <x:v>10</x:v>
      </x:c>
      <x:c r="X290" s="3"/>
      <x:c r="Y290" s="3"/>
      <x:c r="Z290" s="3"/>
    </x:row>
    <x:row r="291" ht="15" customHeight="1">
      <x:c r="A291" s="3"/>
      <x:c r="B291" s="3"/>
      <x:c r="C291" s="3"/>
      <x:c r="D291" s="3"/>
      <x:c r="E291" s="3"/>
      <x:c r="F291" s="3"/>
      <x:c r="G291" s="3"/>
      <x:c r="H291" s="3"/>
      <x:c r="I291" s="3"/>
      <x:c r="J291" s="10" t="n">
        <x:v>46142</x:v>
      </x:c>
      <x:c r="K291" s="8" t="n">
        <x:f>INDEX('Сводка'!$S$3:$S$397,U291)</x:f>
        <x:v>33</x:v>
      </x:c>
      <x:c r="L291" s="8" t="n">
        <x:f>INDEX('Сводка'!$S$3:$S$397,V291)</x:f>
        <x:v>37</x:v>
      </x:c>
      <x:c r="M291" s="8" t="n">
        <x:f>INDEX($K$388:$N$400,W291,1)+INDEX($K$388:$N$400,W291,2)*(2*(J291-$T$405)/(T291-$T$405)-1)^1+INDEX($K$388:$N$400,W291,3)*(2*(J291-$T$405)/(T291-$T$405)-1)^2+INDEX($O$388:$Z$400,W291,MONTH(J291))</x:f>
        <x:v>68.68448771820785</x:v>
      </x:c>
      <x:c r="N291" s="8" t="n">
        <x:f>K291-M291</x:f>
        <x:v>-35.68448771820785</x:v>
      </x:c>
      <x:c r="O291" s="8" t="n">
        <x:f>ABS(N291)</x:f>
        <x:v>35.68448771820785</x:v>
      </x:c>
      <x:c r="P291" s="8" t="n">
        <x:f>N291^2</x:f>
        <x:v>1273.3826637109266</x:v>
      </x:c>
      <x:c r="Q291" s="8" t="n">
        <x:f>K291-L291</x:f>
        <x:v>-4</x:v>
      </x:c>
      <x:c r="R291" s="9" t="n">
        <x:f>IF(AND(INDEX('Сводка'!$T$3:$T$397,U291)=0,INDEX('Сводка'!$T$3:$T$397,V291)=0),1,0)</x:f>
        <x:v>1</x:v>
      </x:c>
      <x:c r="S291" s="9" t="n">
        <x:f>IF(AND(R291=1,O291&lt;=$G$13),1,0)</x:f>
        <x:v>0</x:v>
      </x:c>
      <x:c r="T291" s="10" t="n">
        <x:f>EOMONTH(J291-'Сводка'!$B$11,-1)</x:f>
        <x:v>46112</x:v>
      </x:c>
      <x:c r="U291" s="4" t="n">
        <x:f>MATCH(J291,'Сводка'!$R$3:$R$397,0)</x:f>
        <x:v>302</x:v>
      </x:c>
      <x:c r="V291" s="4" t="n">
        <x:f>MATCH(J291-'Сводка'!$B$11,'Сводка'!$R$3:$R$397,0)</x:f>
        <x:v>301</x:v>
      </x:c>
      <x:c r="W291" s="4" t="n">
        <x:f>MATCH(T291,$J$388:$J$400,0)</x:f>
        <x:v>10</x:v>
      </x:c>
      <x:c r="X291" s="3"/>
      <x:c r="Y291" s="3"/>
      <x:c r="Z291" s="3"/>
    </x:row>
    <x:row r="292" ht="15" customHeight="1">
      <x:c r="A292" s="3"/>
      <x:c r="B292" s="3"/>
      <x:c r="C292" s="3"/>
      <x:c r="D292" s="3"/>
      <x:c r="E292" s="3"/>
      <x:c r="F292" s="3"/>
      <x:c r="G292" s="3"/>
      <x:c r="H292" s="3"/>
      <x:c r="I292" s="3"/>
      <x:c r="J292" s="10" t="n">
        <x:v>46143</x:v>
      </x:c>
      <x:c r="K292" s="8" t="n">
        <x:f>INDEX('Сводка'!$S$3:$S$397,U292)</x:f>
        <x:v>44</x:v>
      </x:c>
      <x:c r="L292" s="8" t="n">
        <x:f>INDEX('Сводка'!$S$3:$S$397,V292)</x:f>
        <x:v>33</x:v>
      </x:c>
      <x:c r="M292" s="8" t="n">
        <x:f>INDEX($K$388:$N$400,W292,1)+INDEX($K$388:$N$400,W292,2)*(2*(J292-$T$405)/(T292-$T$405)-1)^1+INDEX($K$388:$N$400,W292,3)*(2*(J292-$T$405)/(T292-$T$405)-1)^2+INDEX($O$388:$Z$400,W292,MONTH(J292))</x:f>
        <x:v>162.68703809981267</x:v>
      </x:c>
      <x:c r="N292" s="8" t="n">
        <x:f>K292-M292</x:f>
        <x:v>-118.68703809981267</x:v>
      </x:c>
      <x:c r="O292" s="8" t="n">
        <x:f>ABS(N292)</x:f>
        <x:v>118.68703809981267</x:v>
      </x:c>
      <x:c r="P292" s="8" t="n">
        <x:f>N292^2</x:f>
        <x:v>14086.613012906384</x:v>
      </x:c>
      <x:c r="Q292" s="8" t="n">
        <x:f>K292-L292</x:f>
        <x:v>11</x:v>
      </x:c>
      <x:c r="R292" s="9" t="n">
        <x:f>IF(AND(INDEX('Сводка'!$T$3:$T$397,U292)=0,INDEX('Сводка'!$T$3:$T$397,V292)=0),1,0)</x:f>
        <x:v>1</x:v>
      </x:c>
      <x:c r="S292" s="9" t="n">
        <x:f>IF(AND(R292=1,O292&lt;=$G$13),1,0)</x:f>
        <x:v>0</x:v>
      </x:c>
      <x:c r="T292" s="10" t="n">
        <x:f>EOMONTH(J292-'Сводка'!$B$11,-1)</x:f>
        <x:v>46112</x:v>
      </x:c>
      <x:c r="U292" s="4" t="n">
        <x:f>MATCH(J292,'Сводка'!$R$3:$R$397,0)</x:f>
        <x:v>303</x:v>
      </x:c>
      <x:c r="V292" s="4" t="n">
        <x:f>MATCH(J292-'Сводка'!$B$11,'Сводка'!$R$3:$R$397,0)</x:f>
        <x:v>302</x:v>
      </x:c>
      <x:c r="W292" s="4" t="n">
        <x:f>MATCH(T292,$J$388:$J$400,0)</x:f>
        <x:v>10</x:v>
      </x:c>
      <x:c r="X292" s="3"/>
      <x:c r="Y292" s="3"/>
      <x:c r="Z292" s="3"/>
    </x:row>
    <x:row r="293" ht="15" customHeight="1">
      <x:c r="A293" s="3"/>
      <x:c r="B293" s="3"/>
      <x:c r="C293" s="3"/>
      <x:c r="D293" s="3"/>
      <x:c r="E293" s="3"/>
      <x:c r="F293" s="3"/>
      <x:c r="G293" s="3"/>
      <x:c r="H293" s="3"/>
      <x:c r="I293" s="3"/>
      <x:c r="J293" s="10" t="n">
        <x:v>46144</x:v>
      </x:c>
      <x:c r="K293" s="8" t="n">
        <x:f>INDEX('Сводка'!$S$3:$S$397,U293)</x:f>
        <x:v>61</x:v>
      </x:c>
      <x:c r="L293" s="8" t="n">
        <x:f>INDEX('Сводка'!$S$3:$S$397,V293)</x:f>
        <x:v>44</x:v>
      </x:c>
      <x:c r="M293" s="8" t="n">
        <x:f>INDEX($K$388:$N$400,W293,1)+INDEX($K$388:$N$400,W293,2)*(2*(J293-$T$405)/(T293-$T$405)-1)^1+INDEX($K$388:$N$400,W293,3)*(2*(J293-$T$405)/(T293-$T$405)-1)^2+INDEX($O$388:$Z$400,W293,MONTH(J293))</x:f>
        <x:v>161.57741459670262</x:v>
      </x:c>
      <x:c r="N293" s="8" t="n">
        <x:f>K293-M293</x:f>
        <x:v>-100.57741459670262</x:v>
      </x:c>
      <x:c r="O293" s="8" t="n">
        <x:f>ABS(N293)</x:f>
        <x:v>100.57741459670262</x:v>
      </x:c>
      <x:c r="P293" s="8" t="n">
        <x:f>N293^2</x:f>
        <x:v>10115.81632695701</x:v>
      </x:c>
      <x:c r="Q293" s="8" t="n">
        <x:f>K293-L293</x:f>
        <x:v>17</x:v>
      </x:c>
      <x:c r="R293" s="9" t="n">
        <x:f>IF(AND(INDEX('Сводка'!$T$3:$T$397,U293)=0,INDEX('Сводка'!$T$3:$T$397,V293)=0),1,0)</x:f>
        <x:v>1</x:v>
      </x:c>
      <x:c r="S293" s="9" t="n">
        <x:f>IF(AND(R293=1,O293&lt;=$G$13),1,0)</x:f>
        <x:v>0</x:v>
      </x:c>
      <x:c r="T293" s="10" t="n">
        <x:f>EOMONTH(J293-'Сводка'!$B$11,-1)</x:f>
        <x:v>46142</x:v>
      </x:c>
      <x:c r="U293" s="4" t="n">
        <x:f>MATCH(J293,'Сводка'!$R$3:$R$397,0)</x:f>
        <x:v>304</x:v>
      </x:c>
      <x:c r="V293" s="4" t="n">
        <x:f>MATCH(J293-'Сводка'!$B$11,'Сводка'!$R$3:$R$397,0)</x:f>
        <x:v>303</x:v>
      </x:c>
      <x:c r="W293" s="4" t="n">
        <x:f>MATCH(T293,$J$388:$J$400,0)</x:f>
        <x:v>11</x:v>
      </x:c>
      <x:c r="X293" s="3"/>
      <x:c r="Y293" s="3"/>
      <x:c r="Z293" s="3"/>
    </x:row>
    <x:row r="294" ht="15" customHeight="1">
      <x:c r="A294" s="3"/>
      <x:c r="B294" s="3"/>
      <x:c r="C294" s="3"/>
      <x:c r="D294" s="3"/>
      <x:c r="E294" s="3"/>
      <x:c r="F294" s="3"/>
      <x:c r="G294" s="3"/>
      <x:c r="H294" s="3"/>
      <x:c r="I294" s="3"/>
      <x:c r="J294" s="10" t="n">
        <x:v>46145</x:v>
      </x:c>
      <x:c r="K294" s="8" t="n">
        <x:f>INDEX('Сводка'!$S$3:$S$397,U294)</x:f>
        <x:v>76</x:v>
      </x:c>
      <x:c r="L294" s="8" t="n">
        <x:f>INDEX('Сводка'!$S$3:$S$397,V294)</x:f>
        <x:v>61</x:v>
      </x:c>
      <x:c r="M294" s="8" t="n">
        <x:f>INDEX($K$388:$N$400,W294,1)+INDEX($K$388:$N$400,W294,2)*(2*(J294-$T$405)/(T294-$T$405)-1)^1+INDEX($K$388:$N$400,W294,3)*(2*(J294-$T$405)/(T294-$T$405)-1)^2+INDEX($O$388:$Z$400,W294,MONTH(J294))</x:f>
        <x:v>161.5677915720022</x:v>
      </x:c>
      <x:c r="N294" s="8" t="n">
        <x:f>K294-M294</x:f>
        <x:v>-85.56779157200219</x:v>
      </x:c>
      <x:c r="O294" s="8" t="n">
        <x:f>ABS(N294)</x:f>
        <x:v>85.56779157200219</x:v>
      </x:c>
      <x:c r="P294" s="8" t="n">
        <x:f>N294^2</x:f>
        <x:v>7321.8469545096095</x:v>
      </x:c>
      <x:c r="Q294" s="8" t="n">
        <x:f>K294-L294</x:f>
        <x:v>15</x:v>
      </x:c>
      <x:c r="R294" s="9" t="n">
        <x:f>IF(AND(INDEX('Сводка'!$T$3:$T$397,U294)=0,INDEX('Сводка'!$T$3:$T$397,V294)=0),1,0)</x:f>
        <x:v>1</x:v>
      </x:c>
      <x:c r="S294" s="9" t="n">
        <x:f>IF(AND(R294=1,O294&lt;=$G$13),1,0)</x:f>
        <x:v>0</x:v>
      </x:c>
      <x:c r="T294" s="10" t="n">
        <x:f>EOMONTH(J294-'Сводка'!$B$11,-1)</x:f>
        <x:v>46142</x:v>
      </x:c>
      <x:c r="U294" s="4" t="n">
        <x:f>MATCH(J294,'Сводка'!$R$3:$R$397,0)</x:f>
        <x:v>305</x:v>
      </x:c>
      <x:c r="V294" s="4" t="n">
        <x:f>MATCH(J294-'Сводка'!$B$11,'Сводка'!$R$3:$R$397,0)</x:f>
        <x:v>304</x:v>
      </x:c>
      <x:c r="W294" s="4" t="n">
        <x:f>MATCH(T294,$J$388:$J$400,0)</x:f>
        <x:v>11</x:v>
      </x:c>
      <x:c r="X294" s="3"/>
      <x:c r="Y294" s="3"/>
      <x:c r="Z294" s="3"/>
    </x:row>
    <x:row r="295" ht="15" customHeight="1">
      <x:c r="A295" s="3"/>
      <x:c r="B295" s="3"/>
      <x:c r="C295" s="3"/>
      <x:c r="D295" s="3"/>
      <x:c r="E295" s="3"/>
      <x:c r="F295" s="3"/>
      <x:c r="G295" s="3"/>
      <x:c r="H295" s="3"/>
      <x:c r="I295" s="3"/>
      <x:c r="J295" s="10" t="n">
        <x:v>46146</x:v>
      </x:c>
      <x:c r="K295" s="8" t="n">
        <x:f>INDEX('Сводка'!$S$3:$S$397,U295)</x:f>
        <x:v>83</x:v>
      </x:c>
      <x:c r="L295" s="8" t="n">
        <x:f>INDEX('Сводка'!$S$3:$S$397,V295)</x:f>
        <x:v>76</x:v>
      </x:c>
      <x:c r="M295" s="8" t="n">
        <x:f>INDEX($K$388:$N$400,W295,1)+INDEX($K$388:$N$400,W295,2)*(2*(J295-$T$405)/(T295-$T$405)-1)^1+INDEX($K$388:$N$400,W295,3)*(2*(J295-$T$405)/(T295-$T$405)-1)^2+INDEX($O$388:$Z$400,W295,MONTH(J295))</x:f>
        <x:v>161.55816199786642</x:v>
      </x:c>
      <x:c r="N295" s="8" t="n">
        <x:f>K295-M295</x:f>
        <x:v>-78.55816199786642</x:v>
      </x:c>
      <x:c r="O295" s="8" t="n">
        <x:f>ABS(N295)</x:f>
        <x:v>78.55816199786642</x:v>
      </x:c>
      <x:c r="P295" s="8" t="n">
        <x:f>N295^2</x:f>
        <x:v>6171.384816483024</x:v>
      </x:c>
      <x:c r="Q295" s="8" t="n">
        <x:f>K295-L295</x:f>
        <x:v>7</x:v>
      </x:c>
      <x:c r="R295" s="9" t="n">
        <x:f>IF(AND(INDEX('Сводка'!$T$3:$T$397,U295)=0,INDEX('Сводка'!$T$3:$T$397,V295)=0),1,0)</x:f>
        <x:v>1</x:v>
      </x:c>
      <x:c r="S295" s="9" t="n">
        <x:f>IF(AND(R295=1,O295&lt;=$G$13),1,0)</x:f>
        <x:v>0</x:v>
      </x:c>
      <x:c r="T295" s="10" t="n">
        <x:f>EOMONTH(J295-'Сводка'!$B$11,-1)</x:f>
        <x:v>46142</x:v>
      </x:c>
      <x:c r="U295" s="4" t="n">
        <x:f>MATCH(J295,'Сводка'!$R$3:$R$397,0)</x:f>
        <x:v>306</x:v>
      </x:c>
      <x:c r="V295" s="4" t="n">
        <x:f>MATCH(J295-'Сводка'!$B$11,'Сводка'!$R$3:$R$397,0)</x:f>
        <x:v>305</x:v>
      </x:c>
      <x:c r="W295" s="4" t="n">
        <x:f>MATCH(T295,$J$388:$J$400,0)</x:f>
        <x:v>11</x:v>
      </x:c>
      <x:c r="X295" s="3"/>
      <x:c r="Y295" s="3"/>
      <x:c r="Z295" s="3"/>
    </x:row>
    <x:row r="296" ht="15" customHeight="1">
      <x:c r="A296" s="3"/>
      <x:c r="B296" s="3"/>
      <x:c r="C296" s="3"/>
      <x:c r="D296" s="3"/>
      <x:c r="E296" s="3"/>
      <x:c r="F296" s="3"/>
      <x:c r="G296" s="3"/>
      <x:c r="H296" s="3"/>
      <x:c r="I296" s="3"/>
      <x:c r="J296" s="10" t="n">
        <x:v>46147</x:v>
      </x:c>
      <x:c r="K296" s="8" t="n">
        <x:f>INDEX('Сводка'!$S$3:$S$397,U296)</x:f>
        <x:v>87</x:v>
      </x:c>
      <x:c r="L296" s="8" t="n">
        <x:f>INDEX('Сводка'!$S$3:$S$397,V296)</x:f>
        <x:v>83</x:v>
      </x:c>
      <x:c r="M296" s="8" t="n">
        <x:f>INDEX($K$388:$N$400,W296,1)+INDEX($K$388:$N$400,W296,2)*(2*(J296-$T$405)/(T296-$T$405)-1)^1+INDEX($K$388:$N$400,W296,3)*(2*(J296-$T$405)/(T296-$T$405)-1)^2+INDEX($O$388:$Z$400,W296,MONTH(J296))</x:f>
        <x:v>161.54852587429528</x:v>
      </x:c>
      <x:c r="N296" s="8" t="n">
        <x:f>K296-M296</x:f>
        <x:v>-74.54852587429528</x:v>
      </x:c>
      <x:c r="O296" s="8" t="n">
        <x:f>ABS(N296)</x:f>
        <x:v>74.54852587429528</x:v>
      </x:c>
      <x:c r="P296" s="8" t="n">
        <x:f>N296^2</x:f>
        <x:v>5557.482710030473</x:v>
      </x:c>
      <x:c r="Q296" s="8" t="n">
        <x:f>K296-L296</x:f>
        <x:v>4</x:v>
      </x:c>
      <x:c r="R296" s="9" t="n">
        <x:f>IF(AND(INDEX('Сводка'!$T$3:$T$397,U296)=0,INDEX('Сводка'!$T$3:$T$397,V296)=0),1,0)</x:f>
        <x:v>1</x:v>
      </x:c>
      <x:c r="S296" s="9" t="n">
        <x:f>IF(AND(R296=1,O296&lt;=$G$13),1,0)</x:f>
        <x:v>0</x:v>
      </x:c>
      <x:c r="T296" s="10" t="n">
        <x:f>EOMONTH(J296-'Сводка'!$B$11,-1)</x:f>
        <x:v>46142</x:v>
      </x:c>
      <x:c r="U296" s="4" t="n">
        <x:f>MATCH(J296,'Сводка'!$R$3:$R$397,0)</x:f>
        <x:v>307</x:v>
      </x:c>
      <x:c r="V296" s="4" t="n">
        <x:f>MATCH(J296-'Сводка'!$B$11,'Сводка'!$R$3:$R$397,0)</x:f>
        <x:v>306</x:v>
      </x:c>
      <x:c r="W296" s="4" t="n">
        <x:f>MATCH(T296,$J$388:$J$400,0)</x:f>
        <x:v>11</x:v>
      </x:c>
      <x:c r="X296" s="3"/>
      <x:c r="Y296" s="3"/>
      <x:c r="Z296" s="3"/>
    </x:row>
    <x:row r="297" ht="15" customHeight="1">
      <x:c r="A297" s="3"/>
      <x:c r="B297" s="3"/>
      <x:c r="C297" s="3"/>
      <x:c r="D297" s="3"/>
      <x:c r="E297" s="3"/>
      <x:c r="F297" s="3"/>
      <x:c r="G297" s="3"/>
      <x:c r="H297" s="3"/>
      <x:c r="I297" s="3"/>
      <x:c r="J297" s="10" t="n">
        <x:v>46148</x:v>
      </x:c>
      <x:c r="K297" s="8" t="n">
        <x:f>INDEX('Сводка'!$S$3:$S$397,U297)</x:f>
        <x:v>92</x:v>
      </x:c>
      <x:c r="L297" s="8" t="n">
        <x:f>INDEX('Сводка'!$S$3:$S$397,V297)</x:f>
        <x:v>87</x:v>
      </x:c>
      <x:c r="M297" s="8" t="n">
        <x:f>INDEX($K$388:$N$400,W297,1)+INDEX($K$388:$N$400,W297,2)*(2*(J297-$T$405)/(T297-$T$405)-1)^1+INDEX($K$388:$N$400,W297,3)*(2*(J297-$T$405)/(T297-$T$405)-1)^2+INDEX($O$388:$Z$400,W297,MONTH(J297))</x:f>
        <x:v>161.53888320128874</x:v>
      </x:c>
      <x:c r="N297" s="8" t="n">
        <x:f>K297-M297</x:f>
        <x:v>-69.53888320128874</x:v>
      </x:c>
      <x:c r="O297" s="8" t="n">
        <x:f>ABS(N297)</x:f>
        <x:v>69.53888320128874</x:v>
      </x:c>
      <x:c r="P297" s="8" t="n">
        <x:f>N297^2</x:f>
        <x:v>4835.656276882477</x:v>
      </x:c>
      <x:c r="Q297" s="8" t="n">
        <x:f>K297-L297</x:f>
        <x:v>5</x:v>
      </x:c>
      <x:c r="R297" s="9" t="n">
        <x:f>IF(AND(INDEX('Сводка'!$T$3:$T$397,U297)=0,INDEX('Сводка'!$T$3:$T$397,V297)=0),1,0)</x:f>
        <x:v>1</x:v>
      </x:c>
      <x:c r="S297" s="9" t="n">
        <x:f>IF(AND(R297=1,O297&lt;=$G$13),1,0)</x:f>
        <x:v>0</x:v>
      </x:c>
      <x:c r="T297" s="10" t="n">
        <x:f>EOMONTH(J297-'Сводка'!$B$11,-1)</x:f>
        <x:v>46142</x:v>
      </x:c>
      <x:c r="U297" s="4" t="n">
        <x:f>MATCH(J297,'Сводка'!$R$3:$R$397,0)</x:f>
        <x:v>308</x:v>
      </x:c>
      <x:c r="V297" s="4" t="n">
        <x:f>MATCH(J297-'Сводка'!$B$11,'Сводка'!$R$3:$R$397,0)</x:f>
        <x:v>307</x:v>
      </x:c>
      <x:c r="W297" s="4" t="n">
        <x:f>MATCH(T297,$J$388:$J$400,0)</x:f>
        <x:v>11</x:v>
      </x:c>
      <x:c r="X297" s="3"/>
      <x:c r="Y297" s="3"/>
      <x:c r="Z297" s="3"/>
    </x:row>
    <x:row r="298" ht="15" customHeight="1">
      <x:c r="A298" s="3"/>
      <x:c r="B298" s="3"/>
      <x:c r="C298" s="3"/>
      <x:c r="D298" s="3"/>
      <x:c r="E298" s="3"/>
      <x:c r="F298" s="3"/>
      <x:c r="G298" s="3"/>
      <x:c r="H298" s="3"/>
      <x:c r="I298" s="3"/>
      <x:c r="J298" s="10" t="n">
        <x:v>46149</x:v>
      </x:c>
      <x:c r="K298" s="8" t="n">
        <x:f>INDEX('Сводка'!$S$3:$S$397,U298)</x:f>
        <x:v>99</x:v>
      </x:c>
      <x:c r="L298" s="8" t="n">
        <x:f>INDEX('Сводка'!$S$3:$S$397,V298)</x:f>
        <x:v>92</x:v>
      </x:c>
      <x:c r="M298" s="8" t="n">
        <x:f>INDEX($K$388:$N$400,W298,1)+INDEX($K$388:$N$400,W298,2)*(2*(J298-$T$405)/(T298-$T$405)-1)^1+INDEX($K$388:$N$400,W298,3)*(2*(J298-$T$405)/(T298-$T$405)-1)^2+INDEX($O$388:$Z$400,W298,MONTH(J298))</x:f>
        <x:v>161.52923397884683</x:v>
      </x:c>
      <x:c r="N298" s="8" t="n">
        <x:f>K298-M298</x:f>
        <x:v>-62.52923397884683</x:v>
      </x:c>
      <x:c r="O298" s="8" t="n">
        <x:f>ABS(N298)</x:f>
        <x:v>62.52923397884683</x:v>
      </x:c>
      <x:c r="P298" s="8" t="n">
        <x:f>N298^2</x:f>
        <x:v>3909.9051019813733</x:v>
      </x:c>
      <x:c r="Q298" s="8" t="n">
        <x:f>K298-L298</x:f>
        <x:v>7</x:v>
      </x:c>
      <x:c r="R298" s="9" t="n">
        <x:f>IF(AND(INDEX('Сводка'!$T$3:$T$397,U298)=0,INDEX('Сводка'!$T$3:$T$397,V298)=0),1,0)</x:f>
        <x:v>1</x:v>
      </x:c>
      <x:c r="S298" s="9" t="n">
        <x:f>IF(AND(R298=1,O298&lt;=$G$13),1,0)</x:f>
        <x:v>0</x:v>
      </x:c>
      <x:c r="T298" s="10" t="n">
        <x:f>EOMONTH(J298-'Сводка'!$B$11,-1)</x:f>
        <x:v>46142</x:v>
      </x:c>
      <x:c r="U298" s="4" t="n">
        <x:f>MATCH(J298,'Сводка'!$R$3:$R$397,0)</x:f>
        <x:v>309</x:v>
      </x:c>
      <x:c r="V298" s="4" t="n">
        <x:f>MATCH(J298-'Сводка'!$B$11,'Сводка'!$R$3:$R$397,0)</x:f>
        <x:v>308</x:v>
      </x:c>
      <x:c r="W298" s="4" t="n">
        <x:f>MATCH(T298,$J$388:$J$400,0)</x:f>
        <x:v>11</x:v>
      </x:c>
      <x:c r="X298" s="3"/>
      <x:c r="Y298" s="3"/>
      <x:c r="Z298" s="3"/>
    </x:row>
    <x:row r="299" ht="15" customHeight="1">
      <x:c r="A299" s="3"/>
      <x:c r="B299" s="3"/>
      <x:c r="C299" s="3"/>
      <x:c r="D299" s="3"/>
      <x:c r="E299" s="3"/>
      <x:c r="F299" s="3"/>
      <x:c r="G299" s="3"/>
      <x:c r="H299" s="3"/>
      <x:c r="I299" s="3"/>
      <x:c r="J299" s="10" t="n">
        <x:v>46150</x:v>
      </x:c>
      <x:c r="K299" s="8" t="n">
        <x:f>INDEX('Сводка'!$S$3:$S$397,U299)</x:f>
        <x:v>108</x:v>
      </x:c>
      <x:c r="L299" s="8" t="n">
        <x:f>INDEX('Сводка'!$S$3:$S$397,V299)</x:f>
        <x:v>99</x:v>
      </x:c>
      <x:c r="M299" s="8" t="n">
        <x:f>INDEX($K$388:$N$400,W299,1)+INDEX($K$388:$N$400,W299,2)*(2*(J299-$T$405)/(T299-$T$405)-1)^1+INDEX($K$388:$N$400,W299,3)*(2*(J299-$T$405)/(T299-$T$405)-1)^2+INDEX($O$388:$Z$400,W299,MONTH(J299))</x:f>
        <x:v>161.51957820696958</x:v>
      </x:c>
      <x:c r="N299" s="8" t="n">
        <x:f>K299-M299</x:f>
        <x:v>-53.519578206969584</x:v>
      </x:c>
      <x:c r="O299" s="8" t="n">
        <x:f>ABS(N299)</x:f>
        <x:v>53.519578206969584</x:v>
      </x:c>
      <x:c r="P299" s="8" t="n">
        <x:f>N299^2</x:f>
        <x:v>2864.3452514519336</x:v>
      </x:c>
      <x:c r="Q299" s="8" t="n">
        <x:f>K299-L299</x:f>
        <x:v>9</x:v>
      </x:c>
      <x:c r="R299" s="9" t="n">
        <x:f>IF(AND(INDEX('Сводка'!$T$3:$T$397,U299)=0,INDEX('Сводка'!$T$3:$T$397,V299)=0),1,0)</x:f>
        <x:v>1</x:v>
      </x:c>
      <x:c r="S299" s="9" t="n">
        <x:f>IF(AND(R299=1,O299&lt;=$G$13),1,0)</x:f>
        <x:v>0</x:v>
      </x:c>
      <x:c r="T299" s="10" t="n">
        <x:f>EOMONTH(J299-'Сводка'!$B$11,-1)</x:f>
        <x:v>46142</x:v>
      </x:c>
      <x:c r="U299" s="4" t="n">
        <x:f>MATCH(J299,'Сводка'!$R$3:$R$397,0)</x:f>
        <x:v>310</x:v>
      </x:c>
      <x:c r="V299" s="4" t="n">
        <x:f>MATCH(J299-'Сводка'!$B$11,'Сводка'!$R$3:$R$397,0)</x:f>
        <x:v>309</x:v>
      </x:c>
      <x:c r="W299" s="4" t="n">
        <x:f>MATCH(T299,$J$388:$J$400,0)</x:f>
        <x:v>11</x:v>
      </x:c>
      <x:c r="X299" s="3"/>
      <x:c r="Y299" s="3"/>
      <x:c r="Z299" s="3"/>
    </x:row>
    <x:row r="300" ht="15" customHeight="1">
      <x:c r="A300" s="3"/>
      <x:c r="B300" s="3"/>
      <x:c r="C300" s="3"/>
      <x:c r="D300" s="3"/>
      <x:c r="E300" s="3"/>
      <x:c r="F300" s="3"/>
      <x:c r="G300" s="3"/>
      <x:c r="H300" s="3"/>
      <x:c r="I300" s="3"/>
      <x:c r="J300" s="10" t="n">
        <x:v>46151</x:v>
      </x:c>
      <x:c r="K300" s="8" t="n">
        <x:f>INDEX('Сводка'!$S$3:$S$397,U300)</x:f>
        <x:v>120</x:v>
      </x:c>
      <x:c r="L300" s="8" t="n">
        <x:f>INDEX('Сводка'!$S$3:$S$397,V300)</x:f>
        <x:v>108</x:v>
      </x:c>
      <x:c r="M300" s="8" t="n">
        <x:f>INDEX($K$388:$N$400,W300,1)+INDEX($K$388:$N$400,W300,2)*(2*(J300-$T$405)/(T300-$T$405)-1)^1+INDEX($K$388:$N$400,W300,3)*(2*(J300-$T$405)/(T300-$T$405)-1)^2+INDEX($O$388:$Z$400,W300,MONTH(J300))</x:f>
        <x:v>161.50991588565697</x:v>
      </x:c>
      <x:c r="N300" s="8" t="n">
        <x:f>K300-M300</x:f>
        <x:v>-41.509915885656966</x:v>
      </x:c>
      <x:c r="O300" s="8" t="n">
        <x:f>ABS(N300)</x:f>
        <x:v>41.509915885656966</x:v>
      </x:c>
      <x:c r="P300" s="8" t="n">
        <x:f>N300^2</x:f>
        <x:v>1723.0731168343166</x:v>
      </x:c>
      <x:c r="Q300" s="8" t="n">
        <x:f>K300-L300</x:f>
        <x:v>12</x:v>
      </x:c>
      <x:c r="R300" s="9" t="n">
        <x:f>IF(AND(INDEX('Сводка'!$T$3:$T$397,U300)=0,INDEX('Сводка'!$T$3:$T$397,V300)=0),1,0)</x:f>
        <x:v>1</x:v>
      </x:c>
      <x:c r="S300" s="9" t="n">
        <x:f>IF(AND(R300=1,O300&lt;=$G$13),1,0)</x:f>
        <x:v>0</x:v>
      </x:c>
      <x:c r="T300" s="10" t="n">
        <x:f>EOMONTH(J300-'Сводка'!$B$11,-1)</x:f>
        <x:v>46142</x:v>
      </x:c>
      <x:c r="U300" s="4" t="n">
        <x:f>MATCH(J300,'Сводка'!$R$3:$R$397,0)</x:f>
        <x:v>311</x:v>
      </x:c>
      <x:c r="V300" s="4" t="n">
        <x:f>MATCH(J300-'Сводка'!$B$11,'Сводка'!$R$3:$R$397,0)</x:f>
        <x:v>310</x:v>
      </x:c>
      <x:c r="W300" s="4" t="n">
        <x:f>MATCH(T300,$J$388:$J$400,0)</x:f>
        <x:v>11</x:v>
      </x:c>
      <x:c r="X300" s="3"/>
      <x:c r="Y300" s="3"/>
      <x:c r="Z300" s="3"/>
    </x:row>
    <x:row r="301" ht="15" customHeight="1">
      <x:c r="A301" s="3"/>
      <x:c r="B301" s="3"/>
      <x:c r="C301" s="3"/>
      <x:c r="D301" s="3"/>
      <x:c r="E301" s="3"/>
      <x:c r="F301" s="3"/>
      <x:c r="G301" s="3"/>
      <x:c r="H301" s="3"/>
      <x:c r="I301" s="3"/>
      <x:c r="J301" s="10" t="n">
        <x:v>46152</x:v>
      </x:c>
      <x:c r="K301" s="8" t="n">
        <x:f>INDEX('Сводка'!$S$3:$S$397,U301)</x:f>
        <x:v>137</x:v>
      </x:c>
      <x:c r="L301" s="8" t="n">
        <x:f>INDEX('Сводка'!$S$3:$S$397,V301)</x:f>
        <x:v>120</x:v>
      </x:c>
      <x:c r="M301" s="8" t="n">
        <x:f>INDEX($K$388:$N$400,W301,1)+INDEX($K$388:$N$400,W301,2)*(2*(J301-$T$405)/(T301-$T$405)-1)^1+INDEX($K$388:$N$400,W301,3)*(2*(J301-$T$405)/(T301-$T$405)-1)^2+INDEX($O$388:$Z$400,W301,MONTH(J301))</x:f>
        <x:v>161.50024701490895</x:v>
      </x:c>
      <x:c r="N301" s="8" t="n">
        <x:f>K301-M301</x:f>
        <x:v>-24.50024701490895</x:v>
      </x:c>
      <x:c r="O301" s="8" t="n">
        <x:f>ABS(N301)</x:f>
        <x:v>24.50024701490895</x:v>
      </x:c>
      <x:c r="P301" s="8" t="n">
        <x:f>N301^2</x:f>
        <x:v>600.262103791555</x:v>
      </x:c>
      <x:c r="Q301" s="8" t="n">
        <x:f>K301-L301</x:f>
        <x:v>17</x:v>
      </x:c>
      <x:c r="R301" s="9" t="n">
        <x:f>IF(AND(INDEX('Сводка'!$T$3:$T$397,U301)=0,INDEX('Сводка'!$T$3:$T$397,V301)=0),1,0)</x:f>
        <x:v>1</x:v>
      </x:c>
      <x:c r="S301" s="9" t="n">
        <x:f>IF(AND(R301=1,O301&lt;=$G$13),1,0)</x:f>
        <x:v>0</x:v>
      </x:c>
      <x:c r="T301" s="10" t="n">
        <x:f>EOMONTH(J301-'Сводка'!$B$11,-1)</x:f>
        <x:v>46142</x:v>
      </x:c>
      <x:c r="U301" s="4" t="n">
        <x:f>MATCH(J301,'Сводка'!$R$3:$R$397,0)</x:f>
        <x:v>312</x:v>
      </x:c>
      <x:c r="V301" s="4" t="n">
        <x:f>MATCH(J301-'Сводка'!$B$11,'Сводка'!$R$3:$R$397,0)</x:f>
        <x:v>311</x:v>
      </x:c>
      <x:c r="W301" s="4" t="n">
        <x:f>MATCH(T301,$J$388:$J$400,0)</x:f>
        <x:v>11</x:v>
      </x:c>
      <x:c r="X301" s="3"/>
      <x:c r="Y301" s="3"/>
      <x:c r="Z301" s="3"/>
    </x:row>
    <x:row r="302" ht="15" customHeight="1">
      <x:c r="A302" s="3"/>
      <x:c r="B302" s="3"/>
      <x:c r="C302" s="3"/>
      <x:c r="D302" s="3"/>
      <x:c r="E302" s="3"/>
      <x:c r="F302" s="3"/>
      <x:c r="G302" s="3"/>
      <x:c r="H302" s="3"/>
      <x:c r="I302" s="3"/>
      <x:c r="J302" s="10" t="n">
        <x:v>46153</x:v>
      </x:c>
      <x:c r="K302" s="8" t="n">
        <x:f>INDEX('Сводка'!$S$3:$S$397,U302)</x:f>
        <x:v>152</x:v>
      </x:c>
      <x:c r="L302" s="8" t="n">
        <x:f>INDEX('Сводка'!$S$3:$S$397,V302)</x:f>
        <x:v>137</x:v>
      </x:c>
      <x:c r="M302" s="8" t="n">
        <x:f>INDEX($K$388:$N$400,W302,1)+INDEX($K$388:$N$400,W302,2)*(2*(J302-$T$405)/(T302-$T$405)-1)^1+INDEX($K$388:$N$400,W302,3)*(2*(J302-$T$405)/(T302-$T$405)-1)^2+INDEX($O$388:$Z$400,W302,MONTH(J302))</x:f>
        <x:v>161.4905715947256</x:v>
      </x:c>
      <x:c r="N302" s="8" t="n">
        <x:f>K302-M302</x:f>
        <x:v>-9.490571594725594</x:v>
      </x:c>
      <x:c r="O302" s="8" t="n">
        <x:f>ABS(N302)</x:f>
        <x:v>9.490571594725594</x:v>
      </x:c>
      <x:c r="P302" s="8" t="n">
        <x:f>N302^2</x:f>
        <x:v>90.07094919461231</x:v>
      </x:c>
      <x:c r="Q302" s="8" t="n">
        <x:f>K302-L302</x:f>
        <x:v>15</x:v>
      </x:c>
      <x:c r="R302" s="9" t="n">
        <x:f>IF(AND(INDEX('Сводка'!$T$3:$T$397,U302)=0,INDEX('Сводка'!$T$3:$T$397,V302)=0),1,0)</x:f>
        <x:v>1</x:v>
      </x:c>
      <x:c r="S302" s="9" t="n">
        <x:f>IF(AND(R302=1,O302&lt;=$G$13),1,0)</x:f>
        <x:v>0</x:v>
      </x:c>
      <x:c r="T302" s="10" t="n">
        <x:f>EOMONTH(J302-'Сводка'!$B$11,-1)</x:f>
        <x:v>46142</x:v>
      </x:c>
      <x:c r="U302" s="4" t="n">
        <x:f>MATCH(J302,'Сводка'!$R$3:$R$397,0)</x:f>
        <x:v>313</x:v>
      </x:c>
      <x:c r="V302" s="4" t="n">
        <x:f>MATCH(J302-'Сводка'!$B$11,'Сводка'!$R$3:$R$397,0)</x:f>
        <x:v>312</x:v>
      </x:c>
      <x:c r="W302" s="4" t="n">
        <x:f>MATCH(T302,$J$388:$J$400,0)</x:f>
        <x:v>11</x:v>
      </x:c>
      <x:c r="X302" s="3"/>
      <x:c r="Y302" s="3"/>
      <x:c r="Z302" s="3"/>
    </x:row>
    <x:row r="303" ht="15" customHeight="1">
      <x:c r="A303" s="3"/>
      <x:c r="B303" s="3"/>
      <x:c r="C303" s="3"/>
      <x:c r="D303" s="3"/>
      <x:c r="E303" s="3"/>
      <x:c r="F303" s="3"/>
      <x:c r="G303" s="3"/>
      <x:c r="H303" s="3"/>
      <x:c r="I303" s="3"/>
      <x:c r="J303" s="10" t="n">
        <x:v>46154</x:v>
      </x:c>
      <x:c r="K303" s="8" t="n">
        <x:f>INDEX('Сводка'!$S$3:$S$397,U303)</x:f>
        <x:v>160</x:v>
      </x:c>
      <x:c r="L303" s="8" t="n">
        <x:f>INDEX('Сводка'!$S$3:$S$397,V303)</x:f>
        <x:v>152</x:v>
      </x:c>
      <x:c r="M303" s="8" t="n">
        <x:f>INDEX($K$388:$N$400,W303,1)+INDEX($K$388:$N$400,W303,2)*(2*(J303-$T$405)/(T303-$T$405)-1)^1+INDEX($K$388:$N$400,W303,3)*(2*(J303-$T$405)/(T303-$T$405)-1)^2+INDEX($O$388:$Z$400,W303,MONTH(J303))</x:f>
        <x:v>161.48088962510684</x:v>
      </x:c>
      <x:c r="N303" s="8" t="n">
        <x:f>K303-M303</x:f>
        <x:v>-1.4808896251068404</x:v>
      </x:c>
      <x:c r="O303" s="8" t="n">
        <x:f>ABS(N303)</x:f>
        <x:v>1.4808896251068404</x:v>
      </x:c>
      <x:c r="P303" s="8" t="n">
        <x:f>N303^2</x:f>
        <x:v>2.1930340817490785</x:v>
      </x:c>
      <x:c r="Q303" s="8" t="n">
        <x:f>K303-L303</x:f>
        <x:v>8</x:v>
      </x:c>
      <x:c r="R303" s="9" t="n">
        <x:f>IF(AND(INDEX('Сводка'!$T$3:$T$397,U303)=0,INDEX('Сводка'!$T$3:$T$397,V303)=0),1,0)</x:f>
        <x:v>1</x:v>
      </x:c>
      <x:c r="S303" s="9" t="n">
        <x:f>IF(AND(R303=1,O303&lt;=$G$13),1,0)</x:f>
        <x:v>1</x:v>
      </x:c>
      <x:c r="T303" s="10" t="n">
        <x:f>EOMONTH(J303-'Сводка'!$B$11,-1)</x:f>
        <x:v>46142</x:v>
      </x:c>
      <x:c r="U303" s="4" t="n">
        <x:f>MATCH(J303,'Сводка'!$R$3:$R$397,0)</x:f>
        <x:v>314</x:v>
      </x:c>
      <x:c r="V303" s="4" t="n">
        <x:f>MATCH(J303-'Сводка'!$B$11,'Сводка'!$R$3:$R$397,0)</x:f>
        <x:v>313</x:v>
      </x:c>
      <x:c r="W303" s="4" t="n">
        <x:f>MATCH(T303,$J$388:$J$400,0)</x:f>
        <x:v>11</x:v>
      </x:c>
      <x:c r="X303" s="3"/>
      <x:c r="Y303" s="3"/>
      <x:c r="Z303" s="3"/>
    </x:row>
    <x:row r="304" ht="15" customHeight="1">
      <x:c r="A304" s="3"/>
      <x:c r="B304" s="3"/>
      <x:c r="C304" s="3"/>
      <x:c r="D304" s="3"/>
      <x:c r="E304" s="3"/>
      <x:c r="F304" s="3"/>
      <x:c r="G304" s="3"/>
      <x:c r="H304" s="3"/>
      <x:c r="I304" s="3"/>
      <x:c r="J304" s="10" t="n">
        <x:v>46155</x:v>
      </x:c>
      <x:c r="K304" s="8" t="n">
        <x:f>INDEX('Сводка'!$S$3:$S$397,U304)</x:f>
        <x:v>162</x:v>
      </x:c>
      <x:c r="L304" s="8" t="n">
        <x:f>INDEX('Сводка'!$S$3:$S$397,V304)</x:f>
        <x:v>160</x:v>
      </x:c>
      <x:c r="M304" s="8" t="n">
        <x:f>INDEX($K$388:$N$400,W304,1)+INDEX($K$388:$N$400,W304,2)*(2*(J304-$T$405)/(T304-$T$405)-1)^1+INDEX($K$388:$N$400,W304,3)*(2*(J304-$T$405)/(T304-$T$405)-1)^2+INDEX($O$388:$Z$400,W304,MONTH(J304))</x:f>
        <x:v>161.4712011060527</x:v>
      </x:c>
      <x:c r="N304" s="8" t="n">
        <x:f>K304-M304</x:f>
        <x:v>0.5287988939473109</x:v>
      </x:c>
      <x:c r="O304" s="8" t="n">
        <x:f>ABS(N304)</x:f>
        <x:v>0.5287988939473109</x:v>
      </x:c>
      <x:c r="P304" s="8" t="n">
        <x:f>N304^2</x:f>
        <x:v>0.2796282702398994</x:v>
      </x:c>
      <x:c r="Q304" s="8" t="n">
        <x:f>K304-L304</x:f>
        <x:v>2</x:v>
      </x:c>
      <x:c r="R304" s="9" t="n">
        <x:f>IF(AND(INDEX('Сводка'!$T$3:$T$397,U304)=0,INDEX('Сводка'!$T$3:$T$397,V304)=0),1,0)</x:f>
        <x:v>1</x:v>
      </x:c>
      <x:c r="S304" s="9" t="n">
        <x:f>IF(AND(R304=1,O304&lt;=$G$13),1,0)</x:f>
        <x:v>1</x:v>
      </x:c>
      <x:c r="T304" s="10" t="n">
        <x:f>EOMONTH(J304-'Сводка'!$B$11,-1)</x:f>
        <x:v>46142</x:v>
      </x:c>
      <x:c r="U304" s="4" t="n">
        <x:f>MATCH(J304,'Сводка'!$R$3:$R$397,0)</x:f>
        <x:v>315</x:v>
      </x:c>
      <x:c r="V304" s="4" t="n">
        <x:f>MATCH(J304-'Сводка'!$B$11,'Сводка'!$R$3:$R$397,0)</x:f>
        <x:v>314</x:v>
      </x:c>
      <x:c r="W304" s="4" t="n">
        <x:f>MATCH(T304,$J$388:$J$400,0)</x:f>
        <x:v>11</x:v>
      </x:c>
      <x:c r="X304" s="3"/>
      <x:c r="Y304" s="3"/>
      <x:c r="Z304" s="3"/>
    </x:row>
    <x:row r="305" ht="15" customHeight="1">
      <x:c r="A305" s="3"/>
      <x:c r="B305" s="3"/>
      <x:c r="C305" s="3"/>
      <x:c r="D305" s="3"/>
      <x:c r="E305" s="3"/>
      <x:c r="F305" s="3"/>
      <x:c r="G305" s="3"/>
      <x:c r="H305" s="3"/>
      <x:c r="I305" s="3"/>
      <x:c r="J305" s="10" t="n">
        <x:v>46156</x:v>
      </x:c>
      <x:c r="K305" s="8" t="n">
        <x:f>INDEX('Сводка'!$S$3:$S$397,U305)</x:f>
        <x:v>161</x:v>
      </x:c>
      <x:c r="L305" s="8" t="n">
        <x:f>INDEX('Сводка'!$S$3:$S$397,V305)</x:f>
        <x:v>162</x:v>
      </x:c>
      <x:c r="M305" s="8" t="n">
        <x:f>INDEX($K$388:$N$400,W305,1)+INDEX($K$388:$N$400,W305,2)*(2*(J305-$T$405)/(T305-$T$405)-1)^1+INDEX($K$388:$N$400,W305,3)*(2*(J305-$T$405)/(T305-$T$405)-1)^2+INDEX($O$388:$Z$400,W305,MONTH(J305))</x:f>
        <x:v>161.4615060375632</x:v>
      </x:c>
      <x:c r="N305" s="8" t="n">
        <x:f>K305-M305</x:f>
        <x:v>-0.46150603756319697</x:v>
      </x:c>
      <x:c r="O305" s="8" t="n">
        <x:f>ABS(N305)</x:f>
        <x:v>0.46150603756319697</x:v>
      </x:c>
      <x:c r="P305" s="8" t="n">
        <x:f>N305^2</x:f>
        <x:v>0.21298782270728298</x:v>
      </x:c>
      <x:c r="Q305" s="8" t="n">
        <x:f>K305-L305</x:f>
        <x:v>-1</x:v>
      </x:c>
      <x:c r="R305" s="9" t="n">
        <x:f>IF(AND(INDEX('Сводка'!$T$3:$T$397,U305)=0,INDEX('Сводка'!$T$3:$T$397,V305)=0),1,0)</x:f>
        <x:v>1</x:v>
      </x:c>
      <x:c r="S305" s="9" t="n">
        <x:f>IF(AND(R305=1,O305&lt;=$G$13),1,0)</x:f>
        <x:v>1</x:v>
      </x:c>
      <x:c r="T305" s="10" t="n">
        <x:f>EOMONTH(J305-'Сводка'!$B$11,-1)</x:f>
        <x:v>46142</x:v>
      </x:c>
      <x:c r="U305" s="4" t="n">
        <x:f>MATCH(J305,'Сводка'!$R$3:$R$397,0)</x:f>
        <x:v>316</x:v>
      </x:c>
      <x:c r="V305" s="4" t="n">
        <x:f>MATCH(J305-'Сводка'!$B$11,'Сводка'!$R$3:$R$397,0)</x:f>
        <x:v>315</x:v>
      </x:c>
      <x:c r="W305" s="4" t="n">
        <x:f>MATCH(T305,$J$388:$J$400,0)</x:f>
        <x:v>11</x:v>
      </x:c>
      <x:c r="X305" s="3"/>
      <x:c r="Y305" s="3"/>
      <x:c r="Z305" s="3"/>
    </x:row>
    <x:row r="306" ht="15" customHeight="1">
      <x:c r="A306" s="3"/>
      <x:c r="B306" s="3"/>
      <x:c r="C306" s="3"/>
      <x:c r="D306" s="3"/>
      <x:c r="E306" s="3"/>
      <x:c r="F306" s="3"/>
      <x:c r="G306" s="3"/>
      <x:c r="H306" s="3"/>
      <x:c r="I306" s="3"/>
      <x:c r="J306" s="10" t="n">
        <x:v>46157</x:v>
      </x:c>
      <x:c r="K306" s="8" t="n">
        <x:f>INDEX('Сводка'!$S$3:$S$397,U306)</x:f>
        <x:v>154</x:v>
      </x:c>
      <x:c r="L306" s="8" t="n">
        <x:f>INDEX('Сводка'!$S$3:$S$397,V306)</x:f>
        <x:v>161</x:v>
      </x:c>
      <x:c r="M306" s="8" t="n">
        <x:f>INDEX($K$388:$N$400,W306,1)+INDEX($K$388:$N$400,W306,2)*(2*(J306-$T$405)/(T306-$T$405)-1)^1+INDEX($K$388:$N$400,W306,3)*(2*(J306-$T$405)/(T306-$T$405)-1)^2+INDEX($O$388:$Z$400,W306,MONTH(J306))</x:f>
        <x:v>161.45180441963834</x:v>
      </x:c>
      <x:c r="N306" s="8" t="n">
        <x:f>K306-M306</x:f>
        <x:v>-7.451804419638336</x:v>
      </x:c>
      <x:c r="O306" s="8" t="n">
        <x:f>ABS(N306)</x:f>
        <x:v>7.451804419638336</x:v>
      </x:c>
      <x:c r="P306" s="8" t="n">
        <x:f>N306^2</x:f>
        <x:v>55.52938910854143</x:v>
      </x:c>
      <x:c r="Q306" s="8" t="n">
        <x:f>K306-L306</x:f>
        <x:v>-7</x:v>
      </x:c>
      <x:c r="R306" s="9" t="n">
        <x:f>IF(AND(INDEX('Сводка'!$T$3:$T$397,U306)=0,INDEX('Сводка'!$T$3:$T$397,V306)=0),1,0)</x:f>
        <x:v>1</x:v>
      </x:c>
      <x:c r="S306" s="9" t="n">
        <x:f>IF(AND(R306=1,O306&lt;=$G$13),1,0)</x:f>
        <x:v>0</x:v>
      </x:c>
      <x:c r="T306" s="10" t="n">
        <x:f>EOMONTH(J306-'Сводка'!$B$11,-1)</x:f>
        <x:v>46142</x:v>
      </x:c>
      <x:c r="U306" s="4" t="n">
        <x:f>MATCH(J306,'Сводка'!$R$3:$R$397,0)</x:f>
        <x:v>317</x:v>
      </x:c>
      <x:c r="V306" s="4" t="n">
        <x:f>MATCH(J306-'Сводка'!$B$11,'Сводка'!$R$3:$R$397,0)</x:f>
        <x:v>316</x:v>
      </x:c>
      <x:c r="W306" s="4" t="n">
        <x:f>MATCH(T306,$J$388:$J$400,0)</x:f>
        <x:v>11</x:v>
      </x:c>
      <x:c r="X306" s="3"/>
      <x:c r="Y306" s="3"/>
      <x:c r="Z306" s="3"/>
    </x:row>
    <x:row r="307" ht="15" customHeight="1">
      <x:c r="A307" s="3"/>
      <x:c r="B307" s="3"/>
      <x:c r="C307" s="3"/>
      <x:c r="D307" s="3"/>
      <x:c r="E307" s="3"/>
      <x:c r="F307" s="3"/>
      <x:c r="G307" s="3"/>
      <x:c r="H307" s="3"/>
      <x:c r="I307" s="3"/>
      <x:c r="J307" s="10" t="n">
        <x:v>46158</x:v>
      </x:c>
      <x:c r="K307" s="8" t="n">
        <x:f>INDEX('Сводка'!$S$3:$S$397,U307)</x:f>
        <x:v>148</x:v>
      </x:c>
      <x:c r="L307" s="8" t="n">
        <x:f>INDEX('Сводка'!$S$3:$S$397,V307)</x:f>
        <x:v>154</x:v>
      </x:c>
      <x:c r="M307" s="8" t="n">
        <x:f>INDEX($K$388:$N$400,W307,1)+INDEX($K$388:$N$400,W307,2)*(2*(J307-$T$405)/(T307-$T$405)-1)^1+INDEX($K$388:$N$400,W307,3)*(2*(J307-$T$405)/(T307-$T$405)-1)^2+INDEX($O$388:$Z$400,W307,MONTH(J307))</x:f>
        <x:v>161.44209625227813</x:v>
      </x:c>
      <x:c r="N307" s="8" t="n">
        <x:f>K307-M307</x:f>
        <x:v>-13.442096252278134</x:v>
      </x:c>
      <x:c r="O307" s="8" t="n">
        <x:f>ABS(N307)</x:f>
        <x:v>13.442096252278134</x:v>
      </x:c>
      <x:c r="P307" s="8" t="n">
        <x:f>N307^2</x:f>
        <x:v>180.68995165550984</x:v>
      </x:c>
      <x:c r="Q307" s="8" t="n">
        <x:f>K307-L307</x:f>
        <x:v>-6</x:v>
      </x:c>
      <x:c r="R307" s="9" t="n">
        <x:f>IF(AND(INDEX('Сводка'!$T$3:$T$397,U307)=0,INDEX('Сводка'!$T$3:$T$397,V307)=0),1,0)</x:f>
        <x:v>1</x:v>
      </x:c>
      <x:c r="S307" s="9" t="n">
        <x:f>IF(AND(R307=1,O307&lt;=$G$13),1,0)</x:f>
        <x:v>0</x:v>
      </x:c>
      <x:c r="T307" s="10" t="n">
        <x:f>EOMONTH(J307-'Сводка'!$B$11,-1)</x:f>
        <x:v>46142</x:v>
      </x:c>
      <x:c r="U307" s="4" t="n">
        <x:f>MATCH(J307,'Сводка'!$R$3:$R$397,0)</x:f>
        <x:v>318</x:v>
      </x:c>
      <x:c r="V307" s="4" t="n">
        <x:f>MATCH(J307-'Сводка'!$B$11,'Сводка'!$R$3:$R$397,0)</x:f>
        <x:v>317</x:v>
      </x:c>
      <x:c r="W307" s="4" t="n">
        <x:f>MATCH(T307,$J$388:$J$400,0)</x:f>
        <x:v>11</x:v>
      </x:c>
      <x:c r="X307" s="3"/>
      <x:c r="Y307" s="3"/>
      <x:c r="Z307" s="3"/>
    </x:row>
    <x:row r="308" ht="15" customHeight="1">
      <x:c r="A308" s="3"/>
      <x:c r="B308" s="3"/>
      <x:c r="C308" s="3"/>
      <x:c r="D308" s="3"/>
      <x:c r="E308" s="3"/>
      <x:c r="F308" s="3"/>
      <x:c r="G308" s="3"/>
      <x:c r="H308" s="3"/>
      <x:c r="I308" s="3"/>
      <x:c r="J308" s="10" t="n">
        <x:v>46159</x:v>
      </x:c>
      <x:c r="K308" s="8" t="n">
        <x:f>INDEX('Сводка'!$S$3:$S$397,U308)</x:f>
        <x:v>141</x:v>
      </x:c>
      <x:c r="L308" s="8" t="n">
        <x:f>INDEX('Сводка'!$S$3:$S$397,V308)</x:f>
        <x:v>148</x:v>
      </x:c>
      <x:c r="M308" s="8" t="n">
        <x:f>INDEX($K$388:$N$400,W308,1)+INDEX($K$388:$N$400,W308,2)*(2*(J308-$T$405)/(T308-$T$405)-1)^1+INDEX($K$388:$N$400,W308,3)*(2*(J308-$T$405)/(T308-$T$405)-1)^2+INDEX($O$388:$Z$400,W308,MONTH(J308))</x:f>
        <x:v>161.43238153548256</x:v>
      </x:c>
      <x:c r="N308" s="8" t="n">
        <x:f>K308-M308</x:f>
        <x:v>-20.432381535482563</x:v>
      </x:c>
      <x:c r="O308" s="8" t="n">
        <x:f>ABS(N308)</x:f>
        <x:v>20.432381535482563</x:v>
      </x:c>
      <x:c r="P308" s="8" t="n">
        <x:f>N308^2</x:f>
        <x:v>417.48221521152874</x:v>
      </x:c>
      <x:c r="Q308" s="8" t="n">
        <x:f>K308-L308</x:f>
        <x:v>-7</x:v>
      </x:c>
      <x:c r="R308" s="9" t="n">
        <x:f>IF(AND(INDEX('Сводка'!$T$3:$T$397,U308)=0,INDEX('Сводка'!$T$3:$T$397,V308)=0),1,0)</x:f>
        <x:v>1</x:v>
      </x:c>
      <x:c r="S308" s="9" t="n">
        <x:f>IF(AND(R308=1,O308&lt;=$G$13),1,0)</x:f>
        <x:v>0</x:v>
      </x:c>
      <x:c r="T308" s="10" t="n">
        <x:f>EOMONTH(J308-'Сводка'!$B$11,-1)</x:f>
        <x:v>46142</x:v>
      </x:c>
      <x:c r="U308" s="4" t="n">
        <x:f>MATCH(J308,'Сводка'!$R$3:$R$397,0)</x:f>
        <x:v>319</x:v>
      </x:c>
      <x:c r="V308" s="4" t="n">
        <x:f>MATCH(J308-'Сводка'!$B$11,'Сводка'!$R$3:$R$397,0)</x:f>
        <x:v>318</x:v>
      </x:c>
      <x:c r="W308" s="4" t="n">
        <x:f>MATCH(T308,$J$388:$J$400,0)</x:f>
        <x:v>11</x:v>
      </x:c>
      <x:c r="X308" s="3"/>
      <x:c r="Y308" s="3"/>
      <x:c r="Z308" s="3"/>
    </x:row>
    <x:row r="309" ht="15" customHeight="1">
      <x:c r="A309" s="3"/>
      <x:c r="B309" s="3"/>
      <x:c r="C309" s="3"/>
      <x:c r="D309" s="3"/>
      <x:c r="E309" s="3"/>
      <x:c r="F309" s="3"/>
      <x:c r="G309" s="3"/>
      <x:c r="H309" s="3"/>
      <x:c r="I309" s="3"/>
      <x:c r="J309" s="10" t="n">
        <x:v>46160</x:v>
      </x:c>
      <x:c r="K309" s="8" t="n">
        <x:f>INDEX('Сводка'!$S$3:$S$397,U309)</x:f>
        <x:v>139</x:v>
      </x:c>
      <x:c r="L309" s="8" t="n">
        <x:f>INDEX('Сводка'!$S$3:$S$397,V309)</x:f>
        <x:v>141</x:v>
      </x:c>
      <x:c r="M309" s="8" t="n">
        <x:f>INDEX($K$388:$N$400,W309,1)+INDEX($K$388:$N$400,W309,2)*(2*(J309-$T$405)/(T309-$T$405)-1)^1+INDEX($K$388:$N$400,W309,3)*(2*(J309-$T$405)/(T309-$T$405)-1)^2+INDEX($O$388:$Z$400,W309,MONTH(J309))</x:f>
        <x:v>161.42266026925157</x:v>
      </x:c>
      <x:c r="N309" s="8" t="n">
        <x:f>K309-M309</x:f>
        <x:v>-22.422660269251566</x:v>
      </x:c>
      <x:c r="O309" s="8" t="n">
        <x:f>ABS(N309)</x:f>
        <x:v>22.422660269251566</x:v>
      </x:c>
      <x:c r="P309" s="8" t="n">
        <x:f>N309^2</x:f>
        <x:v>502.7756935502727</x:v>
      </x:c>
      <x:c r="Q309" s="8" t="n">
        <x:f>K309-L309</x:f>
        <x:v>-2</x:v>
      </x:c>
      <x:c r="R309" s="9" t="n">
        <x:f>IF(AND(INDEX('Сводка'!$T$3:$T$397,U309)=0,INDEX('Сводка'!$T$3:$T$397,V309)=0),1,0)</x:f>
        <x:v>1</x:v>
      </x:c>
      <x:c r="S309" s="9" t="n">
        <x:f>IF(AND(R309=1,O309&lt;=$G$13),1,0)</x:f>
        <x:v>0</x:v>
      </x:c>
      <x:c r="T309" s="10" t="n">
        <x:f>EOMONTH(J309-'Сводка'!$B$11,-1)</x:f>
        <x:v>46142</x:v>
      </x:c>
      <x:c r="U309" s="4" t="n">
        <x:f>MATCH(J309,'Сводка'!$R$3:$R$397,0)</x:f>
        <x:v>320</x:v>
      </x:c>
      <x:c r="V309" s="4" t="n">
        <x:f>MATCH(J309-'Сводка'!$B$11,'Сводка'!$R$3:$R$397,0)</x:f>
        <x:v>319</x:v>
      </x:c>
      <x:c r="W309" s="4" t="n">
        <x:f>MATCH(T309,$J$388:$J$400,0)</x:f>
        <x:v>11</x:v>
      </x:c>
      <x:c r="X309" s="3"/>
      <x:c r="Y309" s="3"/>
      <x:c r="Z309" s="3"/>
    </x:row>
    <x:row r="310" ht="15" customHeight="1">
      <x:c r="A310" s="3"/>
      <x:c r="B310" s="3"/>
      <x:c r="C310" s="3"/>
      <x:c r="D310" s="3"/>
      <x:c r="E310" s="3"/>
      <x:c r="F310" s="3"/>
      <x:c r="G310" s="3"/>
      <x:c r="H310" s="3"/>
      <x:c r="I310" s="3"/>
      <x:c r="J310" s="10" t="n">
        <x:v>46161</x:v>
      </x:c>
      <x:c r="K310" s="8" t="n">
        <x:f>INDEX('Сводка'!$S$3:$S$397,U310)</x:f>
        <x:v>135</x:v>
      </x:c>
      <x:c r="L310" s="8" t="n">
        <x:f>INDEX('Сводка'!$S$3:$S$397,V310)</x:f>
        <x:v>139</x:v>
      </x:c>
      <x:c r="M310" s="8" t="n">
        <x:f>INDEX($K$388:$N$400,W310,1)+INDEX($K$388:$N$400,W310,2)*(2*(J310-$T$405)/(T310-$T$405)-1)^1+INDEX($K$388:$N$400,W310,3)*(2*(J310-$T$405)/(T310-$T$405)-1)^2+INDEX($O$388:$Z$400,W310,MONTH(J310))</x:f>
        <x:v>161.41293245358523</x:v>
      </x:c>
      <x:c r="N310" s="8" t="n">
        <x:f>K310-M310</x:f>
        <x:v>-26.412932453585228</x:v>
      </x:c>
      <x:c r="O310" s="8" t="n">
        <x:f>ABS(N310)</x:f>
        <x:v>26.412932453585228</x:v>
      </x:c>
      <x:c r="P310" s="8" t="n">
        <x:f>N310^2</x:f>
        <x:v>697.6430007976558</x:v>
      </x:c>
      <x:c r="Q310" s="8" t="n">
        <x:f>K310-L310</x:f>
        <x:v>-4</x:v>
      </x:c>
      <x:c r="R310" s="9" t="n">
        <x:f>IF(AND(INDEX('Сводка'!$T$3:$T$397,U310)=0,INDEX('Сводка'!$T$3:$T$397,V310)=0),1,0)</x:f>
        <x:v>1</x:v>
      </x:c>
      <x:c r="S310" s="9" t="n">
        <x:f>IF(AND(R310=1,O310&lt;=$G$13),1,0)</x:f>
        <x:v>0</x:v>
      </x:c>
      <x:c r="T310" s="10" t="n">
        <x:f>EOMONTH(J310-'Сводка'!$B$11,-1)</x:f>
        <x:v>46142</x:v>
      </x:c>
      <x:c r="U310" s="4" t="n">
        <x:f>MATCH(J310,'Сводка'!$R$3:$R$397,0)</x:f>
        <x:v>321</x:v>
      </x:c>
      <x:c r="V310" s="4" t="n">
        <x:f>MATCH(J310-'Сводка'!$B$11,'Сводка'!$R$3:$R$397,0)</x:f>
        <x:v>320</x:v>
      </x:c>
      <x:c r="W310" s="4" t="n">
        <x:f>MATCH(T310,$J$388:$J$400,0)</x:f>
        <x:v>11</x:v>
      </x:c>
      <x:c r="X310" s="3"/>
      <x:c r="Y310" s="3"/>
      <x:c r="Z310" s="3"/>
    </x:row>
    <x:row r="311" ht="15" customHeight="1">
      <x:c r="A311" s="3"/>
      <x:c r="B311" s="3"/>
      <x:c r="C311" s="3"/>
      <x:c r="D311" s="3"/>
      <x:c r="E311" s="3"/>
      <x:c r="F311" s="3"/>
      <x:c r="G311" s="3"/>
      <x:c r="H311" s="3"/>
      <x:c r="I311" s="3"/>
      <x:c r="J311" s="10" t="n">
        <x:v>46162</x:v>
      </x:c>
      <x:c r="K311" s="8" t="n">
        <x:f>INDEX('Сводка'!$S$3:$S$397,U311)</x:f>
        <x:v>135</x:v>
      </x:c>
      <x:c r="L311" s="8" t="n">
        <x:f>INDEX('Сводка'!$S$3:$S$397,V311)</x:f>
        <x:v>135</x:v>
      </x:c>
      <x:c r="M311" s="8" t="n">
        <x:f>INDEX($K$388:$N$400,W311,1)+INDEX($K$388:$N$400,W311,2)*(2*(J311-$T$405)/(T311-$T$405)-1)^1+INDEX($K$388:$N$400,W311,3)*(2*(J311-$T$405)/(T311-$T$405)-1)^2+INDEX($O$388:$Z$400,W311,MONTH(J311))</x:f>
        <x:v>161.4031980884835</x:v>
      </x:c>
      <x:c r="N311" s="8" t="n">
        <x:f>K311-M311</x:f>
        <x:v>-26.403198088483492</x:v>
      </x:c>
      <x:c r="O311" s="8" t="n">
        <x:f>ABS(N311)</x:f>
        <x:v>26.403198088483492</x:v>
      </x:c>
      <x:c r="P311" s="8" t="n">
        <x:f>N311^2</x:f>
        <x:v>697.1288692996983</x:v>
      </x:c>
      <x:c r="Q311" s="8" t="n">
        <x:f>K311-L311</x:f>
        <x:v>0</x:v>
      </x:c>
      <x:c r="R311" s="9" t="n">
        <x:f>IF(AND(INDEX('Сводка'!$T$3:$T$397,U311)=0,INDEX('Сводка'!$T$3:$T$397,V311)=0),1,0)</x:f>
        <x:v>1</x:v>
      </x:c>
      <x:c r="S311" s="9" t="n">
        <x:f>IF(AND(R311=1,O311&lt;=$G$13),1,0)</x:f>
        <x:v>0</x:v>
      </x:c>
      <x:c r="T311" s="10" t="n">
        <x:f>EOMONTH(J311-'Сводка'!$B$11,-1)</x:f>
        <x:v>46142</x:v>
      </x:c>
      <x:c r="U311" s="4" t="n">
        <x:f>MATCH(J311,'Сводка'!$R$3:$R$397,0)</x:f>
        <x:v>322</x:v>
      </x:c>
      <x:c r="V311" s="4" t="n">
        <x:f>MATCH(J311-'Сводка'!$B$11,'Сводка'!$R$3:$R$397,0)</x:f>
        <x:v>321</x:v>
      </x:c>
      <x:c r="W311" s="4" t="n">
        <x:f>MATCH(T311,$J$388:$J$400,0)</x:f>
        <x:v>11</x:v>
      </x:c>
      <x:c r="X311" s="3"/>
      <x:c r="Y311" s="3"/>
      <x:c r="Z311" s="3"/>
    </x:row>
    <x:row r="312" ht="15" customHeight="1">
      <x:c r="A312" s="3"/>
      <x:c r="B312" s="3"/>
      <x:c r="C312" s="3"/>
      <x:c r="D312" s="3"/>
      <x:c r="E312" s="3"/>
      <x:c r="F312" s="3"/>
      <x:c r="G312" s="3"/>
      <x:c r="H312" s="3"/>
      <x:c r="I312" s="3"/>
      <x:c r="J312" s="10" t="n">
        <x:v>46163</x:v>
      </x:c>
      <x:c r="K312" s="8" t="n">
        <x:f>INDEX('Сводка'!$S$3:$S$397,U312)</x:f>
        <x:v>134</x:v>
      </x:c>
      <x:c r="L312" s="8" t="n">
        <x:f>INDEX('Сводка'!$S$3:$S$397,V312)</x:f>
        <x:v>135</x:v>
      </x:c>
      <x:c r="M312" s="8" t="n">
        <x:f>INDEX($K$388:$N$400,W312,1)+INDEX($K$388:$N$400,W312,2)*(2*(J312-$T$405)/(T312-$T$405)-1)^1+INDEX($K$388:$N$400,W312,3)*(2*(J312-$T$405)/(T312-$T$405)-1)^2+INDEX($O$388:$Z$400,W312,MONTH(J312))</x:f>
        <x:v>161.39345717394642</x:v>
      </x:c>
      <x:c r="N312" s="8" t="n">
        <x:f>K312-M312</x:f>
        <x:v>-27.393457173946416</x:v>
      </x:c>
      <x:c r="O312" s="8" t="n">
        <x:f>ABS(N312)</x:f>
        <x:v>27.393457173946416</x:v>
      </x:c>
      <x:c r="P312" s="8" t="n">
        <x:f>N312^2</x:f>
        <x:v>750.4014959408364</x:v>
      </x:c>
      <x:c r="Q312" s="8" t="n">
        <x:f>K312-L312</x:f>
        <x:v>-1</x:v>
      </x:c>
      <x:c r="R312" s="9" t="n">
        <x:f>IF(AND(INDEX('Сводка'!$T$3:$T$397,U312)=0,INDEX('Сводка'!$T$3:$T$397,V312)=0),1,0)</x:f>
        <x:v>1</x:v>
      </x:c>
      <x:c r="S312" s="9" t="n">
        <x:f>IF(AND(R312=1,O312&lt;=$G$13),1,0)</x:f>
        <x:v>0</x:v>
      </x:c>
      <x:c r="T312" s="10" t="n">
        <x:f>EOMONTH(J312-'Сводка'!$B$11,-1)</x:f>
        <x:v>46142</x:v>
      </x:c>
      <x:c r="U312" s="4" t="n">
        <x:f>MATCH(J312,'Сводка'!$R$3:$R$397,0)</x:f>
        <x:v>323</x:v>
      </x:c>
      <x:c r="V312" s="4" t="n">
        <x:f>MATCH(J312-'Сводка'!$B$11,'Сводка'!$R$3:$R$397,0)</x:f>
        <x:v>322</x:v>
      </x:c>
      <x:c r="W312" s="4" t="n">
        <x:f>MATCH(T312,$J$388:$J$400,0)</x:f>
        <x:v>11</x:v>
      </x:c>
      <x:c r="X312" s="3"/>
      <x:c r="Y312" s="3"/>
      <x:c r="Z312" s="3"/>
    </x:row>
    <x:row r="313" ht="15" customHeight="1">
      <x:c r="A313" s="3"/>
      <x:c r="B313" s="3"/>
      <x:c r="C313" s="3"/>
      <x:c r="D313" s="3"/>
      <x:c r="E313" s="3"/>
      <x:c r="F313" s="3"/>
      <x:c r="G313" s="3"/>
      <x:c r="H313" s="3"/>
      <x:c r="I313" s="3"/>
      <x:c r="J313" s="10" t="n">
        <x:v>46164</x:v>
      </x:c>
      <x:c r="K313" s="8" t="n">
        <x:f>INDEX('Сводка'!$S$3:$S$397,U313)</x:f>
        <x:v>131</x:v>
      </x:c>
      <x:c r="L313" s="8" t="n">
        <x:f>INDEX('Сводка'!$S$3:$S$397,V313)</x:f>
        <x:v>134</x:v>
      </x:c>
      <x:c r="M313" s="8" t="n">
        <x:f>INDEX($K$388:$N$400,W313,1)+INDEX($K$388:$N$400,W313,2)*(2*(J313-$T$405)/(T313-$T$405)-1)^1+INDEX($K$388:$N$400,W313,3)*(2*(J313-$T$405)/(T313-$T$405)-1)^2+INDEX($O$388:$Z$400,W313,MONTH(J313))</x:f>
        <x:v>161.38370970997394</x:v>
      </x:c>
      <x:c r="N313" s="8" t="n">
        <x:f>K313-M313</x:f>
        <x:v>-30.383709709973942</x:v>
      </x:c>
      <x:c r="O313" s="8" t="n">
        <x:f>ABS(N313)</x:f>
        <x:v>30.383709709973942</x:v>
      </x:c>
      <x:c r="P313" s="8" t="n">
        <x:f>N313^2</x:f>
        <x:v>923.1698157399649</x:v>
      </x:c>
      <x:c r="Q313" s="8" t="n">
        <x:f>K313-L313</x:f>
        <x:v>-3</x:v>
      </x:c>
      <x:c r="R313" s="9" t="n">
        <x:f>IF(AND(INDEX('Сводка'!$T$3:$T$397,U313)=0,INDEX('Сводка'!$T$3:$T$397,V313)=0),1,0)</x:f>
        <x:v>1</x:v>
      </x:c>
      <x:c r="S313" s="9" t="n">
        <x:f>IF(AND(R313=1,O313&lt;=$G$13),1,0)</x:f>
        <x:v>0</x:v>
      </x:c>
      <x:c r="T313" s="10" t="n">
        <x:f>EOMONTH(J313-'Сводка'!$B$11,-1)</x:f>
        <x:v>46142</x:v>
      </x:c>
      <x:c r="U313" s="4" t="n">
        <x:f>MATCH(J313,'Сводка'!$R$3:$R$397,0)</x:f>
        <x:v>324</x:v>
      </x:c>
      <x:c r="V313" s="4" t="n">
        <x:f>MATCH(J313-'Сводка'!$B$11,'Сводка'!$R$3:$R$397,0)</x:f>
        <x:v>323</x:v>
      </x:c>
      <x:c r="W313" s="4" t="n">
        <x:f>MATCH(T313,$J$388:$J$400,0)</x:f>
        <x:v>11</x:v>
      </x:c>
      <x:c r="X313" s="3"/>
      <x:c r="Y313" s="3"/>
      <x:c r="Z313" s="3"/>
    </x:row>
    <x:row r="314" ht="15" customHeight="1">
      <x:c r="A314" s="3"/>
      <x:c r="B314" s="3"/>
      <x:c r="C314" s="3"/>
      <x:c r="D314" s="3"/>
      <x:c r="E314" s="3"/>
      <x:c r="F314" s="3"/>
      <x:c r="G314" s="3"/>
      <x:c r="H314" s="3"/>
      <x:c r="I314" s="3"/>
      <x:c r="J314" s="10" t="n">
        <x:v>46165</x:v>
      </x:c>
      <x:c r="K314" s="8" t="n">
        <x:f>INDEX('Сводка'!$S$3:$S$397,U314)</x:f>
        <x:v>126</x:v>
      </x:c>
      <x:c r="L314" s="8" t="n">
        <x:f>INDEX('Сводка'!$S$3:$S$397,V314)</x:f>
        <x:v>131</x:v>
      </x:c>
      <x:c r="M314" s="8" t="n">
        <x:f>INDEX($K$388:$N$400,W314,1)+INDEX($K$388:$N$400,W314,2)*(2*(J314-$T$405)/(T314-$T$405)-1)^1+INDEX($K$388:$N$400,W314,3)*(2*(J314-$T$405)/(T314-$T$405)-1)^2+INDEX($O$388:$Z$400,W314,MONTH(J314))</x:f>
        <x:v>161.37395569656618</x:v>
      </x:c>
      <x:c r="N314" s="8" t="n">
        <x:f>K314-M314</x:f>
        <x:v>-35.373955696566185</x:v>
      </x:c>
      <x:c r="O314" s="8" t="n">
        <x:f>ABS(N314)</x:f>
        <x:v>35.373955696566185</x:v>
      </x:c>
      <x:c r="P314" s="8" t="n">
        <x:f>N314^2</x:f>
        <x:v>1251.3167416226272</x:v>
      </x:c>
      <x:c r="Q314" s="8" t="n">
        <x:f>K314-L314</x:f>
        <x:v>-5</x:v>
      </x:c>
      <x:c r="R314" s="9" t="n">
        <x:f>IF(AND(INDEX('Сводка'!$T$3:$T$397,U314)=0,INDEX('Сводка'!$T$3:$T$397,V314)=0),1,0)</x:f>
        <x:v>1</x:v>
      </x:c>
      <x:c r="S314" s="9" t="n">
        <x:f>IF(AND(R314=1,O314&lt;=$G$13),1,0)</x:f>
        <x:v>0</x:v>
      </x:c>
      <x:c r="T314" s="10" t="n">
        <x:f>EOMONTH(J314-'Сводка'!$B$11,-1)</x:f>
        <x:v>46142</x:v>
      </x:c>
      <x:c r="U314" s="4" t="n">
        <x:f>MATCH(J314,'Сводка'!$R$3:$R$397,0)</x:f>
        <x:v>325</x:v>
      </x:c>
      <x:c r="V314" s="4" t="n">
        <x:f>MATCH(J314-'Сводка'!$B$11,'Сводка'!$R$3:$R$397,0)</x:f>
        <x:v>324</x:v>
      </x:c>
      <x:c r="W314" s="4" t="n">
        <x:f>MATCH(T314,$J$388:$J$400,0)</x:f>
        <x:v>11</x:v>
      </x:c>
      <x:c r="X314" s="3"/>
      <x:c r="Y314" s="3"/>
      <x:c r="Z314" s="3"/>
    </x:row>
    <x:row r="315" ht="15" customHeight="1">
      <x:c r="A315" s="3"/>
      <x:c r="B315" s="3"/>
      <x:c r="C315" s="3"/>
      <x:c r="D315" s="3"/>
      <x:c r="E315" s="3"/>
      <x:c r="F315" s="3"/>
      <x:c r="G315" s="3"/>
      <x:c r="H315" s="3"/>
      <x:c r="I315" s="3"/>
      <x:c r="J315" s="10" t="n">
        <x:v>46166</x:v>
      </x:c>
      <x:c r="K315" s="8" t="n">
        <x:f>INDEX('Сводка'!$S$3:$S$397,U315)</x:f>
        <x:v>119</x:v>
      </x:c>
      <x:c r="L315" s="8" t="n">
        <x:f>INDEX('Сводка'!$S$3:$S$397,V315)</x:f>
        <x:v>126</x:v>
      </x:c>
      <x:c r="M315" s="8" t="n">
        <x:f>INDEX($K$388:$N$400,W315,1)+INDEX($K$388:$N$400,W315,2)*(2*(J315-$T$405)/(T315-$T$405)-1)^1+INDEX($K$388:$N$400,W315,3)*(2*(J315-$T$405)/(T315-$T$405)-1)^2+INDEX($O$388:$Z$400,W315,MONTH(J315))</x:f>
        <x:v>161.36419513372297</x:v>
      </x:c>
      <x:c r="N315" s="8" t="n">
        <x:f>K315-M315</x:f>
        <x:v>-42.36419513372297</x:v>
      </x:c>
      <x:c r="O315" s="8" t="n">
        <x:f>ABS(N315)</x:f>
        <x:v>42.36419513372297</x:v>
      </x:c>
      <x:c r="P315" s="8" t="n">
        <x:f>N315^2</x:f>
        <x:v>1794.7250293281572</x:v>
      </x:c>
      <x:c r="Q315" s="8" t="n">
        <x:f>K315-L315</x:f>
        <x:v>-7</x:v>
      </x:c>
      <x:c r="R315" s="9" t="n">
        <x:f>IF(AND(INDEX('Сводка'!$T$3:$T$397,U315)=0,INDEX('Сводка'!$T$3:$T$397,V315)=0),1,0)</x:f>
        <x:v>1</x:v>
      </x:c>
      <x:c r="S315" s="9" t="n">
        <x:f>IF(AND(R315=1,O315&lt;=$G$13),1,0)</x:f>
        <x:v>0</x:v>
      </x:c>
      <x:c r="T315" s="10" t="n">
        <x:f>EOMONTH(J315-'Сводка'!$B$11,-1)</x:f>
        <x:v>46142</x:v>
      </x:c>
      <x:c r="U315" s="4" t="n">
        <x:f>MATCH(J315,'Сводка'!$R$3:$R$397,0)</x:f>
        <x:v>326</x:v>
      </x:c>
      <x:c r="V315" s="4" t="n">
        <x:f>MATCH(J315-'Сводка'!$B$11,'Сводка'!$R$3:$R$397,0)</x:f>
        <x:v>325</x:v>
      </x:c>
      <x:c r="W315" s="4" t="n">
        <x:f>MATCH(T315,$J$388:$J$400,0)</x:f>
        <x:v>11</x:v>
      </x:c>
      <x:c r="X315" s="3"/>
      <x:c r="Y315" s="3"/>
      <x:c r="Z315" s="3"/>
    </x:row>
    <x:row r="316" ht="15" customHeight="1">
      <x:c r="A316" s="3"/>
      <x:c r="B316" s="3"/>
      <x:c r="C316" s="3"/>
      <x:c r="D316" s="3"/>
      <x:c r="E316" s="3"/>
      <x:c r="F316" s="3"/>
      <x:c r="G316" s="3"/>
      <x:c r="H316" s="3"/>
      <x:c r="I316" s="3"/>
      <x:c r="J316" s="10" t="n">
        <x:v>46167</x:v>
      </x:c>
      <x:c r="K316" s="8" t="n">
        <x:f>INDEX('Сводка'!$S$3:$S$397,U316)</x:f>
        <x:v>114</x:v>
      </x:c>
      <x:c r="L316" s="8" t="n">
        <x:f>INDEX('Сводка'!$S$3:$S$397,V316)</x:f>
        <x:v>119</x:v>
      </x:c>
      <x:c r="M316" s="8" t="n">
        <x:f>INDEX($K$388:$N$400,W316,1)+INDEX($K$388:$N$400,W316,2)*(2*(J316-$T$405)/(T316-$T$405)-1)^1+INDEX($K$388:$N$400,W316,3)*(2*(J316-$T$405)/(T316-$T$405)-1)^2+INDEX($O$388:$Z$400,W316,MONTH(J316))</x:f>
        <x:v>161.35442802144442</x:v>
      </x:c>
      <x:c r="N316" s="8" t="n">
        <x:f>K316-M316</x:f>
        <x:v>-47.35442802144442</x:v>
      </x:c>
      <x:c r="O316" s="8" t="n">
        <x:f>ABS(N316)</x:f>
        <x:v>47.35442802144442</x:v>
      </x:c>
      <x:c r="P316" s="8" t="n">
        <x:f>N316^2</x:f>
        <x:v>2242.4418532381605</x:v>
      </x:c>
      <x:c r="Q316" s="8" t="n">
        <x:f>K316-L316</x:f>
        <x:v>-5</x:v>
      </x:c>
      <x:c r="R316" s="9" t="n">
        <x:f>IF(AND(INDEX('Сводка'!$T$3:$T$397,U316)=0,INDEX('Сводка'!$T$3:$T$397,V316)=0),1,0)</x:f>
        <x:v>1</x:v>
      </x:c>
      <x:c r="S316" s="9" t="n">
        <x:f>IF(AND(R316=1,O316&lt;=$G$13),1,0)</x:f>
        <x:v>0</x:v>
      </x:c>
      <x:c r="T316" s="10" t="n">
        <x:f>EOMONTH(J316-'Сводка'!$B$11,-1)</x:f>
        <x:v>46142</x:v>
      </x:c>
      <x:c r="U316" s="4" t="n">
        <x:f>MATCH(J316,'Сводка'!$R$3:$R$397,0)</x:f>
        <x:v>327</x:v>
      </x:c>
      <x:c r="V316" s="4" t="n">
        <x:f>MATCH(J316-'Сводка'!$B$11,'Сводка'!$R$3:$R$397,0)</x:f>
        <x:v>326</x:v>
      </x:c>
      <x:c r="W316" s="4" t="n">
        <x:f>MATCH(T316,$J$388:$J$400,0)</x:f>
        <x:v>11</x:v>
      </x:c>
      <x:c r="X316" s="3"/>
      <x:c r="Y316" s="3"/>
      <x:c r="Z316" s="3"/>
    </x:row>
    <x:row r="317" ht="15" customHeight="1">
      <x:c r="A317" s="3"/>
      <x:c r="B317" s="3"/>
      <x:c r="C317" s="3"/>
      <x:c r="D317" s="3"/>
      <x:c r="E317" s="3"/>
      <x:c r="F317" s="3"/>
      <x:c r="G317" s="3"/>
      <x:c r="H317" s="3"/>
      <x:c r="I317" s="3"/>
      <x:c r="J317" s="10" t="n">
        <x:v>46168</x:v>
      </x:c>
      <x:c r="K317" s="8" t="n">
        <x:f>INDEX('Сводка'!$S$3:$S$397,U317)</x:f>
        <x:v>106</x:v>
      </x:c>
      <x:c r="L317" s="8" t="n">
        <x:f>INDEX('Сводка'!$S$3:$S$397,V317)</x:f>
        <x:v>114</x:v>
      </x:c>
      <x:c r="M317" s="8" t="n">
        <x:f>INDEX($K$388:$N$400,W317,1)+INDEX($K$388:$N$400,W317,2)*(2*(J317-$T$405)/(T317-$T$405)-1)^1+INDEX($K$388:$N$400,W317,3)*(2*(J317-$T$405)/(T317-$T$405)-1)^2+INDEX($O$388:$Z$400,W317,MONTH(J317))</x:f>
        <x:v>161.34465435973047</x:v>
      </x:c>
      <x:c r="N317" s="8" t="n">
        <x:f>K317-M317</x:f>
        <x:v>-55.34465435973047</x:v>
      </x:c>
      <x:c r="O317" s="8" t="n">
        <x:f>ABS(N317)</x:f>
        <x:v>55.34465435973047</x:v>
      </x:c>
      <x:c r="P317" s="8" t="n">
        <x:f>N317^2</x:f>
        <x:v>3063.030766198033</x:v>
      </x:c>
      <x:c r="Q317" s="8" t="n">
        <x:f>K317-L317</x:f>
        <x:v>-8</x:v>
      </x:c>
      <x:c r="R317" s="9" t="n">
        <x:f>IF(AND(INDEX('Сводка'!$T$3:$T$397,U317)=0,INDEX('Сводка'!$T$3:$T$397,V317)=0),1,0)</x:f>
        <x:v>1</x:v>
      </x:c>
      <x:c r="S317" s="9" t="n">
        <x:f>IF(AND(R317=1,O317&lt;=$G$13),1,0)</x:f>
        <x:v>0</x:v>
      </x:c>
      <x:c r="T317" s="10" t="n">
        <x:f>EOMONTH(J317-'Сводка'!$B$11,-1)</x:f>
        <x:v>46142</x:v>
      </x:c>
      <x:c r="U317" s="4" t="n">
        <x:f>MATCH(J317,'Сводка'!$R$3:$R$397,0)</x:f>
        <x:v>328</x:v>
      </x:c>
      <x:c r="V317" s="4" t="n">
        <x:f>MATCH(J317-'Сводка'!$B$11,'Сводка'!$R$3:$R$397,0)</x:f>
        <x:v>327</x:v>
      </x:c>
      <x:c r="W317" s="4" t="n">
        <x:f>MATCH(T317,$J$388:$J$400,0)</x:f>
        <x:v>11</x:v>
      </x:c>
      <x:c r="X317" s="3"/>
      <x:c r="Y317" s="3"/>
      <x:c r="Z317" s="3"/>
    </x:row>
    <x:row r="318" ht="15" customHeight="1">
      <x:c r="A318" s="3"/>
      <x:c r="B318" s="3"/>
      <x:c r="C318" s="3"/>
      <x:c r="D318" s="3"/>
      <x:c r="E318" s="3"/>
      <x:c r="F318" s="3"/>
      <x:c r="G318" s="3"/>
      <x:c r="H318" s="3"/>
      <x:c r="I318" s="3"/>
      <x:c r="J318" s="10" t="n">
        <x:v>46169</x:v>
      </x:c>
      <x:c r="K318" s="8" t="n">
        <x:f>INDEX('Сводка'!$S$3:$S$397,U318)</x:f>
        <x:v>101</x:v>
      </x:c>
      <x:c r="L318" s="8" t="n">
        <x:f>INDEX('Сводка'!$S$3:$S$397,V318)</x:f>
        <x:v>106</x:v>
      </x:c>
      <x:c r="M318" s="8" t="n">
        <x:f>INDEX($K$388:$N$400,W318,1)+INDEX($K$388:$N$400,W318,2)*(2*(J318-$T$405)/(T318-$T$405)-1)^1+INDEX($K$388:$N$400,W318,3)*(2*(J318-$T$405)/(T318-$T$405)-1)^2+INDEX($O$388:$Z$400,W318,MONTH(J318))</x:f>
        <x:v>161.33487414858115</x:v>
      </x:c>
      <x:c r="N318" s="8" t="n">
        <x:f>K318-M318</x:f>
        <x:v>-60.33487414858115</x:v>
      </x:c>
      <x:c r="O318" s="8" t="n">
        <x:f>ABS(N318)</x:f>
        <x:v>60.33487414858115</x:v>
      </x:c>
      <x:c r="P318" s="8" t="n">
        <x:f>N318^2</x:f>
        <x:v>3640.297038525126</x:v>
      </x:c>
      <x:c r="Q318" s="8" t="n">
        <x:f>K318-L318</x:f>
        <x:v>-5</x:v>
      </x:c>
      <x:c r="R318" s="9" t="n">
        <x:f>IF(AND(INDEX('Сводка'!$T$3:$T$397,U318)=0,INDEX('Сводка'!$T$3:$T$397,V318)=0),1,0)</x:f>
        <x:v>1</x:v>
      </x:c>
      <x:c r="S318" s="9" t="n">
        <x:f>IF(AND(R318=1,O318&lt;=$G$13),1,0)</x:f>
        <x:v>0</x:v>
      </x:c>
      <x:c r="T318" s="10" t="n">
        <x:f>EOMONTH(J318-'Сводка'!$B$11,-1)</x:f>
        <x:v>46142</x:v>
      </x:c>
      <x:c r="U318" s="4" t="n">
        <x:f>MATCH(J318,'Сводка'!$R$3:$R$397,0)</x:f>
        <x:v>329</x:v>
      </x:c>
      <x:c r="V318" s="4" t="n">
        <x:f>MATCH(J318-'Сводка'!$B$11,'Сводка'!$R$3:$R$397,0)</x:f>
        <x:v>328</x:v>
      </x:c>
      <x:c r="W318" s="4" t="n">
        <x:f>MATCH(T318,$J$388:$J$400,0)</x:f>
        <x:v>11</x:v>
      </x:c>
      <x:c r="X318" s="3"/>
      <x:c r="Y318" s="3"/>
      <x:c r="Z318" s="3"/>
    </x:row>
    <x:row r="319" ht="15" customHeight="1">
      <x:c r="A319" s="3"/>
      <x:c r="B319" s="3"/>
      <x:c r="C319" s="3"/>
      <x:c r="D319" s="3"/>
      <x:c r="E319" s="3"/>
      <x:c r="F319" s="3"/>
      <x:c r="G319" s="3"/>
      <x:c r="H319" s="3"/>
      <x:c r="I319" s="3"/>
      <x:c r="J319" s="10" t="n">
        <x:v>46170</x:v>
      </x:c>
      <x:c r="K319" s="8" t="n">
        <x:f>INDEX('Сводка'!$S$3:$S$397,U319)</x:f>
        <x:v>95</x:v>
      </x:c>
      <x:c r="L319" s="8" t="n">
        <x:f>INDEX('Сводка'!$S$3:$S$397,V319)</x:f>
        <x:v>101</x:v>
      </x:c>
      <x:c r="M319" s="8" t="n">
        <x:f>INDEX($K$388:$N$400,W319,1)+INDEX($K$388:$N$400,W319,2)*(2*(J319-$T$405)/(T319-$T$405)-1)^1+INDEX($K$388:$N$400,W319,3)*(2*(J319-$T$405)/(T319-$T$405)-1)^2+INDEX($O$388:$Z$400,W319,MONTH(J319))</x:f>
        <x:v>161.32508738799646</x:v>
      </x:c>
      <x:c r="N319" s="8" t="n">
        <x:f>K319-M319</x:f>
        <x:v>-66.32508738799646</x:v>
      </x:c>
      <x:c r="O319" s="8" t="n">
        <x:f>ABS(N319)</x:f>
        <x:v>66.32508738799646</x:v>
      </x:c>
      <x:c r="P319" s="8" t="n">
        <x:f>N319^2</x:f>
        <x:v>4399.017217025367</x:v>
      </x:c>
      <x:c r="Q319" s="8" t="n">
        <x:f>K319-L319</x:f>
        <x:v>-6</x:v>
      </x:c>
      <x:c r="R319" s="9" t="n">
        <x:f>IF(AND(INDEX('Сводка'!$T$3:$T$397,U319)=0,INDEX('Сводка'!$T$3:$T$397,V319)=0),1,0)</x:f>
        <x:v>1</x:v>
      </x:c>
      <x:c r="S319" s="9" t="n">
        <x:f>IF(AND(R319=1,O319&lt;=$G$13),1,0)</x:f>
        <x:v>0</x:v>
      </x:c>
      <x:c r="T319" s="10" t="n">
        <x:f>EOMONTH(J319-'Сводка'!$B$11,-1)</x:f>
        <x:v>46142</x:v>
      </x:c>
      <x:c r="U319" s="4" t="n">
        <x:f>MATCH(J319,'Сводка'!$R$3:$R$397,0)</x:f>
        <x:v>330</x:v>
      </x:c>
      <x:c r="V319" s="4" t="n">
        <x:f>MATCH(J319-'Сводка'!$B$11,'Сводка'!$R$3:$R$397,0)</x:f>
        <x:v>329</x:v>
      </x:c>
      <x:c r="W319" s="4" t="n">
        <x:f>MATCH(T319,$J$388:$J$400,0)</x:f>
        <x:v>11</x:v>
      </x:c>
      <x:c r="X319" s="3"/>
      <x:c r="Y319" s="3"/>
      <x:c r="Z319" s="3"/>
    </x:row>
    <x:row r="320" ht="15" customHeight="1">
      <x:c r="A320" s="3"/>
      <x:c r="B320" s="3"/>
      <x:c r="C320" s="3"/>
      <x:c r="D320" s="3"/>
      <x:c r="E320" s="3"/>
      <x:c r="F320" s="3"/>
      <x:c r="G320" s="3"/>
      <x:c r="H320" s="3"/>
      <x:c r="I320" s="3"/>
      <x:c r="J320" s="10" t="n">
        <x:v>46171</x:v>
      </x:c>
      <x:c r="K320" s="8" t="n">
        <x:f>INDEX('Сводка'!$S$3:$S$397,U320)</x:f>
        <x:v>85</x:v>
      </x:c>
      <x:c r="L320" s="8" t="n">
        <x:f>INDEX('Сводка'!$S$3:$S$397,V320)</x:f>
        <x:v>95</x:v>
      </x:c>
      <x:c r="M320" s="8" t="n">
        <x:f>INDEX($K$388:$N$400,W320,1)+INDEX($K$388:$N$400,W320,2)*(2*(J320-$T$405)/(T320-$T$405)-1)^1+INDEX($K$388:$N$400,W320,3)*(2*(J320-$T$405)/(T320-$T$405)-1)^2+INDEX($O$388:$Z$400,W320,MONTH(J320))</x:f>
        <x:v>161.31529407797643</x:v>
      </x:c>
      <x:c r="N320" s="8" t="n">
        <x:f>K320-M320</x:f>
        <x:v>-76.31529407797643</x:v>
      </x:c>
      <x:c r="O320" s="8" t="n">
        <x:f>ABS(N320)</x:f>
        <x:v>76.31529407797643</x:v>
      </x:c>
      <x:c r="P320" s="8" t="n">
        <x:f>N320^2</x:f>
        <x:v>5824.0241102080245</x:v>
      </x:c>
      <x:c r="Q320" s="8" t="n">
        <x:f>K320-L320</x:f>
        <x:v>-10</x:v>
      </x:c>
      <x:c r="R320" s="9" t="n">
        <x:f>IF(AND(INDEX('Сводка'!$T$3:$T$397,U320)=0,INDEX('Сводка'!$T$3:$T$397,V320)=0),1,0)</x:f>
        <x:v>1</x:v>
      </x:c>
      <x:c r="S320" s="9" t="n">
        <x:f>IF(AND(R320=1,O320&lt;=$G$13),1,0)</x:f>
        <x:v>0</x:v>
      </x:c>
      <x:c r="T320" s="10" t="n">
        <x:f>EOMONTH(J320-'Сводка'!$B$11,-1)</x:f>
        <x:v>46142</x:v>
      </x:c>
      <x:c r="U320" s="4" t="n">
        <x:f>MATCH(J320,'Сводка'!$R$3:$R$397,0)</x:f>
        <x:v>331</x:v>
      </x:c>
      <x:c r="V320" s="4" t="n">
        <x:f>MATCH(J320-'Сводка'!$B$11,'Сводка'!$R$3:$R$397,0)</x:f>
        <x:v>330</x:v>
      </x:c>
      <x:c r="W320" s="4" t="n">
        <x:f>MATCH(T320,$J$388:$J$400,0)</x:f>
        <x:v>11</x:v>
      </x:c>
      <x:c r="X320" s="3"/>
      <x:c r="Y320" s="3"/>
      <x:c r="Z320" s="3"/>
    </x:row>
    <x:row r="321" ht="15" customHeight="1">
      <x:c r="A321" s="3"/>
      <x:c r="B321" s="3"/>
      <x:c r="C321" s="3"/>
      <x:c r="D321" s="3"/>
      <x:c r="E321" s="3"/>
      <x:c r="F321" s="3"/>
      <x:c r="G321" s="3"/>
      <x:c r="H321" s="3"/>
      <x:c r="I321" s="3"/>
      <x:c r="J321" s="10" t="n">
        <x:v>46172</x:v>
      </x:c>
      <x:c r="K321" s="8" t="n">
        <x:f>INDEX('Сводка'!$S$3:$S$397,U321)</x:f>
        <x:v>77</x:v>
      </x:c>
      <x:c r="L321" s="8" t="n">
        <x:f>INDEX('Сводка'!$S$3:$S$397,V321)</x:f>
        <x:v>85</x:v>
      </x:c>
      <x:c r="M321" s="8" t="n">
        <x:f>INDEX($K$388:$N$400,W321,1)+INDEX($K$388:$N$400,W321,2)*(2*(J321-$T$405)/(T321-$T$405)-1)^1+INDEX($K$388:$N$400,W321,3)*(2*(J321-$T$405)/(T321-$T$405)-1)^2+INDEX($O$388:$Z$400,W321,MONTH(J321))</x:f>
        <x:v>161.30549421852103</x:v>
      </x:c>
      <x:c r="N321" s="8" t="n">
        <x:f>K321-M321</x:f>
        <x:v>-84.30549421852103</x:v>
      </x:c>
      <x:c r="O321" s="8" t="n">
        <x:f>ABS(N321)</x:f>
        <x:v>84.30549421852103</x:v>
      </x:c>
      <x:c r="P321" s="8" t="n">
        <x:f>N321^2</x:f>
        <x:v>7107.4163554290835</x:v>
      </x:c>
      <x:c r="Q321" s="8" t="n">
        <x:f>K321-L321</x:f>
        <x:v>-8</x:v>
      </x:c>
      <x:c r="R321" s="9" t="n">
        <x:f>IF(AND(INDEX('Сводка'!$T$3:$T$397,U321)=0,INDEX('Сводка'!$T$3:$T$397,V321)=0),1,0)</x:f>
        <x:v>1</x:v>
      </x:c>
      <x:c r="S321" s="9" t="n">
        <x:f>IF(AND(R321=1,O321&lt;=$G$13),1,0)</x:f>
        <x:v>0</x:v>
      </x:c>
      <x:c r="T321" s="10" t="n">
        <x:f>EOMONTH(J321-'Сводка'!$B$11,-1)</x:f>
        <x:v>46142</x:v>
      </x:c>
      <x:c r="U321" s="4" t="n">
        <x:f>MATCH(J321,'Сводка'!$R$3:$R$397,0)</x:f>
        <x:v>332</x:v>
      </x:c>
      <x:c r="V321" s="4" t="n">
        <x:f>MATCH(J321-'Сводка'!$B$11,'Сводка'!$R$3:$R$397,0)</x:f>
        <x:v>331</x:v>
      </x:c>
      <x:c r="W321" s="4" t="n">
        <x:f>MATCH(T321,$J$388:$J$400,0)</x:f>
        <x:v>11</x:v>
      </x:c>
      <x:c r="X321" s="3"/>
      <x:c r="Y321" s="3"/>
      <x:c r="Z321" s="3"/>
    </x:row>
    <x:row r="322" ht="15" customHeight="1">
      <x:c r="A322" s="3"/>
      <x:c r="B322" s="3"/>
      <x:c r="C322" s="3"/>
      <x:c r="D322" s="3"/>
      <x:c r="E322" s="3"/>
      <x:c r="F322" s="3"/>
      <x:c r="G322" s="3"/>
      <x:c r="H322" s="3"/>
      <x:c r="I322" s="3"/>
      <x:c r="J322" s="10" t="n">
        <x:v>46173</x:v>
      </x:c>
      <x:c r="K322" s="8" t="n">
        <x:f>INDEX('Сводка'!$S$3:$S$397,U322)</x:f>
        <x:v>70</x:v>
      </x:c>
      <x:c r="L322" s="8" t="n">
        <x:f>INDEX('Сводка'!$S$3:$S$397,V322)</x:f>
        <x:v>77</x:v>
      </x:c>
      <x:c r="M322" s="8" t="n">
        <x:f>INDEX($K$388:$N$400,W322,1)+INDEX($K$388:$N$400,W322,2)*(2*(J322-$T$405)/(T322-$T$405)-1)^1+INDEX($K$388:$N$400,W322,3)*(2*(J322-$T$405)/(T322-$T$405)-1)^2+INDEX($O$388:$Z$400,W322,MONTH(J322))</x:f>
        <x:v>161.29568780963024</x:v>
      </x:c>
      <x:c r="N322" s="8" t="n">
        <x:f>K322-M322</x:f>
        <x:v>-91.29568780963024</x:v>
      </x:c>
      <x:c r="O322" s="8" t="n">
        <x:f>ABS(N322)</x:f>
        <x:v>91.29568780963024</x:v>
      </x:c>
      <x:c r="P322" s="8" t="n">
        <x:f>N322^2</x:f>
        <x:v>8334.902612633467</x:v>
      </x:c>
      <x:c r="Q322" s="8" t="n">
        <x:f>K322-L322</x:f>
        <x:v>-7</x:v>
      </x:c>
      <x:c r="R322" s="9" t="n">
        <x:f>IF(AND(INDEX('Сводка'!$T$3:$T$397,U322)=0,INDEX('Сводка'!$T$3:$T$397,V322)=0),1,0)</x:f>
        <x:v>1</x:v>
      </x:c>
      <x:c r="S322" s="9" t="n">
        <x:f>IF(AND(R322=1,O322&lt;=$G$13),1,0)</x:f>
        <x:v>0</x:v>
      </x:c>
      <x:c r="T322" s="10" t="n">
        <x:f>EOMONTH(J322-'Сводка'!$B$11,-1)</x:f>
        <x:v>46142</x:v>
      </x:c>
      <x:c r="U322" s="4" t="n">
        <x:f>MATCH(J322,'Сводка'!$R$3:$R$397,0)</x:f>
        <x:v>333</x:v>
      </x:c>
      <x:c r="V322" s="4" t="n">
        <x:f>MATCH(J322-'Сводка'!$B$11,'Сводка'!$R$3:$R$397,0)</x:f>
        <x:v>332</x:v>
      </x:c>
      <x:c r="W322" s="4" t="n">
        <x:f>MATCH(T322,$J$388:$J$400,0)</x:f>
        <x:v>11</x:v>
      </x:c>
      <x:c r="X322" s="3"/>
      <x:c r="Y322" s="3"/>
      <x:c r="Z322" s="3"/>
    </x:row>
    <x:row r="323" ht="15" customHeight="1">
      <x:c r="A323" s="3"/>
      <x:c r="B323" s="3"/>
      <x:c r="C323" s="3"/>
      <x:c r="D323" s="3"/>
      <x:c r="E323" s="3"/>
      <x:c r="F323" s="3"/>
      <x:c r="G323" s="3"/>
      <x:c r="H323" s="3"/>
      <x:c r="I323" s="3"/>
      <x:c r="J323" s="10" t="n">
        <x:v>46174</x:v>
      </x:c>
      <x:c r="K323" s="8" t="n">
        <x:f>INDEX('Сводка'!$S$3:$S$397,U323)</x:f>
        <x:v>64</x:v>
      </x:c>
      <x:c r="L323" s="8" t="n">
        <x:f>INDEX('Сводка'!$S$3:$S$397,V323)</x:f>
        <x:v>70</x:v>
      </x:c>
      <x:c r="M323" s="8" t="n">
        <x:f>INDEX($K$388:$N$400,W323,1)+INDEX($K$388:$N$400,W323,2)*(2*(J323-$T$405)/(T323-$T$405)-1)^1+INDEX($K$388:$N$400,W323,3)*(2*(J323-$T$405)/(T323-$T$405)-1)^2+INDEX($O$388:$Z$400,W323,MONTH(J323))</x:f>
        <x:v>184.90888267472002</x:v>
      </x:c>
      <x:c r="N323" s="8" t="n">
        <x:f>K323-M323</x:f>
        <x:v>-120.90888267472002</x:v>
      </x:c>
      <x:c r="O323" s="8" t="n">
        <x:f>ABS(N323)</x:f>
        <x:v>120.90888267472002</x:v>
      </x:c>
      <x:c r="P323" s="8" t="n">
        <x:f>N323^2</x:f>
        <x:v>14618.95790964921</x:v>
      </x:c>
      <x:c r="Q323" s="8" t="n">
        <x:f>K323-L323</x:f>
        <x:v>-6</x:v>
      </x:c>
      <x:c r="R323" s="9" t="n">
        <x:f>IF(AND(INDEX('Сводка'!$T$3:$T$397,U323)=0,INDEX('Сводка'!$T$3:$T$397,V323)=0),1,0)</x:f>
        <x:v>1</x:v>
      </x:c>
      <x:c r="S323" s="9" t="n">
        <x:f>IF(AND(R323=1,O323&lt;=$G$13),1,0)</x:f>
        <x:v>0</x:v>
      </x:c>
      <x:c r="T323" s="10" t="n">
        <x:f>EOMONTH(J323-'Сводка'!$B$11,-1)</x:f>
        <x:v>46142</x:v>
      </x:c>
      <x:c r="U323" s="4" t="n">
        <x:f>MATCH(J323,'Сводка'!$R$3:$R$397,0)</x:f>
        <x:v>334</x:v>
      </x:c>
      <x:c r="V323" s="4" t="n">
        <x:f>MATCH(J323-'Сводка'!$B$11,'Сводка'!$R$3:$R$397,0)</x:f>
        <x:v>333</x:v>
      </x:c>
      <x:c r="W323" s="4" t="n">
        <x:f>MATCH(T323,$J$388:$J$400,0)</x:f>
        <x:v>11</x:v>
      </x:c>
      <x:c r="X323" s="3"/>
      <x:c r="Y323" s="3"/>
      <x:c r="Z323" s="3"/>
    </x:row>
    <x:row r="324" ht="15" customHeight="1">
      <x:c r="A324" s="3"/>
      <x:c r="B324" s="3"/>
      <x:c r="C324" s="3"/>
      <x:c r="D324" s="3"/>
      <x:c r="E324" s="3"/>
      <x:c r="F324" s="3"/>
      <x:c r="G324" s="3"/>
      <x:c r="H324" s="3"/>
      <x:c r="I324" s="3"/>
      <x:c r="J324" s="10" t="n">
        <x:v>46175</x:v>
      </x:c>
      <x:c r="K324" s="8" t="n">
        <x:f>INDEX('Сводка'!$S$3:$S$397,U324)</x:f>
        <x:v>62</x:v>
      </x:c>
      <x:c r="L324" s="8" t="n">
        <x:f>INDEX('Сводка'!$S$3:$S$397,V324)</x:f>
        <x:v>64</x:v>
      </x:c>
      <x:c r="M324" s="8" t="n">
        <x:f>INDEX($K$388:$N$400,W324,1)+INDEX($K$388:$N$400,W324,2)*(2*(J324-$T$405)/(T324-$T$405)-1)^1+INDEX($K$388:$N$400,W324,3)*(2*(J324-$T$405)/(T324-$T$405)-1)^2+INDEX($O$388:$Z$400,W324,MONTH(J324))</x:f>
        <x:v>183.519998167525</x:v>
      </x:c>
      <x:c r="N324" s="8" t="n">
        <x:f>K324-M324</x:f>
        <x:v>-121.51999816752499</x:v>
      </x:c>
      <x:c r="O324" s="8" t="n">
        <x:f>ABS(N324)</x:f>
        <x:v>121.51999816752499</x:v>
      </x:c>
      <x:c r="P324" s="8" t="n">
        <x:f>N324^2</x:f>
        <x:v>14767.109954635276</x:v>
      </x:c>
      <x:c r="Q324" s="8" t="n">
        <x:f>K324-L324</x:f>
        <x:v>-2</x:v>
      </x:c>
      <x:c r="R324" s="9" t="n">
        <x:f>IF(AND(INDEX('Сводка'!$T$3:$T$397,U324)=0,INDEX('Сводка'!$T$3:$T$397,V324)=0),1,0)</x:f>
        <x:v>1</x:v>
      </x:c>
      <x:c r="S324" s="9" t="n">
        <x:f>IF(AND(R324=1,O324&lt;=$G$13),1,0)</x:f>
        <x:v>0</x:v>
      </x:c>
      <x:c r="T324" s="10" t="n">
        <x:f>EOMONTH(J324-'Сводка'!$B$11,-1)</x:f>
        <x:v>46173</x:v>
      </x:c>
      <x:c r="U324" s="4" t="n">
        <x:f>MATCH(J324,'Сводка'!$R$3:$R$397,0)</x:f>
        <x:v>335</x:v>
      </x:c>
      <x:c r="V324" s="4" t="n">
        <x:f>MATCH(J324-'Сводка'!$B$11,'Сводка'!$R$3:$R$397,0)</x:f>
        <x:v>334</x:v>
      </x:c>
      <x:c r="W324" s="4" t="n">
        <x:f>MATCH(T324,$J$388:$J$400,0)</x:f>
        <x:v>12</x:v>
      </x:c>
      <x:c r="X324" s="3"/>
      <x:c r="Y324" s="3"/>
      <x:c r="Z324" s="3"/>
    </x:row>
    <x:row r="325" ht="15" customHeight="1">
      <x:c r="A325" s="3"/>
      <x:c r="B325" s="3"/>
      <x:c r="C325" s="3"/>
      <x:c r="D325" s="3"/>
      <x:c r="E325" s="3"/>
      <x:c r="F325" s="3"/>
      <x:c r="G325" s="3"/>
      <x:c r="H325" s="3"/>
      <x:c r="I325" s="3"/>
      <x:c r="J325" s="10" t="n">
        <x:v>46176</x:v>
      </x:c>
      <x:c r="K325" s="8" t="n">
        <x:f>INDEX('Сводка'!$S$3:$S$397,U325)</x:f>
        <x:v>61</x:v>
      </x:c>
      <x:c r="L325" s="8" t="n">
        <x:f>INDEX('Сводка'!$S$3:$S$397,V325)</x:f>
        <x:v>62</x:v>
      </x:c>
      <x:c r="M325" s="8" t="n">
        <x:f>INDEX($K$388:$N$400,W325,1)+INDEX($K$388:$N$400,W325,2)*(2*(J325-$T$405)/(T325-$T$405)-1)^1+INDEX($K$388:$N$400,W325,3)*(2*(J325-$T$405)/(T325-$T$405)-1)^2+INDEX($O$388:$Z$400,W325,MONTH(J325))</x:f>
        <x:v>183.5094964850052</x:v>
      </x:c>
      <x:c r="N325" s="8" t="n">
        <x:f>K325-M325</x:f>
        <x:v>-122.5094964850052</x:v>
      </x:c>
      <x:c r="O325" s="8" t="n">
        <x:f>ABS(N325)</x:f>
        <x:v>122.5094964850052</x:v>
      </x:c>
      <x:c r="P325" s="8" t="n">
        <x:f>N325^2</x:f>
        <x:v>15008.576729009501</x:v>
      </x:c>
      <x:c r="Q325" s="8" t="n">
        <x:f>K325-L325</x:f>
        <x:v>-1</x:v>
      </x:c>
      <x:c r="R325" s="9" t="n">
        <x:f>IF(AND(INDEX('Сводка'!$T$3:$T$397,U325)=0,INDEX('Сводка'!$T$3:$T$397,V325)=0),1,0)</x:f>
        <x:v>1</x:v>
      </x:c>
      <x:c r="S325" s="9" t="n">
        <x:f>IF(AND(R325=1,O325&lt;=$G$13),1,0)</x:f>
        <x:v>0</x:v>
      </x:c>
      <x:c r="T325" s="10" t="n">
        <x:f>EOMONTH(J325-'Сводка'!$B$11,-1)</x:f>
        <x:v>46173</x:v>
      </x:c>
      <x:c r="U325" s="4" t="n">
        <x:f>MATCH(J325,'Сводка'!$R$3:$R$397,0)</x:f>
        <x:v>336</x:v>
      </x:c>
      <x:c r="V325" s="4" t="n">
        <x:f>MATCH(J325-'Сводка'!$B$11,'Сводка'!$R$3:$R$397,0)</x:f>
        <x:v>335</x:v>
      </x:c>
      <x:c r="W325" s="4" t="n">
        <x:f>MATCH(T325,$J$388:$J$400,0)</x:f>
        <x:v>12</x:v>
      </x:c>
      <x:c r="X325" s="3"/>
      <x:c r="Y325" s="3"/>
      <x:c r="Z325" s="3"/>
    </x:row>
    <x:row r="326" ht="15" customHeight="1">
      <x:c r="A326" s="3"/>
      <x:c r="B326" s="3"/>
      <x:c r="C326" s="3"/>
      <x:c r="D326" s="3"/>
      <x:c r="E326" s="3"/>
      <x:c r="F326" s="3"/>
      <x:c r="G326" s="3"/>
      <x:c r="H326" s="3"/>
      <x:c r="I326" s="3"/>
      <x:c r="J326" s="10" t="n">
        <x:v>46177</x:v>
      </x:c>
      <x:c r="K326" s="8" t="n">
        <x:f>INDEX('Сводка'!$S$3:$S$397,U326)</x:f>
        <x:v>75</x:v>
      </x:c>
      <x:c r="L326" s="8" t="n">
        <x:f>INDEX('Сводка'!$S$3:$S$397,V326)</x:f>
        <x:v>61</x:v>
      </x:c>
      <x:c r="M326" s="8" t="n">
        <x:f>INDEX($K$388:$N$400,W326,1)+INDEX($K$388:$N$400,W326,2)*(2*(J326-$T$405)/(T326-$T$405)-1)^1+INDEX($K$388:$N$400,W326,3)*(2*(J326-$T$405)/(T326-$T$405)-1)^2+INDEX($O$388:$Z$400,W326,MONTH(J326))</x:f>
        <x:v>183.49898812767373</x:v>
      </x:c>
      <x:c r="N326" s="8" t="n">
        <x:f>K326-M326</x:f>
        <x:v>-108.49898812767373</x:v>
      </x:c>
      <x:c r="O326" s="8" t="n">
        <x:f>ABS(N326)</x:f>
        <x:v>108.49898812767373</x:v>
      </x:c>
      <x:c r="P326" s="8" t="n">
        <x:f>N326^2</x:f>
        <x:v>11772.030424729084</x:v>
      </x:c>
      <x:c r="Q326" s="8" t="n">
        <x:f>K326-L326</x:f>
        <x:v>14</x:v>
      </x:c>
      <x:c r="R326" s="9" t="n">
        <x:f>IF(AND(INDEX('Сводка'!$T$3:$T$397,U326)=0,INDEX('Сводка'!$T$3:$T$397,V326)=0),1,0)</x:f>
        <x:v>1</x:v>
      </x:c>
      <x:c r="S326" s="9" t="n">
        <x:f>IF(AND(R326=1,O326&lt;=$G$13),1,0)</x:f>
        <x:v>0</x:v>
      </x:c>
      <x:c r="T326" s="10" t="n">
        <x:f>EOMONTH(J326-'Сводка'!$B$11,-1)</x:f>
        <x:v>46173</x:v>
      </x:c>
      <x:c r="U326" s="4" t="n">
        <x:f>MATCH(J326,'Сводка'!$R$3:$R$397,0)</x:f>
        <x:v>337</x:v>
      </x:c>
      <x:c r="V326" s="4" t="n">
        <x:f>MATCH(J326-'Сводка'!$B$11,'Сводка'!$R$3:$R$397,0)</x:f>
        <x:v>336</x:v>
      </x:c>
      <x:c r="W326" s="4" t="n">
        <x:f>MATCH(T326,$J$388:$J$400,0)</x:f>
        <x:v>12</x:v>
      </x:c>
      <x:c r="X326" s="3"/>
      <x:c r="Y326" s="3"/>
      <x:c r="Z326" s="3"/>
    </x:row>
    <x:row r="327" ht="15" customHeight="1">
      <x:c r="A327" s="3"/>
      <x:c r="B327" s="3"/>
      <x:c r="C327" s="3"/>
      <x:c r="D327" s="3"/>
      <x:c r="E327" s="3"/>
      <x:c r="F327" s="3"/>
      <x:c r="G327" s="3"/>
      <x:c r="H327" s="3"/>
      <x:c r="I327" s="3"/>
      <x:c r="J327" s="10" t="n">
        <x:v>46178</x:v>
      </x:c>
      <x:c r="K327" s="8" t="n">
        <x:f>INDEX('Сводка'!$S$3:$S$397,U327)</x:f>
        <x:v>94</x:v>
      </x:c>
      <x:c r="L327" s="8" t="n">
        <x:f>INDEX('Сводка'!$S$3:$S$397,V327)</x:f>
        <x:v>75</x:v>
      </x:c>
      <x:c r="M327" s="8" t="n">
        <x:f>INDEX($K$388:$N$400,W327,1)+INDEX($K$388:$N$400,W327,2)*(2*(J327-$T$405)/(T327-$T$405)-1)^1+INDEX($K$388:$N$400,W327,3)*(2*(J327-$T$405)/(T327-$T$405)-1)^2+INDEX($O$388:$Z$400,W327,MONTH(J327))</x:f>
        <x:v>183.48847309553054</x:v>
      </x:c>
      <x:c r="N327" s="8" t="n">
        <x:f>K327-M327</x:f>
        <x:v>-89.48847309553054</x:v>
      </x:c>
      <x:c r="O327" s="8" t="n">
        <x:f>ABS(N327)</x:f>
        <x:v>89.48847309553054</x:v>
      </x:c>
      <x:c r="P327" s="8" t="n">
        <x:f>N327^2</x:f>
        <x:v>8008.186816969493</x:v>
      </x:c>
      <x:c r="Q327" s="8" t="n">
        <x:f>K327-L327</x:f>
        <x:v>19</x:v>
      </x:c>
      <x:c r="R327" s="9" t="n">
        <x:f>IF(AND(INDEX('Сводка'!$T$3:$T$397,U327)=0,INDEX('Сводка'!$T$3:$T$397,V327)=0),1,0)</x:f>
        <x:v>1</x:v>
      </x:c>
      <x:c r="S327" s="9" t="n">
        <x:f>IF(AND(R327=1,O327&lt;=$G$13),1,0)</x:f>
        <x:v>0</x:v>
      </x:c>
      <x:c r="T327" s="10" t="n">
        <x:f>EOMONTH(J327-'Сводка'!$B$11,-1)</x:f>
        <x:v>46173</x:v>
      </x:c>
      <x:c r="U327" s="4" t="n">
        <x:f>MATCH(J327,'Сводка'!$R$3:$R$397,0)</x:f>
        <x:v>338</x:v>
      </x:c>
      <x:c r="V327" s="4" t="n">
        <x:f>MATCH(J327-'Сводка'!$B$11,'Сводка'!$R$3:$R$397,0)</x:f>
        <x:v>337</x:v>
      </x:c>
      <x:c r="W327" s="4" t="n">
        <x:f>MATCH(T327,$J$388:$J$400,0)</x:f>
        <x:v>12</x:v>
      </x:c>
      <x:c r="X327" s="3"/>
      <x:c r="Y327" s="3"/>
      <x:c r="Z327" s="3"/>
    </x:row>
    <x:row r="328" ht="15" customHeight="1">
      <x:c r="A328" s="3"/>
      <x:c r="B328" s="3"/>
      <x:c r="C328" s="3"/>
      <x:c r="D328" s="3"/>
      <x:c r="E328" s="3"/>
      <x:c r="F328" s="3"/>
      <x:c r="G328" s="3"/>
      <x:c r="H328" s="3"/>
      <x:c r="I328" s="3"/>
      <x:c r="J328" s="10" t="n">
        <x:v>46179</x:v>
      </x:c>
      <x:c r="K328" s="8" t="n">
        <x:f>INDEX('Сводка'!$S$3:$S$397,U328)</x:f>
        <x:v>116</x:v>
      </x:c>
      <x:c r="L328" s="8" t="n">
        <x:f>INDEX('Сводка'!$S$3:$S$397,V328)</x:f>
        <x:v>94</x:v>
      </x:c>
      <x:c r="M328" s="8" t="n">
        <x:f>INDEX($K$388:$N$400,W328,1)+INDEX($K$388:$N$400,W328,2)*(2*(J328-$T$405)/(T328-$T$405)-1)^1+INDEX($K$388:$N$400,W328,3)*(2*(J328-$T$405)/(T328-$T$405)-1)^2+INDEX($O$388:$Z$400,W328,MONTH(J328))</x:f>
        <x:v>183.47795138857572</x:v>
      </x:c>
      <x:c r="N328" s="8" t="n">
        <x:f>K328-M328</x:f>
        <x:v>-67.47795138857572</x:v>
      </x:c>
      <x:c r="O328" s="8" t="n">
        <x:f>ABS(N328)</x:f>
        <x:v>67.47795138857572</x:v>
      </x:c>
      <x:c r="P328" s="8" t="n">
        <x:f>N328^2</x:f>
        <x:v>4553.2739235989875</x:v>
      </x:c>
      <x:c r="Q328" s="8" t="n">
        <x:f>K328-L328</x:f>
        <x:v>22</x:v>
      </x:c>
      <x:c r="R328" s="9" t="n">
        <x:f>IF(AND(INDEX('Сводка'!$T$3:$T$397,U328)=0,INDEX('Сводка'!$T$3:$T$397,V328)=0),1,0)</x:f>
        <x:v>1</x:v>
      </x:c>
      <x:c r="S328" s="9" t="n">
        <x:f>IF(AND(R328=1,O328&lt;=$G$13),1,0)</x:f>
        <x:v>0</x:v>
      </x:c>
      <x:c r="T328" s="10" t="n">
        <x:f>EOMONTH(J328-'Сводка'!$B$11,-1)</x:f>
        <x:v>46173</x:v>
      </x:c>
      <x:c r="U328" s="4" t="n">
        <x:f>MATCH(J328,'Сводка'!$R$3:$R$397,0)</x:f>
        <x:v>339</x:v>
      </x:c>
      <x:c r="V328" s="4" t="n">
        <x:f>MATCH(J328-'Сводка'!$B$11,'Сводка'!$R$3:$R$397,0)</x:f>
        <x:v>338</x:v>
      </x:c>
      <x:c r="W328" s="4" t="n">
        <x:f>MATCH(T328,$J$388:$J$400,0)</x:f>
        <x:v>12</x:v>
      </x:c>
      <x:c r="X328" s="3"/>
      <x:c r="Y328" s="3"/>
      <x:c r="Z328" s="3"/>
    </x:row>
    <x:row r="329" ht="15" customHeight="1">
      <x:c r="A329" s="3"/>
      <x:c r="B329" s="3"/>
      <x:c r="C329" s="3"/>
      <x:c r="D329" s="3"/>
      <x:c r="E329" s="3"/>
      <x:c r="F329" s="3"/>
      <x:c r="G329" s="3"/>
      <x:c r="H329" s="3"/>
      <x:c r="I329" s="3"/>
      <x:c r="J329" s="10" t="n">
        <x:v>46180</x:v>
      </x:c>
      <x:c r="K329" s="8" t="n">
        <x:f>INDEX('Сводка'!$S$3:$S$397,U329)</x:f>
        <x:v>128</x:v>
      </x:c>
      <x:c r="L329" s="8" t="n">
        <x:f>INDEX('Сводка'!$S$3:$S$397,V329)</x:f>
        <x:v>116</x:v>
      </x:c>
      <x:c r="M329" s="8" t="n">
        <x:f>INDEX($K$388:$N$400,W329,1)+INDEX($K$388:$N$400,W329,2)*(2*(J329-$T$405)/(T329-$T$405)-1)^1+INDEX($K$388:$N$400,W329,3)*(2*(J329-$T$405)/(T329-$T$405)-1)^2+INDEX($O$388:$Z$400,W329,MONTH(J329))</x:f>
        <x:v>183.46742300680916</x:v>
      </x:c>
      <x:c r="N329" s="8" t="n">
        <x:f>K329-M329</x:f>
        <x:v>-55.467423006809156</x:v>
      </x:c>
      <x:c r="O329" s="8" t="n">
        <x:f>ABS(N329)</x:f>
        <x:v>55.467423006809156</x:v>
      </x:c>
      <x:c r="P329" s="8" t="n">
        <x:f>N329^2</x:f>
        <x:v>3076.6350150163016</x:v>
      </x:c>
      <x:c r="Q329" s="8" t="n">
        <x:f>K329-L329</x:f>
        <x:v>12</x:v>
      </x:c>
      <x:c r="R329" s="9" t="n">
        <x:f>IF(AND(INDEX('Сводка'!$T$3:$T$397,U329)=0,INDEX('Сводка'!$T$3:$T$397,V329)=0),1,0)</x:f>
        <x:v>1</x:v>
      </x:c>
      <x:c r="S329" s="9" t="n">
        <x:f>IF(AND(R329=1,O329&lt;=$G$13),1,0)</x:f>
        <x:v>0</x:v>
      </x:c>
      <x:c r="T329" s="10" t="n">
        <x:f>EOMONTH(J329-'Сводка'!$B$11,-1)</x:f>
        <x:v>46173</x:v>
      </x:c>
      <x:c r="U329" s="4" t="n">
        <x:f>MATCH(J329,'Сводка'!$R$3:$R$397,0)</x:f>
        <x:v>340</x:v>
      </x:c>
      <x:c r="V329" s="4" t="n">
        <x:f>MATCH(J329-'Сводка'!$B$11,'Сводка'!$R$3:$R$397,0)</x:f>
        <x:v>339</x:v>
      </x:c>
      <x:c r="W329" s="4" t="n">
        <x:f>MATCH(T329,$J$388:$J$400,0)</x:f>
        <x:v>12</x:v>
      </x:c>
      <x:c r="X329" s="3"/>
      <x:c r="Y329" s="3"/>
      <x:c r="Z329" s="3"/>
    </x:row>
    <x:row r="330" ht="15" customHeight="1">
      <x:c r="A330" s="3"/>
      <x:c r="B330" s="3"/>
      <x:c r="C330" s="3"/>
      <x:c r="D330" s="3"/>
      <x:c r="E330" s="3"/>
      <x:c r="F330" s="3"/>
      <x:c r="G330" s="3"/>
      <x:c r="H330" s="3"/>
      <x:c r="I330" s="3"/>
      <x:c r="J330" s="10" t="n">
        <x:v>46181</x:v>
      </x:c>
      <x:c r="K330" s="8" t="n">
        <x:f>INDEX('Сводка'!$S$3:$S$397,U330)</x:f>
        <x:v>132</x:v>
      </x:c>
      <x:c r="L330" s="8" t="n">
        <x:f>INDEX('Сводка'!$S$3:$S$397,V330)</x:f>
        <x:v>128</x:v>
      </x:c>
      <x:c r="M330" s="8" t="n">
        <x:f>INDEX($K$388:$N$400,W330,1)+INDEX($K$388:$N$400,W330,2)*(2*(J330-$T$405)/(T330-$T$405)-1)^1+INDEX($K$388:$N$400,W330,3)*(2*(J330-$T$405)/(T330-$T$405)-1)^2+INDEX($O$388:$Z$400,W330,MONTH(J330))</x:f>
        <x:v>183.45688795023096</x:v>
      </x:c>
      <x:c r="N330" s="8" t="n">
        <x:f>K330-M330</x:f>
        <x:v>-51.456887950230964</x:v>
      </x:c>
      <x:c r="O330" s="8" t="n">
        <x:f>ABS(N330)</x:f>
        <x:v>51.456887950230964</x:v>
      </x:c>
      <x:c r="P330" s="8" t="n">
        <x:f>N330^2</x:f>
        <x:v>2647.8113175226244</x:v>
      </x:c>
      <x:c r="Q330" s="8" t="n">
        <x:f>K330-L330</x:f>
        <x:v>4</x:v>
      </x:c>
      <x:c r="R330" s="9" t="n">
        <x:f>IF(AND(INDEX('Сводка'!$T$3:$T$397,U330)=0,INDEX('Сводка'!$T$3:$T$397,V330)=0),1,0)</x:f>
        <x:v>1</x:v>
      </x:c>
      <x:c r="S330" s="9" t="n">
        <x:f>IF(AND(R330=1,O330&lt;=$G$13),1,0)</x:f>
        <x:v>0</x:v>
      </x:c>
      <x:c r="T330" s="10" t="n">
        <x:f>EOMONTH(J330-'Сводка'!$B$11,-1)</x:f>
        <x:v>46173</x:v>
      </x:c>
      <x:c r="U330" s="4" t="n">
        <x:f>MATCH(J330,'Сводка'!$R$3:$R$397,0)</x:f>
        <x:v>341</x:v>
      </x:c>
      <x:c r="V330" s="4" t="n">
        <x:f>MATCH(J330-'Сводка'!$B$11,'Сводка'!$R$3:$R$397,0)</x:f>
        <x:v>340</x:v>
      </x:c>
      <x:c r="W330" s="4" t="n">
        <x:f>MATCH(T330,$J$388:$J$400,0)</x:f>
        <x:v>12</x:v>
      </x:c>
      <x:c r="X330" s="3"/>
      <x:c r="Y330" s="3"/>
      <x:c r="Z330" s="3"/>
    </x:row>
    <x:row r="331" ht="15" customHeight="1">
      <x:c r="A331" s="3"/>
      <x:c r="B331" s="3"/>
      <x:c r="C331" s="3"/>
      <x:c r="D331" s="3"/>
      <x:c r="E331" s="3"/>
      <x:c r="F331" s="3"/>
      <x:c r="G331" s="3"/>
      <x:c r="H331" s="3"/>
      <x:c r="I331" s="3"/>
      <x:c r="J331" s="10" t="n">
        <x:v>46182</x:v>
      </x:c>
      <x:c r="K331" s="8" t="n">
        <x:f>INDEX('Сводка'!$S$3:$S$397,U331)</x:f>
        <x:v>131</x:v>
      </x:c>
      <x:c r="L331" s="8" t="n">
        <x:f>INDEX('Сводка'!$S$3:$S$397,V331)</x:f>
        <x:v>132</x:v>
      </x:c>
      <x:c r="M331" s="8" t="n">
        <x:f>INDEX($K$388:$N$400,W331,1)+INDEX($K$388:$N$400,W331,2)*(2*(J331-$T$405)/(T331-$T$405)-1)^1+INDEX($K$388:$N$400,W331,3)*(2*(J331-$T$405)/(T331-$T$405)-1)^2+INDEX($O$388:$Z$400,W331,MONTH(J331))</x:f>
        <x:v>183.4463462188411</x:v>
      </x:c>
      <x:c r="N331" s="8" t="n">
        <x:f>K331-M331</x:f>
        <x:v>-52.446346218841086</x:v>
      </x:c>
      <x:c r="O331" s="8" t="n">
        <x:f>ABS(N331)</x:f>
        <x:v>52.446346218841086</x:v>
      </x:c>
      <x:c r="P331" s="8" t="n">
        <x:f>N331^2</x:f>
        <x:v>2750.6192317065465</x:v>
      </x:c>
      <x:c r="Q331" s="8" t="n">
        <x:f>K331-L331</x:f>
        <x:v>-1</x:v>
      </x:c>
      <x:c r="R331" s="9" t="n">
        <x:f>IF(AND(INDEX('Сводка'!$T$3:$T$397,U331)=0,INDEX('Сводка'!$T$3:$T$397,V331)=0),1,0)</x:f>
        <x:v>1</x:v>
      </x:c>
      <x:c r="S331" s="9" t="n">
        <x:f>IF(AND(R331=1,O331&lt;=$G$13),1,0)</x:f>
        <x:v>0</x:v>
      </x:c>
      <x:c r="T331" s="10" t="n">
        <x:f>EOMONTH(J331-'Сводка'!$B$11,-1)</x:f>
        <x:v>46173</x:v>
      </x:c>
      <x:c r="U331" s="4" t="n">
        <x:f>MATCH(J331,'Сводка'!$R$3:$R$397,0)</x:f>
        <x:v>342</x:v>
      </x:c>
      <x:c r="V331" s="4" t="n">
        <x:f>MATCH(J331-'Сводка'!$B$11,'Сводка'!$R$3:$R$397,0)</x:f>
        <x:v>341</x:v>
      </x:c>
      <x:c r="W331" s="4" t="n">
        <x:f>MATCH(T331,$J$388:$J$400,0)</x:f>
        <x:v>12</x:v>
      </x:c>
      <x:c r="X331" s="3"/>
      <x:c r="Y331" s="3"/>
      <x:c r="Z331" s="3"/>
    </x:row>
    <x:row r="332" ht="15" customHeight="1">
      <x:c r="A332" s="3"/>
      <x:c r="B332" s="3"/>
      <x:c r="C332" s="3"/>
      <x:c r="D332" s="3"/>
      <x:c r="E332" s="3"/>
      <x:c r="F332" s="3"/>
      <x:c r="G332" s="3"/>
      <x:c r="H332" s="3"/>
      <x:c r="I332" s="3"/>
      <x:c r="J332" s="10" t="n">
        <x:v>46183</x:v>
      </x:c>
      <x:c r="K332" s="8" t="n">
        <x:f>INDEX('Сводка'!$S$3:$S$397,U332)</x:f>
        <x:v>128</x:v>
      </x:c>
      <x:c r="L332" s="8" t="n">
        <x:f>INDEX('Сводка'!$S$3:$S$397,V332)</x:f>
        <x:v>131</x:v>
      </x:c>
      <x:c r="M332" s="8" t="n">
        <x:f>INDEX($K$388:$N$400,W332,1)+INDEX($K$388:$N$400,W332,2)*(2*(J332-$T$405)/(T332-$T$405)-1)^1+INDEX($K$388:$N$400,W332,3)*(2*(J332-$T$405)/(T332-$T$405)-1)^2+INDEX($O$388:$Z$400,W332,MONTH(J332))</x:f>
        <x:v>183.43579781263944</x:v>
      </x:c>
      <x:c r="N332" s="8" t="n">
        <x:f>K332-M332</x:f>
        <x:v>-55.435797812639436</x:v>
      </x:c>
      <x:c r="O332" s="8" t="n">
        <x:f>ABS(N332)</x:f>
        <x:v>55.435797812639436</x:v>
      </x:c>
      <x:c r="P332" s="8" t="n">
        <x:f>N332^2</x:f>
        <x:v>3073.1276791238392</x:v>
      </x:c>
      <x:c r="Q332" s="8" t="n">
        <x:f>K332-L332</x:f>
        <x:v>-3</x:v>
      </x:c>
      <x:c r="R332" s="9" t="n">
        <x:f>IF(AND(INDEX('Сводка'!$T$3:$T$397,U332)=0,INDEX('Сводка'!$T$3:$T$397,V332)=0),1,0)</x:f>
        <x:v>1</x:v>
      </x:c>
      <x:c r="S332" s="9" t="n">
        <x:f>IF(AND(R332=1,O332&lt;=$G$13),1,0)</x:f>
        <x:v>0</x:v>
      </x:c>
      <x:c r="T332" s="10" t="n">
        <x:f>EOMONTH(J332-'Сводка'!$B$11,-1)</x:f>
        <x:v>46173</x:v>
      </x:c>
      <x:c r="U332" s="4" t="n">
        <x:f>MATCH(J332,'Сводка'!$R$3:$R$397,0)</x:f>
        <x:v>343</x:v>
      </x:c>
      <x:c r="V332" s="4" t="n">
        <x:f>MATCH(J332-'Сводка'!$B$11,'Сводка'!$R$3:$R$397,0)</x:f>
        <x:v>342</x:v>
      </x:c>
      <x:c r="W332" s="4" t="n">
        <x:f>MATCH(T332,$J$388:$J$400,0)</x:f>
        <x:v>12</x:v>
      </x:c>
      <x:c r="X332" s="3"/>
      <x:c r="Y332" s="3"/>
      <x:c r="Z332" s="3"/>
    </x:row>
    <x:row r="333" ht="15" customHeight="1">
      <x:c r="A333" s="3"/>
      <x:c r="B333" s="3"/>
      <x:c r="C333" s="3"/>
      <x:c r="D333" s="3"/>
      <x:c r="E333" s="3"/>
      <x:c r="F333" s="3"/>
      <x:c r="G333" s="3"/>
      <x:c r="H333" s="3"/>
      <x:c r="I333" s="3"/>
      <x:c r="J333" s="10" t="n">
        <x:v>46184</x:v>
      </x:c>
      <x:c r="K333" s="8" t="n">
        <x:f>INDEX('Сводка'!$S$3:$S$397,U333)</x:f>
        <x:v>128</x:v>
      </x:c>
      <x:c r="L333" s="8" t="n">
        <x:f>INDEX('Сводка'!$S$3:$S$397,V333)</x:f>
        <x:v>128</x:v>
      </x:c>
      <x:c r="M333" s="8" t="n">
        <x:f>INDEX($K$388:$N$400,W333,1)+INDEX($K$388:$N$400,W333,2)*(2*(J333-$T$405)/(T333-$T$405)-1)^1+INDEX($K$388:$N$400,W333,3)*(2*(J333-$T$405)/(T333-$T$405)-1)^2+INDEX($O$388:$Z$400,W333,MONTH(J333))</x:f>
        <x:v>183.42524273162616</x:v>
      </x:c>
      <x:c r="N333" s="8" t="n">
        <x:f>K333-M333</x:f>
        <x:v>-55.425242731626156</x:v>
      </x:c>
      <x:c r="O333" s="8" t="n">
        <x:f>ABS(N333)</x:f>
        <x:v>55.425242731626156</x:v>
      </x:c>
      <x:c r="P333" s="8" t="n">
        <x:f>N333^2</x:f>
        <x:v>3071.957531859678</x:v>
      </x:c>
      <x:c r="Q333" s="8" t="n">
        <x:f>K333-L333</x:f>
        <x:v>0</x:v>
      </x:c>
      <x:c r="R333" s="9" t="n">
        <x:f>IF(AND(INDEX('Сводка'!$T$3:$T$397,U333)=0,INDEX('Сводка'!$T$3:$T$397,V333)=0),1,0)</x:f>
        <x:v>1</x:v>
      </x:c>
      <x:c r="S333" s="9" t="n">
        <x:f>IF(AND(R333=1,O333&lt;=$G$13),1,0)</x:f>
        <x:v>0</x:v>
      </x:c>
      <x:c r="T333" s="10" t="n">
        <x:f>EOMONTH(J333-'Сводка'!$B$11,-1)</x:f>
        <x:v>46173</x:v>
      </x:c>
      <x:c r="U333" s="4" t="n">
        <x:f>MATCH(J333,'Сводка'!$R$3:$R$397,0)</x:f>
        <x:v>344</x:v>
      </x:c>
      <x:c r="V333" s="4" t="n">
        <x:f>MATCH(J333-'Сводка'!$B$11,'Сводка'!$R$3:$R$397,0)</x:f>
        <x:v>343</x:v>
      </x:c>
      <x:c r="W333" s="4" t="n">
        <x:f>MATCH(T333,$J$388:$J$400,0)</x:f>
        <x:v>12</x:v>
      </x:c>
      <x:c r="X333" s="3"/>
      <x:c r="Y333" s="3"/>
      <x:c r="Z333" s="3"/>
    </x:row>
    <x:row r="334" ht="15" customHeight="1">
      <x:c r="A334" s="3"/>
      <x:c r="B334" s="3"/>
      <x:c r="C334" s="3"/>
      <x:c r="D334" s="3"/>
      <x:c r="E334" s="3"/>
      <x:c r="F334" s="3"/>
      <x:c r="G334" s="3"/>
      <x:c r="H334" s="3"/>
      <x:c r="I334" s="3"/>
      <x:c r="J334" s="10" t="n">
        <x:v>46185</x:v>
      </x:c>
      <x:c r="K334" s="8" t="n">
        <x:f>INDEX('Сводка'!$S$3:$S$397,U334)</x:f>
        <x:v>123</x:v>
      </x:c>
      <x:c r="L334" s="8" t="n">
        <x:f>INDEX('Сводка'!$S$3:$S$397,V334)</x:f>
        <x:v>128</x:v>
      </x:c>
      <x:c r="M334" s="8" t="n">
        <x:f>INDEX($K$388:$N$400,W334,1)+INDEX($K$388:$N$400,W334,2)*(2*(J334-$T$405)/(T334-$T$405)-1)^1+INDEX($K$388:$N$400,W334,3)*(2*(J334-$T$405)/(T334-$T$405)-1)^2+INDEX($O$388:$Z$400,W334,MONTH(J334))</x:f>
        <x:v>183.41468097580122</x:v>
      </x:c>
      <x:c r="N334" s="8" t="n">
        <x:f>K334-M334</x:f>
        <x:v>-60.41468097580122</x:v>
      </x:c>
      <x:c r="O334" s="8" t="n">
        <x:f>ABS(N334)</x:f>
        <x:v>60.41468097580122</x:v>
      </x:c>
      <x:c r="P334" s="8" t="n">
        <x:f>N334^2</x:f>
        <x:v>3649.9336774078374</x:v>
      </x:c>
      <x:c r="Q334" s="8" t="n">
        <x:f>K334-L334</x:f>
        <x:v>-5</x:v>
      </x:c>
      <x:c r="R334" s="9" t="n">
        <x:f>IF(AND(INDEX('Сводка'!$T$3:$T$397,U334)=0,INDEX('Сводка'!$T$3:$T$397,V334)=0),1,0)</x:f>
        <x:v>1</x:v>
      </x:c>
      <x:c r="S334" s="9" t="n">
        <x:f>IF(AND(R334=1,O334&lt;=$G$13),1,0)</x:f>
        <x:v>0</x:v>
      </x:c>
      <x:c r="T334" s="10" t="n">
        <x:f>EOMONTH(J334-'Сводка'!$B$11,-1)</x:f>
        <x:v>46173</x:v>
      </x:c>
      <x:c r="U334" s="4" t="n">
        <x:f>MATCH(J334,'Сводка'!$R$3:$R$397,0)</x:f>
        <x:v>345</x:v>
      </x:c>
      <x:c r="V334" s="4" t="n">
        <x:f>MATCH(J334-'Сводка'!$B$11,'Сводка'!$R$3:$R$397,0)</x:f>
        <x:v>344</x:v>
      </x:c>
      <x:c r="W334" s="4" t="n">
        <x:f>MATCH(T334,$J$388:$J$400,0)</x:f>
        <x:v>12</x:v>
      </x:c>
      <x:c r="X334" s="3"/>
      <x:c r="Y334" s="3"/>
      <x:c r="Z334" s="3"/>
    </x:row>
    <x:row r="335" ht="15" customHeight="1">
      <x:c r="A335" s="3"/>
      <x:c r="B335" s="3"/>
      <x:c r="C335" s="3"/>
      <x:c r="D335" s="3"/>
      <x:c r="E335" s="3"/>
      <x:c r="F335" s="3"/>
      <x:c r="G335" s="3"/>
      <x:c r="H335" s="3"/>
      <x:c r="I335" s="3"/>
      <x:c r="J335" s="10" t="n">
        <x:v>46186</x:v>
      </x:c>
      <x:c r="K335" s="8" t="n">
        <x:f>INDEX('Сводка'!$S$3:$S$397,U335)</x:f>
        <x:v>128</x:v>
      </x:c>
      <x:c r="L335" s="8" t="n">
        <x:f>INDEX('Сводка'!$S$3:$S$397,V335)</x:f>
        <x:v>123</x:v>
      </x:c>
      <x:c r="M335" s="8" t="n">
        <x:f>INDEX($K$388:$N$400,W335,1)+INDEX($K$388:$N$400,W335,2)*(2*(J335-$T$405)/(T335-$T$405)-1)^1+INDEX($K$388:$N$400,W335,3)*(2*(J335-$T$405)/(T335-$T$405)-1)^2+INDEX($O$388:$Z$400,W335,MONTH(J335))</x:f>
        <x:v>183.40411254516457</x:v>
      </x:c>
      <x:c r="N335" s="8" t="n">
        <x:f>K335-M335</x:f>
        <x:v>-55.404112545164566</x:v>
      </x:c>
      <x:c r="O335" s="8" t="n">
        <x:f>ABS(N335)</x:f>
        <x:v>55.404112545164566</x:v>
      </x:c>
      <x:c r="P335" s="8" t="n">
        <x:f>N335^2</x:f>
        <x:v>3069.6156869172614</x:v>
      </x:c>
      <x:c r="Q335" s="8" t="n">
        <x:f>K335-L335</x:f>
        <x:v>5</x:v>
      </x:c>
      <x:c r="R335" s="9" t="n">
        <x:f>IF(AND(INDEX('Сводка'!$T$3:$T$397,U335)=0,INDEX('Сводка'!$T$3:$T$397,V335)=0),1,0)</x:f>
        <x:v>1</x:v>
      </x:c>
      <x:c r="S335" s="9" t="n">
        <x:f>IF(AND(R335=1,O335&lt;=$G$13),1,0)</x:f>
        <x:v>0</x:v>
      </x:c>
      <x:c r="T335" s="10" t="n">
        <x:f>EOMONTH(J335-'Сводка'!$B$11,-1)</x:f>
        <x:v>46173</x:v>
      </x:c>
      <x:c r="U335" s="4" t="n">
        <x:f>MATCH(J335,'Сводка'!$R$3:$R$397,0)</x:f>
        <x:v>346</x:v>
      </x:c>
      <x:c r="V335" s="4" t="n">
        <x:f>MATCH(J335-'Сводка'!$B$11,'Сводка'!$R$3:$R$397,0)</x:f>
        <x:v>345</x:v>
      </x:c>
      <x:c r="W335" s="4" t="n">
        <x:f>MATCH(T335,$J$388:$J$400,0)</x:f>
        <x:v>12</x:v>
      </x:c>
      <x:c r="X335" s="3"/>
      <x:c r="Y335" s="3"/>
      <x:c r="Z335" s="3"/>
    </x:row>
    <x:row r="336" ht="15" customHeight="1">
      <x:c r="A336" s="3"/>
      <x:c r="B336" s="3"/>
      <x:c r="C336" s="3"/>
      <x:c r="D336" s="3"/>
      <x:c r="E336" s="3"/>
      <x:c r="F336" s="3"/>
      <x:c r="G336" s="3"/>
      <x:c r="H336" s="3"/>
      <x:c r="I336" s="3"/>
      <x:c r="J336" s="10" t="n">
        <x:v>46187</x:v>
      </x:c>
      <x:c r="K336" s="8" t="n">
        <x:f>INDEX('Сводка'!$S$3:$S$397,U336)</x:f>
        <x:v>138</x:v>
      </x:c>
      <x:c r="L336" s="8" t="n">
        <x:f>INDEX('Сводка'!$S$3:$S$397,V336)</x:f>
        <x:v>128</x:v>
      </x:c>
      <x:c r="M336" s="8" t="n">
        <x:f>INDEX($K$388:$N$400,W336,1)+INDEX($K$388:$N$400,W336,2)*(2*(J336-$T$405)/(T336-$T$405)-1)^1+INDEX($K$388:$N$400,W336,3)*(2*(J336-$T$405)/(T336-$T$405)-1)^2+INDEX($O$388:$Z$400,W336,MONTH(J336))</x:f>
        <x:v>183.39353743971623</x:v>
      </x:c>
      <x:c r="N336" s="8" t="n">
        <x:f>K336-M336</x:f>
        <x:v>-45.393537439716226</x:v>
      </x:c>
      <x:c r="O336" s="8" t="n">
        <x:f>ABS(N336)</x:f>
        <x:v>45.393537439716226</x:v>
      </x:c>
      <x:c r="P336" s="8" t="n">
        <x:f>N336^2</x:f>
        <x:v>2060.5732412909188</x:v>
      </x:c>
      <x:c r="Q336" s="8" t="n">
        <x:f>K336-L336</x:f>
        <x:v>10</x:v>
      </x:c>
      <x:c r="R336" s="9" t="n">
        <x:f>IF(AND(INDEX('Сводка'!$T$3:$T$397,U336)=0,INDEX('Сводка'!$T$3:$T$397,V336)=0),1,0)</x:f>
        <x:v>1</x:v>
      </x:c>
      <x:c r="S336" s="9" t="n">
        <x:f>IF(AND(R336=1,O336&lt;=$G$13),1,0)</x:f>
        <x:v>0</x:v>
      </x:c>
      <x:c r="T336" s="10" t="n">
        <x:f>EOMONTH(J336-'Сводка'!$B$11,-1)</x:f>
        <x:v>46173</x:v>
      </x:c>
      <x:c r="U336" s="4" t="n">
        <x:f>MATCH(J336,'Сводка'!$R$3:$R$397,0)</x:f>
        <x:v>347</x:v>
      </x:c>
      <x:c r="V336" s="4" t="n">
        <x:f>MATCH(J336-'Сводка'!$B$11,'Сводка'!$R$3:$R$397,0)</x:f>
        <x:v>346</x:v>
      </x:c>
      <x:c r="W336" s="4" t="n">
        <x:f>MATCH(T336,$J$388:$J$400,0)</x:f>
        <x:v>12</x:v>
      </x:c>
      <x:c r="X336" s="3"/>
      <x:c r="Y336" s="3"/>
      <x:c r="Z336" s="3"/>
    </x:row>
    <x:row r="337" ht="15" customHeight="1">
      <x:c r="A337" s="3"/>
      <x:c r="B337" s="3"/>
      <x:c r="C337" s="3"/>
      <x:c r="D337" s="3"/>
      <x:c r="E337" s="3"/>
      <x:c r="F337" s="3"/>
      <x:c r="G337" s="3"/>
      <x:c r="H337" s="3"/>
      <x:c r="I337" s="3"/>
      <x:c r="J337" s="10" t="n">
        <x:v>46188</x:v>
      </x:c>
      <x:c r="K337" s="8" t="n">
        <x:f>INDEX('Сводка'!$S$3:$S$397,U337)</x:f>
        <x:v>147</x:v>
      </x:c>
      <x:c r="L337" s="8" t="n">
        <x:f>INDEX('Сводка'!$S$3:$S$397,V337)</x:f>
        <x:v>138</x:v>
      </x:c>
      <x:c r="M337" s="8" t="n">
        <x:f>INDEX($K$388:$N$400,W337,1)+INDEX($K$388:$N$400,W337,2)*(2*(J337-$T$405)/(T337-$T$405)-1)^1+INDEX($K$388:$N$400,W337,3)*(2*(J337-$T$405)/(T337-$T$405)-1)^2+INDEX($O$388:$Z$400,W337,MONTH(J337))</x:f>
        <x:v>183.38295565945623</x:v>
      </x:c>
      <x:c r="N337" s="8" t="n">
        <x:f>K337-M337</x:f>
        <x:v>-36.38295565945623</x:v>
      </x:c>
      <x:c r="O337" s="8" t="n">
        <x:f>ABS(N337)</x:f>
        <x:v>36.38295565945623</x:v>
      </x:c>
      <x:c r="P337" s="8" t="n">
        <x:f>N337^2</x:f>
        <x:v>1323.7194625179582</x:v>
      </x:c>
      <x:c r="Q337" s="8" t="n">
        <x:f>K337-L337</x:f>
        <x:v>9</x:v>
      </x:c>
      <x:c r="R337" s="9" t="n">
        <x:f>IF(AND(INDEX('Сводка'!$T$3:$T$397,U337)=0,INDEX('Сводка'!$T$3:$T$397,V337)=0),1,0)</x:f>
        <x:v>1</x:v>
      </x:c>
      <x:c r="S337" s="9" t="n">
        <x:f>IF(AND(R337=1,O337&lt;=$G$13),1,0)</x:f>
        <x:v>0</x:v>
      </x:c>
      <x:c r="T337" s="10" t="n">
        <x:f>EOMONTH(J337-'Сводка'!$B$11,-1)</x:f>
        <x:v>46173</x:v>
      </x:c>
      <x:c r="U337" s="4" t="n">
        <x:f>MATCH(J337,'Сводка'!$R$3:$R$397,0)</x:f>
        <x:v>348</x:v>
      </x:c>
      <x:c r="V337" s="4" t="n">
        <x:f>MATCH(J337-'Сводка'!$B$11,'Сводка'!$R$3:$R$397,0)</x:f>
        <x:v>347</x:v>
      </x:c>
      <x:c r="W337" s="4" t="n">
        <x:f>MATCH(T337,$J$388:$J$400,0)</x:f>
        <x:v>12</x:v>
      </x:c>
      <x:c r="X337" s="3"/>
      <x:c r="Y337" s="3"/>
      <x:c r="Z337" s="3"/>
    </x:row>
    <x:row r="338" ht="15" customHeight="1">
      <x:c r="A338" s="3"/>
      <x:c r="B338" s="3"/>
      <x:c r="C338" s="3"/>
      <x:c r="D338" s="3"/>
      <x:c r="E338" s="3"/>
      <x:c r="F338" s="3"/>
      <x:c r="G338" s="3"/>
      <x:c r="H338" s="3"/>
      <x:c r="I338" s="3"/>
      <x:c r="J338" s="10" t="n">
        <x:v>46189</x:v>
      </x:c>
      <x:c r="K338" s="8" t="n">
        <x:f>INDEX('Сводка'!$S$3:$S$397,U338)</x:f>
        <x:v>154</x:v>
      </x:c>
      <x:c r="L338" s="8" t="n">
        <x:f>INDEX('Сводка'!$S$3:$S$397,V338)</x:f>
        <x:v>147</x:v>
      </x:c>
      <x:c r="M338" s="8" t="n">
        <x:f>INDEX($K$388:$N$400,W338,1)+INDEX($K$388:$N$400,W338,2)*(2*(J338-$T$405)/(T338-$T$405)-1)^1+INDEX($K$388:$N$400,W338,3)*(2*(J338-$T$405)/(T338-$T$405)-1)^2+INDEX($O$388:$Z$400,W338,MONTH(J338))</x:f>
        <x:v>183.3723672043845</x:v>
      </x:c>
      <x:c r="N338" s="8" t="n">
        <x:f>K338-M338</x:f>
        <x:v>-29.37236720438449</x:v>
      </x:c>
      <x:c r="O338" s="8" t="n">
        <x:f>ABS(N338)</x:f>
        <x:v>29.37236720438449</x:v>
      </x:c>
      <x:c r="P338" s="8" t="n">
        <x:f>N338^2</x:f>
        <x:v>862.7359551892015</x:v>
      </x:c>
      <x:c r="Q338" s="8" t="n">
        <x:f>K338-L338</x:f>
        <x:v>7</x:v>
      </x:c>
      <x:c r="R338" s="9" t="n">
        <x:f>IF(AND(INDEX('Сводка'!$T$3:$T$397,U338)=0,INDEX('Сводка'!$T$3:$T$397,V338)=0),1,0)</x:f>
        <x:v>1</x:v>
      </x:c>
      <x:c r="S338" s="9" t="n">
        <x:f>IF(AND(R338=1,O338&lt;=$G$13),1,0)</x:f>
        <x:v>0</x:v>
      </x:c>
      <x:c r="T338" s="10" t="n">
        <x:f>EOMONTH(J338-'Сводка'!$B$11,-1)</x:f>
        <x:v>46173</x:v>
      </x:c>
      <x:c r="U338" s="4" t="n">
        <x:f>MATCH(J338,'Сводка'!$R$3:$R$397,0)</x:f>
        <x:v>349</x:v>
      </x:c>
      <x:c r="V338" s="4" t="n">
        <x:f>MATCH(J338-'Сводка'!$B$11,'Сводка'!$R$3:$R$397,0)</x:f>
        <x:v>348</x:v>
      </x:c>
      <x:c r="W338" s="4" t="n">
        <x:f>MATCH(T338,$J$388:$J$400,0)</x:f>
        <x:v>12</x:v>
      </x:c>
      <x:c r="X338" s="3"/>
      <x:c r="Y338" s="3"/>
      <x:c r="Z338" s="3"/>
    </x:row>
    <x:row r="339" ht="15" customHeight="1">
      <x:c r="A339" s="3"/>
      <x:c r="B339" s="3"/>
      <x:c r="C339" s="3"/>
      <x:c r="D339" s="3"/>
      <x:c r="E339" s="3"/>
      <x:c r="F339" s="3"/>
      <x:c r="G339" s="3"/>
      <x:c r="H339" s="3"/>
      <x:c r="I339" s="3"/>
      <x:c r="J339" s="10" t="n">
        <x:v>46190</x:v>
      </x:c>
      <x:c r="K339" s="8" t="n">
        <x:f>INDEX('Сводка'!$S$3:$S$397,U339)</x:f>
        <x:v>158</x:v>
      </x:c>
      <x:c r="L339" s="8" t="n">
        <x:f>INDEX('Сводка'!$S$3:$S$397,V339)</x:f>
        <x:v>154</x:v>
      </x:c>
      <x:c r="M339" s="8" t="n">
        <x:f>INDEX($K$388:$N$400,W339,1)+INDEX($K$388:$N$400,W339,2)*(2*(J339-$T$405)/(T339-$T$405)-1)^1+INDEX($K$388:$N$400,W339,3)*(2*(J339-$T$405)/(T339-$T$405)-1)^2+INDEX($O$388:$Z$400,W339,MONTH(J339))</x:f>
        <x:v>183.36177207450112</x:v>
      </x:c>
      <x:c r="N339" s="8" t="n">
        <x:f>K339-M339</x:f>
        <x:v>-25.36177207450112</x:v>
      </x:c>
      <x:c r="O339" s="8" t="n">
        <x:f>ABS(N339)</x:f>
        <x:v>25.36177207450112</x:v>
      </x:c>
      <x:c r="P339" s="8" t="n">
        <x:f>N339^2</x:f>
        <x:v>643.2194827589448</x:v>
      </x:c>
      <x:c r="Q339" s="8" t="n">
        <x:f>K339-L339</x:f>
        <x:v>4</x:v>
      </x:c>
      <x:c r="R339" s="9" t="n">
        <x:f>IF(AND(INDEX('Сводка'!$T$3:$T$397,U339)=0,INDEX('Сводка'!$T$3:$T$397,V339)=0),1,0)</x:f>
        <x:v>1</x:v>
      </x:c>
      <x:c r="S339" s="9" t="n">
        <x:f>IF(AND(R339=1,O339&lt;=$G$13),1,0)</x:f>
        <x:v>0</x:v>
      </x:c>
      <x:c r="T339" s="10" t="n">
        <x:f>EOMONTH(J339-'Сводка'!$B$11,-1)</x:f>
        <x:v>46173</x:v>
      </x:c>
      <x:c r="U339" s="4" t="n">
        <x:f>MATCH(J339,'Сводка'!$R$3:$R$397,0)</x:f>
        <x:v>350</x:v>
      </x:c>
      <x:c r="V339" s="4" t="n">
        <x:f>MATCH(J339-'Сводка'!$B$11,'Сводка'!$R$3:$R$397,0)</x:f>
        <x:v>349</x:v>
      </x:c>
      <x:c r="W339" s="4" t="n">
        <x:f>MATCH(T339,$J$388:$J$400,0)</x:f>
        <x:v>12</x:v>
      </x:c>
      <x:c r="X339" s="3"/>
      <x:c r="Y339" s="3"/>
      <x:c r="Z339" s="3"/>
    </x:row>
    <x:row r="340" ht="15" customHeight="1">
      <x:c r="A340" s="3"/>
      <x:c r="B340" s="3"/>
      <x:c r="C340" s="3"/>
      <x:c r="D340" s="3"/>
      <x:c r="E340" s="3"/>
      <x:c r="F340" s="3"/>
      <x:c r="G340" s="3"/>
      <x:c r="H340" s="3"/>
      <x:c r="I340" s="3"/>
      <x:c r="J340" s="10" t="n">
        <x:v>46191</x:v>
      </x:c>
      <x:c r="K340" s="8" t="n">
        <x:f>INDEX('Сводка'!$S$3:$S$397,U340)</x:f>
        <x:v>166</x:v>
      </x:c>
      <x:c r="L340" s="8" t="n">
        <x:f>INDEX('Сводка'!$S$3:$S$397,V340)</x:f>
        <x:v>158</x:v>
      </x:c>
      <x:c r="M340" s="8" t="n">
        <x:f>INDEX($K$388:$N$400,W340,1)+INDEX($K$388:$N$400,W340,2)*(2*(J340-$T$405)/(T340-$T$405)-1)^1+INDEX($K$388:$N$400,W340,3)*(2*(J340-$T$405)/(T340-$T$405)-1)^2+INDEX($O$388:$Z$400,W340,MONTH(J340))</x:f>
        <x:v>183.351170269806</x:v>
      </x:c>
      <x:c r="N340" s="8" t="n">
        <x:f>K340-M340</x:f>
        <x:v>-17.351170269806005</x:v>
      </x:c>
      <x:c r="O340" s="8" t="n">
        <x:f>ABS(N340)</x:f>
        <x:v>17.351170269806005</x:v>
      </x:c>
      <x:c r="P340" s="8" t="n">
        <x:f>N340^2</x:f>
        <x:v>301.0631097317998</x:v>
      </x:c>
      <x:c r="Q340" s="8" t="n">
        <x:f>K340-L340</x:f>
        <x:v>8</x:v>
      </x:c>
      <x:c r="R340" s="9" t="n">
        <x:f>IF(AND(INDEX('Сводка'!$T$3:$T$397,U340)=0,INDEX('Сводка'!$T$3:$T$397,V340)=0),1,0)</x:f>
        <x:v>1</x:v>
      </x:c>
      <x:c r="S340" s="9" t="n">
        <x:f>IF(AND(R340=1,O340&lt;=$G$13),1,0)</x:f>
        <x:v>0</x:v>
      </x:c>
      <x:c r="T340" s="10" t="n">
        <x:f>EOMONTH(J340-'Сводка'!$B$11,-1)</x:f>
        <x:v>46173</x:v>
      </x:c>
      <x:c r="U340" s="4" t="n">
        <x:f>MATCH(J340,'Сводка'!$R$3:$R$397,0)</x:f>
        <x:v>351</x:v>
      </x:c>
      <x:c r="V340" s="4" t="n">
        <x:f>MATCH(J340-'Сводка'!$B$11,'Сводка'!$R$3:$R$397,0)</x:f>
        <x:v>350</x:v>
      </x:c>
      <x:c r="W340" s="4" t="n">
        <x:f>MATCH(T340,$J$388:$J$400,0)</x:f>
        <x:v>12</x:v>
      </x:c>
      <x:c r="X340" s="3"/>
      <x:c r="Y340" s="3"/>
      <x:c r="Z340" s="3"/>
    </x:row>
    <x:row r="341" ht="15" customHeight="1">
      <x:c r="A341" s="3"/>
      <x:c r="B341" s="3"/>
      <x:c r="C341" s="3"/>
      <x:c r="D341" s="3"/>
      <x:c r="E341" s="3"/>
      <x:c r="F341" s="3"/>
      <x:c r="G341" s="3"/>
      <x:c r="H341" s="3"/>
      <x:c r="I341" s="3"/>
      <x:c r="J341" s="10" t="n">
        <x:v>46192</x:v>
      </x:c>
      <x:c r="K341" s="8" t="n">
        <x:f>INDEX('Сводка'!$S$3:$S$397,U341)</x:f>
        <x:v>170</x:v>
      </x:c>
      <x:c r="L341" s="8" t="n">
        <x:f>INDEX('Сводка'!$S$3:$S$397,V341)</x:f>
        <x:v>166</x:v>
      </x:c>
      <x:c r="M341" s="8" t="n">
        <x:f>INDEX($K$388:$N$400,W341,1)+INDEX($K$388:$N$400,W341,2)*(2*(J341-$T$405)/(T341-$T$405)-1)^1+INDEX($K$388:$N$400,W341,3)*(2*(J341-$T$405)/(T341-$T$405)-1)^2+INDEX($O$388:$Z$400,W341,MONTH(J341))</x:f>
        <x:v>183.34056179029926</x:v>
      </x:c>
      <x:c r="N341" s="8" t="n">
        <x:f>K341-M341</x:f>
        <x:v>-13.340561790299262</x:v>
      </x:c>
      <x:c r="O341" s="8" t="n">
        <x:f>ABS(N341)</x:f>
        <x:v>13.340561790299262</x:v>
      </x:c>
      <x:c r="P341" s="8" t="n">
        <x:f>N341^2</x:f>
        <x:v>177.97058888079263</x:v>
      </x:c>
      <x:c r="Q341" s="8" t="n">
        <x:f>K341-L341</x:f>
        <x:v>4</x:v>
      </x:c>
      <x:c r="R341" s="9" t="n">
        <x:f>IF(AND(INDEX('Сводка'!$T$3:$T$397,U341)=0,INDEX('Сводка'!$T$3:$T$397,V341)=0),1,0)</x:f>
        <x:v>1</x:v>
      </x:c>
      <x:c r="S341" s="9" t="n">
        <x:f>IF(AND(R341=1,O341&lt;=$G$13),1,0)</x:f>
        <x:v>0</x:v>
      </x:c>
      <x:c r="T341" s="10" t="n">
        <x:f>EOMONTH(J341-'Сводка'!$B$11,-1)</x:f>
        <x:v>46173</x:v>
      </x:c>
      <x:c r="U341" s="4" t="n">
        <x:f>MATCH(J341,'Сводка'!$R$3:$R$397,0)</x:f>
        <x:v>352</x:v>
      </x:c>
      <x:c r="V341" s="4" t="n">
        <x:f>MATCH(J341-'Сводка'!$B$11,'Сводка'!$R$3:$R$397,0)</x:f>
        <x:v>351</x:v>
      </x:c>
      <x:c r="W341" s="4" t="n">
        <x:f>MATCH(T341,$J$388:$J$400,0)</x:f>
        <x:v>12</x:v>
      </x:c>
      <x:c r="X341" s="3"/>
      <x:c r="Y341" s="3"/>
      <x:c r="Z341" s="3"/>
    </x:row>
    <x:row r="342" ht="15" customHeight="1">
      <x:c r="A342" s="3"/>
      <x:c r="B342" s="3"/>
      <x:c r="C342" s="3"/>
      <x:c r="D342" s="3"/>
      <x:c r="E342" s="3"/>
      <x:c r="F342" s="3"/>
      <x:c r="G342" s="3"/>
      <x:c r="H342" s="3"/>
      <x:c r="I342" s="3"/>
      <x:c r="J342" s="10" t="n">
        <x:v>46193</x:v>
      </x:c>
      <x:c r="K342" s="8" t="n">
        <x:f>INDEX('Сводка'!$S$3:$S$397,U342)</x:f>
        <x:v>171</x:v>
      </x:c>
      <x:c r="L342" s="8" t="n">
        <x:f>INDEX('Сводка'!$S$3:$S$397,V342)</x:f>
        <x:v>170</x:v>
      </x:c>
      <x:c r="M342" s="8" t="n">
        <x:f>INDEX($K$388:$N$400,W342,1)+INDEX($K$388:$N$400,W342,2)*(2*(J342-$T$405)/(T342-$T$405)-1)^1+INDEX($K$388:$N$400,W342,3)*(2*(J342-$T$405)/(T342-$T$405)-1)^2+INDEX($O$388:$Z$400,W342,MONTH(J342))</x:f>
        <x:v>183.32994663598078</x:v>
      </x:c>
      <x:c r="N342" s="8" t="n">
        <x:f>K342-M342</x:f>
        <x:v>-12.329946635980775</x:v>
      </x:c>
      <x:c r="O342" s="8" t="n">
        <x:f>ABS(N342)</x:f>
        <x:v>12.329946635980775</x:v>
      </x:c>
      <x:c r="P342" s="8" t="n">
        <x:f>N342^2</x:f>
        <x:v>152.02758404613363</x:v>
      </x:c>
      <x:c r="Q342" s="8" t="n">
        <x:f>K342-L342</x:f>
        <x:v>1</x:v>
      </x:c>
      <x:c r="R342" s="9" t="n">
        <x:f>IF(AND(INDEX('Сводка'!$T$3:$T$397,U342)=0,INDEX('Сводка'!$T$3:$T$397,V342)=0),1,0)</x:f>
        <x:v>1</x:v>
      </x:c>
      <x:c r="S342" s="9" t="n">
        <x:f>IF(AND(R342=1,O342&lt;=$G$13),1,0)</x:f>
        <x:v>0</x:v>
      </x:c>
      <x:c r="T342" s="10" t="n">
        <x:f>EOMONTH(J342-'Сводка'!$B$11,-1)</x:f>
        <x:v>46173</x:v>
      </x:c>
      <x:c r="U342" s="4" t="n">
        <x:f>MATCH(J342,'Сводка'!$R$3:$R$397,0)</x:f>
        <x:v>353</x:v>
      </x:c>
      <x:c r="V342" s="4" t="n">
        <x:f>MATCH(J342-'Сводка'!$B$11,'Сводка'!$R$3:$R$397,0)</x:f>
        <x:v>352</x:v>
      </x:c>
      <x:c r="W342" s="4" t="n">
        <x:f>MATCH(T342,$J$388:$J$400,0)</x:f>
        <x:v>12</x:v>
      </x:c>
      <x:c r="X342" s="3"/>
      <x:c r="Y342" s="3"/>
      <x:c r="Z342" s="3"/>
    </x:row>
    <x:row r="343" ht="15" customHeight="1">
      <x:c r="A343" s="3"/>
      <x:c r="B343" s="3"/>
      <x:c r="C343" s="3"/>
      <x:c r="D343" s="3"/>
      <x:c r="E343" s="3"/>
      <x:c r="F343" s="3"/>
      <x:c r="G343" s="3"/>
      <x:c r="H343" s="3"/>
      <x:c r="I343" s="3"/>
      <x:c r="J343" s="10" t="n">
        <x:v>46194</x:v>
      </x:c>
      <x:c r="K343" s="8" t="n">
        <x:f>INDEX('Сводка'!$S$3:$S$397,U343)</x:f>
        <x:v>169</x:v>
      </x:c>
      <x:c r="L343" s="8" t="n">
        <x:f>INDEX('Сводка'!$S$3:$S$397,V343)</x:f>
        <x:v>171</x:v>
      </x:c>
      <x:c r="M343" s="8" t="n">
        <x:f>INDEX($K$388:$N$400,W343,1)+INDEX($K$388:$N$400,W343,2)*(2*(J343-$T$405)/(T343-$T$405)-1)^1+INDEX($K$388:$N$400,W343,3)*(2*(J343-$T$405)/(T343-$T$405)-1)^2+INDEX($O$388:$Z$400,W343,MONTH(J343))</x:f>
        <x:v>183.31932480685066</x:v>
      </x:c>
      <x:c r="N343" s="8" t="n">
        <x:f>K343-M343</x:f>
        <x:v>-14.31932480685066</x:v>
      </x:c>
      <x:c r="O343" s="8" t="n">
        <x:f>ABS(N343)</x:f>
        <x:v>14.31932480685066</x:v>
      </x:c>
      <x:c r="P343" s="8" t="n">
        <x:f>N343^2</x:f>
        <x:v>205.04306292408867</x:v>
      </x:c>
      <x:c r="Q343" s="8" t="n">
        <x:f>K343-L343</x:f>
        <x:v>-2</x:v>
      </x:c>
      <x:c r="R343" s="9" t="n">
        <x:f>IF(AND(INDEX('Сводка'!$T$3:$T$397,U343)=0,INDEX('Сводка'!$T$3:$T$397,V343)=0),1,0)</x:f>
        <x:v>1</x:v>
      </x:c>
      <x:c r="S343" s="9" t="n">
        <x:f>IF(AND(R343=1,O343&lt;=$G$13),1,0)</x:f>
        <x:v>0</x:v>
      </x:c>
      <x:c r="T343" s="10" t="n">
        <x:f>EOMONTH(J343-'Сводка'!$B$11,-1)</x:f>
        <x:v>46173</x:v>
      </x:c>
      <x:c r="U343" s="4" t="n">
        <x:f>MATCH(J343,'Сводка'!$R$3:$R$397,0)</x:f>
        <x:v>354</x:v>
      </x:c>
      <x:c r="V343" s="4" t="n">
        <x:f>MATCH(J343-'Сводка'!$B$11,'Сводка'!$R$3:$R$397,0)</x:f>
        <x:v>353</x:v>
      </x:c>
      <x:c r="W343" s="4" t="n">
        <x:f>MATCH(T343,$J$388:$J$400,0)</x:f>
        <x:v>12</x:v>
      </x:c>
      <x:c r="X343" s="3"/>
      <x:c r="Y343" s="3"/>
      <x:c r="Z343" s="3"/>
    </x:row>
    <x:row r="344" ht="15" customHeight="1">
      <x:c r="A344" s="3"/>
      <x:c r="B344" s="3"/>
      <x:c r="C344" s="3"/>
      <x:c r="D344" s="3"/>
      <x:c r="E344" s="3"/>
      <x:c r="F344" s="3"/>
      <x:c r="G344" s="3"/>
      <x:c r="H344" s="3"/>
      <x:c r="I344" s="3"/>
      <x:c r="J344" s="10" t="n">
        <x:v>46195</x:v>
      </x:c>
      <x:c r="K344" s="8" t="n">
        <x:f>INDEX('Сводка'!$S$3:$S$397,U344)</x:f>
        <x:v>168</x:v>
      </x:c>
      <x:c r="L344" s="8" t="n">
        <x:f>INDEX('Сводка'!$S$3:$S$397,V344)</x:f>
        <x:v>169</x:v>
      </x:c>
      <x:c r="M344" s="8" t="n">
        <x:f>INDEX($K$388:$N$400,W344,1)+INDEX($K$388:$N$400,W344,2)*(2*(J344-$T$405)/(T344-$T$405)-1)^1+INDEX($K$388:$N$400,W344,3)*(2*(J344-$T$405)/(T344-$T$405)-1)^2+INDEX($O$388:$Z$400,W344,MONTH(J344))</x:f>
        <x:v>183.30869630290886</x:v>
      </x:c>
      <x:c r="N344" s="8" t="n">
        <x:f>K344-M344</x:f>
        <x:v>-15.308696302908857</x:v>
      </x:c>
      <x:c r="O344" s="8" t="n">
        <x:f>ABS(N344)</x:f>
        <x:v>15.308696302908857</x:v>
      </x:c>
      <x:c r="P344" s="8" t="n">
        <x:f>N344^2</x:f>
        <x:v>234.3561824946953</x:v>
      </x:c>
      <x:c r="Q344" s="8" t="n">
        <x:f>K344-L344</x:f>
        <x:v>-1</x:v>
      </x:c>
      <x:c r="R344" s="9" t="n">
        <x:f>IF(AND(INDEX('Сводка'!$T$3:$T$397,U344)=0,INDEX('Сводка'!$T$3:$T$397,V344)=0),1,0)</x:f>
        <x:v>1</x:v>
      </x:c>
      <x:c r="S344" s="9" t="n">
        <x:f>IF(AND(R344=1,O344&lt;=$G$13),1,0)</x:f>
        <x:v>0</x:v>
      </x:c>
      <x:c r="T344" s="10" t="n">
        <x:f>EOMONTH(J344-'Сводка'!$B$11,-1)</x:f>
        <x:v>46173</x:v>
      </x:c>
      <x:c r="U344" s="4" t="n">
        <x:f>MATCH(J344,'Сводка'!$R$3:$R$397,0)</x:f>
        <x:v>355</x:v>
      </x:c>
      <x:c r="V344" s="4" t="n">
        <x:f>MATCH(J344-'Сводка'!$B$11,'Сводка'!$R$3:$R$397,0)</x:f>
        <x:v>354</x:v>
      </x:c>
      <x:c r="W344" s="4" t="n">
        <x:f>MATCH(T344,$J$388:$J$400,0)</x:f>
        <x:v>12</x:v>
      </x:c>
      <x:c r="X344" s="3"/>
      <x:c r="Y344" s="3"/>
      <x:c r="Z344" s="3"/>
    </x:row>
    <x:row r="345" ht="15" customHeight="1">
      <x:c r="A345" s="3"/>
      <x:c r="B345" s="3"/>
      <x:c r="C345" s="3"/>
      <x:c r="D345" s="3"/>
      <x:c r="E345" s="3"/>
      <x:c r="F345" s="3"/>
      <x:c r="G345" s="3"/>
      <x:c r="H345" s="3"/>
      <x:c r="I345" s="3"/>
      <x:c r="J345" s="10" t="n">
        <x:v>46196</x:v>
      </x:c>
      <x:c r="K345" s="8" t="n">
        <x:f>INDEX('Сводка'!$S$3:$S$397,U345)</x:f>
        <x:v>159</x:v>
      </x:c>
      <x:c r="L345" s="8" t="n">
        <x:f>INDEX('Сводка'!$S$3:$S$397,V345)</x:f>
        <x:v>168</x:v>
      </x:c>
      <x:c r="M345" s="8" t="n">
        <x:f>INDEX($K$388:$N$400,W345,1)+INDEX($K$388:$N$400,W345,2)*(2*(J345-$T$405)/(T345-$T$405)-1)^1+INDEX($K$388:$N$400,W345,3)*(2*(J345-$T$405)/(T345-$T$405)-1)^2+INDEX($O$388:$Z$400,W345,MONTH(J345))</x:f>
        <x:v>183.29806112415537</x:v>
      </x:c>
      <x:c r="N345" s="8" t="n">
        <x:f>K345-M345</x:f>
        <x:v>-24.298061124155367</x:v>
      </x:c>
      <x:c r="O345" s="8" t="n">
        <x:f>ABS(N345)</x:f>
        <x:v>24.298061124155367</x:v>
      </x:c>
      <x:c r="P345" s="8" t="n">
        <x:f>N345^2</x:f>
        <x:v>590.3957743931904</x:v>
      </x:c>
      <x:c r="Q345" s="8" t="n">
        <x:f>K345-L345</x:f>
        <x:v>-9</x:v>
      </x:c>
      <x:c r="R345" s="9" t="n">
        <x:f>IF(AND(INDEX('Сводка'!$T$3:$T$397,U345)=0,INDEX('Сводка'!$T$3:$T$397,V345)=0),1,0)</x:f>
        <x:v>1</x:v>
      </x:c>
      <x:c r="S345" s="9" t="n">
        <x:f>IF(AND(R345=1,O345&lt;=$G$13),1,0)</x:f>
        <x:v>0</x:v>
      </x:c>
      <x:c r="T345" s="10" t="n">
        <x:f>EOMONTH(J345-'Сводка'!$B$11,-1)</x:f>
        <x:v>46173</x:v>
      </x:c>
      <x:c r="U345" s="4" t="n">
        <x:f>MATCH(J345,'Сводка'!$R$3:$R$397,0)</x:f>
        <x:v>356</x:v>
      </x:c>
      <x:c r="V345" s="4" t="n">
        <x:f>MATCH(J345-'Сводка'!$B$11,'Сводка'!$R$3:$R$397,0)</x:f>
        <x:v>355</x:v>
      </x:c>
      <x:c r="W345" s="4" t="n">
        <x:f>MATCH(T345,$J$388:$J$400,0)</x:f>
        <x:v>12</x:v>
      </x:c>
      <x:c r="X345" s="3"/>
      <x:c r="Y345" s="3"/>
      <x:c r="Z345" s="3"/>
    </x:row>
    <x:row r="346" ht="15" customHeight="1">
      <x:c r="A346" s="3"/>
      <x:c r="B346" s="3"/>
      <x:c r="C346" s="3"/>
      <x:c r="D346" s="3"/>
      <x:c r="E346" s="3"/>
      <x:c r="F346" s="3"/>
      <x:c r="G346" s="3"/>
      <x:c r="H346" s="3"/>
      <x:c r="I346" s="3"/>
      <x:c r="J346" s="10" t="n">
        <x:v>46197</x:v>
      </x:c>
      <x:c r="K346" s="8" t="n">
        <x:f>INDEX('Сводка'!$S$3:$S$397,U346)</x:f>
        <x:v>151</x:v>
      </x:c>
      <x:c r="L346" s="8" t="n">
        <x:f>INDEX('Сводка'!$S$3:$S$397,V346)</x:f>
        <x:v>159</x:v>
      </x:c>
      <x:c r="M346" s="8" t="n">
        <x:f>INDEX($K$388:$N$400,W346,1)+INDEX($K$388:$N$400,W346,2)*(2*(J346-$T$405)/(T346-$T$405)-1)^1+INDEX($K$388:$N$400,W346,3)*(2*(J346-$T$405)/(T346-$T$405)-1)^2+INDEX($O$388:$Z$400,W346,MONTH(J346))</x:f>
        <x:v>183.2874192705901</x:v>
      </x:c>
      <x:c r="N346" s="8" t="n">
        <x:f>K346-M346</x:f>
        <x:v>-32.28741927059011</x:v>
      </x:c>
      <x:c r="O346" s="8" t="n">
        <x:f>ABS(N346)</x:f>
        <x:v>32.28741927059011</x:v>
      </x:c>
      <x:c r="P346" s="8" t="n">
        <x:f>N346^2</x:f>
        <x:v>1042.4774431548733</x:v>
      </x:c>
      <x:c r="Q346" s="8" t="n">
        <x:f>K346-L346</x:f>
        <x:v>-8</x:v>
      </x:c>
      <x:c r="R346" s="9" t="n">
        <x:f>IF(AND(INDEX('Сводка'!$T$3:$T$397,U346)=0,INDEX('Сводка'!$T$3:$T$397,V346)=0),1,0)</x:f>
        <x:v>1</x:v>
      </x:c>
      <x:c r="S346" s="9" t="n">
        <x:f>IF(AND(R346=1,O346&lt;=$G$13),1,0)</x:f>
        <x:v>0</x:v>
      </x:c>
      <x:c r="T346" s="10" t="n">
        <x:f>EOMONTH(J346-'Сводка'!$B$11,-1)</x:f>
        <x:v>46173</x:v>
      </x:c>
      <x:c r="U346" s="4" t="n">
        <x:f>MATCH(J346,'Сводка'!$R$3:$R$397,0)</x:f>
        <x:v>357</x:v>
      </x:c>
      <x:c r="V346" s="4" t="n">
        <x:f>MATCH(J346-'Сводка'!$B$11,'Сводка'!$R$3:$R$397,0)</x:f>
        <x:v>356</x:v>
      </x:c>
      <x:c r="W346" s="4" t="n">
        <x:f>MATCH(T346,$J$388:$J$400,0)</x:f>
        <x:v>12</x:v>
      </x:c>
      <x:c r="X346" s="3"/>
      <x:c r="Y346" s="3"/>
      <x:c r="Z346" s="3"/>
    </x:row>
    <x:row r="347" ht="15" customHeight="1">
      <x:c r="A347" s="3"/>
      <x:c r="B347" s="3"/>
      <x:c r="C347" s="3"/>
      <x:c r="D347" s="3"/>
      <x:c r="E347" s="3"/>
      <x:c r="F347" s="3"/>
      <x:c r="G347" s="3"/>
      <x:c r="H347" s="3"/>
      <x:c r="I347" s="3"/>
      <x:c r="J347" s="10" t="n">
        <x:v>46198</x:v>
      </x:c>
      <x:c r="K347" s="8" t="n">
        <x:f>INDEX('Сводка'!$S$3:$S$397,U347)</x:f>
        <x:v>144</x:v>
      </x:c>
      <x:c r="L347" s="8" t="n">
        <x:f>INDEX('Сводка'!$S$3:$S$397,V347)</x:f>
        <x:v>151</x:v>
      </x:c>
      <x:c r="M347" s="8" t="n">
        <x:f>INDEX($K$388:$N$400,W347,1)+INDEX($K$388:$N$400,W347,2)*(2*(J347-$T$405)/(T347-$T$405)-1)^1+INDEX($K$388:$N$400,W347,3)*(2*(J347-$T$405)/(T347-$T$405)-1)^2+INDEX($O$388:$Z$400,W347,MONTH(J347))</x:f>
        <x:v>183.27677074221322</x:v>
      </x:c>
      <x:c r="N347" s="8" t="n">
        <x:f>K347-M347</x:f>
        <x:v>-39.276770742213216</x:v>
      </x:c>
      <x:c r="O347" s="8" t="n">
        <x:f>ABS(N347)</x:f>
        <x:v>39.276770742213216</x:v>
      </x:c>
      <x:c r="P347" s="8" t="n">
        <x:f>N347^2</x:f>
        <x:v>1542.664719936376</x:v>
      </x:c>
      <x:c r="Q347" s="8" t="n">
        <x:f>K347-L347</x:f>
        <x:v>-7</x:v>
      </x:c>
      <x:c r="R347" s="9" t="n">
        <x:f>IF(AND(INDEX('Сводка'!$T$3:$T$397,U347)=0,INDEX('Сводка'!$T$3:$T$397,V347)=0),1,0)</x:f>
        <x:v>1</x:v>
      </x:c>
      <x:c r="S347" s="9" t="n">
        <x:f>IF(AND(R347=1,O347&lt;=$G$13),1,0)</x:f>
        <x:v>0</x:v>
      </x:c>
      <x:c r="T347" s="10" t="n">
        <x:f>EOMONTH(J347-'Сводка'!$B$11,-1)</x:f>
        <x:v>46173</x:v>
      </x:c>
      <x:c r="U347" s="4" t="n">
        <x:f>MATCH(J347,'Сводка'!$R$3:$R$397,0)</x:f>
        <x:v>358</x:v>
      </x:c>
      <x:c r="V347" s="4" t="n">
        <x:f>MATCH(J347-'Сводка'!$B$11,'Сводка'!$R$3:$R$397,0)</x:f>
        <x:v>357</x:v>
      </x:c>
      <x:c r="W347" s="4" t="n">
        <x:f>MATCH(T347,$J$388:$J$400,0)</x:f>
        <x:v>12</x:v>
      </x:c>
      <x:c r="X347" s="3"/>
      <x:c r="Y347" s="3"/>
      <x:c r="Z347" s="3"/>
    </x:row>
    <x:row r="348" ht="15" customHeight="1">
      <x:c r="A348" s="3"/>
      <x:c r="B348" s="3"/>
      <x:c r="C348" s="3"/>
      <x:c r="D348" s="3"/>
      <x:c r="E348" s="3"/>
      <x:c r="F348" s="3"/>
      <x:c r="G348" s="3"/>
      <x:c r="H348" s="3"/>
      <x:c r="I348" s="3"/>
      <x:c r="J348" s="10" t="n">
        <x:v>46199</x:v>
      </x:c>
      <x:c r="K348" s="8" t="n">
        <x:f>INDEX('Сводка'!$S$3:$S$397,U348)</x:f>
        <x:v>139</x:v>
      </x:c>
      <x:c r="L348" s="8" t="n">
        <x:f>INDEX('Сводка'!$S$3:$S$397,V348)</x:f>
        <x:v>144</x:v>
      </x:c>
      <x:c r="M348" s="8" t="n">
        <x:f>INDEX($K$388:$N$400,W348,1)+INDEX($K$388:$N$400,W348,2)*(2*(J348-$T$405)/(T348-$T$405)-1)^1+INDEX($K$388:$N$400,W348,3)*(2*(J348-$T$405)/(T348-$T$405)-1)^2+INDEX($O$388:$Z$400,W348,MONTH(J348))</x:f>
        <x:v>183.26611553902467</x:v>
      </x:c>
      <x:c r="N348" s="8" t="n">
        <x:f>K348-M348</x:f>
        <x:v>-44.26611553902467</x:v>
      </x:c>
      <x:c r="O348" s="8" t="n">
        <x:f>ABS(N348)</x:f>
        <x:v>44.26611553902467</x:v>
      </x:c>
      <x:c r="P348" s="8" t="n">
        <x:f>N348^2</x:f>
        <x:v>1959.4889849142812</x:v>
      </x:c>
      <x:c r="Q348" s="8" t="n">
        <x:f>K348-L348</x:f>
        <x:v>-5</x:v>
      </x:c>
      <x:c r="R348" s="9" t="n">
        <x:f>IF(AND(INDEX('Сводка'!$T$3:$T$397,U348)=0,INDEX('Сводка'!$T$3:$T$397,V348)=0),1,0)</x:f>
        <x:v>1</x:v>
      </x:c>
      <x:c r="S348" s="9" t="n">
        <x:f>IF(AND(R348=1,O348&lt;=$G$13),1,0)</x:f>
        <x:v>0</x:v>
      </x:c>
      <x:c r="T348" s="10" t="n">
        <x:f>EOMONTH(J348-'Сводка'!$B$11,-1)</x:f>
        <x:v>46173</x:v>
      </x:c>
      <x:c r="U348" s="4" t="n">
        <x:f>MATCH(J348,'Сводка'!$R$3:$R$397,0)</x:f>
        <x:v>359</x:v>
      </x:c>
      <x:c r="V348" s="4" t="n">
        <x:f>MATCH(J348-'Сводка'!$B$11,'Сводка'!$R$3:$R$397,0)</x:f>
        <x:v>358</x:v>
      </x:c>
      <x:c r="W348" s="4" t="n">
        <x:f>MATCH(T348,$J$388:$J$400,0)</x:f>
        <x:v>12</x:v>
      </x:c>
      <x:c r="X348" s="3"/>
      <x:c r="Y348" s="3"/>
      <x:c r="Z348" s="3"/>
    </x:row>
    <x:row r="349" ht="15" customHeight="1">
      <x:c r="A349" s="3"/>
      <x:c r="B349" s="3"/>
      <x:c r="C349" s="3"/>
      <x:c r="D349" s="3"/>
      <x:c r="E349" s="3"/>
      <x:c r="F349" s="3"/>
      <x:c r="G349" s="3"/>
      <x:c r="H349" s="3"/>
      <x:c r="I349" s="3"/>
      <x:c r="J349" s="10" t="n">
        <x:v>46200</x:v>
      </x:c>
      <x:c r="K349" s="8" t="n">
        <x:f>INDEX('Сводка'!$S$3:$S$397,U349)</x:f>
        <x:v>136</x:v>
      </x:c>
      <x:c r="L349" s="8" t="n">
        <x:f>INDEX('Сводка'!$S$3:$S$397,V349)</x:f>
        <x:v>139</x:v>
      </x:c>
      <x:c r="M349" s="8" t="n">
        <x:f>INDEX($K$388:$N$400,W349,1)+INDEX($K$388:$N$400,W349,2)*(2*(J349-$T$405)/(T349-$T$405)-1)^1+INDEX($K$388:$N$400,W349,3)*(2*(J349-$T$405)/(T349-$T$405)-1)^2+INDEX($O$388:$Z$400,W349,MONTH(J349))</x:f>
        <x:v>183.25545366102443</x:v>
      </x:c>
      <x:c r="N349" s="8" t="n">
        <x:f>K349-M349</x:f>
        <x:v>-47.25545366102443</x:v>
      </x:c>
      <x:c r="O349" s="8" t="n">
        <x:f>ABS(N349)</x:f>
        <x:v>47.25545366102443</x:v>
      </x:c>
      <x:c r="P349" s="8" t="n">
        <x:f>N349^2</x:f>
        <x:v>2233.0779007092274</x:v>
      </x:c>
      <x:c r="Q349" s="8" t="n">
        <x:f>K349-L349</x:f>
        <x:v>-3</x:v>
      </x:c>
      <x:c r="R349" s="9" t="n">
        <x:f>IF(AND(INDEX('Сводка'!$T$3:$T$397,U349)=0,INDEX('Сводка'!$T$3:$T$397,V349)=0),1,0)</x:f>
        <x:v>1</x:v>
      </x:c>
      <x:c r="S349" s="9" t="n">
        <x:f>IF(AND(R349=1,O349&lt;=$G$13),1,0)</x:f>
        <x:v>0</x:v>
      </x:c>
      <x:c r="T349" s="10" t="n">
        <x:f>EOMONTH(J349-'Сводка'!$B$11,-1)</x:f>
        <x:v>46173</x:v>
      </x:c>
      <x:c r="U349" s="4" t="n">
        <x:f>MATCH(J349,'Сводка'!$R$3:$R$397,0)</x:f>
        <x:v>360</x:v>
      </x:c>
      <x:c r="V349" s="4" t="n">
        <x:f>MATCH(J349-'Сводка'!$B$11,'Сводка'!$R$3:$R$397,0)</x:f>
        <x:v>359</x:v>
      </x:c>
      <x:c r="W349" s="4" t="n">
        <x:f>MATCH(T349,$J$388:$J$400,0)</x:f>
        <x:v>12</x:v>
      </x:c>
      <x:c r="X349" s="3"/>
      <x:c r="Y349" s="3"/>
      <x:c r="Z349" s="3"/>
    </x:row>
    <x:row r="350" ht="15" customHeight="1">
      <x:c r="A350" s="3"/>
      <x:c r="B350" s="3"/>
      <x:c r="C350" s="3"/>
      <x:c r="D350" s="3"/>
      <x:c r="E350" s="3"/>
      <x:c r="F350" s="3"/>
      <x:c r="G350" s="3"/>
      <x:c r="H350" s="3"/>
      <x:c r="I350" s="3"/>
      <x:c r="J350" s="10" t="n">
        <x:v>46201</x:v>
      </x:c>
      <x:c r="K350" s="8" t="n">
        <x:f>INDEX('Сводка'!$S$3:$S$397,U350)</x:f>
        <x:v>127</x:v>
      </x:c>
      <x:c r="L350" s="8" t="n">
        <x:f>INDEX('Сводка'!$S$3:$S$397,V350)</x:f>
        <x:v>136</x:v>
      </x:c>
      <x:c r="M350" s="8" t="n">
        <x:f>INDEX($K$388:$N$400,W350,1)+INDEX($K$388:$N$400,W350,2)*(2*(J350-$T$405)/(T350-$T$405)-1)^1+INDEX($K$388:$N$400,W350,3)*(2*(J350-$T$405)/(T350-$T$405)-1)^2+INDEX($O$388:$Z$400,W350,MONTH(J350))</x:f>
        <x:v>183.24478510821248</x:v>
      </x:c>
      <x:c r="N350" s="8" t="n">
        <x:f>K350-M350</x:f>
        <x:v>-56.24478510821248</x:v>
      </x:c>
      <x:c r="O350" s="8" t="n">
        <x:f>ABS(N350)</x:f>
        <x:v>56.24478510821248</x:v>
      </x:c>
      <x:c r="P350" s="8" t="n">
        <x:f>N350^2</x:f>
        <x:v>3163.4758518690005</x:v>
      </x:c>
      <x:c r="Q350" s="8" t="n">
        <x:f>K350-L350</x:f>
        <x:v>-9</x:v>
      </x:c>
      <x:c r="R350" s="9" t="n">
        <x:f>IF(AND(INDEX('Сводка'!$T$3:$T$397,U350)=0,INDEX('Сводка'!$T$3:$T$397,V350)=0),1,0)</x:f>
        <x:v>1</x:v>
      </x:c>
      <x:c r="S350" s="9" t="n">
        <x:f>IF(AND(R350=1,O350&lt;=$G$13),1,0)</x:f>
        <x:v>0</x:v>
      </x:c>
      <x:c r="T350" s="10" t="n">
        <x:f>EOMONTH(J350-'Сводка'!$B$11,-1)</x:f>
        <x:v>46173</x:v>
      </x:c>
      <x:c r="U350" s="4" t="n">
        <x:f>MATCH(J350,'Сводка'!$R$3:$R$397,0)</x:f>
        <x:v>361</x:v>
      </x:c>
      <x:c r="V350" s="4" t="n">
        <x:f>MATCH(J350-'Сводка'!$B$11,'Сводка'!$R$3:$R$397,0)</x:f>
        <x:v>360</x:v>
      </x:c>
      <x:c r="W350" s="4" t="n">
        <x:f>MATCH(T350,$J$388:$J$400,0)</x:f>
        <x:v>12</x:v>
      </x:c>
      <x:c r="X350" s="3"/>
      <x:c r="Y350" s="3"/>
      <x:c r="Z350" s="3"/>
    </x:row>
    <x:row r="351" ht="15" customHeight="1">
      <x:c r="A351" s="3"/>
      <x:c r="B351" s="3"/>
      <x:c r="C351" s="3"/>
      <x:c r="D351" s="3"/>
      <x:c r="E351" s="3"/>
      <x:c r="F351" s="3"/>
      <x:c r="G351" s="3"/>
      <x:c r="H351" s="3"/>
      <x:c r="I351" s="3"/>
      <x:c r="J351" s="10" t="n">
        <x:v>46202</x:v>
      </x:c>
      <x:c r="K351" s="8" t="n">
        <x:f>INDEX('Сводка'!$S$3:$S$397,U351)</x:f>
        <x:v>122</x:v>
      </x:c>
      <x:c r="L351" s="8" t="n">
        <x:f>INDEX('Сводка'!$S$3:$S$397,V351)</x:f>
        <x:v>127</x:v>
      </x:c>
      <x:c r="M351" s="8" t="n">
        <x:f>INDEX($K$388:$N$400,W351,1)+INDEX($K$388:$N$400,W351,2)*(2*(J351-$T$405)/(T351-$T$405)-1)^1+INDEX($K$388:$N$400,W351,3)*(2*(J351-$T$405)/(T351-$T$405)-1)^2+INDEX($O$388:$Z$400,W351,MONTH(J351))</x:f>
        <x:v>183.23410988058885</x:v>
      </x:c>
      <x:c r="N351" s="8" t="n">
        <x:f>K351-M351</x:f>
        <x:v>-61.234109880588846</x:v>
      </x:c>
      <x:c r="O351" s="8" t="n">
        <x:f>ABS(N351)</x:f>
        <x:v>61.234109880588846</x:v>
      </x:c>
      <x:c r="P351" s="8" t="n">
        <x:f>N351^2</x:f>
        <x:v>3749.6162128680285</x:v>
      </x:c>
      <x:c r="Q351" s="8" t="n">
        <x:f>K351-L351</x:f>
        <x:v>-5</x:v>
      </x:c>
      <x:c r="R351" s="9" t="n">
        <x:f>IF(AND(INDEX('Сводка'!$T$3:$T$397,U351)=0,INDEX('Сводка'!$T$3:$T$397,V351)=0),1,0)</x:f>
        <x:v>1</x:v>
      </x:c>
      <x:c r="S351" s="9" t="n">
        <x:f>IF(AND(R351=1,O351&lt;=$G$13),1,0)</x:f>
        <x:v>0</x:v>
      </x:c>
      <x:c r="T351" s="10" t="n">
        <x:f>EOMONTH(J351-'Сводка'!$B$11,-1)</x:f>
        <x:v>46173</x:v>
      </x:c>
      <x:c r="U351" s="4" t="n">
        <x:f>MATCH(J351,'Сводка'!$R$3:$R$397,0)</x:f>
        <x:v>362</x:v>
      </x:c>
      <x:c r="V351" s="4" t="n">
        <x:f>MATCH(J351-'Сводка'!$B$11,'Сводка'!$R$3:$R$397,0)</x:f>
        <x:v>361</x:v>
      </x:c>
      <x:c r="W351" s="4" t="n">
        <x:f>MATCH(T351,$J$388:$J$400,0)</x:f>
        <x:v>12</x:v>
      </x:c>
      <x:c r="X351" s="3"/>
      <x:c r="Y351" s="3"/>
      <x:c r="Z351" s="3"/>
    </x:row>
    <x:row r="352" ht="15" customHeight="1">
      <x:c r="A352" s="3"/>
      <x:c r="B352" s="3"/>
      <x:c r="C352" s="3"/>
      <x:c r="D352" s="3"/>
      <x:c r="E352" s="3"/>
      <x:c r="F352" s="3"/>
      <x:c r="G352" s="3"/>
      <x:c r="H352" s="3"/>
      <x:c r="I352" s="3"/>
      <x:c r="J352" s="10" t="n">
        <x:v>46203</x:v>
      </x:c>
      <x:c r="K352" s="8" t="n">
        <x:f>INDEX('Сводка'!$S$3:$S$397,U352)</x:f>
        <x:v>116</x:v>
      </x:c>
      <x:c r="L352" s="8" t="n">
        <x:f>INDEX('Сводка'!$S$3:$S$397,V352)</x:f>
        <x:v>122</x:v>
      </x:c>
      <x:c r="M352" s="8" t="n">
        <x:f>INDEX($K$388:$N$400,W352,1)+INDEX($K$388:$N$400,W352,2)*(2*(J352-$T$405)/(T352-$T$405)-1)^1+INDEX($K$388:$N$400,W352,3)*(2*(J352-$T$405)/(T352-$T$405)-1)^2+INDEX($O$388:$Z$400,W352,MONTH(J352))</x:f>
        <x:v>183.22342797815352</x:v>
      </x:c>
      <x:c r="N352" s="8" t="n">
        <x:f>K352-M352</x:f>
        <x:v>-67.22342797815352</x:v>
      </x:c>
      <x:c r="O352" s="8" t="n">
        <x:f>ABS(N352)</x:f>
        <x:v>67.22342797815352</x:v>
      </x:c>
      <x:c r="P352" s="8" t="n">
        <x:f>N352^2</x:f>
        <x:v>4518.989269133994</x:v>
      </x:c>
      <x:c r="Q352" s="8" t="n">
        <x:f>K352-L352</x:f>
        <x:v>-6</x:v>
      </x:c>
      <x:c r="R352" s="9" t="n">
        <x:f>IF(AND(INDEX('Сводка'!$T$3:$T$397,U352)=0,INDEX('Сводка'!$T$3:$T$397,V352)=0),1,0)</x:f>
        <x:v>1</x:v>
      </x:c>
      <x:c r="S352" s="9" t="n">
        <x:f>IF(AND(R352=1,O352&lt;=$G$13),1,0)</x:f>
        <x:v>0</x:v>
      </x:c>
      <x:c r="T352" s="10" t="n">
        <x:f>EOMONTH(J352-'Сводка'!$B$11,-1)</x:f>
        <x:v>46173</x:v>
      </x:c>
      <x:c r="U352" s="4" t="n">
        <x:f>MATCH(J352,'Сводка'!$R$3:$R$397,0)</x:f>
        <x:v>363</x:v>
      </x:c>
      <x:c r="V352" s="4" t="n">
        <x:f>MATCH(J352-'Сводка'!$B$11,'Сводка'!$R$3:$R$397,0)</x:f>
        <x:v>362</x:v>
      </x:c>
      <x:c r="W352" s="4" t="n">
        <x:f>MATCH(T352,$J$388:$J$400,0)</x:f>
        <x:v>12</x:v>
      </x:c>
      <x:c r="X352" s="3"/>
      <x:c r="Y352" s="3"/>
      <x:c r="Z352" s="3"/>
    </x:row>
    <x:row r="353" ht="15" customHeight="1">
      <x:c r="A353" s="3"/>
      <x:c r="B353" s="3"/>
      <x:c r="C353" s="3"/>
      <x:c r="D353" s="3"/>
      <x:c r="E353" s="3"/>
      <x:c r="F353" s="3"/>
      <x:c r="G353" s="3"/>
      <x:c r="H353" s="3"/>
      <x:c r="I353" s="3"/>
      <x:c r="J353" s="10" t="n">
        <x:v>46204</x:v>
      </x:c>
      <x:c r="K353" s="8" t="n">
        <x:f>INDEX('Сводка'!$S$3:$S$397,U353)</x:f>
        <x:v>110</x:v>
      </x:c>
      <x:c r="L353" s="8" t="n">
        <x:f>INDEX('Сводка'!$S$3:$S$397,V353)</x:f>
        <x:v>116</x:v>
      </x:c>
      <x:c r="M353" s="8" t="n">
        <x:f>INDEX($K$388:$N$400,W353,1)+INDEX($K$388:$N$400,W353,2)*(2*(J353-$T$405)/(T353-$T$405)-1)^1+INDEX($K$388:$N$400,W353,3)*(2*(J353-$T$405)/(T353-$T$405)-1)^2+INDEX($O$388:$Z$400,W353,MONTH(J353))</x:f>
        <x:v>216.2116680062739</x:v>
      </x:c>
      <x:c r="N353" s="8" t="n">
        <x:f>K353-M353</x:f>
        <x:v>-106.2116680062739</x:v>
      </x:c>
      <x:c r="O353" s="8" t="n">
        <x:f>ABS(N353)</x:f>
        <x:v>106.2116680062739</x:v>
      </x:c>
      <x:c r="P353" s="8" t="n">
        <x:f>N353^2</x:f>
        <x:v>11280.918420674947</x:v>
      </x:c>
      <x:c r="Q353" s="8" t="n">
        <x:f>K353-L353</x:f>
        <x:v>-6</x:v>
      </x:c>
      <x:c r="R353" s="9" t="n">
        <x:f>IF(AND(INDEX('Сводка'!$T$3:$T$397,U353)=0,INDEX('Сводка'!$T$3:$T$397,V353)=0),1,0)</x:f>
        <x:v>1</x:v>
      </x:c>
      <x:c r="S353" s="9" t="n">
        <x:f>IF(AND(R353=1,O353&lt;=$G$13),1,0)</x:f>
        <x:v>0</x:v>
      </x:c>
      <x:c r="T353" s="10" t="n">
        <x:f>EOMONTH(J353-'Сводка'!$B$11,-1)</x:f>
        <x:v>46173</x:v>
      </x:c>
      <x:c r="U353" s="4" t="n">
        <x:f>MATCH(J353,'Сводка'!$R$3:$R$397,0)</x:f>
        <x:v>364</x:v>
      </x:c>
      <x:c r="V353" s="4" t="n">
        <x:f>MATCH(J353-'Сводка'!$B$11,'Сводка'!$R$3:$R$397,0)</x:f>
        <x:v>363</x:v>
      </x:c>
      <x:c r="W353" s="4" t="n">
        <x:f>MATCH(T353,$J$388:$J$400,0)</x:f>
        <x:v>12</x:v>
      </x:c>
      <x:c r="X353" s="3"/>
      <x:c r="Y353" s="3"/>
      <x:c r="Z353" s="3"/>
    </x:row>
    <x:row r="354" ht="15" customHeight="1">
      <x:c r="A354" s="3"/>
      <x:c r="B354" s="3"/>
      <x:c r="C354" s="3"/>
      <x:c r="D354" s="3"/>
      <x:c r="E354" s="3"/>
      <x:c r="F354" s="3"/>
      <x:c r="G354" s="3"/>
      <x:c r="H354" s="3"/>
      <x:c r="I354" s="3"/>
      <x:c r="J354" s="10" t="n">
        <x:v>46205</x:v>
      </x:c>
      <x:c r="K354" s="8" t="n">
        <x:f>INDEX('Сводка'!$S$3:$S$397,U354)</x:f>
        <x:v>105</x:v>
      </x:c>
      <x:c r="L354" s="8" t="n">
        <x:f>INDEX('Сводка'!$S$3:$S$397,V354)</x:f>
        <x:v>110</x:v>
      </x:c>
      <x:c r="M354" s="8" t="n">
        <x:f>INDEX($K$388:$N$400,W354,1)+INDEX($K$388:$N$400,W354,2)*(2*(J354-$T$405)/(T354-$T$405)-1)^1+INDEX($K$388:$N$400,W354,3)*(2*(J354-$T$405)/(T354-$T$405)-1)^2+INDEX($O$388:$Z$400,W354,MONTH(J354))</x:f>
        <x:v>214.68838918410137</x:v>
      </x:c>
      <x:c r="N354" s="8" t="n">
        <x:f>K354-M354</x:f>
        <x:v>-109.68838918410137</x:v>
      </x:c>
      <x:c r="O354" s="8" t="n">
        <x:f>ABS(N354)</x:f>
        <x:v>109.68838918410137</x:v>
      </x:c>
      <x:c r="P354" s="8" t="n">
        <x:f>N354^2</x:f>
        <x:v>12031.542721802885</x:v>
      </x:c>
      <x:c r="Q354" s="8" t="n">
        <x:f>K354-L354</x:f>
        <x:v>-5</x:v>
      </x:c>
      <x:c r="R354" s="9" t="n">
        <x:f>IF(AND(INDEX('Сводка'!$T$3:$T$397,U354)=0,INDEX('Сводка'!$T$3:$T$397,V354)=0),1,0)</x:f>
        <x:v>1</x:v>
      </x:c>
      <x:c r="S354" s="9" t="n">
        <x:f>IF(AND(R354=1,O354&lt;=$G$13),1,0)</x:f>
        <x:v>0</x:v>
      </x:c>
      <x:c r="T354" s="10" t="n">
        <x:f>EOMONTH(J354-'Сводка'!$B$11,-1)</x:f>
        <x:v>46203</x:v>
      </x:c>
      <x:c r="U354" s="4" t="n">
        <x:f>MATCH(J354,'Сводка'!$R$3:$R$397,0)</x:f>
        <x:v>365</x:v>
      </x:c>
      <x:c r="V354" s="4" t="n">
        <x:f>MATCH(J354-'Сводка'!$B$11,'Сводка'!$R$3:$R$397,0)</x:f>
        <x:v>364</x:v>
      </x:c>
      <x:c r="W354" s="4" t="n">
        <x:f>MATCH(T354,$J$388:$J$400,0)</x:f>
        <x:v>13</x:v>
      </x:c>
      <x:c r="X354" s="3"/>
      <x:c r="Y354" s="3"/>
      <x:c r="Z354" s="3"/>
    </x:row>
    <x:row r="355" ht="15" customHeight="1">
      <x:c r="A355" s="3"/>
      <x:c r="B355" s="3"/>
      <x:c r="C355" s="3"/>
      <x:c r="D355" s="3"/>
      <x:c r="E355" s="3"/>
      <x:c r="F355" s="3"/>
      <x:c r="G355" s="3"/>
      <x:c r="H355" s="3"/>
      <x:c r="I355" s="3"/>
      <x:c r="J355" s="10" t="n">
        <x:v>46206</x:v>
      </x:c>
      <x:c r="K355" s="8" t="n">
        <x:f>INDEX('Сводка'!$S$3:$S$397,U355)</x:f>
        <x:v>105</x:v>
      </x:c>
      <x:c r="L355" s="8" t="n">
        <x:f>INDEX('Сводка'!$S$3:$S$397,V355)</x:f>
        <x:v>105</x:v>
      </x:c>
      <x:c r="M355" s="8" t="n">
        <x:f>INDEX($K$388:$N$400,W355,1)+INDEX($K$388:$N$400,W355,2)*(2*(J355-$T$405)/(T355-$T$405)-1)^1+INDEX($K$388:$N$400,W355,3)*(2*(J355-$T$405)/(T355-$T$405)-1)^2+INDEX($O$388:$Z$400,W355,MONTH(J355))</x:f>
        <x:v>214.67694683732043</x:v>
      </x:c>
      <x:c r="N355" s="8" t="n">
        <x:f>K355-M355</x:f>
        <x:v>-109.67694683732043</x:v>
      </x:c>
      <x:c r="O355" s="8" t="n">
        <x:f>ABS(N355)</x:f>
        <x:v>109.67694683732043</x:v>
      </x:c>
      <x:c r="P355" s="8" t="n">
        <x:f>N355^2</x:f>
        <x:v>12029.032667556412</x:v>
      </x:c>
      <x:c r="Q355" s="8" t="n">
        <x:f>K355-L355</x:f>
        <x:v>0</x:v>
      </x:c>
      <x:c r="R355" s="9" t="n">
        <x:f>IF(AND(INDEX('Сводка'!$T$3:$T$397,U355)=0,INDEX('Сводка'!$T$3:$T$397,V355)=0),1,0)</x:f>
        <x:v>1</x:v>
      </x:c>
      <x:c r="S355" s="9" t="n">
        <x:f>IF(AND(R355=1,O355&lt;=$G$13),1,0)</x:f>
        <x:v>0</x:v>
      </x:c>
      <x:c r="T355" s="10" t="n">
        <x:f>EOMONTH(J355-'Сводка'!$B$11,-1)</x:f>
        <x:v>46203</x:v>
      </x:c>
      <x:c r="U355" s="4" t="n">
        <x:f>MATCH(J355,'Сводка'!$R$3:$R$397,0)</x:f>
        <x:v>366</x:v>
      </x:c>
      <x:c r="V355" s="4" t="n">
        <x:f>MATCH(J355-'Сводка'!$B$11,'Сводка'!$R$3:$R$397,0)</x:f>
        <x:v>365</x:v>
      </x:c>
      <x:c r="W355" s="4" t="n">
        <x:f>MATCH(T355,$J$388:$J$400,0)</x:f>
        <x:v>13</x:v>
      </x:c>
      <x:c r="X355" s="3"/>
      <x:c r="Y355" s="3"/>
      <x:c r="Z355" s="3"/>
    </x:row>
    <x:row r="356" ht="15" customHeight="1">
      <x:c r="A356" s="3"/>
      <x:c r="B356" s="3"/>
      <x:c r="C356" s="3"/>
      <x:c r="D356" s="3"/>
      <x:c r="E356" s="3"/>
      <x:c r="F356" s="3"/>
      <x:c r="G356" s="3"/>
      <x:c r="H356" s="3"/>
      <x:c r="I356" s="3"/>
      <x:c r="J356" s="10" t="n">
        <x:v>46207</x:v>
      </x:c>
      <x:c r="K356" s="8" t="n">
        <x:f>INDEX('Сводка'!$S$3:$S$397,U356)</x:f>
        <x:v>121</x:v>
      </x:c>
      <x:c r="L356" s="8" t="n">
        <x:f>INDEX('Сводка'!$S$3:$S$397,V356)</x:f>
        <x:v>105</x:v>
      </x:c>
      <x:c r="M356" s="8" t="n">
        <x:f>INDEX($K$388:$N$400,W356,1)+INDEX($K$388:$N$400,W356,2)*(2*(J356-$T$405)/(T356-$T$405)-1)^1+INDEX($K$388:$N$400,W356,3)*(2*(J356-$T$405)/(T356-$T$405)-1)^2+INDEX($O$388:$Z$400,W356,MONTH(J356))</x:f>
        <x:v>214.6654976783179</x:v>
      </x:c>
      <x:c r="N356" s="8" t="n">
        <x:f>K356-M356</x:f>
        <x:v>-93.6654976783179</x:v>
      </x:c>
      <x:c r="O356" s="8" t="n">
        <x:f>ABS(N356)</x:f>
        <x:v>93.6654976783179</x:v>
      </x:c>
      <x:c r="P356" s="8" t="n">
        <x:f>N356^2</x:f>
        <x:v>8773.225455326978</x:v>
      </x:c>
      <x:c r="Q356" s="8" t="n">
        <x:f>K356-L356</x:f>
        <x:v>16</x:v>
      </x:c>
      <x:c r="R356" s="9" t="n">
        <x:f>IF(AND(INDEX('Сводка'!$T$3:$T$397,U356)=0,INDEX('Сводка'!$T$3:$T$397,V356)=0),1,0)</x:f>
        <x:v>1</x:v>
      </x:c>
      <x:c r="S356" s="9" t="n">
        <x:f>IF(AND(R356=1,O356&lt;=$G$13),1,0)</x:f>
        <x:v>0</x:v>
      </x:c>
      <x:c r="T356" s="10" t="n">
        <x:f>EOMONTH(J356-'Сводка'!$B$11,-1)</x:f>
        <x:v>46203</x:v>
      </x:c>
      <x:c r="U356" s="4" t="n">
        <x:f>MATCH(J356,'Сводка'!$R$3:$R$397,0)</x:f>
        <x:v>367</x:v>
      </x:c>
      <x:c r="V356" s="4" t="n">
        <x:f>MATCH(J356-'Сводка'!$B$11,'Сводка'!$R$3:$R$397,0)</x:f>
        <x:v>366</x:v>
      </x:c>
      <x:c r="W356" s="4" t="n">
        <x:f>MATCH(T356,$J$388:$J$400,0)</x:f>
        <x:v>13</x:v>
      </x:c>
      <x:c r="X356" s="3"/>
      <x:c r="Y356" s="3"/>
      <x:c r="Z356" s="3"/>
    </x:row>
    <x:row r="357" ht="15" customHeight="1">
      <x:c r="A357" s="3"/>
      <x:c r="B357" s="3"/>
      <x:c r="C357" s="3"/>
      <x:c r="D357" s="3"/>
      <x:c r="E357" s="3"/>
      <x:c r="F357" s="3"/>
      <x:c r="G357" s="3"/>
      <x:c r="H357" s="3"/>
      <x:c r="I357" s="3"/>
      <x:c r="J357" s="10" t="n">
        <x:v>46208</x:v>
      </x:c>
      <x:c r="K357" s="8" t="n">
        <x:f>INDEX('Сводка'!$S$3:$S$397,U357)</x:f>
        <x:v>138</x:v>
      </x:c>
      <x:c r="L357" s="8" t="n">
        <x:f>INDEX('Сводка'!$S$3:$S$397,V357)</x:f>
        <x:v>121</x:v>
      </x:c>
      <x:c r="M357" s="8" t="n">
        <x:f>INDEX($K$388:$N$400,W357,1)+INDEX($K$388:$N$400,W357,2)*(2*(J357-$T$405)/(T357-$T$405)-1)^1+INDEX($K$388:$N$400,W357,3)*(2*(J357-$T$405)/(T357-$T$405)-1)^2+INDEX($O$388:$Z$400,W357,MONTH(J357))</x:f>
        <x:v>214.65404170709374</x:v>
      </x:c>
      <x:c r="N357" s="8" t="n">
        <x:f>K357-M357</x:f>
        <x:v>-76.65404170709374</x:v>
      </x:c>
      <x:c r="O357" s="8" t="n">
        <x:f>ABS(N357)</x:f>
        <x:v>76.65404170709374</x:v>
      </x:c>
      <x:c r="P357" s="8" t="n">
        <x:f>N357^2</x:f>
        <x:v>5875.842110032867</x:v>
      </x:c>
      <x:c r="Q357" s="8" t="n">
        <x:f>K357-L357</x:f>
        <x:v>17</x:v>
      </x:c>
      <x:c r="R357" s="9" t="n">
        <x:f>IF(AND(INDEX('Сводка'!$T$3:$T$397,U357)=0,INDEX('Сводка'!$T$3:$T$397,V357)=0),1,0)</x:f>
        <x:v>1</x:v>
      </x:c>
      <x:c r="S357" s="9" t="n">
        <x:f>IF(AND(R357=1,O357&lt;=$G$13),1,0)</x:f>
        <x:v>0</x:v>
      </x:c>
      <x:c r="T357" s="10" t="n">
        <x:f>EOMONTH(J357-'Сводка'!$B$11,-1)</x:f>
        <x:v>46203</x:v>
      </x:c>
      <x:c r="U357" s="4" t="n">
        <x:f>MATCH(J357,'Сводка'!$R$3:$R$397,0)</x:f>
        <x:v>368</x:v>
      </x:c>
      <x:c r="V357" s="4" t="n">
        <x:f>MATCH(J357-'Сводка'!$B$11,'Сводка'!$R$3:$R$397,0)</x:f>
        <x:v>367</x:v>
      </x:c>
      <x:c r="W357" s="4" t="n">
        <x:f>MATCH(T357,$J$388:$J$400,0)</x:f>
        <x:v>13</x:v>
      </x:c>
      <x:c r="X357" s="3"/>
      <x:c r="Y357" s="3"/>
      <x:c r="Z357" s="3"/>
    </x:row>
    <x:row r="358" ht="15" customHeight="1">
      <x:c r="A358" s="3"/>
      <x:c r="B358" s="3"/>
      <x:c r="C358" s="3"/>
      <x:c r="D358" s="3"/>
      <x:c r="E358" s="3"/>
      <x:c r="F358" s="3"/>
      <x:c r="G358" s="3"/>
      <x:c r="H358" s="3"/>
      <x:c r="I358" s="3"/>
      <x:c r="J358" s="10" t="n">
        <x:v>46209</x:v>
      </x:c>
      <x:c r="K358" s="8" t="n">
        <x:f>INDEX('Сводка'!$S$3:$S$397,U358)</x:f>
        <x:v>149</x:v>
      </x:c>
      <x:c r="L358" s="8" t="n">
        <x:f>INDEX('Сводка'!$S$3:$S$397,V358)</x:f>
        <x:v>138</x:v>
      </x:c>
      <x:c r="M358" s="8" t="n">
        <x:f>INDEX($K$388:$N$400,W358,1)+INDEX($K$388:$N$400,W358,2)*(2*(J358-$T$405)/(T358-$T$405)-1)^1+INDEX($K$388:$N$400,W358,3)*(2*(J358-$T$405)/(T358-$T$405)-1)^2+INDEX($O$388:$Z$400,W358,MONTH(J358))</x:f>
        <x:v>214.642578923648</x:v>
      </x:c>
      <x:c r="N358" s="8" t="n">
        <x:f>K358-M358</x:f>
        <x:v>-65.64257892364799</x:v>
      </x:c>
      <x:c r="O358" s="8" t="n">
        <x:f>ABS(N358)</x:f>
        <x:v>65.64257892364799</x:v>
      </x:c>
      <x:c r="P358" s="8" t="n">
        <x:f>N358^2</x:f>
        <x:v>4308.948167747355</x:v>
      </x:c>
      <x:c r="Q358" s="8" t="n">
        <x:f>K358-L358</x:f>
        <x:v>11</x:v>
      </x:c>
      <x:c r="R358" s="9" t="n">
        <x:f>IF(AND(INDEX('Сводка'!$T$3:$T$397,U358)=0,INDEX('Сводка'!$T$3:$T$397,V358)=0),1,0)</x:f>
        <x:v>1</x:v>
      </x:c>
      <x:c r="S358" s="9" t="n">
        <x:f>IF(AND(R358=1,O358&lt;=$G$13),1,0)</x:f>
        <x:v>0</x:v>
      </x:c>
      <x:c r="T358" s="10" t="n">
        <x:f>EOMONTH(J358-'Сводка'!$B$11,-1)</x:f>
        <x:v>46203</x:v>
      </x:c>
      <x:c r="U358" s="4" t="n">
        <x:f>MATCH(J358,'Сводка'!$R$3:$R$397,0)</x:f>
        <x:v>369</x:v>
      </x:c>
      <x:c r="V358" s="4" t="n">
        <x:f>MATCH(J358-'Сводка'!$B$11,'Сводка'!$R$3:$R$397,0)</x:f>
        <x:v>368</x:v>
      </x:c>
      <x:c r="W358" s="4" t="n">
        <x:f>MATCH(T358,$J$388:$J$400,0)</x:f>
        <x:v>13</x:v>
      </x:c>
      <x:c r="X358" s="3"/>
      <x:c r="Y358" s="3"/>
      <x:c r="Z358" s="3"/>
    </x:row>
    <x:row r="359" ht="15" customHeight="1">
      <x:c r="A359" s="3"/>
      <x:c r="B359" s="3"/>
      <x:c r="C359" s="3"/>
      <x:c r="D359" s="3"/>
      <x:c r="E359" s="3"/>
      <x:c r="F359" s="3"/>
      <x:c r="G359" s="3"/>
      <x:c r="H359" s="3"/>
      <x:c r="I359" s="3"/>
      <x:c r="J359" s="10" t="n">
        <x:v>46210</x:v>
      </x:c>
      <x:c r="K359" s="8" t="n">
        <x:f>INDEX('Сводка'!$S$3:$S$397,U359)</x:f>
        <x:v>158</x:v>
      </x:c>
      <x:c r="L359" s="8" t="n">
        <x:f>INDEX('Сводка'!$S$3:$S$397,V359)</x:f>
        <x:v>149</x:v>
      </x:c>
      <x:c r="M359" s="8" t="n">
        <x:f>INDEX($K$388:$N$400,W359,1)+INDEX($K$388:$N$400,W359,2)*(2*(J359-$T$405)/(T359-$T$405)-1)^1+INDEX($K$388:$N$400,W359,3)*(2*(J359-$T$405)/(T359-$T$405)-1)^2+INDEX($O$388:$Z$400,W359,MONTH(J359))</x:f>
        <x:v>214.63110932798054</x:v>
      </x:c>
      <x:c r="N359" s="8" t="n">
        <x:f>K359-M359</x:f>
        <x:v>-56.63110932798054</x:v>
      </x:c>
      <x:c r="O359" s="8" t="n">
        <x:f>ABS(N359)</x:f>
        <x:v>56.63110932798054</x:v>
      </x:c>
      <x:c r="P359" s="8" t="n">
        <x:f>N359^2</x:f>
        <x:v>3207.0825437176845</x:v>
      </x:c>
      <x:c r="Q359" s="8" t="n">
        <x:f>K359-L359</x:f>
        <x:v>9</x:v>
      </x:c>
      <x:c r="R359" s="9" t="n">
        <x:f>IF(AND(INDEX('Сводка'!$T$3:$T$397,U359)=0,INDEX('Сводка'!$T$3:$T$397,V359)=0),1,0)</x:f>
        <x:v>1</x:v>
      </x:c>
      <x:c r="S359" s="9" t="n">
        <x:f>IF(AND(R359=1,O359&lt;=$G$13),1,0)</x:f>
        <x:v>0</x:v>
      </x:c>
      <x:c r="T359" s="10" t="n">
        <x:f>EOMONTH(J359-'Сводка'!$B$11,-1)</x:f>
        <x:v>46203</x:v>
      </x:c>
      <x:c r="U359" s="4" t="n">
        <x:f>MATCH(J359,'Сводка'!$R$3:$R$397,0)</x:f>
        <x:v>370</x:v>
      </x:c>
      <x:c r="V359" s="4" t="n">
        <x:f>MATCH(J359-'Сводка'!$B$11,'Сводка'!$R$3:$R$397,0)</x:f>
        <x:v>369</x:v>
      </x:c>
      <x:c r="W359" s="4" t="n">
        <x:f>MATCH(T359,$J$388:$J$400,0)</x:f>
        <x:v>13</x:v>
      </x:c>
      <x:c r="X359" s="3"/>
      <x:c r="Y359" s="3"/>
      <x:c r="Z359" s="3"/>
    </x:row>
    <x:row r="360" ht="15" customHeight="1">
      <x:c r="A360" s="3"/>
      <x:c r="B360" s="3"/>
      <x:c r="C360" s="3"/>
      <x:c r="D360" s="3"/>
      <x:c r="E360" s="3"/>
      <x:c r="F360" s="3"/>
      <x:c r="G360" s="3"/>
      <x:c r="H360" s="3"/>
      <x:c r="I360" s="3"/>
      <x:c r="J360" s="10" t="n">
        <x:v>46211</x:v>
      </x:c>
      <x:c r="K360" s="8" t="n">
        <x:f>INDEX('Сводка'!$S$3:$S$397,U360)</x:f>
        <x:v>166</x:v>
      </x:c>
      <x:c r="L360" s="8" t="n">
        <x:f>INDEX('Сводка'!$S$3:$S$397,V360)</x:f>
        <x:v>158</x:v>
      </x:c>
      <x:c r="M360" s="8" t="n">
        <x:f>INDEX($K$388:$N$400,W360,1)+INDEX($K$388:$N$400,W360,2)*(2*(J360-$T$405)/(T360-$T$405)-1)^1+INDEX($K$388:$N$400,W360,3)*(2*(J360-$T$405)/(T360-$T$405)-1)^2+INDEX($O$388:$Z$400,W360,MONTH(J360))</x:f>
        <x:v>214.61963292009148</x:v>
      </x:c>
      <x:c r="N360" s="8" t="n">
        <x:f>K360-M360</x:f>
        <x:v>-48.619632920091476</x:v>
      </x:c>
      <x:c r="O360" s="8" t="n">
        <x:f>ABS(N360)</x:f>
        <x:v>48.619632920091476</x:v>
      </x:c>
      <x:c r="P360" s="8" t="n">
        <x:f>N360^2</x:f>
        <x:v>2363.868705284443</x:v>
      </x:c>
      <x:c r="Q360" s="8" t="n">
        <x:f>K360-L360</x:f>
        <x:v>8</x:v>
      </x:c>
      <x:c r="R360" s="9" t="n">
        <x:f>IF(AND(INDEX('Сводка'!$T$3:$T$397,U360)=0,INDEX('Сводка'!$T$3:$T$397,V360)=0),1,0)</x:f>
        <x:v>1</x:v>
      </x:c>
      <x:c r="S360" s="9" t="n">
        <x:f>IF(AND(R360=1,O360&lt;=$G$13),1,0)</x:f>
        <x:v>0</x:v>
      </x:c>
      <x:c r="T360" s="10" t="n">
        <x:f>EOMONTH(J360-'Сводка'!$B$11,-1)</x:f>
        <x:v>46203</x:v>
      </x:c>
      <x:c r="U360" s="4" t="n">
        <x:f>MATCH(J360,'Сводка'!$R$3:$R$397,0)</x:f>
        <x:v>371</x:v>
      </x:c>
      <x:c r="V360" s="4" t="n">
        <x:f>MATCH(J360-'Сводка'!$B$11,'Сводка'!$R$3:$R$397,0)</x:f>
        <x:v>370</x:v>
      </x:c>
      <x:c r="W360" s="4" t="n">
        <x:f>MATCH(T360,$J$388:$J$400,0)</x:f>
        <x:v>13</x:v>
      </x:c>
      <x:c r="X360" s="3"/>
      <x:c r="Y360" s="3"/>
      <x:c r="Z360" s="3"/>
    </x:row>
    <x:row r="361" ht="15" customHeight="1">
      <x:c r="A361" s="3"/>
      <x:c r="B361" s="3"/>
      <x:c r="C361" s="3"/>
      <x:c r="D361" s="3"/>
      <x:c r="E361" s="3"/>
      <x:c r="F361" s="3"/>
      <x:c r="G361" s="3"/>
      <x:c r="H361" s="3"/>
      <x:c r="I361" s="3"/>
      <x:c r="J361" s="10" t="n">
        <x:v>46212</x:v>
      </x:c>
      <x:c r="K361" s="8" t="n">
        <x:f>INDEX('Сводка'!$S$3:$S$397,U361)</x:f>
        <x:v>174</x:v>
      </x:c>
      <x:c r="L361" s="8" t="n">
        <x:f>INDEX('Сводка'!$S$3:$S$397,V361)</x:f>
        <x:v>166</x:v>
      </x:c>
      <x:c r="M361" s="8" t="n">
        <x:f>INDEX($K$388:$N$400,W361,1)+INDEX($K$388:$N$400,W361,2)*(2*(J361-$T$405)/(T361-$T$405)-1)^1+INDEX($K$388:$N$400,W361,3)*(2*(J361-$T$405)/(T361-$T$405)-1)^2+INDEX($O$388:$Z$400,W361,MONTH(J361))</x:f>
        <x:v>214.60814969998074</x:v>
      </x:c>
      <x:c r="N361" s="8" t="n">
        <x:f>K361-M361</x:f>
        <x:v>-40.60814969998074</x:v>
      </x:c>
      <x:c r="O361" s="8" t="n">
        <x:f>ABS(N361)</x:f>
        <x:v>40.60814969998074</x:v>
      </x:c>
      <x:c r="P361" s="8" t="n">
        <x:f>N361^2</x:f>
        <x:v>1649.0218220560462</x:v>
      </x:c>
      <x:c r="Q361" s="8" t="n">
        <x:f>K361-L361</x:f>
        <x:v>8</x:v>
      </x:c>
      <x:c r="R361" s="9" t="n">
        <x:f>IF(AND(INDEX('Сводка'!$T$3:$T$397,U361)=0,INDEX('Сводка'!$T$3:$T$397,V361)=0),1,0)</x:f>
        <x:v>1</x:v>
      </x:c>
      <x:c r="S361" s="9" t="n">
        <x:f>IF(AND(R361=1,O361&lt;=$G$13),1,0)</x:f>
        <x:v>0</x:v>
      </x:c>
      <x:c r="T361" s="10" t="n">
        <x:f>EOMONTH(J361-'Сводка'!$B$11,-1)</x:f>
        <x:v>46203</x:v>
      </x:c>
      <x:c r="U361" s="4" t="n">
        <x:f>MATCH(J361,'Сводка'!$R$3:$R$397,0)</x:f>
        <x:v>372</x:v>
      </x:c>
      <x:c r="V361" s="4" t="n">
        <x:f>MATCH(J361-'Сводка'!$B$11,'Сводка'!$R$3:$R$397,0)</x:f>
        <x:v>371</x:v>
      </x:c>
      <x:c r="W361" s="4" t="n">
        <x:f>MATCH(T361,$J$388:$J$400,0)</x:f>
        <x:v>13</x:v>
      </x:c>
      <x:c r="X361" s="3"/>
      <x:c r="Y361" s="3"/>
      <x:c r="Z361" s="3"/>
    </x:row>
    <x:row r="362" ht="15" customHeight="1">
      <x:c r="A362" s="3"/>
      <x:c r="B362" s="3"/>
      <x:c r="C362" s="3"/>
      <x:c r="D362" s="3"/>
      <x:c r="E362" s="3"/>
      <x:c r="F362" s="3"/>
      <x:c r="G362" s="3"/>
      <x:c r="H362" s="3"/>
      <x:c r="I362" s="3"/>
      <x:c r="J362" s="10" t="n">
        <x:v>46213</x:v>
      </x:c>
      <x:c r="K362" s="8" t="n">
        <x:f>INDEX('Сводка'!$S$3:$S$397,U362)</x:f>
        <x:v>180</x:v>
      </x:c>
      <x:c r="L362" s="8" t="n">
        <x:f>INDEX('Сводка'!$S$3:$S$397,V362)</x:f>
        <x:v>174</x:v>
      </x:c>
      <x:c r="M362" s="8" t="n">
        <x:f>INDEX($K$388:$N$400,W362,1)+INDEX($K$388:$N$400,W362,2)*(2*(J362-$T$405)/(T362-$T$405)-1)^1+INDEX($K$388:$N$400,W362,3)*(2*(J362-$T$405)/(T362-$T$405)-1)^2+INDEX($O$388:$Z$400,W362,MONTH(J362))</x:f>
        <x:v>214.59665966764845</x:v>
      </x:c>
      <x:c r="N362" s="8" t="n">
        <x:f>K362-M362</x:f>
        <x:v>-34.59665966764845</x:v>
      </x:c>
      <x:c r="O362" s="8" t="n">
        <x:f>ABS(N362)</x:f>
        <x:v>34.59665966764845</x:v>
      </x:c>
      <x:c r="P362" s="8" t="n">
        <x:f>N362^2</x:f>
        <x:v>1196.9288601590931</x:v>
      </x:c>
      <x:c r="Q362" s="8" t="n">
        <x:f>K362-L362</x:f>
        <x:v>6</x:v>
      </x:c>
      <x:c r="R362" s="9" t="n">
        <x:f>IF(AND(INDEX('Сводка'!$T$3:$T$397,U362)=0,INDEX('Сводка'!$T$3:$T$397,V362)=0),1,0)</x:f>
        <x:v>1</x:v>
      </x:c>
      <x:c r="S362" s="9" t="n">
        <x:f>IF(AND(R362=1,O362&lt;=$G$13),1,0)</x:f>
        <x:v>0</x:v>
      </x:c>
      <x:c r="T362" s="10" t="n">
        <x:f>EOMONTH(J362-'Сводка'!$B$11,-1)</x:f>
        <x:v>46203</x:v>
      </x:c>
      <x:c r="U362" s="4" t="n">
        <x:f>MATCH(J362,'Сводка'!$R$3:$R$397,0)</x:f>
        <x:v>373</x:v>
      </x:c>
      <x:c r="V362" s="4" t="n">
        <x:f>MATCH(J362-'Сводка'!$B$11,'Сводка'!$R$3:$R$397,0)</x:f>
        <x:v>372</x:v>
      </x:c>
      <x:c r="W362" s="4" t="n">
        <x:f>MATCH(T362,$J$388:$J$400,0)</x:f>
        <x:v>13</x:v>
      </x:c>
      <x:c r="X362" s="3"/>
      <x:c r="Y362" s="3"/>
      <x:c r="Z362" s="3"/>
    </x:row>
    <x:row r="363" ht="15" customHeight="1">
      <x:c r="A363" s="3"/>
      <x:c r="B363" s="3"/>
      <x:c r="C363" s="3"/>
      <x:c r="D363" s="3"/>
      <x:c r="E363" s="3"/>
      <x:c r="F363" s="3"/>
      <x:c r="G363" s="3"/>
      <x:c r="H363" s="3"/>
      <x:c r="I363" s="3"/>
      <x:c r="J363" s="10" t="n">
        <x:v>46214</x:v>
      </x:c>
      <x:c r="K363" s="8" t="n">
        <x:f>INDEX('Сводка'!$S$3:$S$397,U363)</x:f>
        <x:v>181</x:v>
      </x:c>
      <x:c r="L363" s="8" t="n">
        <x:f>INDEX('Сводка'!$S$3:$S$397,V363)</x:f>
        <x:v>180</x:v>
      </x:c>
      <x:c r="M363" s="8" t="n">
        <x:f>INDEX($K$388:$N$400,W363,1)+INDEX($K$388:$N$400,W363,2)*(2*(J363-$T$405)/(T363-$T$405)-1)^1+INDEX($K$388:$N$400,W363,3)*(2*(J363-$T$405)/(T363-$T$405)-1)^2+INDEX($O$388:$Z$400,W363,MONTH(J363))</x:f>
        <x:v>214.5851628230945</x:v>
      </x:c>
      <x:c r="N363" s="8" t="n">
        <x:f>K363-M363</x:f>
        <x:v>-33.58516282309449</x:v>
      </x:c>
      <x:c r="O363" s="8" t="n">
        <x:f>ABS(N363)</x:f>
        <x:v>33.58516282309449</x:v>
      </x:c>
      <x:c r="P363" s="8" t="n">
        <x:f>N363^2</x:f>
        <x:v>1127.9631618537685</x:v>
      </x:c>
      <x:c r="Q363" s="8" t="n">
        <x:f>K363-L363</x:f>
        <x:v>1</x:v>
      </x:c>
      <x:c r="R363" s="9" t="n">
        <x:f>IF(AND(INDEX('Сводка'!$T$3:$T$397,U363)=0,INDEX('Сводка'!$T$3:$T$397,V363)=0),1,0)</x:f>
        <x:v>1</x:v>
      </x:c>
      <x:c r="S363" s="9" t="n">
        <x:f>IF(AND(R363=1,O363&lt;=$G$13),1,0)</x:f>
        <x:v>0</x:v>
      </x:c>
      <x:c r="T363" s="10" t="n">
        <x:f>EOMONTH(J363-'Сводка'!$B$11,-1)</x:f>
        <x:v>46203</x:v>
      </x:c>
      <x:c r="U363" s="4" t="n">
        <x:f>MATCH(J363,'Сводка'!$R$3:$R$397,0)</x:f>
        <x:v>374</x:v>
      </x:c>
      <x:c r="V363" s="4" t="n">
        <x:f>MATCH(J363-'Сводка'!$B$11,'Сводка'!$R$3:$R$397,0)</x:f>
        <x:v>373</x:v>
      </x:c>
      <x:c r="W363" s="4" t="n">
        <x:f>MATCH(T363,$J$388:$J$400,0)</x:f>
        <x:v>13</x:v>
      </x:c>
      <x:c r="X363" s="3"/>
      <x:c r="Y363" s="3"/>
      <x:c r="Z363" s="3"/>
    </x:row>
    <x:row r="364" ht="15" customHeight="1">
      <x:c r="A364" s="3"/>
      <x:c r="B364" s="3"/>
      <x:c r="C364" s="3"/>
      <x:c r="D364" s="3"/>
      <x:c r="E364" s="3"/>
      <x:c r="F364" s="3"/>
      <x:c r="G364" s="3"/>
      <x:c r="H364" s="3"/>
      <x:c r="I364" s="3"/>
      <x:c r="J364" s="10" t="n">
        <x:v>46215</x:v>
      </x:c>
      <x:c r="K364" s="8" t="n">
        <x:f>INDEX('Сводка'!$S$3:$S$397,U364)</x:f>
        <x:v>179</x:v>
      </x:c>
      <x:c r="L364" s="8" t="n">
        <x:f>INDEX('Сводка'!$S$3:$S$397,V364)</x:f>
        <x:v>181</x:v>
      </x:c>
      <x:c r="M364" s="8" t="n">
        <x:f>INDEX($K$388:$N$400,W364,1)+INDEX($K$388:$N$400,W364,2)*(2*(J364-$T$405)/(T364-$T$405)-1)^1+INDEX($K$388:$N$400,W364,3)*(2*(J364-$T$405)/(T364-$T$405)-1)^2+INDEX($O$388:$Z$400,W364,MONTH(J364))</x:f>
        <x:v>214.57365916631886</x:v>
      </x:c>
      <x:c r="N364" s="8" t="n">
        <x:f>K364-M364</x:f>
        <x:v>-35.57365916631886</x:v>
      </x:c>
      <x:c r="O364" s="8" t="n">
        <x:f>ABS(N364)</x:f>
        <x:v>35.57365916631886</x:v>
      </x:c>
      <x:c r="P364" s="8" t="n">
        <x:f>N364^2</x:f>
        <x:v>1265.485226481422</x:v>
      </x:c>
      <x:c r="Q364" s="8" t="n">
        <x:f>K364-L364</x:f>
        <x:v>-2</x:v>
      </x:c>
      <x:c r="R364" s="9" t="n">
        <x:f>IF(AND(INDEX('Сводка'!$T$3:$T$397,U364)=0,INDEX('Сводка'!$T$3:$T$397,V364)=0),1,0)</x:f>
        <x:v>1</x:v>
      </x:c>
      <x:c r="S364" s="9" t="n">
        <x:f>IF(AND(R364=1,O364&lt;=$G$13),1,0)</x:f>
        <x:v>0</x:v>
      </x:c>
      <x:c r="T364" s="10" t="n">
        <x:f>EOMONTH(J364-'Сводка'!$B$11,-1)</x:f>
        <x:v>46203</x:v>
      </x:c>
      <x:c r="U364" s="4" t="n">
        <x:f>MATCH(J364,'Сводка'!$R$3:$R$397,0)</x:f>
        <x:v>375</x:v>
      </x:c>
      <x:c r="V364" s="4" t="n">
        <x:f>MATCH(J364-'Сводка'!$B$11,'Сводка'!$R$3:$R$397,0)</x:f>
        <x:v>374</x:v>
      </x:c>
      <x:c r="W364" s="4" t="n">
        <x:f>MATCH(T364,$J$388:$J$400,0)</x:f>
        <x:v>13</x:v>
      </x:c>
      <x:c r="X364" s="3"/>
      <x:c r="Y364" s="3"/>
      <x:c r="Z364" s="3"/>
    </x:row>
    <x:row r="365" ht="15" customHeight="1">
      <x:c r="A365" s="3"/>
      <x:c r="B365" s="3"/>
      <x:c r="C365" s="3"/>
      <x:c r="D365" s="3"/>
      <x:c r="E365" s="3"/>
      <x:c r="F365" s="3"/>
      <x:c r="G365" s="3"/>
      <x:c r="H365" s="3"/>
      <x:c r="I365" s="3"/>
      <x:c r="J365" s="10" t="n">
        <x:v>46216</x:v>
      </x:c>
      <x:c r="K365" s="8" t="n">
        <x:f>INDEX('Сводка'!$S$3:$S$397,U365)</x:f>
        <x:v>182</x:v>
      </x:c>
      <x:c r="L365" s="8" t="n">
        <x:f>INDEX('Сводка'!$S$3:$S$397,V365)</x:f>
        <x:v>179</x:v>
      </x:c>
      <x:c r="M365" s="8" t="n">
        <x:f>INDEX($K$388:$N$400,W365,1)+INDEX($K$388:$N$400,W365,2)*(2*(J365-$T$405)/(T365-$T$405)-1)^1+INDEX($K$388:$N$400,W365,3)*(2*(J365-$T$405)/(T365-$T$405)-1)^2+INDEX($O$388:$Z$400,W365,MONTH(J365))</x:f>
        <x:v>214.56214869732165</x:v>
      </x:c>
      <x:c r="N365" s="8" t="n">
        <x:f>K365-M365</x:f>
        <x:v>-32.562148697321646</x:v>
      </x:c>
      <x:c r="O365" s="8" t="n">
        <x:f>ABS(N365)</x:f>
        <x:v>32.562148697321646</x:v>
      </x:c>
      <x:c r="P365" s="8" t="n">
        <x:f>N365^2</x:f>
        <x:v>1060.2935277864858</x:v>
      </x:c>
      <x:c r="Q365" s="8" t="n">
        <x:f>K365-L365</x:f>
        <x:v>3</x:v>
      </x:c>
      <x:c r="R365" s="9" t="n">
        <x:f>IF(AND(INDEX('Сводка'!$T$3:$T$397,U365)=0,INDEX('Сводка'!$T$3:$T$397,V365)=0),1,0)</x:f>
        <x:v>1</x:v>
      </x:c>
      <x:c r="S365" s="9" t="n">
        <x:f>IF(AND(R365=1,O365&lt;=$G$13),1,0)</x:f>
        <x:v>0</x:v>
      </x:c>
      <x:c r="T365" s="10" t="n">
        <x:f>EOMONTH(J365-'Сводка'!$B$11,-1)</x:f>
        <x:v>46203</x:v>
      </x:c>
      <x:c r="U365" s="4" t="n">
        <x:f>MATCH(J365,'Сводка'!$R$3:$R$397,0)</x:f>
        <x:v>376</x:v>
      </x:c>
      <x:c r="V365" s="4" t="n">
        <x:f>MATCH(J365-'Сводка'!$B$11,'Сводка'!$R$3:$R$397,0)</x:f>
        <x:v>375</x:v>
      </x:c>
      <x:c r="W365" s="4" t="n">
        <x:f>MATCH(T365,$J$388:$J$400,0)</x:f>
        <x:v>13</x:v>
      </x:c>
      <x:c r="X365" s="3"/>
      <x:c r="Y365" s="3"/>
      <x:c r="Z365" s="3"/>
    </x:row>
    <x:row r="366" ht="15" customHeight="1">
      <x:c r="A366" s="3"/>
      <x:c r="B366" s="3"/>
      <x:c r="C366" s="3"/>
      <x:c r="D366" s="3"/>
      <x:c r="E366" s="3"/>
      <x:c r="F366" s="3"/>
      <x:c r="G366" s="3"/>
      <x:c r="H366" s="3"/>
      <x:c r="I366" s="3"/>
      <x:c r="J366" s="10" t="n">
        <x:v>46217</x:v>
      </x:c>
      <x:c r="K366" s="8" t="n">
        <x:f>INDEX('Сводка'!$S$3:$S$397,U366)</x:f>
        <x:v>191</x:v>
      </x:c>
      <x:c r="L366" s="8" t="n">
        <x:f>INDEX('Сводка'!$S$3:$S$397,V366)</x:f>
        <x:v>182</x:v>
      </x:c>
      <x:c r="M366" s="8" t="n">
        <x:f>INDEX($K$388:$N$400,W366,1)+INDEX($K$388:$N$400,W366,2)*(2*(J366-$T$405)/(T366-$T$405)-1)^1+INDEX($K$388:$N$400,W366,3)*(2*(J366-$T$405)/(T366-$T$405)-1)^2+INDEX($O$388:$Z$400,W366,MONTH(J366))</x:f>
        <x:v>214.5506314161028</x:v>
      </x:c>
      <x:c r="N366" s="8" t="n">
        <x:f>K366-M366</x:f>
        <x:v>-23.55063141610279</x:v>
      </x:c>
      <x:c r="O366" s="8" t="n">
        <x:f>ABS(N366)</x:f>
        <x:v>23.55063141610279</x:v>
      </x:c>
      <x:c r="P366" s="8" t="n">
        <x:f>N366^2</x:f>
        <x:v>554.6322400971277</x:v>
      </x:c>
      <x:c r="Q366" s="8" t="n">
        <x:f>K366-L366</x:f>
        <x:v>9</x:v>
      </x:c>
      <x:c r="R366" s="9" t="n">
        <x:f>IF(AND(INDEX('Сводка'!$T$3:$T$397,U366)=0,INDEX('Сводка'!$T$3:$T$397,V366)=0),1,0)</x:f>
        <x:v>1</x:v>
      </x:c>
      <x:c r="S366" s="9" t="n">
        <x:f>IF(AND(R366=1,O366&lt;=$G$13),1,0)</x:f>
        <x:v>0</x:v>
      </x:c>
      <x:c r="T366" s="10" t="n">
        <x:f>EOMONTH(J366-'Сводка'!$B$11,-1)</x:f>
        <x:v>46203</x:v>
      </x:c>
      <x:c r="U366" s="4" t="n">
        <x:f>MATCH(J366,'Сводка'!$R$3:$R$397,0)</x:f>
        <x:v>377</x:v>
      </x:c>
      <x:c r="V366" s="4" t="n">
        <x:f>MATCH(J366-'Сводка'!$B$11,'Сводка'!$R$3:$R$397,0)</x:f>
        <x:v>376</x:v>
      </x:c>
      <x:c r="W366" s="4" t="n">
        <x:f>MATCH(T366,$J$388:$J$400,0)</x:f>
        <x:v>13</x:v>
      </x:c>
      <x:c r="X366" s="3"/>
      <x:c r="Y366" s="3"/>
      <x:c r="Z366" s="3"/>
    </x:row>
    <x:row r="367" ht="15" customHeight="1">
      <x:c r="A367" s="3"/>
      <x:c r="B367" s="3"/>
      <x:c r="C367" s="3"/>
      <x:c r="D367" s="3"/>
      <x:c r="E367" s="3"/>
      <x:c r="F367" s="3"/>
      <x:c r="G367" s="3"/>
      <x:c r="H367" s="3"/>
      <x:c r="I367" s="3"/>
      <x:c r="J367" s="10" t="n">
        <x:v>46218</x:v>
      </x:c>
      <x:c r="K367" s="8" t="n">
        <x:f>INDEX('Сводка'!$S$3:$S$397,U367)</x:f>
        <x:v>206</x:v>
      </x:c>
      <x:c r="L367" s="8" t="n">
        <x:f>INDEX('Сводка'!$S$3:$S$397,V367)</x:f>
        <x:v>191</x:v>
      </x:c>
      <x:c r="M367" s="8" t="n">
        <x:f>INDEX($K$388:$N$400,W367,1)+INDEX($K$388:$N$400,W367,2)*(2*(J367-$T$405)/(T367-$T$405)-1)^1+INDEX($K$388:$N$400,W367,3)*(2*(J367-$T$405)/(T367-$T$405)-1)^2+INDEX($O$388:$Z$400,W367,MONTH(J367))</x:f>
        <x:v>214.53910732266223</x:v>
      </x:c>
      <x:c r="N367" s="8" t="n">
        <x:f>K367-M367</x:f>
        <x:v>-8.539107322662232</x:v>
      </x:c>
      <x:c r="O367" s="8" t="n">
        <x:f>ABS(N367)</x:f>
        <x:v>8.539107322662232</x:v>
      </x:c>
      <x:c r="P367" s="8" t="n">
        <x:f>N367^2</x:f>
        <x:v>72.91635386794376</x:v>
      </x:c>
      <x:c r="Q367" s="8" t="n">
        <x:f>K367-L367</x:f>
        <x:v>15</x:v>
      </x:c>
      <x:c r="R367" s="9" t="n">
        <x:f>IF(AND(INDEX('Сводка'!$T$3:$T$397,U367)=0,INDEX('Сводка'!$T$3:$T$397,V367)=0),1,0)</x:f>
        <x:v>1</x:v>
      </x:c>
      <x:c r="S367" s="9" t="n">
        <x:f>IF(AND(R367=1,O367&lt;=$G$13),1,0)</x:f>
        <x:v>0</x:v>
      </x:c>
      <x:c r="T367" s="10" t="n">
        <x:f>EOMONTH(J367-'Сводка'!$B$11,-1)</x:f>
        <x:v>46203</x:v>
      </x:c>
      <x:c r="U367" s="4" t="n">
        <x:f>MATCH(J367,'Сводка'!$R$3:$R$397,0)</x:f>
        <x:v>378</x:v>
      </x:c>
      <x:c r="V367" s="4" t="n">
        <x:f>MATCH(J367-'Сводка'!$B$11,'Сводка'!$R$3:$R$397,0)</x:f>
        <x:v>377</x:v>
      </x:c>
      <x:c r="W367" s="4" t="n">
        <x:f>MATCH(T367,$J$388:$J$400,0)</x:f>
        <x:v>13</x:v>
      </x:c>
      <x:c r="X367" s="3"/>
      <x:c r="Y367" s="3"/>
      <x:c r="Z367" s="3"/>
    </x:row>
    <x:row r="368" ht="15" customHeight="1">
      <x:c r="A368" s="3"/>
      <x:c r="B368" s="3"/>
      <x:c r="C368" s="3"/>
      <x:c r="D368" s="3"/>
      <x:c r="E368" s="3"/>
      <x:c r="F368" s="3"/>
      <x:c r="G368" s="3"/>
      <x:c r="H368" s="3"/>
      <x:c r="I368" s="3"/>
      <x:c r="J368" s="10" t="n">
        <x:v>46219</x:v>
      </x:c>
      <x:c r="K368" s="8" t="n">
        <x:f>INDEX('Сводка'!$S$3:$S$397,U368)</x:f>
        <x:v>225</x:v>
      </x:c>
      <x:c r="L368" s="8" t="n">
        <x:f>INDEX('Сводка'!$S$3:$S$397,V368)</x:f>
        <x:v>206</x:v>
      </x:c>
      <x:c r="M368" s="8" t="n">
        <x:f>INDEX($K$388:$N$400,W368,1)+INDEX($K$388:$N$400,W368,2)*(2*(J368-$T$405)/(T368-$T$405)-1)^1+INDEX($K$388:$N$400,W368,3)*(2*(J368-$T$405)/(T368-$T$405)-1)^2+INDEX($O$388:$Z$400,W368,MONTH(J368))</x:f>
        <x:v>214.52757641700015</x:v>
      </x:c>
      <x:c r="N368" s="8" t="n">
        <x:f>K368-M368</x:f>
        <x:v>10.472423582999852</x:v>
      </x:c>
      <x:c r="O368" s="8" t="n">
        <x:f>ABS(N368)</x:f>
        <x:v>10.472423582999852</x:v>
      </x:c>
      <x:c r="P368" s="8" t="n">
        <x:f>N368^2</x:f>
        <x:v>109.67165570177146</x:v>
      </x:c>
      <x:c r="Q368" s="8" t="n">
        <x:f>K368-L368</x:f>
        <x:v>19</x:v>
      </x:c>
      <x:c r="R368" s="9" t="n">
        <x:f>IF(AND(INDEX('Сводка'!$T$3:$T$397,U368)=0,INDEX('Сводка'!$T$3:$T$397,V368)=0),1,0)</x:f>
        <x:v>1</x:v>
      </x:c>
      <x:c r="S368" s="9" t="n">
        <x:f>IF(AND(R368=1,O368&lt;=$G$13),1,0)</x:f>
        <x:v>0</x:v>
      </x:c>
      <x:c r="T368" s="10" t="n">
        <x:f>EOMONTH(J368-'Сводка'!$B$11,-1)</x:f>
        <x:v>46203</x:v>
      </x:c>
      <x:c r="U368" s="4" t="n">
        <x:f>MATCH(J368,'Сводка'!$R$3:$R$397,0)</x:f>
        <x:v>379</x:v>
      </x:c>
      <x:c r="V368" s="4" t="n">
        <x:f>MATCH(J368-'Сводка'!$B$11,'Сводка'!$R$3:$R$397,0)</x:f>
        <x:v>378</x:v>
      </x:c>
      <x:c r="W368" s="4" t="n">
        <x:f>MATCH(T368,$J$388:$J$400,0)</x:f>
        <x:v>13</x:v>
      </x:c>
      <x:c r="X368" s="3"/>
      <x:c r="Y368" s="3"/>
      <x:c r="Z368" s="3"/>
    </x:row>
    <x:row r="369" ht="15" customHeight="1">
      <x:c r="A369" s="3"/>
      <x:c r="B369" s="3"/>
      <x:c r="C369" s="3"/>
      <x:c r="D369" s="3"/>
      <x:c r="E369" s="3"/>
      <x:c r="F369" s="3"/>
      <x:c r="G369" s="3"/>
      <x:c r="H369" s="3"/>
      <x:c r="I369" s="3"/>
      <x:c r="J369" s="10" t="n">
        <x:v>46220</x:v>
      </x:c>
      <x:c r="K369" s="8" t="n">
        <x:f>INDEX('Сводка'!$S$3:$S$397,U369)</x:f>
        <x:v>245</x:v>
      </x:c>
      <x:c r="L369" s="8" t="n">
        <x:f>INDEX('Сводка'!$S$3:$S$397,V369)</x:f>
        <x:v>225</x:v>
      </x:c>
      <x:c r="M369" s="8" t="n">
        <x:f>INDEX($K$388:$N$400,W369,1)+INDEX($K$388:$N$400,W369,2)*(2*(J369-$T$405)/(T369-$T$405)-1)^1+INDEX($K$388:$N$400,W369,3)*(2*(J369-$T$405)/(T369-$T$405)-1)^2+INDEX($O$388:$Z$400,W369,MONTH(J369))</x:f>
        <x:v>214.51603869911636</x:v>
      </x:c>
      <x:c r="N369" s="8" t="n">
        <x:f>K369-M369</x:f>
        <x:v>30.483961300883635</x:v>
      </x:c>
      <x:c r="O369" s="8" t="n">
        <x:f>ABS(N369)</x:f>
        <x:v>30.483961300883635</x:v>
      </x:c>
      <x:c r="P369" s="8" t="n">
        <x:f>N369^2</x:f>
        <x:v>929.2718965937711</x:v>
      </x:c>
      <x:c r="Q369" s="8" t="n">
        <x:f>K369-L369</x:f>
        <x:v>20</x:v>
      </x:c>
      <x:c r="R369" s="9" t="n">
        <x:f>IF(AND(INDEX('Сводка'!$T$3:$T$397,U369)=0,INDEX('Сводка'!$T$3:$T$397,V369)=0),1,0)</x:f>
        <x:v>1</x:v>
      </x:c>
      <x:c r="S369" s="9" t="n">
        <x:f>IF(AND(R369=1,O369&lt;=$G$13),1,0)</x:f>
        <x:v>0</x:v>
      </x:c>
      <x:c r="T369" s="10" t="n">
        <x:f>EOMONTH(J369-'Сводка'!$B$11,-1)</x:f>
        <x:v>46203</x:v>
      </x:c>
      <x:c r="U369" s="4" t="n">
        <x:f>MATCH(J369,'Сводка'!$R$3:$R$397,0)</x:f>
        <x:v>380</x:v>
      </x:c>
      <x:c r="V369" s="4" t="n">
        <x:f>MATCH(J369-'Сводка'!$B$11,'Сводка'!$R$3:$R$397,0)</x:f>
        <x:v>379</x:v>
      </x:c>
      <x:c r="W369" s="4" t="n">
        <x:f>MATCH(T369,$J$388:$J$400,0)</x:f>
        <x:v>13</x:v>
      </x:c>
      <x:c r="X369" s="3"/>
      <x:c r="Y369" s="3"/>
      <x:c r="Z369" s="3"/>
    </x:row>
    <x:row r="370" ht="15" customHeight="1">
      <x:c r="A370" s="3"/>
      <x:c r="B370" s="3"/>
      <x:c r="C370" s="3"/>
      <x:c r="D370" s="3"/>
      <x:c r="E370" s="3"/>
      <x:c r="F370" s="3"/>
      <x:c r="G370" s="3"/>
      <x:c r="H370" s="3"/>
      <x:c r="I370" s="3"/>
      <x:c r="J370" s="10" t="n">
        <x:v>46221</x:v>
      </x:c>
      <x:c r="K370" s="8" t="n">
        <x:f>INDEX('Сводка'!$S$3:$S$397,U370)</x:f>
        <x:v>266</x:v>
      </x:c>
      <x:c r="L370" s="8" t="n">
        <x:f>INDEX('Сводка'!$S$3:$S$397,V370)</x:f>
        <x:v>245</x:v>
      </x:c>
      <x:c r="M370" s="8" t="n">
        <x:f>INDEX($K$388:$N$400,W370,1)+INDEX($K$388:$N$400,W370,2)*(2*(J370-$T$405)/(T370-$T$405)-1)^1+INDEX($K$388:$N$400,W370,3)*(2*(J370-$T$405)/(T370-$T$405)-1)^2+INDEX($O$388:$Z$400,W370,MONTH(J370))</x:f>
        <x:v>214.50449416901097</x:v>
      </x:c>
      <x:c r="N370" s="8" t="n">
        <x:f>K370-M370</x:f>
        <x:v>51.49550583098903</x:v>
      </x:c>
      <x:c r="O370" s="8" t="n">
        <x:f>ABS(N370)</x:f>
        <x:v>51.49550583098903</x:v>
      </x:c>
      <x:c r="P370" s="8" t="n">
        <x:f>N370^2</x:f>
        <x:v>2651.7871207894254</x:v>
      </x:c>
      <x:c r="Q370" s="8" t="n">
        <x:f>K370-L370</x:f>
        <x:v>21</x:v>
      </x:c>
      <x:c r="R370" s="9" t="n">
        <x:f>IF(AND(INDEX('Сводка'!$T$3:$T$397,U370)=0,INDEX('Сводка'!$T$3:$T$397,V370)=0),1,0)</x:f>
        <x:v>1</x:v>
      </x:c>
      <x:c r="S370" s="9" t="n">
        <x:f>IF(AND(R370=1,O370&lt;=$G$13),1,0)</x:f>
        <x:v>0</x:v>
      </x:c>
      <x:c r="T370" s="10" t="n">
        <x:f>EOMONTH(J370-'Сводка'!$B$11,-1)</x:f>
        <x:v>46203</x:v>
      </x:c>
      <x:c r="U370" s="4" t="n">
        <x:f>MATCH(J370,'Сводка'!$R$3:$R$397,0)</x:f>
        <x:v>381</x:v>
      </x:c>
      <x:c r="V370" s="4" t="n">
        <x:f>MATCH(J370-'Сводка'!$B$11,'Сводка'!$R$3:$R$397,0)</x:f>
        <x:v>380</x:v>
      </x:c>
      <x:c r="W370" s="4" t="n">
        <x:f>MATCH(T370,$J$388:$J$400,0)</x:f>
        <x:v>13</x:v>
      </x:c>
      <x:c r="X370" s="3"/>
      <x:c r="Y370" s="3"/>
      <x:c r="Z370" s="3"/>
    </x:row>
    <x:row r="371" ht="15" customHeight="1">
      <x:c r="A371" s="3"/>
      <x:c r="B371" s="3"/>
      <x:c r="C371" s="3"/>
      <x:c r="D371" s="3"/>
      <x:c r="E371" s="3"/>
      <x:c r="F371" s="3"/>
      <x:c r="G371" s="3"/>
      <x:c r="H371" s="3"/>
      <x:c r="I371" s="3"/>
      <x:c r="J371" s="10" t="n">
        <x:v>46222</x:v>
      </x:c>
      <x:c r="K371" s="8" t="n">
        <x:f>INDEX('Сводка'!$S$3:$S$397,U371)</x:f>
        <x:v>281</x:v>
      </x:c>
      <x:c r="L371" s="8" t="n">
        <x:f>INDEX('Сводка'!$S$3:$S$397,V371)</x:f>
        <x:v>266</x:v>
      </x:c>
      <x:c r="M371" s="8" t="n">
        <x:f>INDEX($K$388:$N$400,W371,1)+INDEX($K$388:$N$400,W371,2)*(2*(J371-$T$405)/(T371-$T$405)-1)^1+INDEX($K$388:$N$400,W371,3)*(2*(J371-$T$405)/(T371-$T$405)-1)^2+INDEX($O$388:$Z$400,W371,MONTH(J371))</x:f>
        <x:v>214.49294282668396</x:v>
      </x:c>
      <x:c r="N371" s="8" t="n">
        <x:f>K371-M371</x:f>
        <x:v>66.50705717331604</x:v>
      </x:c>
      <x:c r="O371" s="8" t="n">
        <x:f>ABS(N371)</x:f>
        <x:v>66.50705717331604</x:v>
      </x:c>
      <x:c r="P371" s="8" t="n">
        <x:f>N371^2</x:f>
        <x:v>4423.188653854729</x:v>
      </x:c>
      <x:c r="Q371" s="8" t="n">
        <x:f>K371-L371</x:f>
        <x:v>15</x:v>
      </x:c>
      <x:c r="R371" s="9" t="n">
        <x:f>IF(AND(INDEX('Сводка'!$T$3:$T$397,U371)=0,INDEX('Сводка'!$T$3:$T$397,V371)=0),1,0)</x:f>
        <x:v>1</x:v>
      </x:c>
      <x:c r="S371" s="9" t="n">
        <x:f>IF(AND(R371=1,O371&lt;=$G$13),1,0)</x:f>
        <x:v>0</x:v>
      </x:c>
      <x:c r="T371" s="10" t="n">
        <x:f>EOMONTH(J371-'Сводка'!$B$11,-1)</x:f>
        <x:v>46203</x:v>
      </x:c>
      <x:c r="U371" s="4" t="n">
        <x:f>MATCH(J371,'Сводка'!$R$3:$R$397,0)</x:f>
        <x:v>382</x:v>
      </x:c>
      <x:c r="V371" s="4" t="n">
        <x:f>MATCH(J371-'Сводка'!$B$11,'Сводка'!$R$3:$R$397,0)</x:f>
        <x:v>381</x:v>
      </x:c>
      <x:c r="W371" s="4" t="n">
        <x:f>MATCH(T371,$J$388:$J$400,0)</x:f>
        <x:v>13</x:v>
      </x:c>
      <x:c r="X371" s="3"/>
      <x:c r="Y371" s="3"/>
      <x:c r="Z371" s="3"/>
    </x:row>
    <x:row r="372" ht="15" customHeight="1">
      <x:c r="A372" s="3"/>
      <x:c r="B372" s="3"/>
      <x:c r="C372" s="3"/>
      <x:c r="D372" s="3"/>
      <x:c r="E372" s="3"/>
      <x:c r="F372" s="3"/>
      <x:c r="G372" s="3"/>
      <x:c r="H372" s="3"/>
      <x:c r="I372" s="3"/>
      <x:c r="J372" s="10" t="n">
        <x:v>46223</x:v>
      </x:c>
      <x:c r="K372" s="8" t="n">
        <x:f>INDEX('Сводка'!$S$3:$S$397,U372)</x:f>
        <x:v>292</x:v>
      </x:c>
      <x:c r="L372" s="8" t="n">
        <x:f>INDEX('Сводка'!$S$3:$S$397,V372)</x:f>
        <x:v>281</x:v>
      </x:c>
      <x:c r="M372" s="8" t="n">
        <x:f>INDEX($K$388:$N$400,W372,1)+INDEX($K$388:$N$400,W372,2)*(2*(J372-$T$405)/(T372-$T$405)-1)^1+INDEX($K$388:$N$400,W372,3)*(2*(J372-$T$405)/(T372-$T$405)-1)^2+INDEX($O$388:$Z$400,W372,MONTH(J372))</x:f>
        <x:v>214.48138467213525</x:v>
      </x:c>
      <x:c r="N372" s="8" t="n">
        <x:f>K372-M372</x:f>
        <x:v>77.51861532786475</x:v>
      </x:c>
      <x:c r="O372" s="8" t="n">
        <x:f>ABS(N372)</x:f>
        <x:v>77.51861532786475</x:v>
      </x:c>
      <x:c r="P372" s="8" t="n">
        <x:f>N372^2</x:f>
        <x:v>6009.135722349468</x:v>
      </x:c>
      <x:c r="Q372" s="8" t="n">
        <x:f>K372-L372</x:f>
        <x:v>11</x:v>
      </x:c>
      <x:c r="R372" s="9" t="n">
        <x:f>IF(AND(INDEX('Сводка'!$T$3:$T$397,U372)=0,INDEX('Сводка'!$T$3:$T$397,V372)=0),1,0)</x:f>
        <x:v>1</x:v>
      </x:c>
      <x:c r="S372" s="9" t="n">
        <x:f>IF(AND(R372=1,O372&lt;=$G$13),1,0)</x:f>
        <x:v>0</x:v>
      </x:c>
      <x:c r="T372" s="10" t="n">
        <x:f>EOMONTH(J372-'Сводка'!$B$11,-1)</x:f>
        <x:v>46203</x:v>
      </x:c>
      <x:c r="U372" s="4" t="n">
        <x:f>MATCH(J372,'Сводка'!$R$3:$R$397,0)</x:f>
        <x:v>383</x:v>
      </x:c>
      <x:c r="V372" s="4" t="n">
        <x:f>MATCH(J372-'Сводка'!$B$11,'Сводка'!$R$3:$R$397,0)</x:f>
        <x:v>382</x:v>
      </x:c>
      <x:c r="W372" s="4" t="n">
        <x:f>MATCH(T372,$J$388:$J$400,0)</x:f>
        <x:v>13</x:v>
      </x:c>
      <x:c r="X372" s="3"/>
      <x:c r="Y372" s="3"/>
      <x:c r="Z372" s="3"/>
    </x:row>
    <x:row r="373" ht="15" customHeight="1">
      <x:c r="A373" s="3"/>
      <x:c r="B373" s="3"/>
      <x:c r="C373" s="3"/>
      <x:c r="D373" s="3"/>
      <x:c r="E373" s="3"/>
      <x:c r="F373" s="3"/>
      <x:c r="G373" s="3"/>
      <x:c r="H373" s="3"/>
      <x:c r="I373" s="3"/>
      <x:c r="J373" s="10" t="n">
        <x:v>46224</x:v>
      </x:c>
      <x:c r="K373" s="8" t="n">
        <x:f>INDEX('Сводка'!$S$3:$S$397,U373)</x:f>
        <x:v>303</x:v>
      </x:c>
      <x:c r="L373" s="8" t="n">
        <x:f>INDEX('Сводка'!$S$3:$S$397,V373)</x:f>
        <x:v>292</x:v>
      </x:c>
      <x:c r="M373" s="8" t="n">
        <x:f>INDEX($K$388:$N$400,W373,1)+INDEX($K$388:$N$400,W373,2)*(2*(J373-$T$405)/(T373-$T$405)-1)^1+INDEX($K$388:$N$400,W373,3)*(2*(J373-$T$405)/(T373-$T$405)-1)^2+INDEX($O$388:$Z$400,W373,MONTH(J373))</x:f>
        <x:v>214.46981970536496</x:v>
      </x:c>
      <x:c r="N373" s="8" t="n">
        <x:f>K373-M373</x:f>
        <x:v>88.53018029463504</x:v>
      </x:c>
      <x:c r="O373" s="8" t="n">
        <x:f>ABS(N373)</x:f>
        <x:v>88.53018029463504</x:v>
      </x:c>
      <x:c r="P373" s="8" t="n">
        <x:f>N373^2</x:f>
        <x:v>7837.5928230005875</x:v>
      </x:c>
      <x:c r="Q373" s="8" t="n">
        <x:f>K373-L373</x:f>
        <x:v>11</x:v>
      </x:c>
      <x:c r="R373" s="9" t="n">
        <x:f>IF(AND(INDEX('Сводка'!$T$3:$T$397,U373)=0,INDEX('Сводка'!$T$3:$T$397,V373)=0),1,0)</x:f>
        <x:v>1</x:v>
      </x:c>
      <x:c r="S373" s="9" t="n">
        <x:f>IF(AND(R373=1,O373&lt;=$G$13),1,0)</x:f>
        <x:v>0</x:v>
      </x:c>
      <x:c r="T373" s="10" t="n">
        <x:f>EOMONTH(J373-'Сводка'!$B$11,-1)</x:f>
        <x:v>46203</x:v>
      </x:c>
      <x:c r="U373" s="4" t="n">
        <x:f>MATCH(J373,'Сводка'!$R$3:$R$397,0)</x:f>
        <x:v>384</x:v>
      </x:c>
      <x:c r="V373" s="4" t="n">
        <x:f>MATCH(J373-'Сводка'!$B$11,'Сводка'!$R$3:$R$397,0)</x:f>
        <x:v>383</x:v>
      </x:c>
      <x:c r="W373" s="4" t="n">
        <x:f>MATCH(T373,$J$388:$J$400,0)</x:f>
        <x:v>13</x:v>
      </x:c>
      <x:c r="X373" s="3"/>
      <x:c r="Y373" s="3"/>
      <x:c r="Z373" s="3"/>
    </x:row>
    <x:row r="374" ht="15" customHeight="1">
      <x:c r="A374" s="3"/>
      <x:c r="B374" s="3"/>
      <x:c r="C374" s="3"/>
      <x:c r="D374" s="3"/>
      <x:c r="E374" s="3"/>
      <x:c r="F374" s="3"/>
      <x:c r="G374" s="3"/>
      <x:c r="H374" s="3"/>
      <x:c r="I374" s="3"/>
      <x:c r="J374" s="10" t="n">
        <x:v>46225</x:v>
      </x:c>
      <x:c r="K374" s="8" t="n">
        <x:f>INDEX('Сводка'!$S$3:$S$397,U374)</x:f>
        <x:v>311</x:v>
      </x:c>
      <x:c r="L374" s="8" t="n">
        <x:f>INDEX('Сводка'!$S$3:$S$397,V374)</x:f>
        <x:v>303</x:v>
      </x:c>
      <x:c r="M374" s="8" t="n">
        <x:f>INDEX($K$388:$N$400,W374,1)+INDEX($K$388:$N$400,W374,2)*(2*(J374-$T$405)/(T374-$T$405)-1)^1+INDEX($K$388:$N$400,W374,3)*(2*(J374-$T$405)/(T374-$T$405)-1)^2+INDEX($O$388:$Z$400,W374,MONTH(J374))</x:f>
        <x:v>214.458247926373</x:v>
      </x:c>
      <x:c r="N374" s="8" t="n">
        <x:f>K374-M374</x:f>
        <x:v>96.54175207362701</x:v>
      </x:c>
      <x:c r="O374" s="8" t="n">
        <x:f>ABS(N374)</x:f>
        <x:v>96.54175207362701</x:v>
      </x:c>
      <x:c r="P374" s="8" t="n">
        <x:f>N374^2</x:f>
        <x:v>9320.309893445665</x:v>
      </x:c>
      <x:c r="Q374" s="8" t="n">
        <x:f>K374-L374</x:f>
        <x:v>8</x:v>
      </x:c>
      <x:c r="R374" s="9" t="n">
        <x:f>IF(AND(INDEX('Сводка'!$T$3:$T$397,U374)=0,INDEX('Сводка'!$T$3:$T$397,V374)=0),1,0)</x:f>
        <x:v>1</x:v>
      </x:c>
      <x:c r="S374" s="9" t="n">
        <x:f>IF(AND(R374=1,O374&lt;=$G$13),1,0)</x:f>
        <x:v>0</x:v>
      </x:c>
      <x:c r="T374" s="10" t="n">
        <x:f>EOMONTH(J374-'Сводка'!$B$11,-1)</x:f>
        <x:v>46203</x:v>
      </x:c>
      <x:c r="U374" s="4" t="n">
        <x:f>MATCH(J374,'Сводка'!$R$3:$R$397,0)</x:f>
        <x:v>385</x:v>
      </x:c>
      <x:c r="V374" s="4" t="n">
        <x:f>MATCH(J374-'Сводка'!$B$11,'Сводка'!$R$3:$R$397,0)</x:f>
        <x:v>384</x:v>
      </x:c>
      <x:c r="W374" s="4" t="n">
        <x:f>MATCH(T374,$J$388:$J$400,0)</x:f>
        <x:v>13</x:v>
      </x:c>
      <x:c r="X374" s="3"/>
      <x:c r="Y374" s="3"/>
      <x:c r="Z374" s="3"/>
    </x:row>
    <x:row r="375" ht="15" customHeight="1">
      <x:c r="A375" s="3"/>
      <x:c r="B375" s="3"/>
      <x:c r="C375" s="3"/>
      <x:c r="D375" s="3"/>
      <x:c r="E375" s="3"/>
      <x:c r="F375" s="3"/>
      <x:c r="G375" s="3"/>
      <x:c r="H375" s="3"/>
      <x:c r="I375" s="3"/>
      <x:c r="J375" s="10" t="n">
        <x:v>46226</x:v>
      </x:c>
      <x:c r="K375" s="8" t="n">
        <x:f>INDEX('Сводка'!$S$3:$S$397,U375)</x:f>
        <x:v>328</x:v>
      </x:c>
      <x:c r="L375" s="8" t="n">
        <x:f>INDEX('Сводка'!$S$3:$S$397,V375)</x:f>
        <x:v>311</x:v>
      </x:c>
      <x:c r="M375" s="8" t="n">
        <x:f>INDEX($K$388:$N$400,W375,1)+INDEX($K$388:$N$400,W375,2)*(2*(J375-$T$405)/(T375-$T$405)-1)^1+INDEX($K$388:$N$400,W375,3)*(2*(J375-$T$405)/(T375-$T$405)-1)^2+INDEX($O$388:$Z$400,W375,MONTH(J375))</x:f>
        <x:v>214.44666933515944</x:v>
      </x:c>
      <x:c r="N375" s="8" t="n">
        <x:f>K375-M375</x:f>
        <x:v>113.55333066484056</x:v>
      </x:c>
      <x:c r="O375" s="8" t="n">
        <x:f>ABS(N375)</x:f>
        <x:v>113.55333066484056</x:v>
      </x:c>
      <x:c r="P375" s="8" t="n">
        <x:f>N375^2</x:f>
        <x:v>12894.35890507862</x:v>
      </x:c>
      <x:c r="Q375" s="8" t="n">
        <x:f>K375-L375</x:f>
        <x:v>17</x:v>
      </x:c>
      <x:c r="R375" s="9" t="n">
        <x:f>IF(AND(INDEX('Сводка'!$T$3:$T$397,U375)=0,INDEX('Сводка'!$T$3:$T$397,V375)=0),1,0)</x:f>
        <x:v>1</x:v>
      </x:c>
      <x:c r="S375" s="9" t="n">
        <x:f>IF(AND(R375=1,O375&lt;=$G$13),1,0)</x:f>
        <x:v>0</x:v>
      </x:c>
      <x:c r="T375" s="10" t="n">
        <x:f>EOMONTH(J375-'Сводка'!$B$11,-1)</x:f>
        <x:v>46203</x:v>
      </x:c>
      <x:c r="U375" s="4" t="n">
        <x:f>MATCH(J375,'Сводка'!$R$3:$R$397,0)</x:f>
        <x:v>386</x:v>
      </x:c>
      <x:c r="V375" s="4" t="n">
        <x:f>MATCH(J375-'Сводка'!$B$11,'Сводка'!$R$3:$R$397,0)</x:f>
        <x:v>385</x:v>
      </x:c>
      <x:c r="W375" s="4" t="n">
        <x:f>MATCH(T375,$J$388:$J$400,0)</x:f>
        <x:v>13</x:v>
      </x:c>
      <x:c r="X375" s="3"/>
      <x:c r="Y375" s="3"/>
      <x:c r="Z375" s="3"/>
    </x:row>
    <x:row r="376" ht="15" customHeight="1">
      <x:c r="A376" s="3"/>
      <x:c r="B376" s="3"/>
      <x:c r="C376" s="3"/>
      <x:c r="D376" s="3"/>
      <x:c r="E376" s="3"/>
      <x:c r="F376" s="3"/>
      <x:c r="G376" s="3"/>
      <x:c r="H376" s="3"/>
      <x:c r="I376" s="3"/>
      <x:c r="J376" s="10" t="n">
        <x:v>46227</x:v>
      </x:c>
      <x:c r="K376" s="8" t="n">
        <x:f>INDEX('Сводка'!$S$3:$S$397,U376)</x:f>
        <x:v>340</x:v>
      </x:c>
      <x:c r="L376" s="8" t="n">
        <x:f>INDEX('Сводка'!$S$3:$S$397,V376)</x:f>
        <x:v>328</x:v>
      </x:c>
      <x:c r="M376" s="8" t="n">
        <x:f>INDEX($K$388:$N$400,W376,1)+INDEX($K$388:$N$400,W376,2)*(2*(J376-$T$405)/(T376-$T$405)-1)^1+INDEX($K$388:$N$400,W376,3)*(2*(J376-$T$405)/(T376-$T$405)-1)^2+INDEX($O$388:$Z$400,W376,MONTH(J376))</x:f>
        <x:v>214.43508393172425</x:v>
      </x:c>
      <x:c r="N376" s="8" t="n">
        <x:f>K376-M376</x:f>
        <x:v>125.56491606827575</x:v>
      </x:c>
      <x:c r="O376" s="8" t="n">
        <x:f>ABS(N376)</x:f>
        <x:v>125.56491606827575</x:v>
      </x:c>
      <x:c r="P376" s="8" t="n">
        <x:f>N376^2</x:f>
        <x:v>15766.548147233134</x:v>
      </x:c>
      <x:c r="Q376" s="8" t="n">
        <x:f>K376-L376</x:f>
        <x:v>12</x:v>
      </x:c>
      <x:c r="R376" s="9" t="n">
        <x:f>IF(AND(INDEX('Сводка'!$T$3:$T$397,U376)=0,INDEX('Сводка'!$T$3:$T$397,V376)=0),1,0)</x:f>
        <x:v>1</x:v>
      </x:c>
      <x:c r="S376" s="9" t="n">
        <x:f>IF(AND(R376=1,O376&lt;=$G$13),1,0)</x:f>
        <x:v>0</x:v>
      </x:c>
      <x:c r="T376" s="10" t="n">
        <x:f>EOMONTH(J376-'Сводка'!$B$11,-1)</x:f>
        <x:v>46203</x:v>
      </x:c>
      <x:c r="U376" s="4" t="n">
        <x:f>MATCH(J376,'Сводка'!$R$3:$R$397,0)</x:f>
        <x:v>387</x:v>
      </x:c>
      <x:c r="V376" s="4" t="n">
        <x:f>MATCH(J376-'Сводка'!$B$11,'Сводка'!$R$3:$R$397,0)</x:f>
        <x:v>386</x:v>
      </x:c>
      <x:c r="W376" s="4" t="n">
        <x:f>MATCH(T376,$J$388:$J$400,0)</x:f>
        <x:v>13</x:v>
      </x:c>
      <x:c r="X376" s="3"/>
      <x:c r="Y376" s="3"/>
      <x:c r="Z376" s="3"/>
    </x:row>
    <x:row r="377" ht="15" customHeight="1">
      <x:c r="A377" s="3"/>
      <x:c r="B377" s="3"/>
      <x:c r="C377" s="3"/>
      <x:c r="D377" s="3"/>
      <x:c r="E377" s="3"/>
      <x:c r="F377" s="3"/>
      <x:c r="G377" s="3"/>
      <x:c r="H377" s="3"/>
      <x:c r="I377" s="3"/>
      <x:c r="J377" s="10" t="n">
        <x:v>46228</x:v>
      </x:c>
      <x:c r="K377" s="8" t="n">
        <x:f>INDEX('Сводка'!$S$3:$S$397,U377)</x:f>
        <x:v>350</x:v>
      </x:c>
      <x:c r="L377" s="8" t="n">
        <x:f>INDEX('Сводка'!$S$3:$S$397,V377)</x:f>
        <x:v>340</x:v>
      </x:c>
      <x:c r="M377" s="8" t="n">
        <x:f>INDEX($K$388:$N$400,W377,1)+INDEX($K$388:$N$400,W377,2)*(2*(J377-$T$405)/(T377-$T$405)-1)^1+INDEX($K$388:$N$400,W377,3)*(2*(J377-$T$405)/(T377-$T$405)-1)^2+INDEX($O$388:$Z$400,W377,MONTH(J377))</x:f>
        <x:v>214.42349171606742</x:v>
      </x:c>
      <x:c r="N377" s="8" t="n">
        <x:f>K377-M377</x:f>
        <x:v>135.57650828393258</x:v>
      </x:c>
      <x:c r="O377" s="8" t="n">
        <x:f>ABS(N377)</x:f>
        <x:v>135.57650828393258</x:v>
      </x:c>
      <x:c r="P377" s="8" t="n">
        <x:f>N377^2</x:f>
        <x:v>18380.98959846324</x:v>
      </x:c>
      <x:c r="Q377" s="8" t="n">
        <x:f>K377-L377</x:f>
        <x:v>10</x:v>
      </x:c>
      <x:c r="R377" s="9" t="n">
        <x:f>IF(AND(INDEX('Сводка'!$T$3:$T$397,U377)=0,INDEX('Сводка'!$T$3:$T$397,V377)=0),1,0)</x:f>
        <x:v>1</x:v>
      </x:c>
      <x:c r="S377" s="9" t="n">
        <x:f>IF(AND(R377=1,O377&lt;=$G$13),1,0)</x:f>
        <x:v>0</x:v>
      </x:c>
      <x:c r="T377" s="10" t="n">
        <x:f>EOMONTH(J377-'Сводка'!$B$11,-1)</x:f>
        <x:v>46203</x:v>
      </x:c>
      <x:c r="U377" s="4" t="n">
        <x:f>MATCH(J377,'Сводка'!$R$3:$R$397,0)</x:f>
        <x:v>388</x:v>
      </x:c>
      <x:c r="V377" s="4" t="n">
        <x:f>MATCH(J377-'Сводка'!$B$11,'Сводка'!$R$3:$R$397,0)</x:f>
        <x:v>387</x:v>
      </x:c>
      <x:c r="W377" s="4" t="n">
        <x:f>MATCH(T377,$J$388:$J$400,0)</x:f>
        <x:v>13</x:v>
      </x:c>
      <x:c r="X377" s="3"/>
      <x:c r="Y377" s="3"/>
      <x:c r="Z377" s="3"/>
    </x:row>
    <x:row r="378" ht="15" customHeight="1">
      <x:c r="A378" s="3"/>
      <x:c r="B378" s="3"/>
      <x:c r="C378" s="3"/>
      <x:c r="D378" s="3"/>
      <x:c r="E378" s="3"/>
      <x:c r="F378" s="3"/>
      <x:c r="G378" s="3"/>
      <x:c r="H378" s="3"/>
      <x:c r="I378" s="3"/>
      <x:c r="J378" s="10" t="n">
        <x:v>46229</x:v>
      </x:c>
      <x:c r="K378" s="8" t="n">
        <x:f>INDEX('Сводка'!$S$3:$S$397,U378)</x:f>
        <x:v>361</x:v>
      </x:c>
      <x:c r="L378" s="8" t="n">
        <x:f>INDEX('Сводка'!$S$3:$S$397,V378)</x:f>
        <x:v>350</x:v>
      </x:c>
      <x:c r="M378" s="8" t="n">
        <x:f>INDEX($K$388:$N$400,W378,1)+INDEX($K$388:$N$400,W378,2)*(2*(J378-$T$405)/(T378-$T$405)-1)^1+INDEX($K$388:$N$400,W378,3)*(2*(J378-$T$405)/(T378-$T$405)-1)^2+INDEX($O$388:$Z$400,W378,MONTH(J378))</x:f>
        <x:v>214.4118926881889</x:v>
      </x:c>
      <x:c r="N378" s="8" t="n">
        <x:f>K378-M378</x:f>
        <x:v>146.5881073118111</x:v>
      </x:c>
      <x:c r="O378" s="8" t="n">
        <x:f>ABS(N378)</x:f>
        <x:v>146.5881073118111</x:v>
      </x:c>
      <x:c r="P378" s="8" t="n">
        <x:f>N378^2</x:f>
        <x:v>21488.073205259043</x:v>
      </x:c>
      <x:c r="Q378" s="8" t="n">
        <x:f>K378-L378</x:f>
        <x:v>11</x:v>
      </x:c>
      <x:c r="R378" s="9" t="n">
        <x:f>IF(AND(INDEX('Сводка'!$T$3:$T$397,U378)=0,INDEX('Сводка'!$T$3:$T$397,V378)=0),1,0)</x:f>
        <x:v>1</x:v>
      </x:c>
      <x:c r="S378" s="9" t="n">
        <x:f>IF(AND(R378=1,O378&lt;=$G$13),1,0)</x:f>
        <x:v>0</x:v>
      </x:c>
      <x:c r="T378" s="10" t="n">
        <x:f>EOMONTH(J378-'Сводка'!$B$11,-1)</x:f>
        <x:v>46203</x:v>
      </x:c>
      <x:c r="U378" s="4" t="n">
        <x:f>MATCH(J378,'Сводка'!$R$3:$R$397,0)</x:f>
        <x:v>389</x:v>
      </x:c>
      <x:c r="V378" s="4" t="n">
        <x:f>MATCH(J378-'Сводка'!$B$11,'Сводка'!$R$3:$R$397,0)</x:f>
        <x:v>388</x:v>
      </x:c>
      <x:c r="W378" s="4" t="n">
        <x:f>MATCH(T378,$J$388:$J$400,0)</x:f>
        <x:v>13</x:v>
      </x:c>
      <x:c r="X378" s="3"/>
      <x:c r="Y378" s="3"/>
      <x:c r="Z378" s="3"/>
    </x:row>
    <x:row r="379" ht="15" customHeight="1">
      <x:c r="A379" s="3"/>
      <x:c r="B379" s="3"/>
      <x:c r="C379" s="3"/>
      <x:c r="D379" s="3"/>
      <x:c r="E379" s="3"/>
      <x:c r="F379" s="3"/>
      <x:c r="G379" s="3"/>
      <x:c r="H379" s="3"/>
      <x:c r="I379" s="3"/>
      <x:c r="J379" s="10" t="n">
        <x:v>46230</x:v>
      </x:c>
      <x:c r="K379" s="8" t="n">
        <x:f>INDEX('Сводка'!$S$3:$S$397,U379)</x:f>
        <x:v>369</x:v>
      </x:c>
      <x:c r="L379" s="8" t="n">
        <x:f>INDEX('Сводка'!$S$3:$S$397,V379)</x:f>
        <x:v>361</x:v>
      </x:c>
      <x:c r="M379" s="8" t="n">
        <x:f>INDEX($K$388:$N$400,W379,1)+INDEX($K$388:$N$400,W379,2)*(2*(J379-$T$405)/(T379-$T$405)-1)^1+INDEX($K$388:$N$400,W379,3)*(2*(J379-$T$405)/(T379-$T$405)-1)^2+INDEX($O$388:$Z$400,W379,MONTH(J379))</x:f>
        <x:v>214.4002868480888</x:v>
      </x:c>
      <x:c r="N379" s="8" t="n">
        <x:f>K379-M379</x:f>
        <x:v>154.5997131519112</x:v>
      </x:c>
      <x:c r="O379" s="8" t="n">
        <x:f>ABS(N379)</x:f>
        <x:v>154.5997131519112</x:v>
      </x:c>
      <x:c r="P379" s="8" t="n">
        <x:f>N379^2</x:f>
        <x:v>23901.071306653226</x:v>
      </x:c>
      <x:c r="Q379" s="8" t="n">
        <x:f>K379-L379</x:f>
        <x:v>8</x:v>
      </x:c>
      <x:c r="R379" s="9" t="n">
        <x:f>IF(AND(INDEX('Сводка'!$T$3:$T$397,U379)=0,INDEX('Сводка'!$T$3:$T$397,V379)=0),1,0)</x:f>
        <x:v>1</x:v>
      </x:c>
      <x:c r="S379" s="9" t="n">
        <x:f>IF(AND(R379=1,O379&lt;=$G$13),1,0)</x:f>
        <x:v>0</x:v>
      </x:c>
      <x:c r="T379" s="10" t="n">
        <x:f>EOMONTH(J379-'Сводка'!$B$11,-1)</x:f>
        <x:v>46203</x:v>
      </x:c>
      <x:c r="U379" s="4" t="n">
        <x:f>MATCH(J379,'Сводка'!$R$3:$R$397,0)</x:f>
        <x:v>390</x:v>
      </x:c>
      <x:c r="V379" s="4" t="n">
        <x:f>MATCH(J379-'Сводка'!$B$11,'Сводка'!$R$3:$R$397,0)</x:f>
        <x:v>389</x:v>
      </x:c>
      <x:c r="W379" s="4" t="n">
        <x:f>MATCH(T379,$J$388:$J$400,0)</x:f>
        <x:v>13</x:v>
      </x:c>
      <x:c r="X379" s="3"/>
      <x:c r="Y379" s="3"/>
      <x:c r="Z379" s="3"/>
    </x:row>
    <x:row r="380" ht="15" customHeight="1">
      <x:c r="A380" s="3"/>
      <x:c r="B380" s="3"/>
      <x:c r="C380" s="3"/>
      <x:c r="D380" s="3"/>
      <x:c r="E380" s="3"/>
      <x:c r="F380" s="3"/>
      <x:c r="G380" s="3"/>
      <x:c r="H380" s="3"/>
      <x:c r="I380" s="3"/>
      <x:c r="J380" s="10" t="n">
        <x:v>46231</x:v>
      </x:c>
      <x:c r="K380" s="8" t="n">
        <x:f>INDEX('Сводка'!$S$3:$S$397,U380)</x:f>
        <x:v>377</x:v>
      </x:c>
      <x:c r="L380" s="8" t="n">
        <x:f>INDEX('Сводка'!$S$3:$S$397,V380)</x:f>
        <x:v>369</x:v>
      </x:c>
      <x:c r="M380" s="8" t="n">
        <x:f>INDEX($K$388:$N$400,W380,1)+INDEX($K$388:$N$400,W380,2)*(2*(J380-$T$405)/(T380-$T$405)-1)^1+INDEX($K$388:$N$400,W380,3)*(2*(J380-$T$405)/(T380-$T$405)-1)^2+INDEX($O$388:$Z$400,W380,MONTH(J380))</x:f>
        <x:v>214.38867419576707</x:v>
      </x:c>
      <x:c r="N380" s="8" t="n">
        <x:f>K380-M380</x:f>
        <x:v>162.61132580423293</x:v>
      </x:c>
      <x:c r="O380" s="8" t="n">
        <x:f>ABS(N380)</x:f>
        <x:v>162.61132580423293</x:v>
      </x:c>
      <x:c r="P380" s="8" t="n">
        <x:f>N380^2</x:f>
        <x:v>26442.44327981039</x:v>
      </x:c>
      <x:c r="Q380" s="8" t="n">
        <x:f>K380-L380</x:f>
        <x:v>8</x:v>
      </x:c>
      <x:c r="R380" s="9" t="n">
        <x:f>IF(AND(INDEX('Сводка'!$T$3:$T$397,U380)=0,INDEX('Сводка'!$T$3:$T$397,V380)=0),1,0)</x:f>
        <x:v>1</x:v>
      </x:c>
      <x:c r="S380" s="9" t="n">
        <x:f>IF(AND(R380=1,O380&lt;=$G$13),1,0)</x:f>
        <x:v>0</x:v>
      </x:c>
      <x:c r="T380" s="10" t="n">
        <x:f>EOMONTH(J380-'Сводка'!$B$11,-1)</x:f>
        <x:v>46203</x:v>
      </x:c>
      <x:c r="U380" s="4" t="n">
        <x:f>MATCH(J380,'Сводка'!$R$3:$R$397,0)</x:f>
        <x:v>391</x:v>
      </x:c>
      <x:c r="V380" s="4" t="n">
        <x:f>MATCH(J380-'Сводка'!$B$11,'Сводка'!$R$3:$R$397,0)</x:f>
        <x:v>390</x:v>
      </x:c>
      <x:c r="W380" s="4" t="n">
        <x:f>MATCH(T380,$J$388:$J$400,0)</x:f>
        <x:v>13</x:v>
      </x:c>
      <x:c r="X380" s="3"/>
      <x:c r="Y380" s="3"/>
      <x:c r="Z380" s="3"/>
    </x:row>
    <x:row r="381" ht="15" customHeight="1">
      <x:c r="A381" s="3"/>
      <x:c r="B381" s="3"/>
      <x:c r="C381" s="3"/>
      <x:c r="D381" s="3"/>
      <x:c r="E381" s="3"/>
      <x:c r="F381" s="3"/>
      <x:c r="G381" s="3"/>
      <x:c r="H381" s="3"/>
      <x:c r="I381" s="3"/>
      <x:c r="J381" s="10" t="n">
        <x:v>46232</x:v>
      </x:c>
      <x:c r="K381" s="8" t="n">
        <x:f>INDEX('Сводка'!$S$3:$S$397,U381)</x:f>
        <x:v>385</x:v>
      </x:c>
      <x:c r="L381" s="8" t="n">
        <x:f>INDEX('Сводка'!$S$3:$S$397,V381)</x:f>
        <x:v>377</x:v>
      </x:c>
      <x:c r="M381" s="8" t="n">
        <x:f>INDEX($K$388:$N$400,W381,1)+INDEX($K$388:$N$400,W381,2)*(2*(J381-$T$405)/(T381-$T$405)-1)^1+INDEX($K$388:$N$400,W381,3)*(2*(J381-$T$405)/(T381-$T$405)-1)^2+INDEX($O$388:$Z$400,W381,MONTH(J381))</x:f>
        <x:v>214.3770547312237</x:v>
      </x:c>
      <x:c r="N381" s="8" t="n">
        <x:f>K381-M381</x:f>
        <x:v>170.6229452687763</x:v>
      </x:c>
      <x:c r="O381" s="8" t="n">
        <x:f>ABS(N381)</x:f>
        <x:v>170.6229452687763</x:v>
      </x:c>
      <x:c r="P381" s="8" t="n">
        <x:f>N381^2</x:f>
        <x:v>29112.189452191833</x:v>
      </x:c>
      <x:c r="Q381" s="8" t="n">
        <x:f>K381-L381</x:f>
        <x:v>8</x:v>
      </x:c>
      <x:c r="R381" s="9" t="n">
        <x:f>IF(AND(INDEX('Сводка'!$T$3:$T$397,U381)=0,INDEX('Сводка'!$T$3:$T$397,V381)=0),1,0)</x:f>
        <x:v>1</x:v>
      </x:c>
      <x:c r="S381" s="9" t="n">
        <x:f>IF(AND(R381=1,O381&lt;=$G$13),1,0)</x:f>
        <x:v>0</x:v>
      </x:c>
      <x:c r="T381" s="10" t="n">
        <x:f>EOMONTH(J381-'Сводка'!$B$11,-1)</x:f>
        <x:v>46203</x:v>
      </x:c>
      <x:c r="U381" s="4" t="n">
        <x:f>MATCH(J381,'Сводка'!$R$3:$R$397,0)</x:f>
        <x:v>392</x:v>
      </x:c>
      <x:c r="V381" s="4" t="n">
        <x:f>MATCH(J381-'Сводка'!$B$11,'Сводка'!$R$3:$R$397,0)</x:f>
        <x:v>391</x:v>
      </x:c>
      <x:c r="W381" s="4" t="n">
        <x:f>MATCH(T381,$J$388:$J$400,0)</x:f>
        <x:v>13</x:v>
      </x:c>
      <x:c r="X381" s="3"/>
      <x:c r="Y381" s="3"/>
      <x:c r="Z381" s="3"/>
    </x:row>
    <x:row r="382" ht="15" customHeight="1">
      <x:c r="A382" s="3"/>
      <x:c r="B382" s="3"/>
      <x:c r="C382" s="3"/>
      <x:c r="D382" s="3"/>
      <x:c r="E382" s="3"/>
      <x:c r="F382" s="3"/>
      <x:c r="G382" s="3"/>
      <x:c r="H382" s="3"/>
      <x:c r="I382" s="3"/>
      <x:c r="J382" s="10" t="n">
        <x:v>46233</x:v>
      </x:c>
      <x:c r="K382" s="8" t="n">
        <x:f>INDEX('Сводка'!$S$3:$S$397,U382)</x:f>
        <x:v>389</x:v>
      </x:c>
      <x:c r="L382" s="8" t="n">
        <x:f>INDEX('Сводка'!$S$3:$S$397,V382)</x:f>
        <x:v>385</x:v>
      </x:c>
      <x:c r="M382" s="8" t="n">
        <x:f>INDEX($K$388:$N$400,W382,1)+INDEX($K$388:$N$400,W382,2)*(2*(J382-$T$405)/(T382-$T$405)-1)^1+INDEX($K$388:$N$400,W382,3)*(2*(J382-$T$405)/(T382-$T$405)-1)^2+INDEX($O$388:$Z$400,W382,MONTH(J382))</x:f>
        <x:v>214.36542845445865</x:v>
      </x:c>
      <x:c r="N382" s="8" t="n">
        <x:f>K382-M382</x:f>
        <x:v>174.63457154554135</x:v>
      </x:c>
      <x:c r="O382" s="8" t="n">
        <x:f>ABS(N382)</x:f>
        <x:v>174.63457154554135</x:v>
      </x:c>
      <x:c r="P382" s="8" t="n">
        <x:f>N382^2</x:f>
        <x:v>30497.2335788948</x:v>
      </x:c>
      <x:c r="Q382" s="8" t="n">
        <x:f>K382-L382</x:f>
        <x:v>4</x:v>
      </x:c>
      <x:c r="R382" s="9" t="n">
        <x:f>IF(AND(INDEX('Сводка'!$T$3:$T$397,U382)=0,INDEX('Сводка'!$T$3:$T$397,V382)=0),1,0)</x:f>
        <x:v>1</x:v>
      </x:c>
      <x:c r="S382" s="9" t="n">
        <x:f>IF(AND(R382=1,O382&lt;=$G$13),1,0)</x:f>
        <x:v>0</x:v>
      </x:c>
      <x:c r="T382" s="10" t="n">
        <x:f>EOMONTH(J382-'Сводка'!$B$11,-1)</x:f>
        <x:v>46203</x:v>
      </x:c>
      <x:c r="U382" s="4" t="n">
        <x:f>MATCH(J382,'Сводка'!$R$3:$R$397,0)</x:f>
        <x:v>393</x:v>
      </x:c>
      <x:c r="V382" s="4" t="n">
        <x:f>MATCH(J382-'Сводка'!$B$11,'Сводка'!$R$3:$R$397,0)</x:f>
        <x:v>392</x:v>
      </x:c>
      <x:c r="W382" s="4" t="n">
        <x:f>MATCH(T382,$J$388:$J$400,0)</x:f>
        <x:v>13</x:v>
      </x:c>
      <x:c r="X382" s="3"/>
      <x:c r="Y382" s="3"/>
      <x:c r="Z382" s="3"/>
    </x:row>
    <x:row r="383" ht="15" customHeight="1">
      <x:c r="A383" s="3"/>
      <x:c r="B383" s="3"/>
      <x:c r="C383" s="3"/>
      <x:c r="D383" s="3"/>
      <x:c r="E383" s="3"/>
      <x:c r="F383" s="3"/>
      <x:c r="G383" s="3"/>
      <x:c r="H383" s="3"/>
      <x:c r="I383" s="3"/>
      <x:c r="J383" s="10" t="n">
        <x:v>46234</x:v>
      </x:c>
      <x:c r="K383" s="8" t="n">
        <x:f>INDEX('Сводка'!$S$3:$S$397,U383)</x:f>
        <x:v>399</x:v>
      </x:c>
      <x:c r="L383" s="8" t="n">
        <x:f>INDEX('Сводка'!$S$3:$S$397,V383)</x:f>
        <x:v>389</x:v>
      </x:c>
      <x:c r="M383" s="8" t="n">
        <x:f>INDEX($K$388:$N$400,W383,1)+INDEX($K$388:$N$400,W383,2)*(2*(J383-$T$405)/(T383-$T$405)-1)^1+INDEX($K$388:$N$400,W383,3)*(2*(J383-$T$405)/(T383-$T$405)-1)^2+INDEX($O$388:$Z$400,W383,MONTH(J383))</x:f>
        <x:v>214.35379536547202</x:v>
      </x:c>
      <x:c r="N383" s="8" t="n">
        <x:f>K383-M383</x:f>
        <x:v>184.64620463452798</x:v>
      </x:c>
      <x:c r="O383" s="8" t="n">
        <x:f>ABS(N383)</x:f>
        <x:v>184.64620463452798</x:v>
      </x:c>
      <x:c r="P383" s="8" t="n">
        <x:f>N383^2</x:f>
        <x:v>34094.22088593598</x:v>
      </x:c>
      <x:c r="Q383" s="8" t="n">
        <x:f>K383-L383</x:f>
        <x:v>10</x:v>
      </x:c>
      <x:c r="R383" s="9" t="n">
        <x:f>IF(AND(INDEX('Сводка'!$T$3:$T$397,U383)=0,INDEX('Сводка'!$T$3:$T$397,V383)=0),1,0)</x:f>
        <x:v>1</x:v>
      </x:c>
      <x:c r="S383" s="9" t="n">
        <x:f>IF(AND(R383=1,O383&lt;=$G$13),1,0)</x:f>
        <x:v>0</x:v>
      </x:c>
      <x:c r="T383" s="10" t="n">
        <x:f>EOMONTH(J383-'Сводка'!$B$11,-1)</x:f>
        <x:v>46203</x:v>
      </x:c>
      <x:c r="U383" s="4" t="n">
        <x:f>MATCH(J383,'Сводка'!$R$3:$R$397,0)</x:f>
        <x:v>394</x:v>
      </x:c>
      <x:c r="V383" s="4" t="n">
        <x:f>MATCH(J383-'Сводка'!$B$11,'Сводка'!$R$3:$R$397,0)</x:f>
        <x:v>393</x:v>
      </x:c>
      <x:c r="W383" s="4" t="n">
        <x:f>MATCH(T383,$J$388:$J$400,0)</x:f>
        <x:v>13</x:v>
      </x:c>
      <x:c r="X383" s="3"/>
      <x:c r="Y383" s="3"/>
      <x:c r="Z383" s="3"/>
    </x:row>
    <x:row r="384" ht="15" customHeight="1">
      <x:c r="A384" s="3"/>
      <x:c r="B384" s="3"/>
      <x:c r="C384" s="3"/>
      <x:c r="D384" s="3"/>
      <x:c r="E384" s="3"/>
      <x:c r="F384" s="3"/>
      <x:c r="G384" s="3"/>
      <x:c r="H384" s="3"/>
      <x:c r="I384" s="3"/>
      <x:c r="J384" s="10" t="n">
        <x:v>46235</x:v>
      </x:c>
      <x:c r="K384" s="8" t="n">
        <x:f>INDEX('Сводка'!$S$3:$S$397,U384)</x:f>
        <x:v>405</x:v>
      </x:c>
      <x:c r="L384" s="8" t="n">
        <x:f>INDEX('Сводка'!$S$3:$S$397,V384)</x:f>
        <x:v>399</x:v>
      </x:c>
      <x:c r="M384" s="8" t="n">
        <x:f>INDEX($K$388:$N$400,W384,1)+INDEX($K$388:$N$400,W384,2)*(2*(J384-$T$405)/(T384-$T$405)-1)^1+INDEX($K$388:$N$400,W384,3)*(2*(J384-$T$405)/(T384-$T$405)-1)^2+INDEX($O$388:$Z$400,W384,MONTH(J384))</x:f>
        <x:v>316.2938140599069</x:v>
      </x:c>
      <x:c r="N384" s="8" t="n">
        <x:f>K384-M384</x:f>
        <x:v>88.70618594009312</x:v>
      </x:c>
      <x:c r="O384" s="8" t="n">
        <x:f>ABS(N384)</x:f>
        <x:v>88.70618594009312</x:v>
      </x:c>
      <x:c r="P384" s="8" t="n">
        <x:f>N384^2</x:f>
        <x:v>7868.787424038374</x:v>
      </x:c>
      <x:c r="Q384" s="8" t="n">
        <x:f>K384-L384</x:f>
        <x:v>6</x:v>
      </x:c>
      <x:c r="R384" s="9" t="n">
        <x:f>IF(AND(INDEX('Сводка'!$T$3:$T$397,U384)=0,INDEX('Сводка'!$T$3:$T$397,V384)=0),1,0)</x:f>
        <x:v>1</x:v>
      </x:c>
      <x:c r="S384" s="9" t="n">
        <x:f>IF(AND(R384=1,O384&lt;=$G$13),1,0)</x:f>
        <x:v>0</x:v>
      </x:c>
      <x:c r="T384" s="10" t="n">
        <x:f>EOMONTH(J384-'Сводка'!$B$11,-1)</x:f>
        <x:v>46203</x:v>
      </x:c>
      <x:c r="U384" s="4" t="n">
        <x:f>MATCH(J384,'Сводка'!$R$3:$R$397,0)</x:f>
        <x:v>395</x:v>
      </x:c>
      <x:c r="V384" s="4" t="n">
        <x:f>MATCH(J384-'Сводка'!$B$11,'Сводка'!$R$3:$R$397,0)</x:f>
        <x:v>394</x:v>
      </x:c>
      <x:c r="W384" s="4" t="n">
        <x:f>MATCH(T384,$J$388:$J$400,0)</x:f>
        <x:v>13</x:v>
      </x:c>
      <x:c r="X384" s="3"/>
      <x:c r="Y384" s="3"/>
      <x:c r="Z384" s="3"/>
    </x:row>
    <x:row r="385" ht="15" customHeight="1">
      <x:c r="A385" s="3"/>
      <x:c r="B385" s="3"/>
      <x:c r="C385" s="3"/>
      <x:c r="D385" s="3"/>
      <x:c r="E385" s="3"/>
      <x:c r="F385" s="3"/>
      <x:c r="G385" s="3"/>
      <x:c r="H385" s="3"/>
      <x:c r="I385" s="3"/>
      <x:c r="J385" s="3"/>
      <x:c r="K385" s="3"/>
      <x:c r="L385" s="3"/>
      <x:c r="M385" s="3"/>
      <x:c r="N385" s="3"/>
      <x:c r="O385" s="3"/>
      <x:c r="P385" s="3"/>
      <x:c r="Q385" s="3"/>
      <x:c r="R385" s="3"/>
      <x:c r="S385" s="3"/>
      <x:c r="T385" s="3"/>
      <x:c r="U385" s="3"/>
      <x:c r="V385" s="3"/>
      <x:c r="W385" s="3"/>
      <x:c r="X385" s="3"/>
      <x:c r="Y385" s="3"/>
      <x:c r="Z385" s="3"/>
    </x:row>
    <x:row r="386" ht="15" customHeight="1">
      <x:c r="A386" s="3"/>
      <x:c r="B386" s="3"/>
      <x:c r="C386" s="3"/>
      <x:c r="D386" s="3"/>
      <x:c r="E386" s="3"/>
      <x:c r="F386" s="3"/>
      <x:c r="G386" s="3"/>
      <x:c r="H386" s="3"/>
      <x:c r="I386" s="3"/>
      <x:c r="J386" s="3"/>
      <x:c r="K386" s="3"/>
      <x:c r="L386" s="3"/>
      <x:c r="M386" s="3"/>
      <x:c r="N386" s="3"/>
      <x:c r="O386" s="3"/>
      <x:c r="P386" s="3"/>
      <x:c r="Q386" s="3"/>
      <x:c r="R386" s="3"/>
      <x:c r="S386" s="3"/>
      <x:c r="T386" s="3"/>
      <x:c r="U386" s="3"/>
      <x:c r="V386" s="3"/>
      <x:c r="W386" s="3"/>
      <x:c r="X386" s="3"/>
      <x:c r="Y386" s="3"/>
      <x:c r="Z386" s="3"/>
    </x:row>
    <x:row r="387" ht="30" customHeight="1">
      <x:c r="A387" s="3"/>
      <x:c r="B387" s="3"/>
      <x:c r="C387" s="3"/>
      <x:c r="D387" s="3"/>
      <x:c r="E387" s="3"/>
      <x:c r="F387" s="3"/>
      <x:c r="G387" s="3"/>
      <x:c r="H387" s="3"/>
      <x:c r="I387" s="3"/>
      <x:c r="J387" s="14" t="str">
        <x:v>Обучение до</x:v>
      </x:c>
      <x:c r="K387" s="14" t="str">
        <x:v>a0/a</x:v>
      </x:c>
      <x:c r="L387" s="14" t="str">
        <x:v>a1/b</x:v>
      </x:c>
      <x:c r="M387" s="14" t="str">
        <x:v>a2</x:v>
      </x:c>
      <x:c r="N387" s="14" t="str">
        <x:v>a3</x:v>
      </x:c>
      <x:c r="O387" s="14" t="str">
        <x:v>c1</x:v>
      </x:c>
      <x:c r="P387" s="14" t="str">
        <x:v>c2</x:v>
      </x:c>
      <x:c r="Q387" s="14" t="str">
        <x:v>c3</x:v>
      </x:c>
      <x:c r="R387" s="14" t="str">
        <x:v>c4</x:v>
      </x:c>
      <x:c r="S387" s="14" t="str">
        <x:v>c5</x:v>
      </x:c>
      <x:c r="T387" s="14" t="str">
        <x:v>c6</x:v>
      </x:c>
      <x:c r="U387" s="14" t="str">
        <x:v>c7</x:v>
      </x:c>
      <x:c r="V387" s="14" t="str">
        <x:v>c8</x:v>
      </x:c>
      <x:c r="W387" s="14" t="str">
        <x:v>c9</x:v>
      </x:c>
      <x:c r="X387" s="14" t="str">
        <x:v>c10</x:v>
      </x:c>
      <x:c r="Y387" s="14" t="str">
        <x:v>c11</x:v>
      </x:c>
      <x:c r="Z387" s="14" t="str">
        <x:v>c12</x:v>
      </x:c>
    </x:row>
    <x:row r="388" ht="15" customHeight="1">
      <x:c r="A388" s="3"/>
      <x:c r="B388" s="3"/>
      <x:c r="C388" s="3"/>
      <x:c r="D388" s="3"/>
      <x:c r="E388" s="3"/>
      <x:c r="F388" s="3"/>
      <x:c r="G388" s="3"/>
      <x:c r="H388" s="3"/>
      <x:c r="I388" s="3"/>
      <x:c r="J388" s="7" t="n">
        <x:v>45838</x:v>
      </x:c>
      <x:c r="K388" s="3" t="n">
        <x:v>80.95871122269043</x:v>
      </x:c>
      <x:c r="L388" s="3" t="n">
        <x:v>92.47797361912555</x:v>
      </x:c>
      <x:c r="M388" s="3" t="n">
        <x:v>-48.742558739389835</x:v>
      </x:c>
      <x:c r="N388" s="3" t="n">
        <x:v>0</x:v>
      </x:c>
      <x:c r="O388" s="3" t="n">
        <x:v>-93.5431281610714</x:v>
      </x:c>
      <x:c r="P388" s="3" t="n">
        <x:v>-145.18829930769027</x:v>
      </x:c>
      <x:c r="Q388" s="3" t="n">
        <x:v>-157.5782623625689</x:v>
      </x:c>
      <x:c r="R388" s="3" t="n">
        <x:v>-42.299956144573635</x:v>
      </x:c>
      <x:c r="S388" s="3" t="n">
        <x:v>51.58749746083159</x:v>
      </x:c>
      <x:c r="T388" s="3" t="n">
        <x:v>75.20416991849582</x:v>
      </x:c>
      <x:c r="U388" s="3" t="n">
        <x:v>110.07578098957813</x:v>
      </x:c>
      <x:c r="V388" s="3" t="n">
        <x:v>212.92690025795451</x:v>
      </x:c>
      <x:c r="W388" s="3" t="n">
        <x:v>172.68506948923527</x:v>
      </x:c>
      <x:c r="X388" s="3" t="n">
        <x:v>19.032172565651898</x:v>
      </x:c>
      <x:c r="Y388" s="3" t="n">
        <x:v>-119.44797256616286</x:v>
      </x:c>
      <x:c r="Z388" s="3" t="n">
        <x:v>-83.45397213968005</x:v>
      </x:c>
    </x:row>
    <x:row r="389" ht="15" customHeight="1">
      <x:c r="A389" s="3"/>
      <x:c r="B389" s="3"/>
      <x:c r="C389" s="3"/>
      <x:c r="D389" s="3"/>
      <x:c r="E389" s="3"/>
      <x:c r="F389" s="3"/>
      <x:c r="G389" s="3"/>
      <x:c r="H389" s="3"/>
      <x:c r="I389" s="3"/>
      <x:c r="J389" s="7" t="n">
        <x:v>45869</x:v>
      </x:c>
      <x:c r="K389" s="3" t="n">
        <x:v>81.53513135208186</x:v>
      </x:c>
      <x:c r="L389" s="3" t="n">
        <x:v>91.93273480693728</x:v>
      </x:c>
      <x:c r="M389" s="3" t="n">
        <x:v>-50.376281321840565</x:v>
      </x:c>
      <x:c r="N389" s="3" t="n">
        <x:v>0</x:v>
      </x:c>
      <x:c r="O389" s="3" t="n">
        <x:v>-93.44724399506242</x:v>
      </x:c>
      <x:c r="P389" s="3" t="n">
        <x:v>-145.08468875289608</x:v>
      </x:c>
      <x:c r="Q389" s="3" t="n">
        <x:v>-157.43361822318764</x:v>
      </x:c>
      <x:c r="R389" s="3" t="n">
        <x:v>-42.11215583332367</x:v>
      </x:c>
      <x:c r="S389" s="3" t="n">
        <x:v>51.79039715372091</x:v>
      </x:c>
      <x:c r="T389" s="3" t="n">
        <x:v>75.40790021276293</x:v>
      </x:c>
      <x:c r="U389" s="3" t="n">
        <x:v>108.38453311926263</x:v>
      </x:c>
      <x:c r="V389" s="3" t="n">
        <x:v>213.08152064775865</x:v>
      </x:c>
      <x:c r="W389" s="3" t="n">
        <x:v>172.84402233290157</x:v>
      </x:c>
      <x:c r="X389" s="3" t="n">
        <x:v>19.194712932168166</x:v>
      </x:c>
      <x:c r="Y389" s="3" t="n">
        <x:v>-119.28164397196208</x:v>
      </x:c>
      <x:c r="Z389" s="3" t="n">
        <x:v>-83.34373562214296</x:v>
      </x:c>
    </x:row>
    <x:row r="390" ht="15" customHeight="1">
      <x:c r="A390" s="3"/>
      <x:c r="B390" s="3"/>
      <x:c r="C390" s="3"/>
      <x:c r="D390" s="3"/>
      <x:c r="E390" s="3"/>
      <x:c r="F390" s="3"/>
      <x:c r="G390" s="3"/>
      <x:c r="H390" s="3"/>
      <x:c r="I390" s="3"/>
      <x:c r="J390" s="7" t="n">
        <x:v>45900</x:v>
      </x:c>
      <x:c r="K390" s="3" t="n">
        <x:v>82.22758340293038</x:v>
      </x:c>
      <x:c r="L390" s="3" t="n">
        <x:v>91.09661432544269</x:v>
      </x:c>
      <x:c r="M390" s="3" t="n">
        <x:v>-52.64781059355648</x:v>
      </x:c>
      <x:c r="N390" s="3" t="n">
        <x:v>0</x:v>
      </x:c>
      <x:c r="O390" s="3" t="n">
        <x:v>-93.31218035357485</x:v>
      </x:c>
      <x:c r="P390" s="3" t="n">
        <x:v>-144.93808591326595</x:v>
      </x:c>
      <x:c r="Q390" s="3" t="n">
        <x:v>-157.22586386188422</x:v>
      </x:c>
      <x:c r="R390" s="3" t="n">
        <x:v>-41.84016201751111</x:v>
      </x:c>
      <x:c r="S390" s="3" t="n">
        <x:v>52.085019019868525</x:v>
      </x:c>
      <x:c r="T390" s="3" t="n">
        <x:v>75.70387650642046</x:v>
      </x:c>
      <x:c r="U390" s="3" t="n">
        <x:v>108.6842143696305</x:v>
      </x:c>
      <x:c r="V390" s="3" t="n">
        <x:v>210.56832965122837</x:v>
      </x:c>
      <x:c r="W390" s="3" t="n">
        <x:v>173.0733970307902</x:v>
      </x:c>
      <x:c r="X390" s="3" t="n">
        <x:v>19.429446063135074</x:v>
      </x:c>
      <x:c r="Y390" s="3" t="n">
        <x:v>-119.04124589859016</x:v>
      </x:c>
      <x:c r="Z390" s="3" t="n">
        <x:v>-83.18674459624678</x:v>
      </x:c>
    </x:row>
    <x:row r="391" ht="15" customHeight="1">
      <x:c r="A391" s="3"/>
      <x:c r="B391" s="3"/>
      <x:c r="C391" s="3"/>
      <x:c r="D391" s="3"/>
      <x:c r="E391" s="3"/>
      <x:c r="F391" s="3"/>
      <x:c r="G391" s="3"/>
      <x:c r="H391" s="3"/>
      <x:c r="I391" s="3"/>
      <x:c r="J391" s="7" t="n">
        <x:v>45930</x:v>
      </x:c>
      <x:c r="K391" s="3" t="n">
        <x:v>82.80373012164485</x:v>
      </x:c>
      <x:c r="L391" s="3" t="n">
        <x:v>90.45834727832917</x:v>
      </x:c>
      <x:c r="M391" s="3" t="n">
        <x:v>-54.41974549669917</x:v>
      </x:c>
      <x:c r="N391" s="3" t="n">
        <x:v>0</x:v>
      </x:c>
      <x:c r="O391" s="3" t="n">
        <x:v>-93.20951162276857</x:v>
      </x:c>
      <x:c r="P391" s="3" t="n">
        <x:v>-144.827121516722</x:v>
      </x:c>
      <x:c r="Q391" s="3" t="n">
        <x:v>-157.07076559201107</x:v>
      </x:c>
      <x:c r="R391" s="3" t="n">
        <x:v>-41.63860276339984</x:v>
      </x:c>
      <x:c r="S391" s="3" t="n">
        <x:v>52.30274477265648</x:v>
      </x:c>
      <x:c r="T391" s="3" t="n">
        <x:v>75.92242726398206</x:v>
      </x:c>
      <x:c r="U391" s="3" t="n">
        <x:v>108.9054637968769</x:v>
      </x:c>
      <x:c r="V391" s="3" t="n">
        <x:v>210.7979283619918</x:v>
      </x:c>
      <x:c r="W391" s="3" t="n">
        <x:v>171.14579706926713</x:v>
      </x:c>
      <x:c r="X391" s="3" t="n">
        <x:v>19.60361192725251</x:v>
      </x:c>
      <x:c r="Y391" s="3" t="n">
        <x:v>-118.8630169738797</x:v>
      </x:c>
      <x:c r="Z391" s="3" t="n">
        <x:v>-83.06895472324574</x:v>
      </x:c>
    </x:row>
    <x:row r="392" ht="15" customHeight="1">
      <x:c r="A392" s="3"/>
      <x:c r="B392" s="3"/>
      <x:c r="C392" s="3"/>
      <x:c r="D392" s="3"/>
      <x:c r="E392" s="3"/>
      <x:c r="F392" s="3"/>
      <x:c r="G392" s="3"/>
      <x:c r="H392" s="3"/>
      <x:c r="I392" s="3"/>
      <x:c r="J392" s="7" t="n">
        <x:v>45961</x:v>
      </x:c>
      <x:c r="K392" s="3" t="n">
        <x:v>83.30918572877181</x:v>
      </x:c>
      <x:c r="L392" s="3" t="n">
        <x:v>90.00044958985669</x:v>
      </x:c>
      <x:c r="M392" s="3" t="n">
        <x:v>-55.760893000233814</x:v>
      </x:c>
      <x:c r="N392" s="3" t="n">
        <x:v>0</x:v>
      </x:c>
      <x:c r="O392" s="3" t="n">
        <x:v>-93.14803144663897</x:v>
      </x:c>
      <x:c r="P392" s="3" t="n">
        <x:v>-144.76022207461529</x:v>
      </x:c>
      <x:c r="Q392" s="3" t="n">
        <x:v>-156.97485080923548</x:v>
      </x:c>
      <x:c r="R392" s="3" t="n">
        <x:v>-41.51203718312003</x:v>
      </x:c>
      <x:c r="S392" s="3" t="n">
        <x:v>52.43976266379872</x:v>
      </x:c>
      <x:c r="T392" s="3" t="n">
        <x:v>76.05982418269868</x:v>
      </x:c>
      <x:c r="U392" s="3" t="n">
        <x:v>109.04466144226024</x:v>
      </x:c>
      <x:c r="V392" s="3" t="n">
        <x:v>210.9428623702765</x:v>
      </x:c>
      <x:c r="W392" s="3" t="n">
        <x:v>171.2942780041161</x:v>
      </x:c>
      <x:c r="X392" s="3" t="n">
        <x:v>18.36439492028183</x:v>
      </x:c>
      <x:c r="Y392" s="3" t="n">
        <x:v>-118.75235447034608</x:v>
      </x:c>
      <x:c r="Z392" s="3" t="n">
        <x:v>-82.99828759947617</x:v>
      </x:c>
    </x:row>
    <x:row r="393" ht="15" customHeight="1">
      <x:c r="A393" s="3"/>
      <x:c r="B393" s="3"/>
      <x:c r="C393" s="3"/>
      <x:c r="D393" s="3"/>
      <x:c r="E393" s="3"/>
      <x:c r="F393" s="3"/>
      <x:c r="G393" s="3"/>
      <x:c r="H393" s="3"/>
      <x:c r="I393" s="3"/>
      <x:c r="J393" s="7" t="n">
        <x:v>45991</x:v>
      </x:c>
      <x:c r="K393" s="3" t="n">
        <x:v>83.9999472835274</x:v>
      </x:c>
      <x:c r="L393" s="3" t="n">
        <x:v>89.07756454807188</x:v>
      </x:c>
      <x:c r="M393" s="3" t="n">
        <x:v>-58.19818557977845</x:v>
      </x:c>
      <x:c r="N393" s="3" t="n">
        <x:v>0</x:v>
      </x:c>
      <x:c r="O393" s="3" t="n">
        <x:v>-93.00787978714999</x:v>
      </x:c>
      <x:c r="P393" s="3" t="n">
        <x:v>-144.60854654110136</x:v>
      </x:c>
      <x:c r="Q393" s="3" t="n">
        <x:v>-156.7613708155465</x:v>
      </x:c>
      <x:c r="R393" s="3" t="n">
        <x:v>-41.233209699476745</x:v>
      </x:c>
      <x:c r="S393" s="3" t="n">
        <x:v>52.74075502846165</x:v>
      </x:c>
      <x:c r="T393" s="3" t="n">
        <x:v>76.36153193100922</x:v>
      </x:c>
      <x:c r="U393" s="3" t="n">
        <x:v>109.35021977642802</x:v>
      </x:c>
      <x:c r="V393" s="3" t="n">
        <x:v>211.2607786854663</x:v>
      </x:c>
      <x:c r="W393" s="3" t="n">
        <x:v>171.61973191714927</x:v>
      </x:c>
      <x:c r="X393" s="3" t="n">
        <x:v>18.696271369697442</x:v>
      </x:c>
      <x:c r="Y393" s="3" t="n">
        <x:v>-121.57929004894663</x:v>
      </x:c>
      <x:c r="Z393" s="3" t="n">
        <x:v>-82.83899181599065</x:v>
      </x:c>
    </x:row>
    <x:row r="394" ht="15" customHeight="1">
      <x:c r="A394" s="3"/>
      <x:c r="B394" s="3"/>
      <x:c r="C394" s="3"/>
      <x:c r="D394" s="3"/>
      <x:c r="E394" s="3"/>
      <x:c r="F394" s="3"/>
      <x:c r="G394" s="3"/>
      <x:c r="H394" s="3"/>
      <x:c r="I394" s="3"/>
      <x:c r="J394" s="7" t="n">
        <x:v>46022</x:v>
      </x:c>
      <x:c r="K394" s="3" t="n">
        <x:v>84.56546850932855</x:v>
      </x:c>
      <x:c r="L394" s="3" t="n">
        <x:v>88.38980856234673</x:v>
      </x:c>
      <x:c r="M394" s="3" t="n">
        <x:v>-60.01188891807214</x:v>
      </x:c>
      <x:c r="N394" s="3" t="n">
        <x:v>0</x:v>
      </x:c>
      <x:c r="O394" s="3" t="n">
        <x:v>-92.90738686108679</x:v>
      </x:c>
      <x:c r="P394" s="3" t="n">
        <x:v>-144.50020526047737</x:v>
      </x:c>
      <x:c r="Q394" s="3" t="n">
        <x:v>-156.61099093813192</x:v>
      </x:c>
      <x:c r="R394" s="3" t="n">
        <x:v>-41.03841166381592</x:v>
      </x:c>
      <x:c r="S394" s="3" t="n">
        <x:v>52.95068002201012</x:v>
      </x:c>
      <x:c r="T394" s="3" t="n">
        <x:v>76.57199052315372</x:v>
      </x:c>
      <x:c r="U394" s="3" t="n">
        <x:v>109.56328985826272</x:v>
      </x:c>
      <x:c r="V394" s="3" t="n">
        <x:v>211.4821833759527</x:v>
      </x:c>
      <x:c r="W394" s="3" t="n">
        <x:v>171.84627256627357</x:v>
      </x:c>
      <x:c r="X394" s="3" t="n">
        <x:v>18.92718222782023</x:v>
      </x:c>
      <x:c r="Y394" s="3" t="n">
        <x:v>-121.34579483313603</x:v>
      </x:c>
      <x:c r="Z394" s="3" t="n">
        <x:v>-84.93880901682505</x:v>
      </x:c>
    </x:row>
    <x:row r="395" ht="15" customHeight="1">
      <x:c r="A395" s="3"/>
      <x:c r="B395" s="3"/>
      <x:c r="C395" s="3"/>
      <x:c r="D395" s="3"/>
      <x:c r="E395" s="3"/>
      <x:c r="F395" s="3"/>
      <x:c r="G395" s="3"/>
      <x:c r="H395" s="3"/>
      <x:c r="I395" s="3"/>
      <x:c r="J395" s="7" t="n">
        <x:v>46053</x:v>
      </x:c>
      <x:c r="K395" s="3" t="n">
        <x:v>85.08130216691013</x:v>
      </x:c>
      <x:c r="L395" s="3" t="n">
        <x:v>87.74166284385765</x:v>
      </x:c>
      <x:c r="M395" s="3" t="n">
        <x:v>-61.59028839089402</x:v>
      </x:c>
      <x:c r="N395" s="3" t="n">
        <x:v>0</x:v>
      </x:c>
      <x:c r="O395" s="3" t="n">
        <x:v>-94.6683570091197</x:v>
      </x:c>
      <x:c r="P395" s="3" t="n">
        <x:v>-144.4182595267355</x:v>
      </x:c>
      <x:c r="Q395" s="3" t="n">
        <x:v>-156.49244816020507</x:v>
      </x:c>
      <x:c r="R395" s="3" t="n">
        <x:v>-40.88157269622549</x:v>
      </x:c>
      <x:c r="S395" s="3" t="n">
        <x:v>53.12130964435527</x:v>
      </x:c>
      <x:c r="T395" s="3" t="n">
        <x:v>76.7436611994712</x:v>
      </x:c>
      <x:c r="U395" s="3" t="n">
        <x:v>109.73714041299017</x:v>
      </x:c>
      <x:c r="V395" s="3" t="n">
        <x:v>211.66241723995878</x:v>
      </x:c>
      <x:c r="W395" s="3" t="n">
        <x:v>172.03108774709392</x:v>
      </x:c>
      <x:c r="X395" s="3" t="n">
        <x:v>19.11582256741735</x:v>
      </x:c>
      <x:c r="Y395" s="3" t="n">
        <x:v>-121.15480034238288</x:v>
      </x:c>
      <x:c r="Z395" s="3" t="n">
        <x:v>-84.79600107661814</x:v>
      </x:c>
    </x:row>
    <x:row r="396" ht="15" customHeight="1">
      <x:c r="A396" s="3"/>
      <x:c r="B396" s="3"/>
      <x:c r="C396" s="3"/>
      <x:c r="D396" s="3"/>
      <x:c r="E396" s="3"/>
      <x:c r="F396" s="3"/>
      <x:c r="G396" s="3"/>
      <x:c r="H396" s="3"/>
      <x:c r="I396" s="3"/>
      <x:c r="J396" s="7" t="n">
        <x:v>46081</x:v>
      </x:c>
      <x:c r="K396" s="3" t="n">
        <x:v>85.39419562394423</x:v>
      </x:c>
      <x:c r="L396" s="3" t="n">
        <x:v>87.53320077835953</x:v>
      </x:c>
      <x:c r="M396" s="3" t="n">
        <x:v>-62.18916231902267</x:v>
      </x:c>
      <x:c r="N396" s="3" t="n">
        <x:v>0</x:v>
      </x:c>
      <x:c r="O396" s="3" t="n">
        <x:v>-94.64182222558152</x:v>
      </x:c>
      <x:c r="P396" s="3" t="n">
        <x:v>-144.76029803426255</x:v>
      </x:c>
      <x:c r="Q396" s="3" t="n">
        <x:v>-156.46950195245455</x:v>
      </x:c>
      <x:c r="R396" s="3" t="n">
        <x:v>-40.85192433582399</x:v>
      </x:c>
      <x:c r="S396" s="3" t="n">
        <x:v>53.1533352433129</x:v>
      </x:c>
      <x:c r="T396" s="3" t="n">
        <x:v>76.77584086368209</x:v>
      </x:c>
      <x:c r="U396" s="3" t="n">
        <x:v>109.7697050443761</x:v>
      </x:c>
      <x:c r="V396" s="3" t="n">
        <x:v>211.6961378587493</x:v>
      </x:c>
      <x:c r="W396" s="3" t="n">
        <x:v>172.06560271642823</x:v>
      </x:c>
      <x:c r="X396" s="3" t="n">
        <x:v>19.15100419848062</x:v>
      </x:c>
      <x:c r="Y396" s="3" t="n">
        <x:v>-121.11921281451833</x:v>
      </x:c>
      <x:c r="Z396" s="3" t="n">
        <x:v>-84.76886656238831</x:v>
      </x:c>
    </x:row>
    <x:row r="397" ht="15" customHeight="1">
      <x:c r="A397" s="3"/>
      <x:c r="B397" s="3"/>
      <x:c r="C397" s="3"/>
      <x:c r="D397" s="3"/>
      <x:c r="E397" s="3"/>
      <x:c r="F397" s="3"/>
      <x:c r="G397" s="3"/>
      <x:c r="H397" s="3"/>
      <x:c r="I397" s="3"/>
      <x:c r="J397" s="7" t="n">
        <x:v>46112</x:v>
      </x:c>
      <x:c r="K397" s="3" t="n">
        <x:v>85.80950155409457</x:v>
      </x:c>
      <x:c r="L397" s="3" t="n">
        <x:v>87.14079067259438</x:v>
      </x:c>
      <x:c r="M397" s="3" t="n">
        <x:v>-63.21733579126681</x:v>
      </x:c>
      <x:c r="N397" s="3" t="n">
        <x:v>0</x:v>
      </x:c>
      <x:c r="O397" s="3" t="n">
        <x:v>-94.57737015509596</x:v>
      </x:c>
      <x:c r="P397" s="3" t="n">
        <x:v>-144.69292833171139</x:v>
      </x:c>
      <x:c r="Q397" s="3" t="n">
        <x:v>-157.32391021479137</x:v>
      </x:c>
      <x:c r="R397" s="3" t="n">
        <x:v>-40.77931751894468</x:v>
      </x:c>
      <x:c r="S397" s="3" t="n">
        <x:v>53.23230454181303</x:v>
      </x:c>
      <x:c r="T397" s="3" t="n">
        <x:v>76.85507804710828</x:v>
      </x:c>
      <x:c r="U397" s="3" t="n">
        <x:v>109.85002489377727</x:v>
      </x:c>
      <x:c r="V397" s="3" t="n">
        <x:v>211.77986809725553</x:v>
      </x:c>
      <x:c r="W397" s="3" t="n">
        <x:v>172.15148525942766</x:v>
      </x:c>
      <x:c r="X397" s="3" t="n">
        <x:v>19.23871241912904</x:v>
      </x:c>
      <x:c r="Y397" s="3" t="n">
        <x:v>-121.03041774818846</x:v>
      </x:c>
      <x:c r="Z397" s="3" t="n">
        <x:v>-84.703529289779</x:v>
      </x:c>
    </x:row>
    <x:row r="398" ht="15" customHeight="1">
      <x:c r="A398" s="3"/>
      <x:c r="B398" s="3"/>
      <x:c r="C398" s="3"/>
      <x:c r="D398" s="3"/>
      <x:c r="E398" s="3"/>
      <x:c r="F398" s="3"/>
      <x:c r="G398" s="3"/>
      <x:c r="H398" s="3"/>
      <x:c r="I398" s="3"/>
      <x:c r="J398" s="7" t="n">
        <x:v>46142</x:v>
      </x:c>
      <x:c r="K398" s="3" t="n">
        <x:v>86.28532376123167</x:v>
      </x:c>
      <x:c r="L398" s="3" t="n">
        <x:v>86.58083995449607</x:v>
      </x:c>
      <x:c r="M398" s="3" t="n">
        <x:v>-64.6291937597467</x:v>
      </x:c>
      <x:c r="N398" s="3" t="n">
        <x:v>0</x:v>
      </x:c>
      <x:c r="O398" s="3" t="n">
        <x:v>-94.47265655824232</x:v>
      </x:c>
      <x:c r="P398" s="3" t="n">
        <x:v>-144.58355605991454</x:v>
      </x:c>
      <x:c r="Q398" s="3" t="n">
        <x:v>-157.18861131766923</x:v>
      </x:c>
      <x:c r="R398" s="3" t="n">
        <x:v>-42.17673132766823</x:v>
      </x:c>
      <x:c r="S398" s="3" t="n">
        <x:v>53.35967104181629</x:v>
      </x:c>
      <x:c r="T398" s="3" t="n">
        <x:v>76.98267886523222</x:v>
      </x:c>
      <x:c r="U398" s="3" t="n">
        <x:v>109.97940054149792</x:v>
      </x:c>
      <x:c r="V398" s="3" t="n">
        <x:v>211.91503176307833</x:v>
      </x:c>
      <x:c r="W398" s="3" t="n">
        <x:v>172.29007605992211</x:v>
      </x:c>
      <x:c r="X398" s="3" t="n">
        <x:v>19.380235132664414</x:v>
      </x:c>
      <x:c r="Y398" s="3" t="n">
        <x:v>-120.88718106987528</x:v>
      </x:c>
      <x:c r="Z398" s="3" t="n">
        <x:v>-84.5983570708418</x:v>
      </x:c>
    </x:row>
    <x:row r="399" ht="15" customHeight="1">
      <x:c r="A399" s="3"/>
      <x:c r="B399" s="3"/>
      <x:c r="C399" s="3"/>
      <x:c r="D399" s="3"/>
      <x:c r="E399" s="3"/>
      <x:c r="F399" s="3"/>
      <x:c r="G399" s="3"/>
      <x:c r="H399" s="3"/>
      <x:c r="I399" s="3"/>
      <x:c r="J399" s="7" t="n">
        <x:v>46173</x:v>
      </x:c>
      <x:c r="K399" s="3" t="n">
        <x:v>86.82093279777696</x:v>
      </x:c>
      <x:c r="L399" s="3" t="n">
        <x:v>85.91152229929561</x:v>
      </x:c>
      <x:c r="M399" s="3" t="n">
        <x:v>-66.32681609813324</x:v>
      </x:c>
      <x:c r="N399" s="3" t="n">
        <x:v>0</x:v>
      </x:c>
      <x:c r="O399" s="3" t="n">
        <x:v>-94.345983037063</x:v>
      </x:c>
      <x:c r="P399" s="3" t="n">
        <x:v>-144.45131686834642</x:v>
      </x:c>
      <x:c r="Q399" s="3" t="n">
        <x:v>-157.02501683598777</x:v>
      </x:c>
      <x:c r="R399" s="3" t="n">
        <x:v>-41.980564222129175</x:v>
      </x:c>
      <x:c r="S399" s="3" t="n">
        <x:v>51.63701400317045</x:v>
      </x:c>
      <x:c r="T399" s="3" t="n">
        <x:v>77.13534250919015</x:v>
      </x:c>
      <x:c r="U399" s="3" t="n">
        <x:v>110.1342711145575</x:v>
      </x:c>
      <x:c r="V399" s="3" t="n">
        <x:v>212.0774603501385</x:v>
      </x:c>
      <x:c r="W399" s="3" t="n">
        <x:v>172.45658113950873</x:v>
      </x:c>
      <x:c r="X399" s="3" t="n">
        <x:v>19.55027447310666</x:v>
      </x:c>
      <x:c r="Y399" s="3" t="n">
        <x:v>-120.715134319878</x:v>
      </x:c>
      <x:c r="Z399" s="3" t="n">
        <x:v>-84.47292830626752</x:v>
      </x:c>
    </x:row>
    <x:row r="400" ht="15" customHeight="1">
      <x:c r="A400" s="3"/>
      <x:c r="B400" s="3"/>
      <x:c r="C400" s="3"/>
      <x:c r="D400" s="3"/>
      <x:c r="E400" s="3"/>
      <x:c r="F400" s="3"/>
      <x:c r="G400" s="3"/>
      <x:c r="H400" s="3"/>
      <x:c r="I400" s="3"/>
      <x:c r="J400" s="7" t="n">
        <x:v>46203</x:v>
      </x:c>
      <x:c r="K400" s="3" t="n">
        <x:v>87.36218301815774</x:v>
      </x:c>
      <x:c r="L400" s="3" t="n">
        <x:v>85.1916448592996</x:v>
      </x:c>
      <x:c r="M400" s="3" t="n">
        <x:v>-68.14854217090492</x:v>
      </x:c>
      <x:c r="N400" s="3" t="n">
        <x:v>0</x:v>
      </x:c>
      <x:c r="O400" s="3" t="n">
        <x:v>-94.2032393269941</x:v>
      </x:c>
      <x:c r="P400" s="3" t="n">
        <x:v>-144.30267798438092</x:v>
      </x:c>
      <x:c r="Q400" s="3" t="n">
        <x:v>-156.84289150840934</x:v>
      </x:c>
      <x:c r="R400" s="3" t="n">
        <x:v>-41.763504865807846</x:v>
      </x:c>
      <x:c r="S400" s="3" t="n">
        <x:v>51.86767108997076</x:v>
      </x:c>
      <x:c r="T400" s="3" t="n">
        <x:v>75.159080854443</x:v>
      </x:c>
      <x:c r="U400" s="3" t="n">
        <x:v>110.3059677344458</x:v>
      </x:c>
      <x:c r="V400" s="3" t="n">
        <x:v>212.2576263300889</x:v>
      </x:c>
      <x:c r="W400" s="3" t="n">
        <x:v>172.64105206260186</x:v>
      </x:c>
      <x:c r="X400" s="3" t="n">
        <x:v>19.738511641532646</x:v>
      </x:c>
      <x:c r="Y400" s="3" t="n">
        <x:v>-120.52479992727196</x:v>
      </x:c>
      <x:c r="Z400" s="3" t="n">
        <x:v>-84.33279610021867</x:v>
      </x:c>
    </x:row>
    <x:row r="401" ht="15" customHeight="1">
      <x:c r="A401" s="3"/>
      <x:c r="B401" s="3"/>
      <x:c r="C401" s="3"/>
      <x:c r="D401" s="3"/>
      <x:c r="E401" s="3"/>
      <x:c r="F401" s="3"/>
      <x:c r="G401" s="3"/>
      <x:c r="H401" s="3"/>
      <x:c r="I401" s="3"/>
      <x:c r="J401" s="3"/>
      <x:c r="K401" s="3"/>
      <x:c r="L401" s="3"/>
      <x:c r="M401" s="3"/>
      <x:c r="N401" s="3"/>
      <x:c r="O401" s="3"/>
      <x:c r="P401" s="3"/>
      <x:c r="Q401" s="3"/>
      <x:c r="R401" s="3"/>
      <x:c r="S401" s="3"/>
      <x:c r="T401" s="3"/>
      <x:c r="U401" s="3"/>
      <x:c r="V401" s="3"/>
      <x:c r="W401" s="3"/>
      <x:c r="X401" s="3"/>
      <x:c r="Y401" s="3"/>
      <x:c r="Z401" s="3"/>
    </x:row>
    <x:row r="402" ht="15" customHeight="1">
      <x:c r="A402" s="3"/>
      <x:c r="B402" s="3"/>
      <x:c r="C402" s="3"/>
      <x:c r="D402" s="3"/>
      <x:c r="E402" s="3"/>
      <x:c r="F402" s="3"/>
      <x:c r="G402" s="3"/>
      <x:c r="H402" s="3"/>
      <x:c r="I402" s="3"/>
      <x:c r="J402" s="3"/>
      <x:c r="K402" s="3"/>
      <x:c r="L402" s="3"/>
      <x:c r="M402" s="3"/>
      <x:c r="N402" s="3"/>
      <x:c r="O402" s="3"/>
      <x:c r="P402" s="3"/>
      <x:c r="Q402" s="3"/>
      <x:c r="R402" s="3"/>
      <x:c r="S402" s="3"/>
      <x:c r="T402" s="3"/>
      <x:c r="U402" s="3"/>
      <x:c r="V402" s="3"/>
      <x:c r="W402" s="3"/>
      <x:c r="X402" s="3"/>
      <x:c r="Y402" s="3"/>
      <x:c r="Z402" s="3"/>
    </x:row>
    <x:row r="403" ht="15" customHeight="1">
      <x:c r="A403" s="3"/>
      <x:c r="B403" s="3"/>
      <x:c r="C403" s="3"/>
      <x:c r="D403" s="3"/>
      <x:c r="E403" s="3"/>
      <x:c r="F403" s="3"/>
      <x:c r="G403" s="3"/>
      <x:c r="H403" s="3"/>
      <x:c r="I403" s="3"/>
      <x:c r="J403" s="3" t="str">
        <x:v>n</x:v>
      </x:c>
      <x:c r="K403" s="3" t="n">
        <x:f>G11</x:f>
        <x:v>355</x:v>
      </x:c>
      <x:c r="L403" s="3"/>
      <x:c r="M403" s="3"/>
      <x:c r="N403" s="3"/>
      <x:c r="O403" s="3"/>
      <x:c r="P403" s="3"/>
      <x:c r="Q403" s="3"/>
      <x:c r="R403" s="3"/>
      <x:c r="S403" s="3" t="str">
        <x:v>s остатков</x:v>
      </x:c>
      <x:c r="T403" s="3" t="n">
        <x:v>108.74989056943936</x:v>
      </x:c>
      <x:c r="U403" s="3"/>
      <x:c r="V403" s="3"/>
      <x:c r="W403" s="3"/>
      <x:c r="X403" s="3"/>
      <x:c r="Y403" s="3"/>
      <x:c r="Z403" s="3"/>
    </x:row>
    <x:row r="404" ht="15" customHeight="1">
      <x:c r="A404" s="3"/>
      <x:c r="B404" s="3"/>
      <x:c r="C404" s="3"/>
      <x:c r="D404" s="3"/>
      <x:c r="E404" s="3"/>
      <x:c r="F404" s="3"/>
      <x:c r="G404" s="3"/>
      <x:c r="H404" s="3"/>
      <x:c r="I404" s="3"/>
      <x:c r="J404" s="3" t="str">
        <x:v>ΣH</x:v>
      </x:c>
      <x:c r="K404" s="3" t="n">
        <x:f>SUMPRODUCT($R$20:$R$384,$K$20:$K$384)</x:f>
        <x:v>28150</x:v>
      </x:c>
      <x:c r="L404" s="3"/>
      <x:c r="M404" s="3"/>
      <x:c r="N404" s="3"/>
      <x:c r="O404" s="3"/>
      <x:c r="P404" s="3"/>
      <x:c r="Q404" s="3"/>
      <x:c r="R404" s="3"/>
      <x:c r="S404" s="3" t="str">
        <x:v>t95</x:v>
      </x:c>
      <x:c r="T404" s="3" t="n">
        <x:v>1.9602404791431554</x:v>
      </x:c>
      <x:c r="U404" s="3"/>
      <x:c r="V404" s="3"/>
      <x:c r="W404" s="3"/>
      <x:c r="X404" s="3"/>
      <x:c r="Y404" s="3"/>
      <x:c r="Z404" s="3"/>
    </x:row>
    <x:row r="405" ht="15" customHeight="1">
      <x:c r="A405" s="3"/>
      <x:c r="B405" s="3"/>
      <x:c r="C405" s="3"/>
      <x:c r="D405" s="3"/>
      <x:c r="E405" s="3"/>
      <x:c r="F405" s="3"/>
      <x:c r="G405" s="3"/>
      <x:c r="H405" s="3"/>
      <x:c r="I405" s="3"/>
      <x:c r="J405" s="3" t="str">
        <x:v>SST</x:v>
      </x:c>
      <x:c r="K405" s="3" t="n">
        <x:f>SUMPRODUCT($R$20:$R$384,$K$20:$K$384,$K$20:$K$384)-K404^2/G11</x:f>
        <x:v>6276929.943661972</x:v>
      </x:c>
      <x:c r="L405" s="3"/>
      <x:c r="M405" s="3"/>
      <x:c r="N405" s="3"/>
      <x:c r="O405" s="3"/>
      <x:c r="P405" s="3"/>
      <x:c r="Q405" s="3"/>
      <x:c r="R405" s="3"/>
      <x:c r="S405" s="3" t="str">
        <x:v>Начало ряда</x:v>
      </x:c>
      <x:c r="T405" s="7" t="n">
        <x:v>37257</x:v>
      </x:c>
      <x:c r="U405" s="3"/>
      <x:c r="V405" s="3"/>
      <x:c r="W405" s="3"/>
      <x:c r="X405" s="3"/>
      <x:c r="Y405" s="3"/>
      <x:c r="Z405" s="3"/>
    </x:row>
    <x:row r="406" ht="15" customHeight="1">
      <x:c r="A406" s="3"/>
      <x:c r="B406" s="3"/>
      <x:c r="C406" s="3"/>
      <x:c r="D406" s="3"/>
      <x:c r="E406" s="3"/>
      <x:c r="F406" s="3"/>
      <x:c r="G406" s="3"/>
      <x:c r="H406" s="3"/>
      <x:c r="I406" s="3"/>
      <x:c r="J406" s="3" t="str">
        <x:v>ΣΔ</x:v>
      </x:c>
      <x:c r="K406" s="3" t="n">
        <x:f>SUMPRODUCT($R$20:$R$384,$Q$20:$Q$384)</x:f>
        <x:v>137</x:v>
      </x:c>
      <x:c r="L406" s="3"/>
      <x:c r="M406" s="3"/>
      <x:c r="N406" s="3"/>
      <x:c r="O406" s="3"/>
      <x:c r="P406" s="3"/>
      <x:c r="Q406" s="3"/>
      <x:c r="R406" s="3"/>
      <x:c r="S406" s="3" t="str">
        <x:v>Длина ряда</x:v>
      </x:c>
      <x:c r="T406" s="3" t="n">
        <x:v>8978</x:v>
      </x:c>
      <x:c r="U406" s="3"/>
      <x:c r="V406" s="3"/>
      <x:c r="W406" s="3"/>
      <x:c r="X406" s="3"/>
      <x:c r="Y406" s="3"/>
      <x:c r="Z406" s="3"/>
    </x:row>
    <x:row r="407" ht="15" customHeight="1">
      <x:c r="A407" s="3"/>
      <x:c r="B407" s="3"/>
      <x:c r="C407" s="3"/>
      <x:c r="D407" s="3"/>
      <x:c r="E407" s="3"/>
      <x:c r="F407" s="3"/>
      <x:c r="G407" s="3"/>
      <x:c r="H407" s="3"/>
      <x:c r="I407" s="3"/>
      <x:c r="J407" s="3" t="str">
        <x:v>SSΔ</x:v>
      </x:c>
      <x:c r="K407" s="3" t="n">
        <x:f>SUMPRODUCT($R$20:$R$384,$Q$20:$Q$384,$Q$20:$Q$384)-K406^2/G11</x:f>
        <x:v>42404.12957746479</x:v>
      </x:c>
      <x:c r="L407" s="3"/>
      <x:c r="M407" s="3"/>
      <x:c r="N407" s="3"/>
      <x:c r="O407" s="3"/>
      <x:c r="P407" s="3"/>
      <x:c r="Q407" s="3"/>
      <x:c r="R407" s="3"/>
      <x:c r="S407" s="3"/>
      <x:c r="T407" s="3"/>
      <x:c r="U407" s="3"/>
      <x:c r="V407" s="3"/>
      <x:c r="W407" s="3"/>
      <x:c r="X407" s="3"/>
      <x:c r="Y407" s="3"/>
      <x:c r="Z407" s="3"/>
    </x:row>
    <x:row r="408" ht="15" customHeight="1">
      <x:c r="A408" s="3"/>
      <x:c r="B408" s="3"/>
      <x:c r="C408" s="3"/>
      <x:c r="D408" s="3"/>
      <x:c r="E408" s="3"/>
      <x:c r="F408" s="3"/>
      <x:c r="G408" s="3"/>
      <x:c r="H408" s="3"/>
      <x:c r="I408" s="3"/>
      <x:c r="J408" s="3" t="str">
        <x:v>SSE</x:v>
      </x:c>
      <x:c r="K408" s="3" t="n">
        <x:f>SUMPRODUCT($R$20:$R$384,$P$20:$P$384)</x:f>
        <x:v>1656962.9843162661</x:v>
      </x:c>
      <x:c r="L408" s="3"/>
      <x:c r="M408" s="3"/>
      <x:c r="N408" s="3"/>
      <x:c r="O408" s="3"/>
      <x:c r="P408" s="3"/>
      <x:c r="Q408" s="3"/>
      <x:c r="R408" s="3"/>
      <x:c r="S408" s="3" t="str">
        <x:v>Cov базовых коэффициентов</x:v>
      </x:c>
      <x:c r="T408" s="3"/>
      <x:c r="U408" s="3"/>
      <x:c r="V408" s="3"/>
      <x:c r="W408" s="3"/>
      <x:c r="X408" s="3"/>
      <x:c r="Y408" s="3"/>
      <x:c r="Z408" s="3"/>
    </x:row>
    <x:row r="409" ht="15" customHeight="1">
      <x:c r="A409" s="3"/>
      <x:c r="B409" s="3"/>
      <x:c r="C409" s="3"/>
      <x:c r="D409" s="3"/>
      <x:c r="E409" s="3"/>
      <x:c r="F409" s="3"/>
      <x:c r="G409" s="3"/>
      <x:c r="H409" s="3"/>
      <x:c r="I409" s="3"/>
      <x:c r="J409" s="3"/>
      <x:c r="K409" s="3"/>
      <x:c r="L409" s="3"/>
      <x:c r="M409" s="3"/>
      <x:c r="N409" s="3"/>
      <x:c r="O409" s="3"/>
      <x:c r="P409" s="3"/>
      <x:c r="Q409" s="3"/>
      <x:c r="R409" s="3"/>
      <x:c r="S409" s="3" t="n">
        <x:v>3.003913315455292</x:v>
      </x:c>
      <x:c r="T409" s="3" t="n">
        <x:v>0.047318009407207796</x:v>
      </x:c>
      <x:c r="U409" s="3" t="n">
        <x:v>-4.979942551167624</x:v>
      </x:c>
      <x:c r="V409" s="3"/>
      <x:c r="W409" s="3"/>
      <x:c r="X409" s="3"/>
      <x:c r="Y409" s="3"/>
      <x:c r="Z409" s="3"/>
    </x:row>
    <x:row r="410" ht="15" customHeight="1">
      <x:c r="A410" s="3"/>
      <x:c r="B410" s="3"/>
      <x:c r="C410" s="3"/>
      <x:c r="D410" s="3"/>
      <x:c r="E410" s="3"/>
      <x:c r="F410" s="3"/>
      <x:c r="G410" s="3"/>
      <x:c r="H410" s="3"/>
      <x:c r="I410" s="3"/>
      <x:c r="J410" s="3"/>
      <x:c r="K410" s="3"/>
      <x:c r="L410" s="3"/>
      <x:c r="M410" s="3"/>
      <x:c r="N410" s="3"/>
      <x:c r="O410" s="3"/>
      <x:c r="P410" s="3"/>
      <x:c r="Q410" s="3"/>
      <x:c r="R410" s="3"/>
      <x:c r="S410" s="3" t="n">
        <x:v>0.04731800940720782</x:v>
      </x:c>
      <x:c r="T410" s="3" t="n">
        <x:v>4.249784295552854</x:v>
      </x:c>
      <x:c r="U410" s="3" t="n">
        <x:v>0.10415106994284529</x:v>
      </x:c>
      <x:c r="V410" s="3"/>
      <x:c r="W410" s="3"/>
      <x:c r="X410" s="3"/>
      <x:c r="Y410" s="3"/>
      <x:c r="Z410" s="3"/>
    </x:row>
    <x:row r="411" ht="15" customHeight="1">
      <x:c r="A411" s="3"/>
      <x:c r="B411" s="3"/>
      <x:c r="C411" s="3"/>
      <x:c r="D411" s="3"/>
      <x:c r="E411" s="3"/>
      <x:c r="F411" s="3"/>
      <x:c r="G411" s="3"/>
      <x:c r="H411" s="3"/>
      <x:c r="I411" s="3"/>
      <x:c r="J411" s="3"/>
      <x:c r="K411" s="3"/>
      <x:c r="L411" s="3"/>
      <x:c r="M411" s="3"/>
      <x:c r="N411" s="3"/>
      <x:c r="O411" s="3"/>
      <x:c r="P411" s="3"/>
      <x:c r="Q411" s="3"/>
      <x:c r="R411" s="3"/>
      <x:c r="S411" s="3" t="n">
        <x:v>-4.979942551167624</x:v>
      </x:c>
      <x:c r="T411" s="3" t="n">
        <x:v>0.1041510699428453</x:v>
      </x:c>
      <x:c r="U411" s="3" t="n">
        <x:v>15.286674885325928</x:v>
      </x:c>
      <x:c r="V411" s="3"/>
      <x:c r="W411" s="3"/>
      <x:c r="X411" s="3"/>
      <x:c r="Y411" s="3"/>
      <x:c r="Z411" s="3"/>
    </x:row>
    <x:row r="412" ht="15" customHeight="1">
      <x:c r="A412" s="3"/>
      <x:c r="B412" s="3"/>
      <x:c r="C412" s="3"/>
      <x:c r="D412" s="3"/>
      <x:c r="E412" s="3"/>
      <x:c r="F412" s="3"/>
      <x:c r="G412" s="3"/>
      <x:c r="H412" s="3"/>
      <x:c r="I412" s="3"/>
      <x:c r="J412" s="3"/>
      <x:c r="K412" s="3"/>
      <x:c r="L412" s="3"/>
      <x:c r="M412" s="3"/>
      <x:c r="N412" s="3"/>
      <x:c r="O412" s="3"/>
      <x:c r="P412" s="3"/>
      <x:c r="Q412" s="3"/>
      <x:c r="R412" s="3"/>
      <x:c r="S412" s="3"/>
      <x:c r="T412" s="3"/>
      <x:c r="U412" s="3"/>
      <x:c r="V412" s="3"/>
      <x:c r="W412" s="3"/>
      <x:c r="X412" s="3"/>
      <x:c r="Y412" s="3"/>
      <x:c r="Z412" s="3"/>
    </x:row>
    <x:row r="413" ht="15" customHeight="1">
      <x:c r="A413" s="3"/>
      <x:c r="B413" s="3"/>
      <x:c r="C413" s="3"/>
      <x:c r="D413" s="3"/>
      <x:c r="E413" s="3"/>
      <x:c r="F413" s="3"/>
      <x:c r="G413" s="3"/>
      <x:c r="H413" s="3"/>
      <x:c r="I413" s="3"/>
      <x:c r="J413" s="3"/>
      <x:c r="K413" s="3"/>
      <x:c r="L413" s="3"/>
      <x:c r="M413" s="3"/>
      <x:c r="N413" s="3"/>
      <x:c r="O413" s="3"/>
      <x:c r="P413" s="3"/>
      <x:c r="Q413" s="3"/>
      <x:c r="R413" s="3"/>
      <x:c r="S413" s="3"/>
      <x:c r="T413" s="3"/>
      <x:c r="U413" s="3"/>
      <x:c r="V413" s="3"/>
      <x:c r="W413" s="3"/>
      <x:c r="X413" s="3"/>
      <x:c r="Y413" s="3"/>
      <x:c r="Z413" s="3"/>
    </x:row>
    <x:row r="414" ht="15" customHeight="1">
      <x:c r="A414" s="3"/>
      <x:c r="B414" s="3"/>
      <x:c r="C414" s="3"/>
      <x:c r="D414" s="3"/>
      <x:c r="E414" s="3"/>
      <x:c r="F414" s="3"/>
      <x:c r="G414" s="3"/>
      <x:c r="H414" s="3"/>
      <x:c r="I414" s="3"/>
      <x:c r="J414" s="3"/>
      <x:c r="K414" s="3"/>
      <x:c r="L414" s="3"/>
      <x:c r="M414" s="3"/>
      <x:c r="N414" s="3"/>
      <x:c r="O414" s="3"/>
      <x:c r="P414" s="3"/>
      <x:c r="Q414" s="3"/>
      <x:c r="R414" s="3"/>
      <x:c r="S414" s="3"/>
      <x:c r="T414" s="3"/>
      <x:c r="U414" s="3"/>
      <x:c r="V414" s="3"/>
      <x:c r="W414" s="3"/>
      <x:c r="X414" s="3"/>
      <x:c r="Y414" s="3"/>
      <x:c r="Z414" s="3"/>
    </x:row>
    <x:row r="415" ht="30" customHeight="1">
      <x:c r="A415" s="3"/>
      <x:c r="B415" s="3"/>
      <x:c r="C415" s="3"/>
      <x:c r="D415" s="3"/>
      <x:c r="E415" s="3"/>
      <x:c r="F415" s="3"/>
      <x:c r="G415" s="3"/>
      <x:c r="H415" s="3"/>
      <x:c r="I415" s="3"/>
      <x:c r="J415" s="3"/>
      <x:c r="K415" s="3"/>
      <x:c r="L415" s="3"/>
      <x:c r="M415" s="3"/>
      <x:c r="N415" s="3"/>
      <x:c r="O415" s="3"/>
      <x:c r="P415" s="3"/>
      <x:c r="Q415" s="3"/>
      <x:c r="R415" s="3"/>
      <x:c r="S415" s="14" t="str">
        <x:v>Cov a0,cₘ</x:v>
      </x:c>
      <x:c r="T415" s="14" t="str">
        <x:v>Cov a1,cₘ</x:v>
      </x:c>
      <x:c r="U415" s="14" t="str">
        <x:v>Cov a2,cₘ</x:v>
      </x:c>
      <x:c r="V415" s="14" t="str">
        <x:v>Cov a3,cₘ</x:v>
      </x:c>
      <x:c r="W415" s="14" t="str">
        <x:v>Var cₘ</x:v>
      </x:c>
      <x:c r="X415" s="3"/>
      <x:c r="Y415" s="3"/>
      <x:c r="Z415" s="3"/>
    </x:row>
    <x:row r="416" ht="15" customHeight="1">
      <x:c r="A416" s="3"/>
      <x:c r="B416" s="3"/>
      <x:c r="C416" s="3"/>
      <x:c r="D416" s="3"/>
      <x:c r="E416" s="3"/>
      <x:c r="F416" s="3"/>
      <x:c r="G416" s="3"/>
      <x:c r="H416" s="3"/>
      <x:c r="I416" s="3"/>
      <x:c r="J416" s="3"/>
      <x:c r="K416" s="3"/>
      <x:c r="L416" s="3"/>
      <x:c r="M416" s="3"/>
      <x:c r="N416" s="3"/>
      <x:c r="O416" s="3"/>
      <x:c r="P416" s="3"/>
      <x:c r="Q416" s="3"/>
      <x:c r="R416" s="3"/>
      <x:c r="S416" s="3" t="n">
        <x:v>0.0862702301660737</x:v>
      </x:c>
      <x:c r="T416" s="3" t="n">
        <x:v>0.3802979909758548</x:v>
      </x:c>
      <x:c r="U416" s="3" t="n">
        <x:v>-0.042838475345627736</x:v>
      </x:c>
      <x:c r="V416" s="3" t="n">
        <x:v>0</x:v>
      </x:c>
      <x:c r="W416" s="3" t="n">
        <x:v>15.865057444680145</x:v>
      </x:c>
      <x:c r="X416" s="3"/>
      <x:c r="Y416" s="3"/>
      <x:c r="Z416" s="3"/>
    </x:row>
    <x:row r="417" ht="15" customHeight="1">
      <x:c r="A417" s="3"/>
      <x:c r="B417" s="3"/>
      <x:c r="C417" s="3"/>
      <x:c r="D417" s="3"/>
      <x:c r="E417" s="3"/>
      <x:c r="F417" s="3"/>
      <x:c r="G417" s="3"/>
      <x:c r="H417" s="3"/>
      <x:c r="I417" s="3"/>
      <x:c r="J417" s="3"/>
      <x:c r="K417" s="3"/>
      <x:c r="L417" s="3"/>
      <x:c r="M417" s="3"/>
      <x:c r="N417" s="3"/>
      <x:c r="O417" s="3"/>
      <x:c r="P417" s="3"/>
      <x:c r="Q417" s="3"/>
      <x:c r="R417" s="3"/>
      <x:c r="S417" s="3" t="n">
        <x:v>0.20620843419410603</x:v>
      </x:c>
      <x:c r="T417" s="3" t="n">
        <x:v>0.3339026563499224</x:v>
      </x:c>
      <x:c r="U417" s="3" t="n">
        <x:v>-0.03995967888648575</x:v>
      </x:c>
      <x:c r="V417" s="3" t="n">
        <x:v>0</x:v>
      </x:c>
      <x:c r="W417" s="3" t="n">
        <x:v>17.074869474505316</x:v>
      </x:c>
      <x:c r="X417" s="3"/>
      <x:c r="Y417" s="3"/>
      <x:c r="Z417" s="3"/>
    </x:row>
    <x:row r="418" ht="15" customHeight="1">
      <x:c r="A418" s="3"/>
      <x:c r="B418" s="3"/>
      <x:c r="C418" s="3"/>
      <x:c r="D418" s="3"/>
      <x:c r="E418" s="3"/>
      <x:c r="F418" s="3"/>
      <x:c r="G418" s="3"/>
      <x:c r="H418" s="3"/>
      <x:c r="I418" s="3"/>
      <x:c r="J418" s="3"/>
      <x:c r="K418" s="3"/>
      <x:c r="L418" s="3"/>
      <x:c r="M418" s="3"/>
      <x:c r="N418" s="3"/>
      <x:c r="O418" s="3"/>
      <x:c r="P418" s="3"/>
      <x:c r="Q418" s="3"/>
      <x:c r="R418" s="3"/>
      <x:c r="S418" s="3" t="n">
        <x:v>0.02601203546300894</x:v>
      </x:c>
      <x:c r="T418" s="3" t="n">
        <x:v>0.13420296695432463</x:v>
      </x:c>
      <x:c r="U418" s="3" t="n">
        <x:v>-0.11803718731701518</x:v>
      </x:c>
      <x:c r="V418" s="3" t="n">
        <x:v>0</x:v>
      </x:c>
      <x:c r="W418" s="3" t="n">
        <x:v>15.03545039258043</x:v>
      </x:c>
      <x:c r="X418" s="3"/>
      <x:c r="Y418" s="3"/>
      <x:c r="Z418" s="3"/>
    </x:row>
    <x:row r="419" ht="15" customHeight="1">
      <x:c r="A419" s="3"/>
      <x:c r="B419" s="3"/>
      <x:c r="C419" s="3"/>
      <x:c r="D419" s="3"/>
      <x:c r="E419" s="3"/>
      <x:c r="F419" s="3"/>
      <x:c r="G419" s="3"/>
      <x:c r="H419" s="3"/>
      <x:c r="I419" s="3"/>
      <x:c r="J419" s="3"/>
      <x:c r="K419" s="3"/>
      <x:c r="L419" s="3"/>
      <x:c r="M419" s="3"/>
      <x:c r="N419" s="3"/>
      <x:c r="O419" s="3"/>
      <x:c r="P419" s="3"/>
      <x:c r="Q419" s="3"/>
      <x:c r="R419" s="3"/>
      <x:c r="S419" s="3" t="n">
        <x:v>0.034205108816959005</x:v>
      </x:c>
      <x:c r="T419" s="3" t="n">
        <x:v>-0.04014532180485751</x:v>
      </x:c>
      <x:c r="U419" s="3" t="n">
        <x:v>-0.24975788791945164</x:v>
      </x:c>
      <x:c r="V419" s="3" t="n">
        <x:v>0</x:v>
      </x:c>
      <x:c r="W419" s="3" t="n">
        <x:v>14.72066761068516</x:v>
      </x:c>
      <x:c r="X419" s="3"/>
      <x:c r="Y419" s="3"/>
      <x:c r="Z419" s="3"/>
    </x:row>
    <x:row r="420" ht="15" customHeight="1">
      <x:c r="A420" s="3"/>
      <x:c r="B420" s="3"/>
      <x:c r="C420" s="3"/>
      <x:c r="D420" s="3"/>
      <x:c r="E420" s="3"/>
      <x:c r="F420" s="3"/>
      <x:c r="G420" s="3"/>
      <x:c r="H420" s="3"/>
      <x:c r="I420" s="3"/>
      <x:c r="J420" s="3"/>
      <x:c r="K420" s="3"/>
      <x:c r="L420" s="3"/>
      <x:c r="M420" s="3"/>
      <x:c r="N420" s="3"/>
      <x:c r="O420" s="3"/>
      <x:c r="P420" s="3"/>
      <x:c r="Q420" s="3"/>
      <x:c r="R420" s="3"/>
      <x:c r="S420" s="3" t="n">
        <x:v>-0.007351087113868554</x:v>
      </x:c>
      <x:c r="T420" s="3" t="n">
        <x:v>-0.17567556921291536</x:v>
      </x:c>
      <x:c r="U420" s="3" t="n">
        <x:v>-0.20093898020168138</x:v>
      </x:c>
      <x:c r="V420" s="3" t="n">
        <x:v>0</x:v>
      </x:c>
      <x:c r="W420" s="3" t="n">
        <x:v>14.495484962783632</x:v>
      </x:c>
      <x:c r="X420" s="3"/>
      <x:c r="Y420" s="3"/>
      <x:c r="Z420" s="3"/>
    </x:row>
    <x:row r="421" ht="15" customHeight="1">
      <x:c r="A421" s="3"/>
      <x:c r="B421" s="3"/>
      <x:c r="C421" s="3"/>
      <x:c r="D421" s="3"/>
      <x:c r="E421" s="3"/>
      <x:c r="F421" s="3"/>
      <x:c r="G421" s="3"/>
      <x:c r="H421" s="3"/>
      <x:c r="I421" s="3"/>
      <x:c r="J421" s="3"/>
      <x:c r="K421" s="3"/>
      <x:c r="L421" s="3"/>
      <x:c r="M421" s="3"/>
      <x:c r="N421" s="3"/>
      <x:c r="O421" s="3"/>
      <x:c r="P421" s="3"/>
      <x:c r="Q421" s="3"/>
      <x:c r="R421" s="3"/>
      <x:c r="S421" s="3" t="n">
        <x:v>0.01971465094611236</x:v>
      </x:c>
      <x:c r="T421" s="3" t="n">
        <x:v>-0.2337826680699031</x:v>
      </x:c>
      <x:c r="U421" s="3" t="n">
        <x:v>-0.12609771722764035</x:v>
      </x:c>
      <x:c r="V421" s="3" t="n">
        <x:v>0</x:v>
      </x:c>
      <x:c r="W421" s="3" t="n">
        <x:v>15.025177824263187</x:v>
      </x:c>
      <x:c r="X421" s="3"/>
      <x:c r="Y421" s="3"/>
      <x:c r="Z421" s="3"/>
    </x:row>
    <x:row r="422" ht="15" customHeight="1">
      <x:c r="A422" s="3"/>
      <x:c r="B422" s="3"/>
      <x:c r="C422" s="3"/>
      <x:c r="D422" s="3"/>
      <x:c r="E422" s="3"/>
      <x:c r="F422" s="3"/>
      <x:c r="G422" s="3"/>
      <x:c r="H422" s="3"/>
      <x:c r="I422" s="3"/>
      <x:c r="J422" s="3"/>
      <x:c r="K422" s="3"/>
      <x:c r="L422" s="3"/>
      <x:c r="M422" s="3"/>
      <x:c r="N422" s="3"/>
      <x:c r="O422" s="3"/>
      <x:c r="P422" s="3"/>
      <x:c r="Q422" s="3"/>
      <x:c r="R422" s="3"/>
      <x:c r="S422" s="3" t="n">
        <x:v>-0.039990379562592784</x:v>
      </x:c>
      <x:c r="T422" s="3" t="n">
        <x:v>-0.23619591395185827</x:v>
      </x:c>
      <x:c r="U422" s="3" t="n">
        <x:v>-0.1466688756393013</x:v>
      </x:c>
      <x:c r="V422" s="3" t="n">
        <x:v>0</x:v>
      </x:c>
      <x:c r="W422" s="3" t="n">
        <x:v>14.362164950912996</x:v>
      </x:c>
      <x:c r="X422" s="3"/>
      <x:c r="Y422" s="3"/>
      <x:c r="Z422" s="3"/>
    </x:row>
    <x:row r="423" ht="15" customHeight="1">
      <x:c r="A423" s="3"/>
      <x:c r="B423" s="3"/>
      <x:c r="C423" s="3"/>
      <x:c r="D423" s="3"/>
      <x:c r="E423" s="3"/>
      <x:c r="F423" s="3"/>
      <x:c r="G423" s="3"/>
      <x:c r="H423" s="3"/>
      <x:c r="I423" s="3"/>
      <x:c r="J423" s="3"/>
      <x:c r="K423" s="3"/>
      <x:c r="L423" s="3"/>
      <x:c r="M423" s="3"/>
      <x:c r="N423" s="3"/>
      <x:c r="O423" s="3"/>
      <x:c r="P423" s="3"/>
      <x:c r="Q423" s="3"/>
      <x:c r="R423" s="3"/>
      <x:c r="S423" s="3" t="n">
        <x:v>-0.09357717492022163</x:v>
      </x:c>
      <x:c r="T423" s="3" t="n">
        <x:v>-0.024544682516910277</x:v>
      </x:c>
      <x:c r="U423" s="3" t="n">
        <x:v>0.11574664982801887</x:v>
      </x:c>
      <x:c r="V423" s="3" t="n">
        <x:v>0</x:v>
      </x:c>
      <x:c r="W423" s="3" t="n">
        <x:v>14.627641645171225</x:v>
      </x:c>
      <x:c r="X423" s="3"/>
      <x:c r="Y423" s="3"/>
      <x:c r="Z423" s="3"/>
    </x:row>
    <x:row r="424" ht="15" customHeight="1">
      <x:c r="A424" s="3"/>
      <x:c r="B424" s="3"/>
      <x:c r="C424" s="3"/>
      <x:c r="D424" s="3"/>
      <x:c r="E424" s="3"/>
      <x:c r="F424" s="3"/>
      <x:c r="G424" s="3"/>
      <x:c r="H424" s="3"/>
      <x:c r="I424" s="3"/>
      <x:c r="J424" s="3"/>
      <x:c r="K424" s="3"/>
      <x:c r="L424" s="3"/>
      <x:c r="M424" s="3"/>
      <x:c r="N424" s="3"/>
      <x:c r="O424" s="3"/>
      <x:c r="P424" s="3"/>
      <x:c r="Q424" s="3"/>
      <x:c r="R424" s="3"/>
      <x:c r="S424" s="3" t="n">
        <x:v>-0.05485630925934682</x:v>
      </x:c>
      <x:c r="T424" s="3" t="n">
        <x:v>-0.05552828212369601</x:v>
      </x:c>
      <x:c r="U424" s="3" t="n">
        <x:v>0.13644530514335493</x:v>
      </x:c>
      <x:c r="V424" s="3" t="n">
        <x:v>0</x:v>
      </x:c>
      <x:c r="W424" s="3" t="n">
        <x:v>15.089172339409716</x:v>
      </x:c>
      <x:c r="X424" s="3"/>
      <x:c r="Y424" s="3"/>
      <x:c r="Z424" s="3"/>
    </x:row>
    <x:row r="425" ht="15" customHeight="1">
      <x:c r="A425" s="3"/>
      <x:c r="B425" s="3"/>
      <x:c r="C425" s="3"/>
      <x:c r="D425" s="3"/>
      <x:c r="E425" s="3"/>
      <x:c r="F425" s="3"/>
      <x:c r="G425" s="3"/>
      <x:c r="H425" s="3"/>
      <x:c r="I425" s="3"/>
      <x:c r="J425" s="3"/>
      <x:c r="K425" s="3"/>
      <x:c r="L425" s="3"/>
      <x:c r="M425" s="3"/>
      <x:c r="N425" s="3"/>
      <x:c r="O425" s="3"/>
      <x:c r="P425" s="3"/>
      <x:c r="Q425" s="3"/>
      <x:c r="R425" s="3"/>
      <x:c r="S425" s="3" t="n">
        <x:v>-0.09943338859263376</x:v>
      </x:c>
      <x:c r="T425" s="3" t="n">
        <x:v>-0.07988513311127743</x:v>
      </x:c>
      <x:c r="U425" s="3" t="n">
        <x:v>0.1304690570937305</x:v>
      </x:c>
      <x:c r="V425" s="3" t="n">
        <x:v>0</x:v>
      </x:c>
      <x:c r="W425" s="3" t="n">
        <x:v>14.629263231719488</x:v>
      </x:c>
      <x:c r="X425" s="3"/>
      <x:c r="Y425" s="3"/>
      <x:c r="Z425" s="3"/>
    </x:row>
    <x:row r="426" ht="15" customHeight="1">
      <x:c r="A426" s="3"/>
      <x:c r="B426" s="3"/>
      <x:c r="C426" s="3"/>
      <x:c r="D426" s="3"/>
      <x:c r="E426" s="3"/>
      <x:c r="F426" s="3"/>
      <x:c r="G426" s="3"/>
      <x:c r="H426" s="3"/>
      <x:c r="I426" s="3"/>
      <x:c r="J426" s="3"/>
      <x:c r="K426" s="3"/>
      <x:c r="L426" s="3"/>
      <x:c r="M426" s="3"/>
      <x:c r="N426" s="3"/>
      <x:c r="O426" s="3"/>
      <x:c r="P426" s="3"/>
      <x:c r="Q426" s="3"/>
      <x:c r="R426" s="3"/>
      <x:c r="S426" s="3" t="n">
        <x:v>-0.057403348193930254</x:v>
      </x:c>
      <x:c r="T426" s="3" t="n">
        <x:v>-0.10313370200121769</x:v>
      </x:c>
      <x:c r="U426" s="3" t="n">
        <x:v>0.1414675971081286</x:v>
      </x:c>
      <x:c r="V426" s="3" t="n">
        <x:v>0</x:v>
      </x:c>
      <x:c r="W426" s="3" t="n">
        <x:v>15.091063755533286</x:v>
      </x:c>
      <x:c r="X426" s="3"/>
      <x:c r="Y426" s="3"/>
      <x:c r="Z426" s="3"/>
    </x:row>
    <x:row r="427" ht="15" customHeight="1">
      <x:c r="A427" s="3"/>
      <x:c r="B427" s="3"/>
      <x:c r="C427" s="3"/>
      <x:c r="D427" s="3"/>
      <x:c r="E427" s="3"/>
      <x:c r="F427" s="3"/>
      <x:c r="G427" s="3"/>
      <x:c r="H427" s="3"/>
      <x:c r="I427" s="3"/>
      <x:c r="J427" s="3"/>
      <x:c r="K427" s="3"/>
      <x:c r="L427" s="3"/>
      <x:c r="M427" s="3"/>
      <x:c r="N427" s="3"/>
      <x:c r="O427" s="3"/>
      <x:c r="P427" s="3"/>
      <x:c r="Q427" s="3"/>
      <x:c r="R427" s="3"/>
      <x:c r="S427" s="3" t="n">
        <x:v>-0.01979877194366621</x:v>
      </x:c>
      <x:c r="T427" s="3" t="n">
        <x:v>0.10048765851253386</x:v>
      </x:c>
      <x:c r="U427" s="3" t="n">
        <x:v>0.40017019336397036</x:v>
      </x:c>
      <x:c r="V427" s="3" t="n">
        <x:v>0</x:v>
      </x:c>
      <x:c r="W427" s="3" t="n">
        <x:v>16.28015294568959</x:v>
      </x:c>
      <x:c r="X427" s="3"/>
      <x:c r="Y427" s="3"/>
      <x:c r="Z427" s="3"/>
    </x:row>
  </x:sheetData>
  <x:pageMargins left="0.7" right="0.7" top="0.75" bottom="0.75" header="0.3" footer="0.3"/>
  <x:drawing xmlns:r="http://schemas.openxmlformats.org/officeDocument/2006/relationships" r:id="Rc8906ba9d1c247c8"/>
</x:worksheet>
</file>

<file path=xl/worksheets/sheet3.xml><?xml version="1.0" encoding="utf-8"?>
<x:worksheet xmlns:x="http://schemas.openxmlformats.org/spreadsheetml/2006/main">
  <x:sheetPr>
    <x:tabColor rgb="FFFFFFFF"/>
  </x:sheetPr>
  <x:sheetViews>
    <x:sheetView showGridLines="1"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8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6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</x:cols>
  <x:sheetData>
    <x:row r="1" ht="15" customHeight="1">
      <x:c r="A1" s="3" t="str">
        <x:v>Полином 3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15" customHeight="1">
      <x:c r="A2" s="3" t="str">
        <x:v>H=a0+a1·u+a2·u²+a3·u³+cₘ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</x:row>
    <x:row r="3" ht="30" customHeight="1">
      <x:c r="A3" s="14" t="str">
        <x:v>Коэф.</x:v>
      </x:c>
      <x:c r="B3" s="14" t="str">
        <x:v>Оценка</x:v>
      </x:c>
      <x:c r="C3" s="14" t="str">
        <x:v>SE</x:v>
      </x:c>
      <x:c r="D3" s="14" t="str">
        <x:v>Месяц</x:v>
      </x:c>
      <x:c r="E3" s="14" t="str">
        <x:v>cₘ, см</x:v>
      </x:c>
      <x:c r="F3" s="14" t="str">
        <x:v>Показатель</x:v>
      </x:c>
      <x:c r="G3" s="14" t="str">
        <x:v>Значение</x:v>
      </x:c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15" customHeight="1">
      <x:c r="A4" s="8" t="str">
        <x:v>a0</x:v>
      </x:c>
      <x:c r="B4" s="16" t="n">
        <x:v>87.60205260627036</x:v>
      </x:c>
      <x:c r="C4" s="16" t="n">
        <x:f>SQRT(S409)</x:f>
        <x:v>1.7309638247618981</x:v>
      </x:c>
      <x:c r="D4" s="9" t="n">
        <x:v>1</x:v>
      </x:c>
      <x:c r="E4" s="16" t="n">
        <x:v>-94.34959257350906</x:v>
      </x:c>
      <x:c r="F4" s="8" t="str">
        <x:v>R² обучения</x:v>
      </x:c>
      <x:c r="G4" s="12" t="n">
        <x:v>0.60227003680081</x:v>
      </x:c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</x:row>
    <x:row r="5" ht="15" customHeight="1">
      <x:c r="A5" s="8" t="str">
        <x:v>a1</x:v>
      </x:c>
      <x:c r="B5" s="16" t="n">
        <x:v>108.26040168910332</x:v>
      </x:c>
      <x:c r="C5" s="16" t="n">
        <x:f>SQRT(T410)</x:f>
        <x:v>5.079880371158497</x:v>
      </x:c>
      <x:c r="D5" s="9" t="n">
        <x:v>2</x:v>
      </x:c>
      <x:c r="E5" s="16" t="n">
        <x:v>-144.40924068595777</x:v>
      </x:c>
      <x:c r="F5" s="8" t="str">
        <x:v>MAE, см</x:v>
      </x:c>
      <x:c r="G5" s="8" t="n">
        <x:f>SUMPRODUCT($R$20:$R$384,$O$20:$O$384)/G11</x:f>
        <x:v>47.22573907990182</x:v>
      </x:c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</x:row>
    <x:row r="6" ht="15" customHeight="1">
      <x:c r="A6" s="8" t="str">
        <x:v>a2</x:v>
      </x:c>
      <x:c r="B6" s="16" t="n">
        <x:v>-67.77356534242566</x:v>
      </x:c>
      <x:c r="C6" s="16" t="n">
        <x:f>SQRT(U411)</x:f>
        <x:v>3.904519801547989</x:v>
      </x:c>
      <x:c r="D6" s="9" t="n">
        <x:v>3</x:v>
      </x:c>
      <x:c r="E6" s="16" t="n">
        <x:v>-156.99523443789505</x:v>
      </x:c>
      <x:c r="F6" s="8" t="str">
        <x:v>S (RMSE), см</x:v>
      </x:c>
      <x:c r="G6" s="8" t="n">
        <x:f>SQRT(K408/G11)</x:f>
        <x:v>63.16533633150227</x:v>
      </x:c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 ht="15" customHeight="1">
      <x:c r="A7" s="8" t="str">
        <x:v>a3</x:v>
      </x:c>
      <x:c r="B7" s="16" t="n">
        <x:v>-38.00175319447502</x:v>
      </x:c>
      <x:c r="C7" s="16" t="n">
        <x:f>SQRT(V412)</x:f>
        <x:v>7.707587462640521</x:v>
      </x:c>
      <x:c r="D7" s="9" t="n">
        <x:v>4</x:v>
      </x:c>
      <x:c r="E7" s="16" t="n">
        <x:v>-41.972801388278796</x:v>
      </x:c>
      <x:c r="F7" s="8" t="str">
        <x:v>NSE</x:v>
      </x:c>
      <x:c r="G7" s="12" t="n">
        <x:f>IF(K405=0,"н.д.",1-K408/K405)</x:f>
        <x:v>0.774348254459224</x:v>
      </x:c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</x:row>
    <x:row r="8" ht="15" customHeight="1">
      <x:c r="A8" s="3"/>
      <x:c r="B8" s="3"/>
      <x:c r="C8" s="3"/>
      <x:c r="D8" s="9" t="n">
        <x:v>5</x:v>
      </x:c>
      <x:c r="E8" s="16" t="n">
        <x:v>51.73255016722154</x:v>
      </x:c>
      <x:c r="F8" s="8" t="str">
        <x:v>S/σΔ</x:v>
      </x:c>
      <x:c r="G8" s="12" t="n">
        <x:f>IF(G10=0,"н.д.",G6/G10)</x:f>
        <x:v>5.771336110919999</x:v>
      </x:c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</x:row>
    <x:row r="9" ht="15" customHeight="1">
      <x:c r="A9" s="3"/>
      <x:c r="B9" s="3"/>
      <x:c r="C9" s="3"/>
      <x:c r="D9" s="9" t="n">
        <x:v>6</x:v>
      </x:c>
      <x:c r="E9" s="16" t="n">
        <x:v>75.20851252050778</x:v>
      </x:c>
      <x:c r="F9" s="8" t="str">
        <x:v>P%</x:v>
      </x:c>
      <x:c r="G9" s="18" t="n">
        <x:f>SUM($S$20:$S$384)/G11</x:f>
        <x:v>0.17746478873239438</x:v>
      </x:c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  <x:c r="V9" s="3"/>
      <x:c r="W9" s="3"/>
      <x:c r="X9" s="3"/>
      <x:c r="Y9" s="3"/>
      <x:c r="Z9" s="3"/>
    </x:row>
    <x:row r="10" ht="15" customHeight="1">
      <x:c r="A10" s="3"/>
      <x:c r="B10" s="3"/>
      <x:c r="C10" s="3"/>
      <x:c r="D10" s="9" t="n">
        <x:v>7</x:v>
      </x:c>
      <x:c r="E10" s="16" t="n">
        <x:v>111.75712493446845</x:v>
      </x:c>
      <x:c r="F10" s="8" t="str">
        <x:v>σΔ, см</x:v>
      </x:c>
      <x:c r="G10" s="8" t="n">
        <x:f>IF(G11&gt;1,SQRT(MAX(0,K407)/(G11-1)),"н.д.")</x:f>
        <x:v>10.944664306067107</x:v>
      </x:c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</x:row>
    <x:row r="11" ht="15" customHeight="1">
      <x:c r="A11" s="3"/>
      <x:c r="B11" s="3"/>
      <x:c r="C11" s="3"/>
      <x:c r="D11" s="9" t="n">
        <x:v>8</x:v>
      </x:c>
      <x:c r="E11" s="16" t="n">
        <x:v>212.01663169403295</x:v>
      </x:c>
      <x:c r="F11" s="8" t="str">
        <x:v>n проверки</x:v>
      </x:c>
      <x:c r="G11" s="9" t="n">
        <x:f>SUM($R$20:$R$384)</x:f>
        <x:v>355</x:v>
      </x:c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3"/>
      <x:c r="S11" s="3"/>
      <x:c r="T11" s="3"/>
      <x:c r="U11" s="3"/>
      <x:c r="V11" s="3"/>
      <x:c r="W11" s="3"/>
      <x:c r="X11" s="3"/>
      <x:c r="Y11" s="3"/>
      <x:c r="Z11" s="3"/>
    </x:row>
    <x:row r="12" ht="15" customHeight="1">
      <x:c r="A12" s="3"/>
      <x:c r="B12" s="3"/>
      <x:c r="C12" s="3"/>
      <x:c r="D12" s="9" t="n">
        <x:v>9</x:v>
      </x:c>
      <x:c r="E12" s="16" t="n">
        <x:v>172.34183009572214</x:v>
      </x:c>
      <x:c r="F12" s="8" t="str">
        <x:v>Оценка, суток</x:v>
      </x:c>
      <x:c r="G12" s="9" t="n">
        <x:f>'Сводка'!$B$11</x:f>
        <x:v>1</x:v>
      </x:c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3"/>
      <x:c r="T12" s="3"/>
      <x:c r="U12" s="3"/>
      <x:c r="V12" s="3"/>
      <x:c r="W12" s="3"/>
      <x:c r="X12" s="3"/>
      <x:c r="Y12" s="3"/>
      <x:c r="Z12" s="3"/>
    </x:row>
    <x:row r="13" ht="15" customHeight="1">
      <x:c r="A13" s="3"/>
      <x:c r="B13" s="3"/>
      <x:c r="C13" s="3"/>
      <x:c r="D13" s="9" t="n">
        <x:v>10</x:v>
      </x:c>
      <x:c r="E13" s="16" t="n">
        <x:v>19.52716661800942</x:v>
      </x:c>
      <x:c r="F13" s="8" t="str">
        <x:v>δдоп, см</x:v>
      </x:c>
      <x:c r="G13" s="8" t="n">
        <x:f>'Сводка'!$B$14*G10</x:f>
        <x:v>7.376703742289231</x:v>
      </x:c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</x:row>
    <x:row r="14" ht="15" customHeight="1">
      <x:c r="A14" s="3"/>
      <x:c r="B14" s="3"/>
      <x:c r="C14" s="3"/>
      <x:c r="D14" s="9" t="n">
        <x:v>11</x:v>
      </x:c>
      <x:c r="E14" s="16" t="n">
        <x:v>-120.66168549034597</x:v>
      </x:c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</x:row>
    <x:row r="15" ht="15" customHeight="1">
      <x:c r="A15" s="3"/>
      <x:c r="B15" s="3"/>
      <x:c r="C15" s="3"/>
      <x:c r="D15" s="9" t="n">
        <x:v>12</x:v>
      </x:c>
      <x:c r="E15" s="16" t="n">
        <x:v>-84.19526145397563</x:v>
      </x:c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</x:row>
    <x:row r="16" ht="15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</x:row>
    <x:row r="17" ht="15" customHeight="1">
      <x:c r="A17" s="3" t="str">
        <x:v>Прогноз</x:v>
      </x:c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</x:row>
    <x:row r="18" ht="30" customHeight="1">
      <x:c r="A18" s="15" t="str">
        <x:v>Дата</x:v>
      </x:c>
      <x:c r="B18" s="15" t="str">
        <x:v>x</x:v>
      </x:c>
      <x:c r="C18" s="15" t="str">
        <x:v>u</x:v>
      </x:c>
      <x:c r="D18" s="15" t="str">
        <x:v>Прогноз, см</x:v>
      </x:c>
      <x:c r="E18" s="15" t="str">
        <x:v>SE прогноза</x:v>
      </x:c>
      <x:c r="F18" s="15" t="str">
        <x:v>Нижняя 95%</x:v>
      </x:c>
      <x:c r="G18" s="15" t="str">
        <x:v>Верхняя 95%</x:v>
      </x:c>
      <x:c r="H18" s="15" t="str">
        <x:v>SE среднего</x:v>
      </x:c>
      <x:c r="I18" s="3"/>
      <x:c r="J18" s="3" t="str">
        <x:v>Проверочные прогнозы</x:v>
      </x:c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</x:row>
    <x:row r="19" ht="30" customHeight="1">
      <x:c r="A19" s="10" t="n">
        <x:f>IF(1&lt;='Сводка'!$B$3,'Сводка'!$B$4+1,"")</x:f>
        <x:v>46236</x:v>
      </x:c>
      <x:c r="B19" s="19" t="n">
        <x:f>IF($A19="","",(A19-$T$405+1)/1000)</x:f>
        <x:v>8.98</x:v>
      </x:c>
      <x:c r="C19" s="19" t="n">
        <x:f>IF($A19="","",2*(A19-$T$405)/$T$406-1)</x:f>
        <x:v>1.000222766763199</x:v>
      </x:c>
      <x:c r="D19" s="8" t="n">
        <x:f>IF($A19="","",$B$4+$B$5*C19^1+$B$6*C19^2+$B$7*C19^3+INDEX($E$4:$E$15,MONTH(A19)))</x:f>
        <x:v>302.07228327234435</x:v>
      </x:c>
      <x:c r="E19" s="8" t="n">
        <x:f>IF($A19="","",SQRT($T$403^2+H19^2))</x:f>
        <x:v>108.77298154884167</x:v>
      </x:c>
      <x:c r="F19" s="8" t="n">
        <x:f>IF($A19="","",D19-$T$404*E19)</x:f>
        <x:v>88.85107829746585</x:v>
      </x:c>
      <x:c r="G19" s="8" t="n">
        <x:f>IF($A19="","",D19+$T$404*E19)</x:f>
        <x:v>515.2934882472229</x:v>
      </x:c>
      <x:c r="H19" s="8" t="n">
        <x:f>IF($A19="","",SQRT(MAX(0,(1)*$S$409*(1)+(1)*$T$409*(C19^1)+(1)*$U$409*(C19^2)+(1)*$V$409*(C19^3)+(C19^1)*$S$410*(1)+(C19^1)*$T$410*(C19^1)+(C19^1)*$U$410*(C19^2)+(C19^1)*$V$410*(C19^3)+(C19^2)*$S$411*(1)+(C19^2)*$T$411*(C19^1)+(C19^2)*$U$411*(C19^2)+(C19^2)*$V$411*(C19^3)+(C19^3)*$S$412*(1)+(C19^3)*$T$412*(C19^1)+(C19^3)*$U$412*(C19^2)+(C19^3)*$V$412*(C19^3)+2*((1)*INDEX($S$416:$V$427,MONTH(A19),1)+(C19^1)*INDEX($S$416:$V$427,MONTH(A19),2)+(C19^2)*INDEX($S$416:$V$427,MONTH(A19),3)+(C19^3)*INDEX($S$416:$V$427,MONTH(A19),4))+INDEX($W$416:$W$427,MONTH(A19)))))</x:f>
        <x:v>6.08777942693167</x:v>
      </x:c>
      <x:c r="I19" s="3"/>
      <x:c r="J19" s="15" t="str">
        <x:v>Дата</x:v>
      </x:c>
      <x:c r="K19" s="15" t="str">
        <x:v>Факт, см</x:v>
      </x:c>
      <x:c r="L19" s="15" t="str">
        <x:v>H начала</x:v>
      </x:c>
      <x:c r="M19" s="15" t="str">
        <x:v>Прогноз, см</x:v>
      </x:c>
      <x:c r="N19" s="15" t="str">
        <x:v>Ошибка</x:v>
      </x:c>
      <x:c r="O19" s="15" t="str">
        <x:v>|Ошибка|</x:v>
      </x:c>
      <x:c r="P19" s="15" t="str">
        <x:v>Ошибка²</x:v>
      </x:c>
      <x:c r="Q19" s="15" t="str">
        <x:v>ΔH</x:v>
      </x:c>
      <x:c r="R19" s="15" t="str">
        <x:v>Вес</x:v>
      </x:c>
      <x:c r="S19" s="15" t="str">
        <x:v>Оправдался</x:v>
      </x:c>
      <x:c r="T19" s="15" t="str">
        <x:v>Обучение до</x:v>
      </x:c>
      <x:c r="U19" s="14" t="str">
        <x:v>i факт</x:v>
      </x:c>
      <x:c r="V19" s="14" t="str">
        <x:v>i начало</x:v>
      </x:c>
      <x:c r="W19" s="14" t="str">
        <x:v>i fit</x:v>
      </x:c>
      <x:c r="X19" s="3"/>
      <x:c r="Y19" s="3"/>
      <x:c r="Z19" s="3"/>
    </x:row>
    <x:row r="20" ht="15" customHeight="1">
      <x:c r="A20" s="10" t="n">
        <x:f>IF(2&lt;='Сводка'!$B$3,'Сводка'!$B$4+2,"")</x:f>
        <x:v>46237</x:v>
      </x:c>
      <x:c r="B20" s="19" t="n">
        <x:f>IF($A20="","",(A20-$T$405+1)/1000)</x:f>
        <x:v>8.981</x:v>
      </x:c>
      <x:c r="C20" s="19" t="n">
        <x:f>IF($A20="","",2*(A20-$T$405)/$T$406-1)</x:f>
        <x:v>1.0004455335263978</x:v>
      </x:c>
      <x:c r="D20" s="8" t="n">
        <x:f>IF($A20="","",$B$4+$B$5*C20^1+$B$6*C20^2+$B$7*C20^3+INDEX($E$4:$E$15,MONTH(A20)))</x:f>
        <x:v>302.0407810481026</x:v>
      </x:c>
      <x:c r="E20" s="8" t="n">
        <x:f>IF($A20="","",SQRT($T$403^2+H20^2))</x:f>
        <x:v>108.77315113353305</x:v>
      </x:c>
      <x:c r="F20" s="8" t="n">
        <x:f>IF($A20="","",D20-$T$404*E20)</x:f>
        <x:v>88.81924364644192</x:v>
      </x:c>
      <x:c r="G20" s="8" t="n">
        <x:f>IF($A20="","",D20+$T$404*E20)</x:f>
        <x:v>515.2623184497633</x:v>
      </x:c>
      <x:c r="H20" s="8" t="n">
        <x:f>IF($A20="","",SQRT(MAX(0,(1)*$S$409*(1)+(1)*$T$409*(C20^1)+(1)*$U$409*(C20^2)+(1)*$V$409*(C20^3)+(C20^1)*$S$410*(1)+(C20^1)*$T$410*(C20^1)+(C20^1)*$U$410*(C20^2)+(C20^1)*$V$410*(C20^3)+(C20^2)*$S$411*(1)+(C20^2)*$T$411*(C20^1)+(C20^2)*$U$411*(C20^2)+(C20^2)*$V$411*(C20^3)+(C20^3)*$S$412*(1)+(C20^3)*$T$412*(C20^1)+(C20^3)*$U$412*(C20^2)+(C20^3)*$V$412*(C20^3)+2*((1)*INDEX($S$416:$V$427,MONTH(A20),1)+(C20^1)*INDEX($S$416:$V$427,MONTH(A20),2)+(C20^2)*INDEX($S$416:$V$427,MONTH(A20),3)+(C20^3)*INDEX($S$416:$V$427,MONTH(A20),4))+INDEX($W$416:$W$427,MONTH(A20)))))</x:f>
        <x:v>6.090808718449845</x:v>
      </x:c>
      <x:c r="I20" s="3"/>
      <x:c r="J20" s="10" t="n">
        <x:v>45871</x:v>
      </x:c>
      <x:c r="K20" s="8" t="n">
        <x:f>INDEX('Сводка'!$S$3:$S$397,U20)</x:f>
        <x:v>211</x:v>
      </x:c>
      <x:c r="L20" s="8" t="n">
        <x:f>INDEX('Сводка'!$S$3:$S$397,V20)</x:f>
        <x:v>193</x:v>
      </x:c>
      <x:c r="M20" s="8" t="n">
        <x:f>INDEX($K$388:$N$400,W20,1)+INDEX($K$388:$N$400,W20,2)*(2*(J20-$T$405)/(T20-$T$405)-1)^1+INDEX($K$388:$N$400,W20,3)*(2*(J20-$T$405)/(T20-$T$405)-1)^2+INDEX($K$388:$N$400,W20,4)*(2*(J20-$T$405)/(T20-$T$405)-1)^3+INDEX($O$388:$Z$400,W20,MONTH(J20))</x:f>
        <x:v>329.77414461078</x:v>
      </x:c>
      <x:c r="N20" s="8" t="n">
        <x:f>K20-M20</x:f>
        <x:v>-118.77414461078001</x:v>
      </x:c>
      <x:c r="O20" s="8" t="n">
        <x:f>ABS(N20)</x:f>
        <x:v>118.77414461078001</x:v>
      </x:c>
      <x:c r="P20" s="8" t="n">
        <x:f>N20^2</x:f>
        <x:v>14107.297428022483</x:v>
      </x:c>
      <x:c r="Q20" s="8" t="n">
        <x:f>K20-L20</x:f>
        <x:v>18</x:v>
      </x:c>
      <x:c r="R20" s="9" t="n">
        <x:f>IF(AND(INDEX('Сводка'!$T$3:$T$397,U20)=0,INDEX('Сводка'!$T$3:$T$397,V20)=0),1,0)</x:f>
        <x:v>1</x:v>
      </x:c>
      <x:c r="S20" s="9" t="n">
        <x:f>IF(AND(R20=1,O20&lt;=$G$13),1,0)</x:f>
        <x:v>0</x:v>
      </x:c>
      <x:c r="T20" s="10" t="n">
        <x:f>EOMONTH(J20-'Сводка'!$B$11,-1)</x:f>
        <x:v>45869</x:v>
      </x:c>
      <x:c r="U20" s="4" t="n">
        <x:f>MATCH(J20,'Сводка'!$R$3:$R$397,0)</x:f>
        <x:v>31</x:v>
      </x:c>
      <x:c r="V20" s="4" t="n">
        <x:f>MATCH(J20-'Сводка'!$B$11,'Сводка'!$R$3:$R$397,0)</x:f>
        <x:v>30</x:v>
      </x:c>
      <x:c r="W20" s="4" t="n">
        <x:f>MATCH(T20,$J$388:$J$400,0)</x:f>
        <x:v>2</x:v>
      </x:c>
      <x:c r="X20" s="3"/>
      <x:c r="Y20" s="3"/>
      <x:c r="Z20" s="3"/>
    </x:row>
    <x:row r="21" ht="15" customHeight="1">
      <x:c r="A21" s="10" t="n">
        <x:f>IF(3&lt;='Сводка'!$B$3,'Сводка'!$B$4+3,"")</x:f>
        <x:v>46238</x:v>
      </x:c>
      <x:c r="B21" s="19" t="n">
        <x:f>IF($A21="","",(A21-$T$405+1)/1000)</x:f>
        <x:v>8.982</x:v>
      </x:c>
      <x:c r="C21" s="19" t="n">
        <x:f>IF($A21="","",2*(A21-$T$405)/$T$406-1)</x:f>
        <x:v>1.0006683002895969</x:v>
      </x:c>
      <x:c r="D21" s="8" t="n">
        <x:f>IF($A21="","",$B$4+$B$5*C21^1+$B$6*C21^2+$B$7*C21^3+INDEX($E$4:$E$15,MONTH(A21)))</x:f>
        <x:v>302.00926077726</x:v>
      </x:c>
      <x:c r="E21" s="8" t="n">
        <x:f>IF($A21="","",SQRT($T$403^2+H21^2))</x:f>
        <x:v>108.77332097932613</x:v>
      </x:c>
      <x:c r="F21" s="8" t="n">
        <x:f>IF($A21="","",D21-$T$404*E21)</x:f>
        <x:v>88.78739043699505</x:v>
      </x:c>
      <x:c r="G21" s="8" t="n">
        <x:f>IF($A21="","",D21+$T$404*E21)</x:f>
        <x:v>515.2311311175249</x:v>
      </x:c>
      <x:c r="H21" s="8" t="n">
        <x:f>IF($A21="","",SQRT(MAX(0,(1)*$S$409*(1)+(1)*$T$409*(C21^1)+(1)*$U$409*(C21^2)+(1)*$V$409*(C21^3)+(C21^1)*$S$410*(1)+(C21^1)*$T$410*(C21^1)+(C21^1)*$U$410*(C21^2)+(C21^1)*$V$410*(C21^3)+(C21^2)*$S$411*(1)+(C21^2)*$T$411*(C21^1)+(C21^2)*$U$411*(C21^2)+(C21^2)*$V$411*(C21^3)+(C21^3)*$S$412*(1)+(C21^3)*$T$412*(C21^1)+(C21^3)*$U$412*(C21^2)+(C21^3)*$V$412*(C21^3)+2*((1)*INDEX($S$416:$V$427,MONTH(A21),1)+(C21^1)*INDEX($S$416:$V$427,MONTH(A21),2)+(C21^2)*INDEX($S$416:$V$427,MONTH(A21),3)+(C21^3)*INDEX($S$416:$V$427,MONTH(A21),4))+INDEX($W$416:$W$427,MONTH(A21)))))</x:f>
        <x:v>6.093841169396566</x:v>
      </x:c>
      <x:c r="I21" s="3"/>
      <x:c r="J21" s="10" t="n">
        <x:v>45872</x:v>
      </x:c>
      <x:c r="K21" s="8" t="n">
        <x:f>INDEX('Сводка'!$S$3:$S$397,U21)</x:f>
        <x:v>229</x:v>
      </x:c>
      <x:c r="L21" s="8" t="n">
        <x:f>INDEX('Сводка'!$S$3:$S$397,V21)</x:f>
        <x:v>211</x:v>
      </x:c>
      <x:c r="M21" s="8" t="n">
        <x:f>INDEX($K$388:$N$400,W21,1)+INDEX($K$388:$N$400,W21,2)*(2*(J21-$T$405)/(T21-$T$405)-1)^1+INDEX($K$388:$N$400,W21,3)*(2*(J21-$T$405)/(T21-$T$405)-1)^2+INDEX($K$388:$N$400,W21,4)*(2*(J21-$T$405)/(T21-$T$405)-1)^3+INDEX($O$388:$Z$400,W21,MONTH(J21))</x:f>
        <x:v>329.7634043967516</x:v>
      </x:c>
      <x:c r="N21" s="8" t="n">
        <x:f>K21-M21</x:f>
        <x:v>-100.76340439675158</x:v>
      </x:c>
      <x:c r="O21" s="8" t="n">
        <x:f>ABS(N21)</x:f>
        <x:v>100.76340439675158</x:v>
      </x:c>
      <x:c r="P21" s="8" t="n">
        <x:f>N21^2</x:f>
        <x:v>10153.263665623295</x:v>
      </x:c>
      <x:c r="Q21" s="8" t="n">
        <x:f>K21-L21</x:f>
        <x:v>18</x:v>
      </x:c>
      <x:c r="R21" s="9" t="n">
        <x:f>IF(AND(INDEX('Сводка'!$T$3:$T$397,U21)=0,INDEX('Сводка'!$T$3:$T$397,V21)=0),1,0)</x:f>
        <x:v>1</x:v>
      </x:c>
      <x:c r="S21" s="9" t="n">
        <x:f>IF(AND(R21=1,O21&lt;=$G$13),1,0)</x:f>
        <x:v>0</x:v>
      </x:c>
      <x:c r="T21" s="10" t="n">
        <x:f>EOMONTH(J21-'Сводка'!$B$11,-1)</x:f>
        <x:v>45869</x:v>
      </x:c>
      <x:c r="U21" s="4" t="n">
        <x:f>MATCH(J21,'Сводка'!$R$3:$R$397,0)</x:f>
        <x:v>32</x:v>
      </x:c>
      <x:c r="V21" s="4" t="n">
        <x:f>MATCH(J21-'Сводка'!$B$11,'Сводка'!$R$3:$R$397,0)</x:f>
        <x:v>31</x:v>
      </x:c>
      <x:c r="W21" s="4" t="n">
        <x:f>MATCH(T21,$J$388:$J$400,0)</x:f>
        <x:v>2</x:v>
      </x:c>
      <x:c r="X21" s="3"/>
      <x:c r="Y21" s="3"/>
      <x:c r="Z21" s="3"/>
    </x:row>
    <x:row r="22" ht="15" customHeight="1">
      <x:c r="A22" s="10" t="n">
        <x:f>IF(4&lt;='Сводка'!$B$3,'Сводка'!$B$4+4,"")</x:f>
        <x:v>46239</x:v>
      </x:c>
      <x:c r="B22" s="19" t="n">
        <x:f>IF($A22="","",(A22-$T$405+1)/1000)</x:f>
        <x:v>8.983</x:v>
      </x:c>
      <x:c r="C22" s="19" t="n">
        <x:f>IF($A22="","",2*(A22-$T$405)/$T$406-1)</x:f>
        <x:v>1.0008910670527955</x:v>
      </x:c>
      <x:c r="D22" s="8" t="n">
        <x:f>IF($A22="","",$B$4+$B$5*C22^1+$B$6*C22^2+$B$7*C22^3+INDEX($E$4:$E$15,MONTH(A22)))</x:f>
        <x:v>301.97772245729607</x:v>
      </x:c>
      <x:c r="E22" s="8" t="n">
        <x:f>IF($A22="","",SQRT($T$403^2+H22^2))</x:f>
        <x:v>108.77349108651414</x:v>
      </x:c>
      <x:c r="F22" s="8" t="n">
        <x:f>IF($A22="","",D22-$T$404*E22)</x:f>
        <x:v>88.7555186660299</x:v>
      </x:c>
      <x:c r="G22" s="8" t="n">
        <x:f>IF($A22="","",D22+$T$404*E22)</x:f>
        <x:v>515.1999262485622</x:v>
      </x:c>
      <x:c r="H22" s="8" t="n">
        <x:f>IF($A22="","",SQRT(MAX(0,(1)*$S$409*(1)+(1)*$T$409*(C22^1)+(1)*$U$409*(C22^2)+(1)*$V$409*(C22^3)+(C22^1)*$S$410*(1)+(C22^1)*$T$410*(C22^1)+(C22^1)*$U$410*(C22^2)+(C22^1)*$V$410*(C22^3)+(C22^2)*$S$411*(1)+(C22^2)*$T$411*(C22^1)+(C22^2)*$U$411*(C22^2)+(C22^2)*$V$411*(C22^3)+(C22^3)*$S$412*(1)+(C22^3)*$T$412*(C22^1)+(C22^3)*$U$412*(C22^2)+(C22^3)*$V$412*(C22^3)+2*((1)*INDEX($S$416:$V$427,MONTH(A22),1)+(C22^1)*INDEX($S$416:$V$427,MONTH(A22),2)+(C22^2)*INDEX($S$416:$V$427,MONTH(A22),3)+(C22^3)*INDEX($S$416:$V$427,MONTH(A22),4))+INDEX($W$416:$W$427,MONTH(A22)))))</x:f>
        <x:v>6.096876780311058</x:v>
      </x:c>
      <x:c r="I22" s="3"/>
      <x:c r="J22" s="10" t="n">
        <x:v>45873</x:v>
      </x:c>
      <x:c r="K22" s="8" t="n">
        <x:f>INDEX('Сводка'!$S$3:$S$397,U22)</x:f>
        <x:v>243</x:v>
      </x:c>
      <x:c r="L22" s="8" t="n">
        <x:f>INDEX('Сводка'!$S$3:$S$397,V22)</x:f>
        <x:v>229</x:v>
      </x:c>
      <x:c r="M22" s="8" t="n">
        <x:f>INDEX($K$388:$N$400,W22,1)+INDEX($K$388:$N$400,W22,2)*(2*(J22-$T$405)/(T22-$T$405)-1)^1+INDEX($K$388:$N$400,W22,3)*(2*(J22-$T$405)/(T22-$T$405)-1)^2+INDEX($K$388:$N$400,W22,4)*(2*(J22-$T$405)/(T22-$T$405)-1)^3+INDEX($O$388:$Z$400,W22,MONTH(J22))</x:f>
        <x:v>329.7526537401912</x:v>
      </x:c>
      <x:c r="N22" s="8" t="n">
        <x:f>K22-M22</x:f>
        <x:v>-86.75265374019119</x:v>
      </x:c>
      <x:c r="O22" s="8" t="n">
        <x:f>ABS(N22)</x:f>
        <x:v>86.75265374019119</x:v>
      </x:c>
      <x:c r="P22" s="8" t="n">
        <x:f>N22^2</x:f>
        <x:v>7526.022930965509</x:v>
      </x:c>
      <x:c r="Q22" s="8" t="n">
        <x:f>K22-L22</x:f>
        <x:v>14</x:v>
      </x:c>
      <x:c r="R22" s="9" t="n">
        <x:f>IF(AND(INDEX('Сводка'!$T$3:$T$397,U22)=0,INDEX('Сводка'!$T$3:$T$397,V22)=0),1,0)</x:f>
        <x:v>1</x:v>
      </x:c>
      <x:c r="S22" s="9" t="n">
        <x:f>IF(AND(R22=1,O22&lt;=$G$13),1,0)</x:f>
        <x:v>0</x:v>
      </x:c>
      <x:c r="T22" s="10" t="n">
        <x:f>EOMONTH(J22-'Сводка'!$B$11,-1)</x:f>
        <x:v>45869</x:v>
      </x:c>
      <x:c r="U22" s="4" t="n">
        <x:f>MATCH(J22,'Сводка'!$R$3:$R$397,0)</x:f>
        <x:v>33</x:v>
      </x:c>
      <x:c r="V22" s="4" t="n">
        <x:f>MATCH(J22-'Сводка'!$B$11,'Сводка'!$R$3:$R$397,0)</x:f>
        <x:v>32</x:v>
      </x:c>
      <x:c r="W22" s="4" t="n">
        <x:f>MATCH(T22,$J$388:$J$400,0)</x:f>
        <x:v>2</x:v>
      </x:c>
      <x:c r="X22" s="3"/>
      <x:c r="Y22" s="3"/>
      <x:c r="Z22" s="3"/>
    </x:row>
    <x:row r="23" ht="15" customHeight="1">
      <x:c r="A23" s="10" t="n">
        <x:f>IF(5&lt;='Сводка'!$B$3,'Сводка'!$B$4+5,"")</x:f>
        <x:v>46240</x:v>
      </x:c>
      <x:c r="B23" s="19" t="n">
        <x:f>IF($A23="","",(A23-$T$405+1)/1000)</x:f>
        <x:v>8.984</x:v>
      </x:c>
      <x:c r="C23" s="19" t="n">
        <x:f>IF($A23="","",2*(A23-$T$405)/$T$406-1)</x:f>
        <x:v>1.0011138338159946</x:v>
      </x:c>
      <x:c r="D23" s="8" t="n">
        <x:f>IF($A23="","",$B$4+$B$5*C23^1+$B$6*C23^2+$B$7*C23^3+INDEX($E$4:$E$15,MONTH(A23)))</x:f>
        <x:v>301.94616608569004</x:v>
      </x:c>
      <x:c r="E23" s="8" t="n">
        <x:f>IF($A23="","",SQRT($T$403^2+H23^2))</x:f>
        <x:v>108.77366145539058</x:v>
      </x:c>
      <x:c r="F23" s="8" t="n">
        <x:f>IF($A23="","",D23-$T$404*E23)</x:f>
        <x:v>88.7236283304504</x:v>
      </x:c>
      <x:c r="G23" s="8" t="n">
        <x:f>IF($A23="","",D23+$T$404*E23)</x:f>
        <x:v>515.1687038409297</x:v>
      </x:c>
      <x:c r="H23" s="8" t="n">
        <x:f>IF($A23="","",SQRT(MAX(0,(1)*$S$409*(1)+(1)*$T$409*(C23^1)+(1)*$U$409*(C23^2)+(1)*$V$409*(C23^3)+(C23^1)*$S$410*(1)+(C23^1)*$T$410*(C23^1)+(C23^1)*$U$410*(C23^2)+(C23^1)*$V$410*(C23^3)+(C23^2)*$S$411*(1)+(C23^2)*$T$411*(C23^1)+(C23^2)*$U$411*(C23^2)+(C23^2)*$V$411*(C23^3)+(C23^3)*$S$412*(1)+(C23^3)*$T$412*(C23^1)+(C23^3)*$U$412*(C23^2)+(C23^3)*$V$412*(C23^3)+2*((1)*INDEX($S$416:$V$427,MONTH(A23),1)+(C23^1)*INDEX($S$416:$V$427,MONTH(A23),2)+(C23^2)*INDEX($S$416:$V$427,MONTH(A23),3)+(C23^3)*INDEX($S$416:$V$427,MONTH(A23),4))+INDEX($W$416:$W$427,MONTH(A23)))))</x:f>
        <x:v>6.099915551730638</x:v>
      </x:c>
      <x:c r="I23" s="3"/>
      <x:c r="J23" s="10" t="n">
        <x:v>45874</x:v>
      </x:c>
      <x:c r="K23" s="8" t="n">
        <x:f>INDEX('Сводка'!$S$3:$S$397,U23)</x:f>
        <x:v>249</x:v>
      </x:c>
      <x:c r="L23" s="8" t="n">
        <x:f>INDEX('Сводка'!$S$3:$S$397,V23)</x:f>
        <x:v>243</x:v>
      </x:c>
      <x:c r="M23" s="8" t="n">
        <x:f>INDEX($K$388:$N$400,W23,1)+INDEX($K$388:$N$400,W23,2)*(2*(J23-$T$405)/(T23-$T$405)-1)^1+INDEX($K$388:$N$400,W23,3)*(2*(J23-$T$405)/(T23-$T$405)-1)^2+INDEX($K$388:$N$400,W23,4)*(2*(J23-$T$405)/(T23-$T$405)-1)^3+INDEX($O$388:$Z$400,W23,MONTH(J23))</x:f>
        <x:v>329.74189263993946</x:v>
      </x:c>
      <x:c r="N23" s="8" t="n">
        <x:f>K23-M23</x:f>
        <x:v>-80.74189263993946</x:v>
      </x:c>
      <x:c r="O23" s="8" t="n">
        <x:f>ABS(N23)</x:f>
        <x:v>80.74189263993946</x:v>
      </x:c>
      <x:c r="P23" s="8" t="n">
        <x:f>N23^2</x:f>
        <x:v>6519.253227079511</x:v>
      </x:c>
      <x:c r="Q23" s="8" t="n">
        <x:f>K23-L23</x:f>
        <x:v>6</x:v>
      </x:c>
      <x:c r="R23" s="9" t="n">
        <x:f>IF(AND(INDEX('Сводка'!$T$3:$T$397,U23)=0,INDEX('Сводка'!$T$3:$T$397,V23)=0),1,0)</x:f>
        <x:v>1</x:v>
      </x:c>
      <x:c r="S23" s="9" t="n">
        <x:f>IF(AND(R23=1,O23&lt;=$G$13),1,0)</x:f>
        <x:v>0</x:v>
      </x:c>
      <x:c r="T23" s="10" t="n">
        <x:f>EOMONTH(J23-'Сводка'!$B$11,-1)</x:f>
        <x:v>45869</x:v>
      </x:c>
      <x:c r="U23" s="4" t="n">
        <x:f>MATCH(J23,'Сводка'!$R$3:$R$397,0)</x:f>
        <x:v>34</x:v>
      </x:c>
      <x:c r="V23" s="4" t="n">
        <x:f>MATCH(J23-'Сводка'!$B$11,'Сводка'!$R$3:$R$397,0)</x:f>
        <x:v>33</x:v>
      </x:c>
      <x:c r="W23" s="4" t="n">
        <x:f>MATCH(T23,$J$388:$J$400,0)</x:f>
        <x:v>2</x:v>
      </x:c>
      <x:c r="X23" s="3"/>
      <x:c r="Y23" s="3"/>
      <x:c r="Z23" s="3"/>
    </x:row>
    <x:row r="24" ht="15" customHeight="1">
      <x:c r="A24" s="10" t="n">
        <x:f>IF(6&lt;='Сводка'!$B$3,'Сводка'!$B$4+6,"")</x:f>
        <x:v>46241</x:v>
      </x:c>
      <x:c r="B24" s="19" t="n">
        <x:f>IF($A24="","",(A24-$T$405+1)/1000)</x:f>
        <x:v>8.985</x:v>
      </x:c>
      <x:c r="C24" s="19" t="n">
        <x:f>IF($A24="","",2*(A24-$T$405)/$T$406-1)</x:f>
        <x:v>1.0013366005791937</x:v>
      </x:c>
      <x:c r="D24" s="8" t="n">
        <x:f>IF($A24="","",$B$4+$B$5*C24^1+$B$6*C24^2+$B$7*C24^3+INDEX($E$4:$E$15,MONTH(A24)))</x:f>
        <x:v>301.91459165992137</x:v>
      </x:c>
      <x:c r="E24" s="8" t="n">
        <x:f>IF($A24="","",SQRT($T$403^2+H24^2))</x:f>
        <x:v>108.77383208624912</x:v>
      </x:c>
      <x:c r="F24" s="8" t="n">
        <x:f>IF($A24="","",D24-$T$404*E24)</x:f>
        <x:v>88.69171942716034</x:v>
      </x:c>
      <x:c r="G24" s="8" t="n">
        <x:f>IF($A24="","",D24+$T$404*E24)</x:f>
        <x:v>515.1374638926824</x:v>
      </x:c>
      <x:c r="H24" s="8" t="n">
        <x:f>IF($A24="","",SQRT(MAX(0,(1)*$S$409*(1)+(1)*$T$409*(C24^1)+(1)*$U$409*(C24^2)+(1)*$V$409*(C24^3)+(C24^1)*$S$410*(1)+(C24^1)*$T$410*(C24^1)+(C24^1)*$U$410*(C24^2)+(C24^1)*$V$410*(C24^3)+(C24^2)*$S$411*(1)+(C24^2)*$T$411*(C24^1)+(C24^2)*$U$411*(C24^2)+(C24^2)*$V$411*(C24^3)+(C24^3)*$S$412*(1)+(C24^3)*$T$412*(C24^1)+(C24^3)*$U$412*(C24^2)+(C24^3)*$V$412*(C24^3)+2*((1)*INDEX($S$416:$V$427,MONTH(A24),1)+(C24^1)*INDEX($S$416:$V$427,MONTH(A24),2)+(C24^2)*INDEX($S$416:$V$427,MONTH(A24),3)+(C24^3)*INDEX($S$416:$V$427,MONTH(A24),4))+INDEX($W$416:$W$427,MONTH(A24)))))</x:f>
        <x:v>6.102957484190677</x:v>
      </x:c>
      <x:c r="I24" s="3"/>
      <x:c r="J24" s="10" t="n">
        <x:v>45875</x:v>
      </x:c>
      <x:c r="K24" s="8" t="n">
        <x:f>INDEX('Сводка'!$S$3:$S$397,U24)</x:f>
        <x:v>253</x:v>
      </x:c>
      <x:c r="L24" s="8" t="n">
        <x:f>INDEX('Сводка'!$S$3:$S$397,V24)</x:f>
        <x:v>249</x:v>
      </x:c>
      <x:c r="M24" s="8" t="n">
        <x:f>INDEX($K$388:$N$400,W24,1)+INDEX($K$388:$N$400,W24,2)*(2*(J24-$T$405)/(T24-$T$405)-1)^1+INDEX($K$388:$N$400,W24,3)*(2*(J24-$T$405)/(T24-$T$405)-1)^2+INDEX($K$388:$N$400,W24,4)*(2*(J24-$T$405)/(T24-$T$405)-1)^3+INDEX($O$388:$Z$400,W24,MONTH(J24))</x:f>
        <x:v>329.731121094837</x:v>
      </x:c>
      <x:c r="N24" s="8" t="n">
        <x:f>K24-M24</x:f>
        <x:v>-76.73112109483702</x:v>
      </x:c>
      <x:c r="O24" s="8" t="n">
        <x:f>ABS(N24)</x:f>
        <x:v>76.73112109483702</x:v>
      </x:c>
      <x:c r="P24" s="8" t="n">
        <x:f>N24^2</x:f>
        <x:v>5887.664944470543</x:v>
      </x:c>
      <x:c r="Q24" s="8" t="n">
        <x:f>K24-L24</x:f>
        <x:v>4</x:v>
      </x:c>
      <x:c r="R24" s="9" t="n">
        <x:f>IF(AND(INDEX('Сводка'!$T$3:$T$397,U24)=0,INDEX('Сводка'!$T$3:$T$397,V24)=0),1,0)</x:f>
        <x:v>1</x:v>
      </x:c>
      <x:c r="S24" s="9" t="n">
        <x:f>IF(AND(R24=1,O24&lt;=$G$13),1,0)</x:f>
        <x:v>0</x:v>
      </x:c>
      <x:c r="T24" s="10" t="n">
        <x:f>EOMONTH(J24-'Сводка'!$B$11,-1)</x:f>
        <x:v>45869</x:v>
      </x:c>
      <x:c r="U24" s="4" t="n">
        <x:f>MATCH(J24,'Сводка'!$R$3:$R$397,0)</x:f>
        <x:v>35</x:v>
      </x:c>
      <x:c r="V24" s="4" t="n">
        <x:f>MATCH(J24-'Сводка'!$B$11,'Сводка'!$R$3:$R$397,0)</x:f>
        <x:v>34</x:v>
      </x:c>
      <x:c r="W24" s="4" t="n">
        <x:f>MATCH(T24,$J$388:$J$400,0)</x:f>
        <x:v>2</x:v>
      </x:c>
      <x:c r="X24" s="3"/>
      <x:c r="Y24" s="3"/>
      <x:c r="Z24" s="3"/>
    </x:row>
    <x:row r="25" ht="15" customHeight="1">
      <x:c r="A25" s="10" t="n">
        <x:f>IF(7&lt;='Сводка'!$B$3,'Сводка'!$B$4+7,"")</x:f>
        <x:v>46242</x:v>
      </x:c>
      <x:c r="B25" s="19" t="n">
        <x:f>IF($A25="","",(A25-$T$405+1)/1000)</x:f>
        <x:v>8.986</x:v>
      </x:c>
      <x:c r="C25" s="19" t="n">
        <x:f>IF($A25="","",2*(A25-$T$405)/$T$406-1)</x:f>
        <x:v>1.0015593673423924</x:v>
      </x:c>
      <x:c r="D25" s="8" t="n">
        <x:f>IF($A25="","",$B$4+$B$5*C25^1+$B$6*C25^2+$B$7*C25^3+INDEX($E$4:$E$15,MONTH(A25)))</x:f>
        <x:v>301.8829991774695</x:v>
      </x:c>
      <x:c r="E25" s="8" t="n">
        <x:f>IF($A25="","",SQRT($T$403^2+H25^2))</x:f>
        <x:v>108.77400297938365</x:v>
      </x:c>
      <x:c r="F25" s="8" t="n">
        <x:f>IF($A25="","",D25-$T$404*E25)</x:f>
        <x:v>88.65979195306306</x:v>
      </x:c>
      <x:c r="G25" s="8" t="n">
        <x:f>IF($A25="","",D25+$T$404*E25)</x:f>
        <x:v>515.106206401876</x:v>
      </x:c>
      <x:c r="H25" s="8" t="n">
        <x:f>IF($A25="","",SQRT(MAX(0,(1)*$S$409*(1)+(1)*$T$409*(C25^1)+(1)*$U$409*(C25^2)+(1)*$V$409*(C25^3)+(C25^1)*$S$410*(1)+(C25^1)*$T$410*(C25^1)+(C25^1)*$U$410*(C25^2)+(C25^1)*$V$410*(C25^3)+(C25^2)*$S$411*(1)+(C25^2)*$T$411*(C25^1)+(C25^2)*$U$411*(C25^2)+(C25^2)*$V$411*(C25^3)+(C25^3)*$S$412*(1)+(C25^3)*$T$412*(C25^1)+(C25^3)*$U$412*(C25^2)+(C25^3)*$V$412*(C25^3)+2*((1)*INDEX($S$416:$V$427,MONTH(A25),1)+(C25^1)*INDEX($S$416:$V$427,MONTH(A25),2)+(C25^2)*INDEX($S$416:$V$427,MONTH(A25),3)+(C25^3)*INDEX($S$416:$V$427,MONTH(A25),4))+INDEX($W$416:$W$427,MONTH(A25)))))</x:f>
        <x:v>6.106002578224622</x:v>
      </x:c>
      <x:c r="I25" s="3"/>
      <x:c r="J25" s="10" t="n">
        <x:v>45876</x:v>
      </x:c>
      <x:c r="K25" s="8" t="n">
        <x:f>INDEX('Сводка'!$S$3:$S$397,U25)</x:f>
        <x:v>259</x:v>
      </x:c>
      <x:c r="L25" s="8" t="n">
        <x:f>INDEX('Сводка'!$S$3:$S$397,V25)</x:f>
        <x:v>253</x:v>
      </x:c>
      <x:c r="M25" s="8" t="n">
        <x:f>INDEX($K$388:$N$400,W25,1)+INDEX($K$388:$N$400,W25,2)*(2*(J25-$T$405)/(T25-$T$405)-1)^1+INDEX($K$388:$N$400,W25,3)*(2*(J25-$T$405)/(T25-$T$405)-1)^2+INDEX($K$388:$N$400,W25,4)*(2*(J25-$T$405)/(T25-$T$405)-1)^3+INDEX($O$388:$Z$400,W25,MONTH(J25))</x:f>
        <x:v>329.7203391037245</x:v>
      </x:c>
      <x:c r="N25" s="8" t="n">
        <x:f>K25-M25</x:f>
        <x:v>-70.72033910372448</x:v>
      </x:c>
      <x:c r="O25" s="8" t="n">
        <x:f>ABS(N25)</x:f>
        <x:v>70.72033910372448</x:v>
      </x:c>
      <x:c r="P25" s="8" t="n">
        <x:f>N25^2</x:f>
        <x:v>5001.366362945782</x:v>
      </x:c>
      <x:c r="Q25" s="8" t="n">
        <x:f>K25-L25</x:f>
        <x:v>6</x:v>
      </x:c>
      <x:c r="R25" s="9" t="n">
        <x:f>IF(AND(INDEX('Сводка'!$T$3:$T$397,U25)=0,INDEX('Сводка'!$T$3:$T$397,V25)=0),1,0)</x:f>
        <x:v>1</x:v>
      </x:c>
      <x:c r="S25" s="9" t="n">
        <x:f>IF(AND(R25=1,O25&lt;=$G$13),1,0)</x:f>
        <x:v>0</x:v>
      </x:c>
      <x:c r="T25" s="10" t="n">
        <x:f>EOMONTH(J25-'Сводка'!$B$11,-1)</x:f>
        <x:v>45869</x:v>
      </x:c>
      <x:c r="U25" s="4" t="n">
        <x:f>MATCH(J25,'Сводка'!$R$3:$R$397,0)</x:f>
        <x:v>36</x:v>
      </x:c>
      <x:c r="V25" s="4" t="n">
        <x:f>MATCH(J25-'Сводка'!$B$11,'Сводка'!$R$3:$R$397,0)</x:f>
        <x:v>35</x:v>
      </x:c>
      <x:c r="W25" s="4" t="n">
        <x:f>MATCH(T25,$J$388:$J$400,0)</x:f>
        <x:v>2</x:v>
      </x:c>
      <x:c r="X25" s="3"/>
      <x:c r="Y25" s="3"/>
      <x:c r="Z25" s="3"/>
    </x:row>
    <x:row r="26" ht="15" customHeight="1">
      <x:c r="A26" s="10" t="n">
        <x:f>IF(8&lt;='Сводка'!$B$3,'Сводка'!$B$4+8,"")</x:f>
        <x:v>46243</x:v>
      </x:c>
      <x:c r="B26" s="19" t="n">
        <x:f>IF($A26="","",(A26-$T$405+1)/1000)</x:f>
        <x:v>8.987</x:v>
      </x:c>
      <x:c r="C26" s="19" t="n">
        <x:f>IF($A26="","",2*(A26-$T$405)/$T$406-1)</x:f>
        <x:v>1.0017821341055915</x:v>
      </x:c>
      <x:c r="D26" s="8" t="n">
        <x:f>IF($A26="","",$B$4+$B$5*C26^1+$B$6*C26^2+$B$7*C26^3+INDEX($E$4:$E$15,MONTH(A26)))</x:f>
        <x:v>301.8513886358138</x:v>
      </x:c>
      <x:c r="E26" s="8" t="n">
        <x:f>IF($A26="","",SQRT($T$403^2+H26^2))</x:f>
        <x:v>108.77417413508833</x:v>
      </x:c>
      <x:c r="F26" s="8" t="n">
        <x:f>IF($A26="","",D26-$T$404*E26)</x:f>
        <x:v>88.62784590506129</x:v>
      </x:c>
      <x:c r="G26" s="8" t="n">
        <x:f>IF($A26="","",D26+$T$404*E26)</x:f>
        <x:v>515.0749313665663</x:v>
      </x:c>
      <x:c r="H26" s="8" t="n">
        <x:f>IF($A26="","",SQRT(MAX(0,(1)*$S$409*(1)+(1)*$T$409*(C26^1)+(1)*$U$409*(C26^2)+(1)*$V$409*(C26^3)+(C26^1)*$S$410*(1)+(C26^1)*$T$410*(C26^1)+(C26^1)*$U$410*(C26^2)+(C26^1)*$V$410*(C26^3)+(C26^2)*$S$411*(1)+(C26^2)*$T$411*(C26^1)+(C26^2)*$U$411*(C26^2)+(C26^2)*$V$411*(C26^3)+(C26^3)*$S$412*(1)+(C26^3)*$T$412*(C26^1)+(C26^3)*$U$412*(C26^2)+(C26^3)*$V$412*(C26^3)+2*((1)*INDEX($S$416:$V$427,MONTH(A26),1)+(C26^1)*INDEX($S$416:$V$427,MONTH(A26),2)+(C26^2)*INDEX($S$416:$V$427,MONTH(A26),3)+(C26^3)*INDEX($S$416:$V$427,MONTH(A26),4))+INDEX($W$416:$W$427,MONTH(A26)))))</x:f>
        <x:v>6.109050834364015</x:v>
      </x:c>
      <x:c r="I26" s="3"/>
      <x:c r="J26" s="10" t="n">
        <x:v>45877</x:v>
      </x:c>
      <x:c r="K26" s="8" t="n">
        <x:f>INDEX('Сводка'!$S$3:$S$397,U26)</x:f>
        <x:v>265</x:v>
      </x:c>
      <x:c r="L26" s="8" t="n">
        <x:f>INDEX('Сводка'!$S$3:$S$397,V26)</x:f>
        <x:v>259</x:v>
      </x:c>
      <x:c r="M26" s="8" t="n">
        <x:f>INDEX($K$388:$N$400,W26,1)+INDEX($K$388:$N$400,W26,2)*(2*(J26-$T$405)/(T26-$T$405)-1)^1+INDEX($K$388:$N$400,W26,3)*(2*(J26-$T$405)/(T26-$T$405)-1)^2+INDEX($K$388:$N$400,W26,4)*(2*(J26-$T$405)/(T26-$T$405)-1)^3+INDEX($O$388:$Z$400,W26,MONTH(J26))</x:f>
        <x:v>329.7095466654425</x:v>
      </x:c>
      <x:c r="N26" s="8" t="n">
        <x:f>K26-M26</x:f>
        <x:v>-64.70954666544247</x:v>
      </x:c>
      <x:c r="O26" s="8" t="n">
        <x:f>ABS(N26)</x:f>
        <x:v>64.70954666544247</x:v>
      </x:c>
      <x:c r="P26" s="8" t="n">
        <x:f>N26^2</x:f>
        <x:v>4187.325429647077</x:v>
      </x:c>
      <x:c r="Q26" s="8" t="n">
        <x:f>K26-L26</x:f>
        <x:v>6</x:v>
      </x:c>
      <x:c r="R26" s="9" t="n">
        <x:f>IF(AND(INDEX('Сводка'!$T$3:$T$397,U26)=0,INDEX('Сводка'!$T$3:$T$397,V26)=0),1,0)</x:f>
        <x:v>1</x:v>
      </x:c>
      <x:c r="S26" s="9" t="n">
        <x:f>IF(AND(R26=1,O26&lt;=$G$13),1,0)</x:f>
        <x:v>0</x:v>
      </x:c>
      <x:c r="T26" s="10" t="n">
        <x:f>EOMONTH(J26-'Сводка'!$B$11,-1)</x:f>
        <x:v>45869</x:v>
      </x:c>
      <x:c r="U26" s="4" t="n">
        <x:f>MATCH(J26,'Сводка'!$R$3:$R$397,0)</x:f>
        <x:v>37</x:v>
      </x:c>
      <x:c r="V26" s="4" t="n">
        <x:f>MATCH(J26-'Сводка'!$B$11,'Сводка'!$R$3:$R$397,0)</x:f>
        <x:v>36</x:v>
      </x:c>
      <x:c r="W26" s="4" t="n">
        <x:f>MATCH(T26,$J$388:$J$400,0)</x:f>
        <x:v>2</x:v>
      </x:c>
      <x:c r="X26" s="3"/>
      <x:c r="Y26" s="3"/>
      <x:c r="Z26" s="3"/>
    </x:row>
    <x:row r="27" ht="15" customHeight="1">
      <x:c r="A27" s="10" t="n">
        <x:f>IF(9&lt;='Сводка'!$B$3,'Сводка'!$B$4+9,"")</x:f>
        <x:v>46244</x:v>
      </x:c>
      <x:c r="B27" s="19" t="n">
        <x:f>IF($A27="","",(A27-$T$405+1)/1000)</x:f>
        <x:v>8.988</x:v>
      </x:c>
      <x:c r="C27" s="19" t="n">
        <x:f>IF($A27="","",2*(A27-$T$405)/$T$406-1)</x:f>
        <x:v>1.0020049008687906</x:v>
      </x:c>
      <x:c r="D27" s="8" t="n">
        <x:f>IF($A27="","",$B$4+$B$5*C27^1+$B$6*C27^2+$B$7*C27^3+INDEX($E$4:$E$15,MONTH(A27)))</x:f>
        <x:v>301.8197600324336</x:v>
      </x:c>
      <x:c r="E27" s="8" t="n">
        <x:f>IF($A27="","",SQRT($T$403^2+H27^2))</x:f>
        <x:v>108.77434555365754</x:v>
      </x:c>
      <x:c r="F27" s="8" t="n">
        <x:f>IF($A27="","",D27-$T$404*E27)</x:f>
        <x:v>88.59588128005728</x:v>
      </x:c>
      <x:c r="G27" s="8" t="n">
        <x:f>IF($A27="","",D27+$T$404*E27)</x:f>
        <x:v>515.0436387848099</x:v>
      </x:c>
      <x:c r="H27" s="8" t="n">
        <x:f>IF($A27="","",SQRT(MAX(0,(1)*$S$409*(1)+(1)*$T$409*(C27^1)+(1)*$U$409*(C27^2)+(1)*$V$409*(C27^3)+(C27^1)*$S$410*(1)+(C27^1)*$T$410*(C27^1)+(C27^1)*$U$410*(C27^2)+(C27^1)*$V$410*(C27^3)+(C27^2)*$S$411*(1)+(C27^2)*$T$411*(C27^1)+(C27^2)*$U$411*(C27^2)+(C27^2)*$V$411*(C27^3)+(C27^3)*$S$412*(1)+(C27^3)*$T$412*(C27^1)+(C27^3)*$U$412*(C27^2)+(C27^3)*$V$412*(C27^3)+2*((1)*INDEX($S$416:$V$427,MONTH(A27),1)+(C27^1)*INDEX($S$416:$V$427,MONTH(A27),2)+(C27^2)*INDEX($S$416:$V$427,MONTH(A27),3)+(C27^3)*INDEX($S$416:$V$427,MONTH(A27),4))+INDEX($W$416:$W$427,MONTH(A27)))))</x:f>
        <x:v>6.112102253138464</x:v>
      </x:c>
      <x:c r="I27" s="3"/>
      <x:c r="J27" s="10" t="n">
        <x:v>45878</x:v>
      </x:c>
      <x:c r="K27" s="8" t="n">
        <x:f>INDEX('Сводка'!$S$3:$S$397,U27)</x:f>
        <x:v>276</x:v>
      </x:c>
      <x:c r="L27" s="8" t="n">
        <x:f>INDEX('Сводка'!$S$3:$S$397,V27)</x:f>
        <x:v>265</x:v>
      </x:c>
      <x:c r="M27" s="8" t="n">
        <x:f>INDEX($K$388:$N$400,W27,1)+INDEX($K$388:$N$400,W27,2)*(2*(J27-$T$405)/(T27-$T$405)-1)^1+INDEX($K$388:$N$400,W27,3)*(2*(J27-$T$405)/(T27-$T$405)-1)^2+INDEX($K$388:$N$400,W27,4)*(2*(J27-$T$405)/(T27-$T$405)-1)^3+INDEX($O$388:$Z$400,W27,MONTH(J27))</x:f>
        <x:v>329.69874377883167</x:v>
      </x:c>
      <x:c r="N27" s="8" t="n">
        <x:f>K27-M27</x:f>
        <x:v>-53.69874377883167</x:v>
      </x:c>
      <x:c r="O27" s="8" t="n">
        <x:f>ABS(N27)</x:f>
        <x:v>53.69874377883167</x:v>
      </x:c>
      <x:c r="P27" s="8" t="n">
        <x:f>N27^2</x:f>
        <x:v>2883.555083424613</x:v>
      </x:c>
      <x:c r="Q27" s="8" t="n">
        <x:f>K27-L27</x:f>
        <x:v>11</x:v>
      </x:c>
      <x:c r="R27" s="9" t="n">
        <x:f>IF(AND(INDEX('Сводка'!$T$3:$T$397,U27)=0,INDEX('Сводка'!$T$3:$T$397,V27)=0),1,0)</x:f>
        <x:v>1</x:v>
      </x:c>
      <x:c r="S27" s="9" t="n">
        <x:f>IF(AND(R27=1,O27&lt;=$G$13),1,0)</x:f>
        <x:v>0</x:v>
      </x:c>
      <x:c r="T27" s="10" t="n">
        <x:f>EOMONTH(J27-'Сводка'!$B$11,-1)</x:f>
        <x:v>45869</x:v>
      </x:c>
      <x:c r="U27" s="4" t="n">
        <x:f>MATCH(J27,'Сводка'!$R$3:$R$397,0)</x:f>
        <x:v>38</x:v>
      </x:c>
      <x:c r="V27" s="4" t="n">
        <x:f>MATCH(J27-'Сводка'!$B$11,'Сводка'!$R$3:$R$397,0)</x:f>
        <x:v>37</x:v>
      </x:c>
      <x:c r="W27" s="4" t="n">
        <x:f>MATCH(T27,$J$388:$J$400,0)</x:f>
        <x:v>2</x:v>
      </x:c>
      <x:c r="X27" s="3"/>
      <x:c r="Y27" s="3"/>
      <x:c r="Z27" s="3"/>
    </x:row>
    <x:row r="28" ht="15" customHeight="1">
      <x:c r="A28" s="10" t="n">
        <x:f>IF(10&lt;='Сводка'!$B$3,'Сводка'!$B$4+10,"")</x:f>
        <x:v>46245</x:v>
      </x:c>
      <x:c r="B28" s="19" t="n">
        <x:f>IF($A28="","",(A28-$T$405+1)/1000)</x:f>
        <x:v>8.989</x:v>
      </x:c>
      <x:c r="C28" s="19" t="n">
        <x:f>IF($A28="","",2*(A28-$T$405)/$T$406-1)</x:f>
        <x:v>1.0022276676319892</x:v>
      </x:c>
      <x:c r="D28" s="8" t="n">
        <x:f>IF($A28="","",$B$4+$B$5*C28^1+$B$6*C28^2+$B$7*C28^3+INDEX($E$4:$E$15,MONTH(A28)))</x:f>
        <x:v>301.78811336480834</x:v>
      </x:c>
      <x:c r="E28" s="8" t="n">
        <x:f>IF($A28="","",SQRT($T$403^2+H28^2))</x:f>
        <x:v>108.77451723538583</x:v>
      </x:c>
      <x:c r="F28" s="8" t="n">
        <x:f>IF($A28="","",D28-$T$404*E28)</x:f>
        <x:v>88.56389807495319</x:v>
      </x:c>
      <x:c r="G28" s="8" t="n">
        <x:f>IF($A28="","",D28+$T$404*E28)</x:f>
        <x:v>515.0123286546635</x:v>
      </x:c>
      <x:c r="H28" s="8" t="n">
        <x:f>IF($A28="","",SQRT(MAX(0,(1)*$S$409*(1)+(1)*$T$409*(C28^1)+(1)*$U$409*(C28^2)+(1)*$V$409*(C28^3)+(C28^1)*$S$410*(1)+(C28^1)*$T$410*(C28^1)+(C28^1)*$U$410*(C28^2)+(C28^1)*$V$410*(C28^3)+(C28^2)*$S$411*(1)+(C28^2)*$T$411*(C28^1)+(C28^2)*$U$411*(C28^2)+(C28^2)*$V$411*(C28^3)+(C28^3)*$S$412*(1)+(C28^3)*$T$412*(C28^1)+(C28^3)*$U$412*(C28^2)+(C28^3)*$V$412*(C28^3)+2*((1)*INDEX($S$416:$V$427,MONTH(A28),1)+(C28^1)*INDEX($S$416:$V$427,MONTH(A28),2)+(C28^2)*INDEX($S$416:$V$427,MONTH(A28),3)+(C28^3)*INDEX($S$416:$V$427,MONTH(A28),4))+INDEX($W$416:$W$427,MONTH(A28)))))</x:f>
        <x:v>6.115156835075665</x:v>
      </x:c>
      <x:c r="I28" s="3"/>
      <x:c r="J28" s="10" t="n">
        <x:v>45879</x:v>
      </x:c>
      <x:c r="K28" s="8" t="n">
        <x:f>INDEX('Сводка'!$S$3:$S$397,U28)</x:f>
        <x:v>290</x:v>
      </x:c>
      <x:c r="L28" s="8" t="n">
        <x:f>INDEX('Сводка'!$S$3:$S$397,V28)</x:f>
        <x:v>276</x:v>
      </x:c>
      <x:c r="M28" s="8" t="n">
        <x:f>INDEX($K$388:$N$400,W28,1)+INDEX($K$388:$N$400,W28,2)*(2*(J28-$T$405)/(T28-$T$405)-1)^1+INDEX($K$388:$N$400,W28,3)*(2*(J28-$T$405)/(T28-$T$405)-1)^2+INDEX($K$388:$N$400,W28,4)*(2*(J28-$T$405)/(T28-$T$405)-1)^3+INDEX($O$388:$Z$400,W28,MONTH(J28))</x:f>
        <x:v>329.68793044273264</x:v>
      </x:c>
      <x:c r="N28" s="8" t="n">
        <x:f>K28-M28</x:f>
        <x:v>-39.687930442732636</x:v>
      </x:c>
      <x:c r="O28" s="8" t="n">
        <x:f>ABS(N28)</x:f>
        <x:v>39.687930442732636</x:v>
      </x:c>
      <x:c r="P28" s="8" t="n">
        <x:f>N28^2</x:f>
        <x:v>1575.131822827184</x:v>
      </x:c>
      <x:c r="Q28" s="8" t="n">
        <x:f>K28-L28</x:f>
        <x:v>14</x:v>
      </x:c>
      <x:c r="R28" s="9" t="n">
        <x:f>IF(AND(INDEX('Сводка'!$T$3:$T$397,U28)=0,INDEX('Сводка'!$T$3:$T$397,V28)=0),1,0)</x:f>
        <x:v>1</x:v>
      </x:c>
      <x:c r="S28" s="9" t="n">
        <x:f>IF(AND(R28=1,O28&lt;=$G$13),1,0)</x:f>
        <x:v>0</x:v>
      </x:c>
      <x:c r="T28" s="10" t="n">
        <x:f>EOMONTH(J28-'Сводка'!$B$11,-1)</x:f>
        <x:v>45869</x:v>
      </x:c>
      <x:c r="U28" s="4" t="n">
        <x:f>MATCH(J28,'Сводка'!$R$3:$R$397,0)</x:f>
        <x:v>39</x:v>
      </x:c>
      <x:c r="V28" s="4" t="n">
        <x:f>MATCH(J28-'Сводка'!$B$11,'Сводка'!$R$3:$R$397,0)</x:f>
        <x:v>38</x:v>
      </x:c>
      <x:c r="W28" s="4" t="n">
        <x:f>MATCH(T28,$J$388:$J$400,0)</x:f>
        <x:v>2</x:v>
      </x:c>
      <x:c r="X28" s="3"/>
      <x:c r="Y28" s="3"/>
      <x:c r="Z28" s="3"/>
    </x:row>
    <x:row r="29" ht="15" customHeight="1">
      <x:c r="A29" s="10" t="n">
        <x:f>IF(11&lt;='Сводка'!$B$3,'Сводка'!$B$4+11,"")</x:f>
        <x:v>46246</x:v>
      </x:c>
      <x:c r="B29" s="19" t="n">
        <x:f>IF($A29="","",(A29-$T$405+1)/1000)</x:f>
        <x:v>8.99</x:v>
      </x:c>
      <x:c r="C29" s="19" t="n">
        <x:f>IF($A29="","",2*(A29-$T$405)/$T$406-1)</x:f>
        <x:v>1.0024504343951883</x:v>
      </x:c>
      <x:c r="D29" s="8" t="n">
        <x:f>IF($A29="","",$B$4+$B$5*C29^1+$B$6*C29^2+$B$7*C29^3+INDEX($E$4:$E$15,MONTH(A29)))</x:f>
        <x:v>301.75644863041737</x:v>
      </x:c>
      <x:c r="E29" s="8" t="n">
        <x:f>IF($A29="","",SQRT($T$403^2+H29^2))</x:f>
        <x:v>108.77468918056803</x:v>
      </x:c>
      <x:c r="F29" s="8" t="n">
        <x:f>IF($A29="","",D29-$T$404*E29)</x:f>
        <x:v>88.53189628665032</x:v>
      </x:c>
      <x:c r="G29" s="8" t="n">
        <x:f>IF($A29="","",D29+$T$404*E29)</x:f>
        <x:v>514.9810009741844</x:v>
      </x:c>
      <x:c r="H29" s="8" t="n">
        <x:f>IF($A29="","",SQRT(MAX(0,(1)*$S$409*(1)+(1)*$T$409*(C29^1)+(1)*$U$409*(C29^2)+(1)*$V$409*(C29^3)+(C29^1)*$S$410*(1)+(C29^1)*$T$410*(C29^1)+(C29^1)*$U$410*(C29^2)+(C29^1)*$V$410*(C29^3)+(C29^2)*$S$411*(1)+(C29^2)*$T$411*(C29^1)+(C29^2)*$U$411*(C29^2)+(C29^2)*$V$411*(C29^3)+(C29^3)*$S$412*(1)+(C29^3)*$T$412*(C29^1)+(C29^3)*$U$412*(C29^2)+(C29^3)*$V$412*(C29^3)+2*((1)*INDEX($S$416:$V$427,MONTH(A29),1)+(C29^1)*INDEX($S$416:$V$427,MONTH(A29),2)+(C29^2)*INDEX($S$416:$V$427,MONTH(A29),3)+(C29^3)*INDEX($S$416:$V$427,MONTH(A29),4))+INDEX($W$416:$W$427,MONTH(A29)))))</x:f>
        <x:v>6.118214580701424</x:v>
      </x:c>
      <x:c r="I29" s="3"/>
      <x:c r="J29" s="10" t="n">
        <x:v>45880</x:v>
      </x:c>
      <x:c r="K29" s="8" t="n">
        <x:f>INDEX('Сводка'!$S$3:$S$397,U29)</x:f>
        <x:v>303</x:v>
      </x:c>
      <x:c r="L29" s="8" t="n">
        <x:f>INDEX('Сводка'!$S$3:$S$397,V29)</x:f>
        <x:v>290</x:v>
      </x:c>
      <x:c r="M29" s="8" t="n">
        <x:f>INDEX($K$388:$N$400,W29,1)+INDEX($K$388:$N$400,W29,2)*(2*(J29-$T$405)/(T29-$T$405)-1)^1+INDEX($K$388:$N$400,W29,3)*(2*(J29-$T$405)/(T29-$T$405)-1)^2+INDEX($K$388:$N$400,W29,4)*(2*(J29-$T$405)/(T29-$T$405)-1)^3+INDEX($O$388:$Z$400,W29,MONTH(J29))</x:f>
        <x:v>329.67710665598605</x:v>
      </x:c>
      <x:c r="N29" s="8" t="n">
        <x:f>K29-M29</x:f>
        <x:v>-26.67710665598605</x:v>
      </x:c>
      <x:c r="O29" s="8" t="n">
        <x:f>ABS(N29)</x:f>
        <x:v>26.67710665598605</x:v>
      </x:c>
      <x:c r="P29" s="8" t="n">
        <x:f>N29^2</x:f>
        <x:v>711.6680195348553</x:v>
      </x:c>
      <x:c r="Q29" s="8" t="n">
        <x:f>K29-L29</x:f>
        <x:v>13</x:v>
      </x:c>
      <x:c r="R29" s="9" t="n">
        <x:f>IF(AND(INDEX('Сводка'!$T$3:$T$397,U29)=0,INDEX('Сводка'!$T$3:$T$397,V29)=0),1,0)</x:f>
        <x:v>1</x:v>
      </x:c>
      <x:c r="S29" s="9" t="n">
        <x:f>IF(AND(R29=1,O29&lt;=$G$13),1,0)</x:f>
        <x:v>0</x:v>
      </x:c>
      <x:c r="T29" s="10" t="n">
        <x:f>EOMONTH(J29-'Сводка'!$B$11,-1)</x:f>
        <x:v>45869</x:v>
      </x:c>
      <x:c r="U29" s="4" t="n">
        <x:f>MATCH(J29,'Сводка'!$R$3:$R$397,0)</x:f>
        <x:v>40</x:v>
      </x:c>
      <x:c r="V29" s="4" t="n">
        <x:f>MATCH(J29-'Сводка'!$B$11,'Сводка'!$R$3:$R$397,0)</x:f>
        <x:v>39</x:v>
      </x:c>
      <x:c r="W29" s="4" t="n">
        <x:f>MATCH(T29,$J$388:$J$400,0)</x:f>
        <x:v>2</x:v>
      </x:c>
      <x:c r="X29" s="3"/>
      <x:c r="Y29" s="3"/>
      <x:c r="Z29" s="3"/>
    </x:row>
    <x:row r="30" ht="15" customHeight="1">
      <x:c r="A30" s="10" t="n">
        <x:f>IF(12&lt;='Сводка'!$B$3,'Сводка'!$B$4+12,"")</x:f>
        <x:v>46247</x:v>
      </x:c>
      <x:c r="B30" s="19" t="n">
        <x:f>IF($A30="","",(A30-$T$405+1)/1000)</x:f>
        <x:v>8.991</x:v>
      </x:c>
      <x:c r="C30" s="19" t="n">
        <x:f>IF($A30="","",2*(A30-$T$405)/$T$406-1)</x:f>
        <x:v>1.002673201158387</x:v>
      </x:c>
      <x:c r="D30" s="8" t="n">
        <x:f>IF($A30="","",$B$4+$B$5*C30^1+$B$6*C30^2+$B$7*C30^3+INDEX($E$4:$E$15,MONTH(A30)))</x:f>
        <x:v>301.72476582674017</x:v>
      </x:c>
      <x:c r="E30" s="8" t="n">
        <x:f>IF($A30="","",SQRT($T$403^2+H30^2))</x:f>
        <x:v>108.77486138949916</x:v>
      </x:c>
      <x:c r="F30" s="8" t="n">
        <x:f>IF($A30="","",D30-$T$404*E30)</x:f>
        <x:v>88.4998759120499</x:v>
      </x:c>
      <x:c r="G30" s="8" t="n">
        <x:f>IF($A30="","",D30+$T$404*E30)</x:f>
        <x:v>514.9496557414304</x:v>
      </x:c>
      <x:c r="H30" s="8" t="n">
        <x:f>IF($A30="","",SQRT(MAX(0,(1)*$S$409*(1)+(1)*$T$409*(C30^1)+(1)*$U$409*(C30^2)+(1)*$V$409*(C30^3)+(C30^1)*$S$410*(1)+(C30^1)*$T$410*(C30^1)+(C30^1)*$U$410*(C30^2)+(C30^1)*$V$410*(C30^3)+(C30^2)*$S$411*(1)+(C30^2)*$T$411*(C30^1)+(C30^2)*$U$411*(C30^2)+(C30^2)*$V$411*(C30^3)+(C30^3)*$S$412*(1)+(C30^3)*$T$412*(C30^1)+(C30^3)*$U$412*(C30^2)+(C30^3)*$V$412*(C30^3)+2*((1)*INDEX($S$416:$V$427,MONTH(A30),1)+(C30^1)*INDEX($S$416:$V$427,MONTH(A30),2)+(C30^2)*INDEX($S$416:$V$427,MONTH(A30),3)+(C30^3)*INDEX($S$416:$V$427,MONTH(A30),4))+INDEX($W$416:$W$427,MONTH(A30)))))</x:f>
        <x:v>6.121275490539614</x:v>
      </x:c>
      <x:c r="I30" s="3"/>
      <x:c r="J30" s="10" t="n">
        <x:v>45881</x:v>
      </x:c>
      <x:c r="K30" s="8" t="n">
        <x:f>INDEX('Сводка'!$S$3:$S$397,U30)</x:f>
        <x:v>315</x:v>
      </x:c>
      <x:c r="L30" s="8" t="n">
        <x:f>INDEX('Сводка'!$S$3:$S$397,V30)</x:f>
        <x:v>303</x:v>
      </x:c>
      <x:c r="M30" s="8" t="n">
        <x:f>INDEX($K$388:$N$400,W30,1)+INDEX($K$388:$N$400,W30,2)*(2*(J30-$T$405)/(T30-$T$405)-1)^1+INDEX($K$388:$N$400,W30,3)*(2*(J30-$T$405)/(T30-$T$405)-1)^2+INDEX($K$388:$N$400,W30,4)*(2*(J30-$T$405)/(T30-$T$405)-1)^3+INDEX($O$388:$Z$400,W30,MONTH(J30))</x:f>
        <x:v>329.66627241743254</x:v>
      </x:c>
      <x:c r="N30" s="8" t="n">
        <x:f>K30-M30</x:f>
        <x:v>-14.666272417432538</x:v>
      </x:c>
      <x:c r="O30" s="8" t="n">
        <x:f>ABS(N30)</x:f>
        <x:v>14.666272417432538</x:v>
      </x:c>
      <x:c r="P30" s="8" t="n">
        <x:f>N30^2</x:f>
        <x:v>215.09954662234244</x:v>
      </x:c>
      <x:c r="Q30" s="8" t="n">
        <x:f>K30-L30</x:f>
        <x:v>12</x:v>
      </x:c>
      <x:c r="R30" s="9" t="n">
        <x:f>IF(AND(INDEX('Сводка'!$T$3:$T$397,U30)=0,INDEX('Сводка'!$T$3:$T$397,V30)=0),1,0)</x:f>
        <x:v>1</x:v>
      </x:c>
      <x:c r="S30" s="9" t="n">
        <x:f>IF(AND(R30=1,O30&lt;=$G$13),1,0)</x:f>
        <x:v>0</x:v>
      </x:c>
      <x:c r="T30" s="10" t="n">
        <x:f>EOMONTH(J30-'Сводка'!$B$11,-1)</x:f>
        <x:v>45869</x:v>
      </x:c>
      <x:c r="U30" s="4" t="n">
        <x:f>MATCH(J30,'Сводка'!$R$3:$R$397,0)</x:f>
        <x:v>41</x:v>
      </x:c>
      <x:c r="V30" s="4" t="n">
        <x:f>MATCH(J30-'Сводка'!$B$11,'Сводка'!$R$3:$R$397,0)</x:f>
        <x:v>40</x:v>
      </x:c>
      <x:c r="W30" s="4" t="n">
        <x:f>MATCH(T30,$J$388:$J$400,0)</x:f>
        <x:v>2</x:v>
      </x:c>
      <x:c r="X30" s="3"/>
      <x:c r="Y30" s="3"/>
      <x:c r="Z30" s="3"/>
    </x:row>
    <x:row r="31" ht="15" customHeight="1">
      <x:c r="A31" s="10" t="n">
        <x:f>IF(13&lt;='Сводка'!$B$3,'Сводка'!$B$4+13,"")</x:f>
        <x:v>46248</x:v>
      </x:c>
      <x:c r="B31" s="19" t="n">
        <x:f>IF($A31="","",(A31-$T$405+1)/1000)</x:f>
        <x:v>8.992</x:v>
      </x:c>
      <x:c r="C31" s="19" t="n">
        <x:f>IF($A31="","",2*(A31-$T$405)/$T$406-1)</x:f>
        <x:v>1.002895967921586</x:v>
      </x:c>
      <x:c r="D31" s="8" t="n">
        <x:f>IF($A31="","",$B$4+$B$5*C31^1+$B$6*C31^2+$B$7*C31^3+INDEX($E$4:$E$15,MONTH(A31)))</x:f>
        <x:v>301.69306495125596</x:v>
      </x:c>
      <x:c r="E31" s="8" t="n">
        <x:f>IF($A31="","",SQRT($T$403^2+H31^2))</x:f>
        <x:v>108.77503386247452</x:v>
      </x:c>
      <x:c r="F31" s="8" t="n">
        <x:f>IF($A31="","",D31-$T$404*E31)</x:f>
        <x:v>88.46783694805231</x:v>
      </x:c>
      <x:c r="G31" s="8" t="n">
        <x:f>IF($A31="","",D31+$T$404*E31)</x:f>
        <x:v>514.9182929544596</x:v>
      </x:c>
      <x:c r="H31" s="8" t="n">
        <x:f>IF($A31="","",SQRT(MAX(0,(1)*$S$409*(1)+(1)*$T$409*(C31^1)+(1)*$U$409*(C31^2)+(1)*$V$409*(C31^3)+(C31^1)*$S$410*(1)+(C31^1)*$T$410*(C31^1)+(C31^1)*$U$410*(C31^2)+(C31^1)*$V$410*(C31^3)+(C31^2)*$S$411*(1)+(C31^2)*$T$411*(C31^1)+(C31^2)*$U$411*(C31^2)+(C31^2)*$V$411*(C31^3)+(C31^3)*$S$412*(1)+(C31^3)*$T$412*(C31^1)+(C31^3)*$U$412*(C31^2)+(C31^3)*$V$412*(C31^3)+2*((1)*INDEX($S$416:$V$427,MONTH(A31),1)+(C31^1)*INDEX($S$416:$V$427,MONTH(A31),2)+(C31^2)*INDEX($S$416:$V$427,MONTH(A31),3)+(C31^3)*INDEX($S$416:$V$427,MONTH(A31),4))+INDEX($W$416:$W$427,MONTH(A31)))))</x:f>
        <x:v>6.124339565112237</x:v>
      </x:c>
      <x:c r="I31" s="3"/>
      <x:c r="J31" s="10" t="n">
        <x:v>45882</x:v>
      </x:c>
      <x:c r="K31" s="8" t="n">
        <x:f>INDEX('Сводка'!$S$3:$S$397,U31)</x:f>
        <x:v>323</x:v>
      </x:c>
      <x:c r="L31" s="8" t="n">
        <x:f>INDEX('Сводка'!$S$3:$S$397,V31)</x:f>
        <x:v>315</x:v>
      </x:c>
      <x:c r="M31" s="8" t="n">
        <x:f>INDEX($K$388:$N$400,W31,1)+INDEX($K$388:$N$400,W31,2)*(2*(J31-$T$405)/(T31-$T$405)-1)^1+INDEX($K$388:$N$400,W31,3)*(2*(J31-$T$405)/(T31-$T$405)-1)^2+INDEX($K$388:$N$400,W31,4)*(2*(J31-$T$405)/(T31-$T$405)-1)^3+INDEX($O$388:$Z$400,W31,MONTH(J31))</x:f>
        <x:v>329.6554277259128</x:v>
      </x:c>
      <x:c r="N31" s="8" t="n">
        <x:f>K31-M31</x:f>
        <x:v>-6.655427725912773</x:v>
      </x:c>
      <x:c r="O31" s="8" t="n">
        <x:f>ABS(N31)</x:f>
        <x:v>6.655427725912773</x:v>
      </x:c>
      <x:c r="P31" s="8" t="n">
        <x:f>N31^2</x:f>
        <x:v>44.294718214848466</x:v>
      </x:c>
      <x:c r="Q31" s="8" t="n">
        <x:f>K31-L31</x:f>
        <x:v>8</x:v>
      </x:c>
      <x:c r="R31" s="9" t="n">
        <x:f>IF(AND(INDEX('Сводка'!$T$3:$T$397,U31)=0,INDEX('Сводка'!$T$3:$T$397,V31)=0),1,0)</x:f>
        <x:v>1</x:v>
      </x:c>
      <x:c r="S31" s="9" t="n">
        <x:f>IF(AND(R31=1,O31&lt;=$G$13),1,0)</x:f>
        <x:v>1</x:v>
      </x:c>
      <x:c r="T31" s="10" t="n">
        <x:f>EOMONTH(J31-'Сводка'!$B$11,-1)</x:f>
        <x:v>45869</x:v>
      </x:c>
      <x:c r="U31" s="4" t="n">
        <x:f>MATCH(J31,'Сводка'!$R$3:$R$397,0)</x:f>
        <x:v>42</x:v>
      </x:c>
      <x:c r="V31" s="4" t="n">
        <x:f>MATCH(J31-'Сводка'!$B$11,'Сводка'!$R$3:$R$397,0)</x:f>
        <x:v>41</x:v>
      </x:c>
      <x:c r="W31" s="4" t="n">
        <x:f>MATCH(T31,$J$388:$J$400,0)</x:f>
        <x:v>2</x:v>
      </x:c>
      <x:c r="X31" s="3"/>
      <x:c r="Y31" s="3"/>
      <x:c r="Z31" s="3"/>
    </x:row>
    <x:row r="32" ht="15" customHeight="1">
      <x:c r="A32" s="10" t="n">
        <x:f>IF(14&lt;='Сводка'!$B$3,'Сводка'!$B$4+14,"")</x:f>
        <x:v>46249</x:v>
      </x:c>
      <x:c r="B32" s="19" t="n">
        <x:f>IF($A32="","",(A32-$T$405+1)/1000)</x:f>
        <x:v>8.993</x:v>
      </x:c>
      <x:c r="C32" s="19" t="n">
        <x:f>IF($A32="","",2*(A32-$T$405)/$T$406-1)</x:f>
        <x:v>1.0031187346847852</x:v>
      </x:c>
      <x:c r="D32" s="8" t="n">
        <x:f>IF($A32="","",$B$4+$B$5*C32^1+$B$6*C32^2+$B$7*C32^3+INDEX($E$4:$E$15,MONTH(A32)))</x:f>
        <x:v>301.66134600144426</x:v>
      </x:c>
      <x:c r="E32" s="8" t="n">
        <x:f>IF($A32="","",SQRT($T$403^2+H32^2))</x:f>
        <x:v>108.77520659978953</x:v>
      </x:c>
      <x:c r="F32" s="8" t="n">
        <x:f>IF($A32="","",D32-$T$404*E32)</x:f>
        <x:v>88.4357793915579</x:v>
      </x:c>
      <x:c r="G32" s="8" t="n">
        <x:f>IF($A32="","",D32+$T$404*E32)</x:f>
        <x:v>514.8869126113307</x:v>
      </x:c>
      <x:c r="H32" s="8" t="n">
        <x:f>IF($A32="","",SQRT(MAX(0,(1)*$S$409*(1)+(1)*$T$409*(C32^1)+(1)*$U$409*(C32^2)+(1)*$V$409*(C32^3)+(C32^1)*$S$410*(1)+(C32^1)*$T$410*(C32^1)+(C32^1)*$U$410*(C32^2)+(C32^1)*$V$410*(C32^3)+(C32^2)*$S$411*(1)+(C32^2)*$T$411*(C32^1)+(C32^2)*$U$411*(C32^2)+(C32^2)*$V$411*(C32^3)+(C32^3)*$S$412*(1)+(C32^3)*$T$412*(C32^1)+(C32^3)*$U$412*(C32^2)+(C32^3)*$V$412*(C32^3)+2*((1)*INDEX($S$416:$V$427,MONTH(A32),1)+(C32^1)*INDEX($S$416:$V$427,MONTH(A32),2)+(C32^2)*INDEX($S$416:$V$427,MONTH(A32),3)+(C32^3)*INDEX($S$416:$V$427,MONTH(A32),4))+INDEX($W$416:$W$427,MONTH(A32)))))</x:f>
        <x:v>6.127406804939377</x:v>
      </x:c>
      <x:c r="I32" s="3"/>
      <x:c r="J32" s="10" t="n">
        <x:v>45883</x:v>
      </x:c>
      <x:c r="K32" s="8" t="n">
        <x:f>INDEX('Сводка'!$S$3:$S$397,U32)</x:f>
        <x:v>327</x:v>
      </x:c>
      <x:c r="L32" s="8" t="n">
        <x:f>INDEX('Сводка'!$S$3:$S$397,V32)</x:f>
        <x:v>323</x:v>
      </x:c>
      <x:c r="M32" s="8" t="n">
        <x:f>INDEX($K$388:$N$400,W32,1)+INDEX($K$388:$N$400,W32,2)*(2*(J32-$T$405)/(T32-$T$405)-1)^1+INDEX($K$388:$N$400,W32,3)*(2*(J32-$T$405)/(T32-$T$405)-1)^2+INDEX($K$388:$N$400,W32,4)*(2*(J32-$T$405)/(T32-$T$405)-1)^3+INDEX($O$388:$Z$400,W32,MONTH(J32))</x:f>
        <x:v>329.6445725802672</x:v>
      </x:c>
      <x:c r="N32" s="8" t="n">
        <x:f>K32-M32</x:f>
        <x:v>-2.6445725802672087</x:v>
      </x:c>
      <x:c r="O32" s="8" t="n">
        <x:f>ABS(N32)</x:f>
        <x:v>2.6445725802672087</x:v>
      </x:c>
      <x:c r="P32" s="8" t="n">
        <x:f>N32^2</x:f>
        <x:v>6.993764132301162</x:v>
      </x:c>
      <x:c r="Q32" s="8" t="n">
        <x:f>K32-L32</x:f>
        <x:v>4</x:v>
      </x:c>
      <x:c r="R32" s="9" t="n">
        <x:f>IF(AND(INDEX('Сводка'!$T$3:$T$397,U32)=0,INDEX('Сводка'!$T$3:$T$397,V32)=0),1,0)</x:f>
        <x:v>1</x:v>
      </x:c>
      <x:c r="S32" s="9" t="n">
        <x:f>IF(AND(R32=1,O32&lt;=$G$13),1,0)</x:f>
        <x:v>1</x:v>
      </x:c>
      <x:c r="T32" s="10" t="n">
        <x:f>EOMONTH(J32-'Сводка'!$B$11,-1)</x:f>
        <x:v>45869</x:v>
      </x:c>
      <x:c r="U32" s="4" t="n">
        <x:f>MATCH(J32,'Сводка'!$R$3:$R$397,0)</x:f>
        <x:v>43</x:v>
      </x:c>
      <x:c r="V32" s="4" t="n">
        <x:f>MATCH(J32-'Сводка'!$B$11,'Сводка'!$R$3:$R$397,0)</x:f>
        <x:v>42</x:v>
      </x:c>
      <x:c r="W32" s="4" t="n">
        <x:f>MATCH(T32,$J$388:$J$400,0)</x:f>
        <x:v>2</x:v>
      </x:c>
      <x:c r="X32" s="3"/>
      <x:c r="Y32" s="3"/>
      <x:c r="Z32" s="3"/>
    </x:row>
    <x:row r="33" ht="15" customHeight="1">
      <x:c r="A33" s="10" t="n">
        <x:f>IF(15&lt;='Сводка'!$B$3,'Сводка'!$B$4+15,"")</x:f>
        <x:v>46250</x:v>
      </x:c>
      <x:c r="B33" s="19" t="n">
        <x:f>IF($A33="","",(A33-$T$405+1)/1000)</x:f>
        <x:v>8.994</x:v>
      </x:c>
      <x:c r="C33" s="19" t="n">
        <x:f>IF($A33="","",2*(A33-$T$405)/$T$406-1)</x:f>
        <x:v>1.0033415014479838</x:v>
      </x:c>
      <x:c r="D33" s="8" t="n">
        <x:f>IF($A33="","",$B$4+$B$5*C33^1+$B$6*C33^2+$B$7*C33^3+INDEX($E$4:$E$15,MONTH(A33)))</x:f>
        <x:v>301.62960897478445</x:v>
      </x:c>
      <x:c r="E33" s="8" t="n">
        <x:f>IF($A33="","",SQRT($T$403^2+H33^2))</x:f>
        <x:v>108.77537960173993</x:v>
      </x:c>
      <x:c r="F33" s="8" t="n">
        <x:f>IF($A33="","",D33-$T$404*E33)</x:f>
        <x:v>88.40370323946635</x:v>
      </x:c>
      <x:c r="G33" s="8" t="n">
        <x:f>IF($A33="","",D33+$T$404*E33)</x:f>
        <x:v>514.8555147101025</x:v>
      </x:c>
      <x:c r="H33" s="8" t="n">
        <x:f>IF($A33="","",SQRT(MAX(0,(1)*$S$409*(1)+(1)*$T$409*(C33^1)+(1)*$U$409*(C33^2)+(1)*$V$409*(C33^3)+(C33^1)*$S$410*(1)+(C33^1)*$T$410*(C33^1)+(C33^1)*$U$410*(C33^2)+(C33^1)*$V$410*(C33^3)+(C33^2)*$S$411*(1)+(C33^2)*$T$411*(C33^1)+(C33^2)*$U$411*(C33^2)+(C33^2)*$V$411*(C33^3)+(C33^3)*$S$412*(1)+(C33^3)*$T$412*(C33^1)+(C33^3)*$U$412*(C33^2)+(C33^3)*$V$412*(C33^3)+2*((1)*INDEX($S$416:$V$427,MONTH(A33),1)+(C33^1)*INDEX($S$416:$V$427,MONTH(A33),2)+(C33^2)*INDEX($S$416:$V$427,MONTH(A33),3)+(C33^3)*INDEX($S$416:$V$427,MONTH(A33),4))+INDEX($W$416:$W$427,MONTH(A33)))))</x:f>
        <x:v>6.13047721053922</x:v>
      </x:c>
      <x:c r="I33" s="3"/>
      <x:c r="J33" s="10" t="n">
        <x:v>45884</x:v>
      </x:c>
      <x:c r="K33" s="8" t="n">
        <x:f>INDEX('Сводка'!$S$3:$S$397,U33)</x:f>
        <x:v>329</x:v>
      </x:c>
      <x:c r="L33" s="8" t="n">
        <x:f>INDEX('Сводка'!$S$3:$S$397,V33)</x:f>
        <x:v>327</x:v>
      </x:c>
      <x:c r="M33" s="8" t="n">
        <x:f>INDEX($K$388:$N$400,W33,1)+INDEX($K$388:$N$400,W33,2)*(2*(J33-$T$405)/(T33-$T$405)-1)^1+INDEX($K$388:$N$400,W33,3)*(2*(J33-$T$405)/(T33-$T$405)-1)^2+INDEX($K$388:$N$400,W33,4)*(2*(J33-$T$405)/(T33-$T$405)-1)^3+INDEX($O$388:$Z$400,W33,MONTH(J33))</x:f>
        <x:v>329.6337069793367</x:v>
      </x:c>
      <x:c r="N33" s="8" t="n">
        <x:f>K33-M33</x:f>
        <x:v>-0.6337069793366936</x:v>
      </x:c>
      <x:c r="O33" s="8" t="n">
        <x:f>ABS(N33)</x:f>
        <x:v>0.6337069793366936</x:v>
      </x:c>
      <x:c r="P33" s="8" t="n">
        <x:f>N33^2</x:f>
        <x:v>0.40158453566003666</x:v>
      </x:c>
      <x:c r="Q33" s="8" t="n">
        <x:f>K33-L33</x:f>
        <x:v>2</x:v>
      </x:c>
      <x:c r="R33" s="9" t="n">
        <x:f>IF(AND(INDEX('Сводка'!$T$3:$T$397,U33)=0,INDEX('Сводка'!$T$3:$T$397,V33)=0),1,0)</x:f>
        <x:v>1</x:v>
      </x:c>
      <x:c r="S33" s="9" t="n">
        <x:f>IF(AND(R33=1,O33&lt;=$G$13),1,0)</x:f>
        <x:v>1</x:v>
      </x:c>
      <x:c r="T33" s="10" t="n">
        <x:f>EOMONTH(J33-'Сводка'!$B$11,-1)</x:f>
        <x:v>45869</x:v>
      </x:c>
      <x:c r="U33" s="4" t="n">
        <x:f>MATCH(J33,'Сводка'!$R$3:$R$397,0)</x:f>
        <x:v>44</x:v>
      </x:c>
      <x:c r="V33" s="4" t="n">
        <x:f>MATCH(J33-'Сводка'!$B$11,'Сводка'!$R$3:$R$397,0)</x:f>
        <x:v>43</x:v>
      </x:c>
      <x:c r="W33" s="4" t="n">
        <x:f>MATCH(T33,$J$388:$J$400,0)</x:f>
        <x:v>2</x:v>
      </x:c>
      <x:c r="X33" s="3"/>
      <x:c r="Y33" s="3"/>
      <x:c r="Z33" s="3"/>
    </x:row>
    <x:row r="34" ht="15" customHeight="1">
      <x:c r="A34" s="10" t="n">
        <x:f>IF(16&lt;='Сводка'!$B$3,'Сводка'!$B$4+16,"")</x:f>
        <x:v>46251</x:v>
      </x:c>
      <x:c r="B34" s="19" t="n">
        <x:f>IF($A34="","",(A34-$T$405+1)/1000)</x:f>
        <x:v>8.995</x:v>
      </x:c>
      <x:c r="C34" s="19" t="n">
        <x:f>IF($A34="","",2*(A34-$T$405)/$T$406-1)</x:f>
        <x:v>1.003564268211183</x:v>
      </x:c>
      <x:c r="D34" s="8" t="n">
        <x:f>IF($A34="","",$B$4+$B$5*C34^1+$B$6*C34^2+$B$7*C34^3+INDEX($E$4:$E$15,MONTH(A34)))</x:f>
        <x:v>301.5978538687558</x:v>
      </x:c>
      <x:c r="E34" s="8" t="n">
        <x:f>IF($A34="","",SQRT($T$403^2+H34^2))</x:f>
        <x:v>108.77555286862165</x:v>
      </x:c>
      <x:c r="F34" s="8" t="n">
        <x:f>IF($A34="","",D34-$T$404*E34)</x:f>
        <x:v>88.37160848867688</x:v>
      </x:c>
      <x:c r="G34" s="8" t="n">
        <x:f>IF($A34="","",D34+$T$404*E34)</x:f>
        <x:v>514.8240992488347</x:v>
      </x:c>
      <x:c r="H34" s="8" t="n">
        <x:f>IF($A34="","",SQRT(MAX(0,(1)*$S$409*(1)+(1)*$T$409*(C34^1)+(1)*$U$409*(C34^2)+(1)*$V$409*(C34^3)+(C34^1)*$S$410*(1)+(C34^1)*$T$410*(C34^1)+(C34^1)*$U$410*(C34^2)+(C34^1)*$V$410*(C34^3)+(C34^2)*$S$411*(1)+(C34^2)*$T$411*(C34^1)+(C34^2)*$U$411*(C34^2)+(C34^2)*$V$411*(C34^3)+(C34^3)*$S$412*(1)+(C34^3)*$T$412*(C34^1)+(C34^3)*$U$412*(C34^2)+(C34^3)*$V$412*(C34^3)+2*((1)*INDEX($S$416:$V$427,MONTH(A34),1)+(C34^1)*INDEX($S$416:$V$427,MONTH(A34),2)+(C34^2)*INDEX($S$416:$V$427,MONTH(A34),3)+(C34^3)*INDEX($S$416:$V$427,MONTH(A34),4))+INDEX($W$416:$W$427,MONTH(A34)))))</x:f>
        <x:v>6.133550782428092</x:v>
      </x:c>
      <x:c r="I34" s="3"/>
      <x:c r="J34" s="10" t="n">
        <x:v>45885</x:v>
      </x:c>
      <x:c r="K34" s="8" t="n">
        <x:f>INDEX('Сводка'!$S$3:$S$397,U34)</x:f>
        <x:v>329</x:v>
      </x:c>
      <x:c r="L34" s="8" t="n">
        <x:f>INDEX('Сводка'!$S$3:$S$397,V34)</x:f>
        <x:v>329</x:v>
      </x:c>
      <x:c r="M34" s="8" t="n">
        <x:f>INDEX($K$388:$N$400,W34,1)+INDEX($K$388:$N$400,W34,2)*(2*(J34-$T$405)/(T34-$T$405)-1)^1+INDEX($K$388:$N$400,W34,3)*(2*(J34-$T$405)/(T34-$T$405)-1)^2+INDEX($K$388:$N$400,W34,4)*(2*(J34-$T$405)/(T34-$T$405)-1)^3+INDEX($O$388:$Z$400,W34,MONTH(J34))</x:f>
        <x:v>329.62283092196174</x:v>
      </x:c>
      <x:c r="N34" s="8" t="n">
        <x:f>K34-M34</x:f>
        <x:v>-0.6228309219617358</x:v>
      </x:c>
      <x:c r="O34" s="8" t="n">
        <x:f>ABS(N34)</x:f>
        <x:v>0.6228309219617358</x:v>
      </x:c>
      <x:c r="P34" s="8" t="n">
        <x:f>N34^2</x:f>
        <x:v>0.3879183573517059</x:v>
      </x:c>
      <x:c r="Q34" s="8" t="n">
        <x:f>K34-L34</x:f>
        <x:v>0</x:v>
      </x:c>
      <x:c r="R34" s="9" t="n">
        <x:f>IF(AND(INDEX('Сводка'!$T$3:$T$397,U34)=0,INDEX('Сводка'!$T$3:$T$397,V34)=0),1,0)</x:f>
        <x:v>1</x:v>
      </x:c>
      <x:c r="S34" s="9" t="n">
        <x:f>IF(AND(R34=1,O34&lt;=$G$13),1,0)</x:f>
        <x:v>1</x:v>
      </x:c>
      <x:c r="T34" s="10" t="n">
        <x:f>EOMONTH(J34-'Сводка'!$B$11,-1)</x:f>
        <x:v>45869</x:v>
      </x:c>
      <x:c r="U34" s="4" t="n">
        <x:f>MATCH(J34,'Сводка'!$R$3:$R$397,0)</x:f>
        <x:v>45</x:v>
      </x:c>
      <x:c r="V34" s="4" t="n">
        <x:f>MATCH(J34-'Сводка'!$B$11,'Сводка'!$R$3:$R$397,0)</x:f>
        <x:v>44</x:v>
      </x:c>
      <x:c r="W34" s="4" t="n">
        <x:f>MATCH(T34,$J$388:$J$400,0)</x:f>
        <x:v>2</x:v>
      </x:c>
      <x:c r="X34" s="3"/>
      <x:c r="Y34" s="3"/>
      <x:c r="Z34" s="3"/>
    </x:row>
    <x:row r="35" ht="15" customHeight="1">
      <x:c r="A35" s="10" t="n">
        <x:f>IF(17&lt;='Сводка'!$B$3,'Сводка'!$B$4+17,"")</x:f>
        <x:v>46252</x:v>
      </x:c>
      <x:c r="B35" s="19" t="n">
        <x:f>IF($A35="","",(A35-$T$405+1)/1000)</x:f>
        <x:v>8.996</x:v>
      </x:c>
      <x:c r="C35" s="19" t="n">
        <x:f>IF($A35="","",2*(A35-$T$405)/$T$406-1)</x:f>
        <x:v>1.003787034974382</x:v>
      </x:c>
      <x:c r="D35" s="8" t="n">
        <x:f>IF($A35="","",$B$4+$B$5*C35^1+$B$6*C35^2+$B$7*C35^3+INDEX($E$4:$E$15,MONTH(A35)))</x:f>
        <x:v>301.5660806808379</x:v>
      </x:c>
      <x:c r="E35" s="8" t="n">
        <x:f>IF($A35="","",SQRT($T$403^2+H35^2))</x:f>
        <x:v>108.77572640073083</x:v>
      </x:c>
      <x:c r="F35" s="8" t="n">
        <x:f>IF($A35="","",D35-$T$404*E35)</x:f>
        <x:v>88.33949513608854</x:v>
      </x:c>
      <x:c r="G35" s="8" t="n">
        <x:f>IF($A35="","",D35+$T$404*E35)</x:f>
        <x:v>514.7926662255873</x:v>
      </x:c>
      <x:c r="H35" s="8" t="n">
        <x:f>IF($A35="","",SQRT(MAX(0,(1)*$S$409*(1)+(1)*$T$409*(C35^1)+(1)*$U$409*(C35^2)+(1)*$V$409*(C35^3)+(C35^1)*$S$410*(1)+(C35^1)*$T$410*(C35^1)+(C35^1)*$U$410*(C35^2)+(C35^1)*$V$410*(C35^3)+(C35^2)*$S$411*(1)+(C35^2)*$T$411*(C35^1)+(C35^2)*$U$411*(C35^2)+(C35^2)*$V$411*(C35^3)+(C35^3)*$S$412*(1)+(C35^3)*$T$412*(C35^1)+(C35^3)*$U$412*(C35^2)+(C35^3)*$V$412*(C35^3)+2*((1)*INDEX($S$416:$V$427,MONTH(A35),1)+(C35^1)*INDEX($S$416:$V$427,MONTH(A35),2)+(C35^2)*INDEX($S$416:$V$427,MONTH(A35),3)+(C35^3)*INDEX($S$416:$V$427,MONTH(A35),4))+INDEX($W$416:$W$427,MONTH(A35)))))</x:f>
        <x:v>6.136627521120406</x:v>
      </x:c>
      <x:c r="I35" s="3"/>
      <x:c r="J35" s="10" t="n">
        <x:v>45886</x:v>
      </x:c>
      <x:c r="K35" s="8" t="n">
        <x:f>INDEX('Сводка'!$S$3:$S$397,U35)</x:f>
        <x:v>325</x:v>
      </x:c>
      <x:c r="L35" s="8" t="n">
        <x:f>INDEX('Сводка'!$S$3:$S$397,V35)</x:f>
        <x:v>329</x:v>
      </x:c>
      <x:c r="M35" s="8" t="n">
        <x:f>INDEX($K$388:$N$400,W35,1)+INDEX($K$388:$N$400,W35,2)*(2*(J35-$T$405)/(T35-$T$405)-1)^1+INDEX($K$388:$N$400,W35,3)*(2*(J35-$T$405)/(T35-$T$405)-1)^2+INDEX($K$388:$N$400,W35,4)*(2*(J35-$T$405)/(T35-$T$405)-1)^3+INDEX($O$388:$Z$400,W35,MONTH(J35))</x:f>
        <x:v>329.61194440698296</x:v>
      </x:c>
      <x:c r="N35" s="8" t="n">
        <x:f>K35-M35</x:f>
        <x:v>-4.611944406982957</x:v>
      </x:c>
      <x:c r="O35" s="8" t="n">
        <x:f>ABS(N35)</x:f>
        <x:v>4.611944406982957</x:v>
      </x:c>
      <x:c r="P35" s="8" t="n">
        <x:f>N35^2</x:f>
        <x:v>21.27003121310138</x:v>
      </x:c>
      <x:c r="Q35" s="8" t="n">
        <x:f>K35-L35</x:f>
        <x:v>-4</x:v>
      </x:c>
      <x:c r="R35" s="9" t="n">
        <x:f>IF(AND(INDEX('Сводка'!$T$3:$T$397,U35)=0,INDEX('Сводка'!$T$3:$T$397,V35)=0),1,0)</x:f>
        <x:v>1</x:v>
      </x:c>
      <x:c r="S35" s="9" t="n">
        <x:f>IF(AND(R35=1,O35&lt;=$G$13),1,0)</x:f>
        <x:v>1</x:v>
      </x:c>
      <x:c r="T35" s="10" t="n">
        <x:f>EOMONTH(J35-'Сводка'!$B$11,-1)</x:f>
        <x:v>45869</x:v>
      </x:c>
      <x:c r="U35" s="4" t="n">
        <x:f>MATCH(J35,'Сводка'!$R$3:$R$397,0)</x:f>
        <x:v>46</x:v>
      </x:c>
      <x:c r="V35" s="4" t="n">
        <x:f>MATCH(J35-'Сводка'!$B$11,'Сводка'!$R$3:$R$397,0)</x:f>
        <x:v>45</x:v>
      </x:c>
      <x:c r="W35" s="4" t="n">
        <x:f>MATCH(T35,$J$388:$J$400,0)</x:f>
        <x:v>2</x:v>
      </x:c>
      <x:c r="X35" s="3"/>
      <x:c r="Y35" s="3"/>
      <x:c r="Z35" s="3"/>
    </x:row>
    <x:row r="36" ht="15" customHeight="1">
      <x:c r="A36" s="10" t="n">
        <x:f>IF(18&lt;='Сводка'!$B$3,'Сводка'!$B$4+18,"")</x:f>
        <x:v>46253</x:v>
      </x:c>
      <x:c r="B36" s="19" t="n">
        <x:f>IF($A36="","",(A36-$T$405+1)/1000)</x:f>
        <x:v>8.997</x:v>
      </x:c>
      <x:c r="C36" s="19" t="n">
        <x:f>IF($A36="","",2*(A36-$T$405)/$T$406-1)</x:f>
        <x:v>1.0040098017375807</x:v>
      </x:c>
      <x:c r="D36" s="8" t="n">
        <x:f>IF($A36="","",$B$4+$B$5*C36^1+$B$6*C36^2+$B$7*C36^3+INDEX($E$4:$E$15,MONTH(A36)))</x:f>
        <x:v>301.53428940850995</x:v>
      </x:c>
      <x:c r="E36" s="8" t="n">
        <x:f>IF($A36="","",SQRT($T$403^2+H36^2))</x:f>
        <x:v>108.77590019836386</x:v>
      </x:c>
      <x:c r="F36" s="8" t="n">
        <x:f>IF($A36="","",D36-$T$404*E36)</x:f>
        <x:v>88.30736317859956</x:v>
      </x:c>
      <x:c r="G36" s="8" t="n">
        <x:f>IF($A36="","",D36+$T$404*E36)</x:f>
        <x:v>514.7612156384204</x:v>
      </x:c>
      <x:c r="H36" s="8" t="n">
        <x:f>IF($A36="","",SQRT(MAX(0,(1)*$S$409*(1)+(1)*$T$409*(C36^1)+(1)*$U$409*(C36^2)+(1)*$V$409*(C36^3)+(C36^1)*$S$410*(1)+(C36^1)*$T$410*(C36^1)+(C36^1)*$U$410*(C36^2)+(C36^1)*$V$410*(C36^3)+(C36^2)*$S$411*(1)+(C36^2)*$T$411*(C36^1)+(C36^2)*$U$411*(C36^2)+(C36^2)*$V$411*(C36^3)+(C36^3)*$S$412*(1)+(C36^3)*$T$412*(C36^1)+(C36^3)*$U$412*(C36^2)+(C36^3)*$V$412*(C36^3)+2*((1)*INDEX($S$416:$V$427,MONTH(A36),1)+(C36^1)*INDEX($S$416:$V$427,MONTH(A36),2)+(C36^2)*INDEX($S$416:$V$427,MONTH(A36),3)+(C36^3)*INDEX($S$416:$V$427,MONTH(A36),4))+INDEX($W$416:$W$427,MONTH(A36)))))</x:f>
        <x:v>6.139707427128698</x:v>
      </x:c>
      <x:c r="I36" s="3"/>
      <x:c r="J36" s="10" t="n">
        <x:v>45887</x:v>
      </x:c>
      <x:c r="K36" s="8" t="n">
        <x:f>INDEX('Сводка'!$S$3:$S$397,U36)</x:f>
        <x:v>320</x:v>
      </x:c>
      <x:c r="L36" s="8" t="n">
        <x:f>INDEX('Сводка'!$S$3:$S$397,V36)</x:f>
        <x:v>325</x:v>
      </x:c>
      <x:c r="M36" s="8" t="n">
        <x:f>INDEX($K$388:$N$400,W36,1)+INDEX($K$388:$N$400,W36,2)*(2*(J36-$T$405)/(T36-$T$405)-1)^1+INDEX($K$388:$N$400,W36,3)*(2*(J36-$T$405)/(T36-$T$405)-1)^2+INDEX($K$388:$N$400,W36,4)*(2*(J36-$T$405)/(T36-$T$405)-1)^3+INDEX($O$388:$Z$400,W36,MONTH(J36))</x:f>
        <x:v>329.6010474332411</x:v>
      </x:c>
      <x:c r="N36" s="8" t="n">
        <x:f>K36-M36</x:f>
        <x:v>-9.601047433241092</x:v>
      </x:c>
      <x:c r="O36" s="8" t="n">
        <x:f>ABS(N36)</x:f>
        <x:v>9.601047433241092</x:v>
      </x:c>
      <x:c r="P36" s="8" t="n">
        <x:f>N36^2</x:f>
        <x:v>92.18011181534537</x:v>
      </x:c>
      <x:c r="Q36" s="8" t="n">
        <x:f>K36-L36</x:f>
        <x:v>-5</x:v>
      </x:c>
      <x:c r="R36" s="9" t="n">
        <x:f>IF(AND(INDEX('Сводка'!$T$3:$T$397,U36)=0,INDEX('Сводка'!$T$3:$T$397,V36)=0),1,0)</x:f>
        <x:v>1</x:v>
      </x:c>
      <x:c r="S36" s="9" t="n">
        <x:f>IF(AND(R36=1,O36&lt;=$G$13),1,0)</x:f>
        <x:v>0</x:v>
      </x:c>
      <x:c r="T36" s="10" t="n">
        <x:f>EOMONTH(J36-'Сводка'!$B$11,-1)</x:f>
        <x:v>45869</x:v>
      </x:c>
      <x:c r="U36" s="4" t="n">
        <x:f>MATCH(J36,'Сводка'!$R$3:$R$397,0)</x:f>
        <x:v>47</x:v>
      </x:c>
      <x:c r="V36" s="4" t="n">
        <x:f>MATCH(J36-'Сводка'!$B$11,'Сводка'!$R$3:$R$397,0)</x:f>
        <x:v>46</x:v>
      </x:c>
      <x:c r="W36" s="4" t="n">
        <x:f>MATCH(T36,$J$388:$J$400,0)</x:f>
        <x:v>2</x:v>
      </x:c>
      <x:c r="X36" s="3"/>
      <x:c r="Y36" s="3"/>
      <x:c r="Z36" s="3"/>
    </x:row>
    <x:row r="37" ht="15" customHeight="1">
      <x:c r="A37" s="10" t="n">
        <x:f>IF(19&lt;='Сводка'!$B$3,'Сводка'!$B$4+19,"")</x:f>
        <x:v>46254</x:v>
      </x:c>
      <x:c r="B37" s="19" t="n">
        <x:f>IF($A37="","",(A37-$T$405+1)/1000)</x:f>
        <x:v>8.998</x:v>
      </x:c>
      <x:c r="C37" s="19" t="n">
        <x:f>IF($A37="","",2*(A37-$T$405)/$T$406-1)</x:f>
        <x:v>1.0042325685007798</x:v>
      </x:c>
      <x:c r="D37" s="8" t="n">
        <x:f>IF($A37="","",$B$4+$B$5*C37^1+$B$6*C37^2+$B$7*C37^3+INDEX($E$4:$E$15,MONTH(A37)))</x:f>
        <x:v>301.5024800492514</x:v>
      </x:c>
      <x:c r="E37" s="8" t="n">
        <x:f>IF($A37="","",SQRT($T$403^2+H37^2))</x:f>
        <x:v>108.77607426181736</x:v>
      </x:c>
      <x:c r="F37" s="8" t="n">
        <x:f>IF($A37="","",D37-$T$404*E37)</x:f>
        <x:v>88.2752126131079</x:v>
      </x:c>
      <x:c r="G37" s="8" t="n">
        <x:f>IF($A37="","",D37+$T$404*E37)</x:f>
        <x:v>514.7297474853949</x:v>
      </x:c>
      <x:c r="H37" s="8" t="n">
        <x:f>IF($A37="","",SQRT(MAX(0,(1)*$S$409*(1)+(1)*$T$409*(C37^1)+(1)*$U$409*(C37^2)+(1)*$V$409*(C37^3)+(C37^1)*$S$410*(1)+(C37^1)*$T$410*(C37^1)+(C37^1)*$U$410*(C37^2)+(C37^1)*$V$410*(C37^3)+(C37^2)*$S$411*(1)+(C37^2)*$T$411*(C37^1)+(C37^2)*$U$411*(C37^2)+(C37^2)*$V$411*(C37^3)+(C37^3)*$S$412*(1)+(C37^3)*$T$412*(C37^1)+(C37^3)*$U$412*(C37^2)+(C37^3)*$V$412*(C37^3)+2*((1)*INDEX($S$416:$V$427,MONTH(A37),1)+(C37^1)*INDEX($S$416:$V$427,MONTH(A37),2)+(C37^2)*INDEX($S$416:$V$427,MONTH(A37),3)+(C37^3)*INDEX($S$416:$V$427,MONTH(A37),4))+INDEX($W$416:$W$427,MONTH(A37)))))</x:f>
        <x:v>6.142790500963646</x:v>
      </x:c>
      <x:c r="I37" s="3"/>
      <x:c r="J37" s="10" t="n">
        <x:v>45888</x:v>
      </x:c>
      <x:c r="K37" s="8" t="n">
        <x:f>INDEX('Сводка'!$S$3:$S$397,U37)</x:f>
        <x:v>309</x:v>
      </x:c>
      <x:c r="L37" s="8" t="n">
        <x:f>INDEX('Сводка'!$S$3:$S$397,V37)</x:f>
        <x:v>320</x:v>
      </x:c>
      <x:c r="M37" s="8" t="n">
        <x:f>INDEX($K$388:$N$400,W37,1)+INDEX($K$388:$N$400,W37,2)*(2*(J37-$T$405)/(T37-$T$405)-1)^1+INDEX($K$388:$N$400,W37,3)*(2*(J37-$T$405)/(T37-$T$405)-1)^2+INDEX($K$388:$N$400,W37,4)*(2*(J37-$T$405)/(T37-$T$405)-1)^3+INDEX($O$388:$Z$400,W37,MONTH(J37))</x:f>
        <x:v>329.59013999957665</x:v>
      </x:c>
      <x:c r="N37" s="8" t="n">
        <x:f>K37-M37</x:f>
        <x:v>-20.59013999957665</x:v>
      </x:c>
      <x:c r="O37" s="8" t="n">
        <x:f>ABS(N37)</x:f>
        <x:v>20.59013999957665</x:v>
      </x:c>
      <x:c r="P37" s="8" t="n">
        <x:f>N37^2</x:f>
        <x:v>423.9538652021663</x:v>
      </x:c>
      <x:c r="Q37" s="8" t="n">
        <x:f>K37-L37</x:f>
        <x:v>-11</x:v>
      </x:c>
      <x:c r="R37" s="9" t="n">
        <x:f>IF(AND(INDEX('Сводка'!$T$3:$T$397,U37)=0,INDEX('Сводка'!$T$3:$T$397,V37)=0),1,0)</x:f>
        <x:v>1</x:v>
      </x:c>
      <x:c r="S37" s="9" t="n">
        <x:f>IF(AND(R37=1,O37&lt;=$G$13),1,0)</x:f>
        <x:v>0</x:v>
      </x:c>
      <x:c r="T37" s="10" t="n">
        <x:f>EOMONTH(J37-'Сводка'!$B$11,-1)</x:f>
        <x:v>45869</x:v>
      </x:c>
      <x:c r="U37" s="4" t="n">
        <x:f>MATCH(J37,'Сводка'!$R$3:$R$397,0)</x:f>
        <x:v>48</x:v>
      </x:c>
      <x:c r="V37" s="4" t="n">
        <x:f>MATCH(J37-'Сводка'!$B$11,'Сводка'!$R$3:$R$397,0)</x:f>
        <x:v>47</x:v>
      </x:c>
      <x:c r="W37" s="4" t="n">
        <x:f>MATCH(T37,$J$388:$J$400,0)</x:f>
        <x:v>2</x:v>
      </x:c>
      <x:c r="X37" s="3"/>
      <x:c r="Y37" s="3"/>
      <x:c r="Z37" s="3"/>
    </x:row>
    <x:row r="38" ht="15" customHeight="1">
      <x:c r="A38" s="10" t="n">
        <x:f>IF(20&lt;='Сводка'!$B$3,'Сводка'!$B$4+20,"")</x:f>
        <x:v>46255</x:v>
      </x:c>
      <x:c r="B38" s="19" t="n">
        <x:f>IF($A38="","",(A38-$T$405+1)/1000)</x:f>
        <x:v>8.999</x:v>
      </x:c>
      <x:c r="C38" s="19" t="n">
        <x:f>IF($A38="","",2*(A38-$T$405)/$T$406-1)</x:f>
        <x:v>1.0044553352639785</x:v>
      </x:c>
      <x:c r="D38" s="8" t="n">
        <x:f>IF($A38="","",$B$4+$B$5*C38^1+$B$6*C38^2+$B$7*C38^3+INDEX($E$4:$E$15,MONTH(A38)))</x:f>
        <x:v>301.4706526005417</x:v>
      </x:c>
      <x:c r="E38" s="8" t="n">
        <x:f>IF($A38="","",SQRT($T$403^2+H38^2))</x:f>
        <x:v>108.77624859138815</x:v>
      </x:c>
      <x:c r="F38" s="8" t="n">
        <x:f>IF($A38="","",D38-$T$404*E38)</x:f>
        <x:v>88.24304343651121</x:v>
      </x:c>
      <x:c r="G38" s="8" t="n">
        <x:f>IF($A38="","",D38+$T$404*E38)</x:f>
        <x:v>514.6982617645722</x:v>
      </x:c>
      <x:c r="H38" s="8" t="n">
        <x:f>IF($A38="","",SQRT(MAX(0,(1)*$S$409*(1)+(1)*$T$409*(C38^1)+(1)*$U$409*(C38^2)+(1)*$V$409*(C38^3)+(C38^1)*$S$410*(1)+(C38^1)*$T$410*(C38^1)+(C38^1)*$U$410*(C38^2)+(C38^1)*$V$410*(C38^3)+(C38^2)*$S$411*(1)+(C38^2)*$T$411*(C38^1)+(C38^2)*$U$411*(C38^2)+(C38^2)*$V$411*(C38^3)+(C38^3)*$S$412*(1)+(C38^3)*$T$412*(C38^1)+(C38^3)*$U$412*(C38^2)+(C38^3)*$V$412*(C38^3)+2*((1)*INDEX($S$416:$V$427,MONTH(A38),1)+(C38^1)*INDEX($S$416:$V$427,MONTH(A38),2)+(C38^2)*INDEX($S$416:$V$427,MONTH(A38),3)+(C38^3)*INDEX($S$416:$V$427,MONTH(A38),4))+INDEX($W$416:$W$427,MONTH(A38)))))</x:f>
        <x:v>6.145876743134031</x:v>
      </x:c>
      <x:c r="I38" s="3"/>
      <x:c r="J38" s="10" t="n">
        <x:v>45889</x:v>
      </x:c>
      <x:c r="K38" s="8" t="n">
        <x:f>INDEX('Сводка'!$S$3:$S$397,U38)</x:f>
        <x:v>296</x:v>
      </x:c>
      <x:c r="L38" s="8" t="n">
        <x:f>INDEX('Сводка'!$S$3:$S$397,V38)</x:f>
        <x:v>309</x:v>
      </x:c>
      <x:c r="M38" s="8" t="n">
        <x:f>INDEX($K$388:$N$400,W38,1)+INDEX($K$388:$N$400,W38,2)*(2*(J38-$T$405)/(T38-$T$405)-1)^1+INDEX($K$388:$N$400,W38,3)*(2*(J38-$T$405)/(T38-$T$405)-1)^2+INDEX($K$388:$N$400,W38,4)*(2*(J38-$T$405)/(T38-$T$405)-1)^3+INDEX($O$388:$Z$400,W38,MONTH(J38))</x:f>
        <x:v>329.5792221048303</x:v>
      </x:c>
      <x:c r="N38" s="8" t="n">
        <x:f>K38-M38</x:f>
        <x:v>-33.57922210483031</x:v>
      </x:c>
      <x:c r="O38" s="8" t="n">
        <x:f>ABS(N38)</x:f>
        <x:v>33.57922210483031</x:v>
      </x:c>
      <x:c r="P38" s="8" t="n">
        <x:f>N38^2</x:f>
        <x:v>1127.5641571655244</x:v>
      </x:c>
      <x:c r="Q38" s="8" t="n">
        <x:f>K38-L38</x:f>
        <x:v>-13</x:v>
      </x:c>
      <x:c r="R38" s="9" t="n">
        <x:f>IF(AND(INDEX('Сводка'!$T$3:$T$397,U38)=0,INDEX('Сводка'!$T$3:$T$397,V38)=0),1,0)</x:f>
        <x:v>1</x:v>
      </x:c>
      <x:c r="S38" s="9" t="n">
        <x:f>IF(AND(R38=1,O38&lt;=$G$13),1,0)</x:f>
        <x:v>0</x:v>
      </x:c>
      <x:c r="T38" s="10" t="n">
        <x:f>EOMONTH(J38-'Сводка'!$B$11,-1)</x:f>
        <x:v>45869</x:v>
      </x:c>
      <x:c r="U38" s="4" t="n">
        <x:f>MATCH(J38,'Сводка'!$R$3:$R$397,0)</x:f>
        <x:v>49</x:v>
      </x:c>
      <x:c r="V38" s="4" t="n">
        <x:f>MATCH(J38-'Сводка'!$B$11,'Сводка'!$R$3:$R$397,0)</x:f>
        <x:v>48</x:v>
      </x:c>
      <x:c r="W38" s="4" t="n">
        <x:f>MATCH(T38,$J$388:$J$400,0)</x:f>
        <x:v>2</x:v>
      </x:c>
      <x:c r="X38" s="3"/>
      <x:c r="Y38" s="3"/>
      <x:c r="Z38" s="3"/>
    </x:row>
    <x:row r="39" ht="15" customHeight="1">
      <x:c r="A39" s="10" t="n">
        <x:f>IF(21&lt;='Сводка'!$B$3,'Сводка'!$B$4+21,"")</x:f>
        <x:v>46256</x:v>
      </x:c>
      <x:c r="B39" s="19" t="n">
        <x:f>IF($A39="","",(A39-$T$405+1)/1000)</x:f>
        <x:v>9</x:v>
      </x:c>
      <x:c r="C39" s="19" t="n">
        <x:f>IF($A39="","",2*(A39-$T$405)/$T$406-1)</x:f>
        <x:v>1.0046781020271776</x:v>
      </x:c>
      <x:c r="D39" s="8" t="n">
        <x:f>IF($A39="","",$B$4+$B$5*C39^1+$B$6*C39^2+$B$7*C39^3+INDEX($E$4:$E$15,MONTH(A39)))</x:f>
        <x:v>301.4388070598602</x:v>
      </x:c>
      <x:c r="E39" s="8" t="n">
        <x:f>IF($A39="","",SQRT($T$403^2+H39^2))</x:f>
        <x:v>108.77642318737328</x:v>
      </x:c>
      <x:c r="F39" s="8" t="n">
        <x:f>IF($A39="","",D39-$T$404*E39)</x:f>
        <x:v>88.21085564570652</x:v>
      </x:c>
      <x:c r="G39" s="8" t="n">
        <x:f>IF($A39="","",D39+$T$404*E39)</x:f>
        <x:v>514.6667584740139</x:v>
      </x:c>
      <x:c r="H39" s="8" t="n">
        <x:f>IF($A39="","",SQRT(MAX(0,(1)*$S$409*(1)+(1)*$T$409*(C39^1)+(1)*$U$409*(C39^2)+(1)*$V$409*(C39^3)+(C39^1)*$S$410*(1)+(C39^1)*$T$410*(C39^1)+(C39^1)*$U$410*(C39^2)+(C39^1)*$V$410*(C39^3)+(C39^2)*$S$411*(1)+(C39^2)*$T$411*(C39^1)+(C39^2)*$U$411*(C39^2)+(C39^2)*$V$411*(C39^3)+(C39^3)*$S$412*(1)+(C39^3)*$T$412*(C39^1)+(C39^3)*$U$412*(C39^2)+(C39^3)*$V$412*(C39^3)+2*((1)*INDEX($S$416:$V$427,MONTH(A39),1)+(C39^1)*INDEX($S$416:$V$427,MONTH(A39),2)+(C39^2)*INDEX($S$416:$V$427,MONTH(A39),3)+(C39^3)*INDEX($S$416:$V$427,MONTH(A39),4))+INDEX($W$416:$W$427,MONTH(A39)))))</x:f>
        <x:v>6.148966154146783</x:v>
      </x:c>
      <x:c r="I39" s="3"/>
      <x:c r="J39" s="10" t="n">
        <x:v>45890</x:v>
      </x:c>
      <x:c r="K39" s="8" t="n">
        <x:f>INDEX('Сводка'!$S$3:$S$397,U39)</x:f>
        <x:v>282</x:v>
      </x:c>
      <x:c r="L39" s="8" t="n">
        <x:f>INDEX('Сводка'!$S$3:$S$397,V39)</x:f>
        <x:v>296</x:v>
      </x:c>
      <x:c r="M39" s="8" t="n">
        <x:f>INDEX($K$388:$N$400,W39,1)+INDEX($K$388:$N$400,W39,2)*(2*(J39-$T$405)/(T39-$T$405)-1)^1+INDEX($K$388:$N$400,W39,3)*(2*(J39-$T$405)/(T39-$T$405)-1)^2+INDEX($K$388:$N$400,W39,4)*(2*(J39-$T$405)/(T39-$T$405)-1)^3+INDEX($O$388:$Z$400,W39,MONTH(J39))</x:f>
        <x:v>329.56829374784274</x:v>
      </x:c>
      <x:c r="N39" s="8" t="n">
        <x:f>K39-M39</x:f>
        <x:v>-47.568293747842745</x:v>
      </x:c>
      <x:c r="O39" s="8" t="n">
        <x:f>ABS(N39)</x:f>
        <x:v>47.568293747842745</x:v>
      </x:c>
      <x:c r="P39" s="8" t="n">
        <x:f>N39^2</x:f>
        <x:v>2262.742570081055</x:v>
      </x:c>
      <x:c r="Q39" s="8" t="n">
        <x:f>K39-L39</x:f>
        <x:v>-14</x:v>
      </x:c>
      <x:c r="R39" s="9" t="n">
        <x:f>IF(AND(INDEX('Сводка'!$T$3:$T$397,U39)=0,INDEX('Сводка'!$T$3:$T$397,V39)=0),1,0)</x:f>
        <x:v>1</x:v>
      </x:c>
      <x:c r="S39" s="9" t="n">
        <x:f>IF(AND(R39=1,O39&lt;=$G$13),1,0)</x:f>
        <x:v>0</x:v>
      </x:c>
      <x:c r="T39" s="10" t="n">
        <x:f>EOMONTH(J39-'Сводка'!$B$11,-1)</x:f>
        <x:v>45869</x:v>
      </x:c>
      <x:c r="U39" s="4" t="n">
        <x:f>MATCH(J39,'Сводка'!$R$3:$R$397,0)</x:f>
        <x:v>50</x:v>
      </x:c>
      <x:c r="V39" s="4" t="n">
        <x:f>MATCH(J39-'Сводка'!$B$11,'Сводка'!$R$3:$R$397,0)</x:f>
        <x:v>49</x:v>
      </x:c>
      <x:c r="W39" s="4" t="n">
        <x:f>MATCH(T39,$J$388:$J$400,0)</x:f>
        <x:v>2</x:v>
      </x:c>
      <x:c r="X39" s="3"/>
      <x:c r="Y39" s="3"/>
      <x:c r="Z39" s="3"/>
    </x:row>
    <x:row r="40" ht="15" customHeight="1">
      <x:c r="A40" s="10" t="n">
        <x:f>IF(22&lt;='Сводка'!$B$3,'Сводка'!$B$4+22,"")</x:f>
        <x:v>46257</x:v>
      </x:c>
      <x:c r="B40" s="19" t="n">
        <x:f>IF($A40="","",(A40-$T$405+1)/1000)</x:f>
        <x:v>9.001</x:v>
      </x:c>
      <x:c r="C40" s="19" t="n">
        <x:f>IF($A40="","",2*(A40-$T$405)/$T$406-1)</x:f>
        <x:v>1.0049008687903767</x:v>
      </x:c>
      <x:c r="D40" s="8" t="n">
        <x:f>IF($A40="","",$B$4+$B$5*C40^1+$B$6*C40^2+$B$7*C40^3+INDEX($E$4:$E$15,MONTH(A40)))</x:f>
        <x:v>301.4069434246862</x:v>
      </x:c>
      <x:c r="E40" s="8" t="n">
        <x:f>IF($A40="","",SQRT($T$403^2+H40^2))</x:f>
        <x:v>108.77659805007004</x:v>
      </x:c>
      <x:c r="F40" s="8" t="n">
        <x:f>IF($A40="","",D40-$T$404*E40)</x:f>
        <x:v>88.1786492375904</x:v>
      </x:c>
      <x:c r="G40" s="8" t="n">
        <x:f>IF($A40="","",D40+$T$404*E40)</x:f>
        <x:v>514.6352376117819</x:v>
      </x:c>
      <x:c r="H40" s="8" t="n">
        <x:f>IF($A40="","",SQRT(MAX(0,(1)*$S$409*(1)+(1)*$T$409*(C40^1)+(1)*$U$409*(C40^2)+(1)*$V$409*(C40^3)+(C40^1)*$S$410*(1)+(C40^1)*$T$410*(C40^1)+(C40^1)*$U$410*(C40^2)+(C40^1)*$V$410*(C40^3)+(C40^2)*$S$411*(1)+(C40^2)*$T$411*(C40^1)+(C40^2)*$U$411*(C40^2)+(C40^2)*$V$411*(C40^3)+(C40^3)*$S$412*(1)+(C40^3)*$T$412*(C40^1)+(C40^3)*$U$412*(C40^2)+(C40^3)*$V$412*(C40^3)+2*((1)*INDEX($S$416:$V$427,MONTH(A40),1)+(C40^1)*INDEX($S$416:$V$427,MONTH(A40),2)+(C40^2)*INDEX($S$416:$V$427,MONTH(A40),3)+(C40^3)*INDEX($S$416:$V$427,MONTH(A40),4))+INDEX($W$416:$W$427,MONTH(A40)))))</x:f>
        <x:v>6.152058734506958</x:v>
      </x:c>
      <x:c r="I40" s="3"/>
      <x:c r="J40" s="10" t="n">
        <x:v>45891</x:v>
      </x:c>
      <x:c r="K40" s="8" t="n">
        <x:f>INDEX('Сводка'!$S$3:$S$397,U40)</x:f>
        <x:v>270</x:v>
      </x:c>
      <x:c r="L40" s="8" t="n">
        <x:f>INDEX('Сводка'!$S$3:$S$397,V40)</x:f>
        <x:v>282</x:v>
      </x:c>
      <x:c r="M40" s="8" t="n">
        <x:f>INDEX($K$388:$N$400,W40,1)+INDEX($K$388:$N$400,W40,2)*(2*(J40-$T$405)/(T40-$T$405)-1)^1+INDEX($K$388:$N$400,W40,3)*(2*(J40-$T$405)/(T40-$T$405)-1)^2+INDEX($K$388:$N$400,W40,4)*(2*(J40-$T$405)/(T40-$T$405)-1)^3+INDEX($O$388:$Z$400,W40,MONTH(J40))</x:f>
        <x:v>329.5573549274545</x:v>
      </x:c>
      <x:c r="N40" s="8" t="n">
        <x:f>K40-M40</x:f>
        <x:v>-59.557354927454526</x:v>
      </x:c>
      <x:c r="O40" s="8" t="n">
        <x:f>ABS(N40)</x:f>
        <x:v>59.557354927454526</x:v>
      </x:c>
      <x:c r="P40" s="8" t="n">
        <x:f>N40^2</x:f>
        <x:v>3547.078525954792</x:v>
      </x:c>
      <x:c r="Q40" s="8" t="n">
        <x:f>K40-L40</x:f>
        <x:v>-12</x:v>
      </x:c>
      <x:c r="R40" s="9" t="n">
        <x:f>IF(AND(INDEX('Сводка'!$T$3:$T$397,U40)=0,INDEX('Сводка'!$T$3:$T$397,V40)=0),1,0)</x:f>
        <x:v>1</x:v>
      </x:c>
      <x:c r="S40" s="9" t="n">
        <x:f>IF(AND(R40=1,O40&lt;=$G$13),1,0)</x:f>
        <x:v>0</x:v>
      </x:c>
      <x:c r="T40" s="10" t="n">
        <x:f>EOMONTH(J40-'Сводка'!$B$11,-1)</x:f>
        <x:v>45869</x:v>
      </x:c>
      <x:c r="U40" s="4" t="n">
        <x:f>MATCH(J40,'Сводка'!$R$3:$R$397,0)</x:f>
        <x:v>51</x:v>
      </x:c>
      <x:c r="V40" s="4" t="n">
        <x:f>MATCH(J40-'Сводка'!$B$11,'Сводка'!$R$3:$R$397,0)</x:f>
        <x:v>50</x:v>
      </x:c>
      <x:c r="W40" s="4" t="n">
        <x:f>MATCH(T40,$J$388:$J$400,0)</x:f>
        <x:v>2</x:v>
      </x:c>
      <x:c r="X40" s="3"/>
      <x:c r="Y40" s="3"/>
      <x:c r="Z40" s="3"/>
    </x:row>
    <x:row r="41" ht="15" customHeight="1">
      <x:c r="A41" s="10" t="n">
        <x:f>IF(23&lt;='Сводка'!$B$3,'Сводка'!$B$4+23,"")</x:f>
        <x:v>46258</x:v>
      </x:c>
      <x:c r="B41" s="19" t="n">
        <x:f>IF($A41="","",(A41-$T$405+1)/1000)</x:f>
        <x:v>9.002</x:v>
      </x:c>
      <x:c r="C41" s="19" t="n">
        <x:f>IF($A41="","",2*(A41-$T$405)/$T$406-1)</x:f>
        <x:v>1.0051236355535753</x:v>
      </x:c>
      <x:c r="D41" s="8" t="n">
        <x:f>IF($A41="","",$B$4+$B$5*C41^1+$B$6*C41^2+$B$7*C41^3+INDEX($E$4:$E$15,MONTH(A41)))</x:f>
        <x:v>301.3750616924992</x:v>
      </x:c>
      <x:c r="E41" s="8" t="n">
        <x:f>IF($A41="","",SQRT($T$403^2+H41^2))</x:f>
        <x:v>108.77677317977593</x:v>
      </x:c>
      <x:c r="F41" s="8" t="n">
        <x:f>IF($A41="","",D41-$T$404*E41)</x:f>
        <x:v>88.14642420905915</x:v>
      </x:c>
      <x:c r="G41" s="8" t="n">
        <x:f>IF($A41="","",D41+$T$404*E41)</x:f>
        <x:v>514.6036991759393</x:v>
      </x:c>
      <x:c r="H41" s="8" t="n">
        <x:f>IF($A41="","",SQRT(MAX(0,(1)*$S$409*(1)+(1)*$T$409*(C41^1)+(1)*$U$409*(C41^2)+(1)*$V$409*(C41^3)+(C41^1)*$S$410*(1)+(C41^1)*$T$410*(C41^1)+(C41^1)*$U$410*(C41^2)+(C41^1)*$V$410*(C41^3)+(C41^2)*$S$411*(1)+(C41^2)*$T$411*(C41^1)+(C41^2)*$U$411*(C41^2)+(C41^2)*$V$411*(C41^3)+(C41^3)*$S$412*(1)+(C41^3)*$T$412*(C41^1)+(C41^3)*$U$412*(C41^2)+(C41^3)*$V$412*(C41^3)+2*((1)*INDEX($S$416:$V$427,MONTH(A41),1)+(C41^1)*INDEX($S$416:$V$427,MONTH(A41),2)+(C41^2)*INDEX($S$416:$V$427,MONTH(A41),3)+(C41^3)*INDEX($S$416:$V$427,MONTH(A41),4))+INDEX($W$416:$W$427,MONTH(A41)))))</x:f>
        <x:v>6.155154484717744</x:v>
      </x:c>
      <x:c r="I41" s="3"/>
      <x:c r="J41" s="10" t="n">
        <x:v>45892</x:v>
      </x:c>
      <x:c r="K41" s="8" t="n">
        <x:f>INDEX('Сводка'!$S$3:$S$397,U41)</x:f>
        <x:v>255</x:v>
      </x:c>
      <x:c r="L41" s="8" t="n">
        <x:f>INDEX('Сводка'!$S$3:$S$397,V41)</x:f>
        <x:v>270</x:v>
      </x:c>
      <x:c r="M41" s="8" t="n">
        <x:f>INDEX($K$388:$N$400,W41,1)+INDEX($K$388:$N$400,W41,2)*(2*(J41-$T$405)/(T41-$T$405)-1)^1+INDEX($K$388:$N$400,W41,3)*(2*(J41-$T$405)/(T41-$T$405)-1)^2+INDEX($K$388:$N$400,W41,4)*(2*(J41-$T$405)/(T41-$T$405)-1)^3+INDEX($O$388:$Z$400,W41,MONTH(J41))</x:f>
        <x:v>329.5464056425062</x:v>
      </x:c>
      <x:c r="N41" s="8" t="n">
        <x:f>K41-M41</x:f>
        <x:v>-74.54640564250622</x:v>
      </x:c>
      <x:c r="O41" s="8" t="n">
        <x:f>ABS(N41)</x:f>
        <x:v>74.54640564250622</x:v>
      </x:c>
      <x:c r="P41" s="8" t="n">
        <x:f>N41^2</x:f>
        <x:v>5557.166594217082</x:v>
      </x:c>
      <x:c r="Q41" s="8" t="n">
        <x:f>K41-L41</x:f>
        <x:v>-15</x:v>
      </x:c>
      <x:c r="R41" s="9" t="n">
        <x:f>IF(AND(INDEX('Сводка'!$T$3:$T$397,U41)=0,INDEX('Сводка'!$T$3:$T$397,V41)=0),1,0)</x:f>
        <x:v>1</x:v>
      </x:c>
      <x:c r="S41" s="9" t="n">
        <x:f>IF(AND(R41=1,O41&lt;=$G$13),1,0)</x:f>
        <x:v>0</x:v>
      </x:c>
      <x:c r="T41" s="10" t="n">
        <x:f>EOMONTH(J41-'Сводка'!$B$11,-1)</x:f>
        <x:v>45869</x:v>
      </x:c>
      <x:c r="U41" s="4" t="n">
        <x:f>MATCH(J41,'Сводка'!$R$3:$R$397,0)</x:f>
        <x:v>52</x:v>
      </x:c>
      <x:c r="V41" s="4" t="n">
        <x:f>MATCH(J41-'Сводка'!$B$11,'Сводка'!$R$3:$R$397,0)</x:f>
        <x:v>51</x:v>
      </x:c>
      <x:c r="W41" s="4" t="n">
        <x:f>MATCH(T41,$J$388:$J$400,0)</x:f>
        <x:v>2</x:v>
      </x:c>
      <x:c r="X41" s="3"/>
      <x:c r="Y41" s="3"/>
      <x:c r="Z41" s="3"/>
    </x:row>
    <x:row r="42" ht="15" customHeight="1">
      <x:c r="A42" s="10" t="n">
        <x:f>IF(24&lt;='Сводка'!$B$3,'Сводка'!$B$4+24,"")</x:f>
        <x:v>46259</x:v>
      </x:c>
      <x:c r="B42" s="19" t="n">
        <x:f>IF($A42="","",(A42-$T$405+1)/1000)</x:f>
        <x:v>9.003</x:v>
      </x:c>
      <x:c r="C42" s="19" t="n">
        <x:f>IF($A42="","",2*(A42-$T$405)/$T$406-1)</x:f>
        <x:v>1.0053464023167744</x:v>
      </x:c>
      <x:c r="D42" s="8" t="n">
        <x:f>IF($A42="","",$B$4+$B$5*C42^1+$B$6*C42^2+$B$7*C42^3+INDEX($E$4:$E$15,MONTH(A42)))</x:f>
        <x:v>301.34316186077854</x:v>
      </x:c>
      <x:c r="E42" s="8" t="n">
        <x:f>IF($A42="","",SQRT($T$403^2+H42^2))</x:f>
        <x:v>108.77694857678867</x:v>
      </x:c>
      <x:c r="F42" s="8" t="n">
        <x:f>IF($A42="","",D42-$T$404*E42)</x:f>
        <x:v>88.11418055700858</x:v>
      </x:c>
      <x:c r="G42" s="8" t="n">
        <x:f>IF($A42="","",D42+$T$404*E42)</x:f>
        <x:v>514.5721431645485</x:v>
      </x:c>
      <x:c r="H42" s="8" t="n">
        <x:f>IF($A42="","",SQRT(MAX(0,(1)*$S$409*(1)+(1)*$T$409*(C42^1)+(1)*$U$409*(C42^2)+(1)*$V$409*(C42^3)+(C42^1)*$S$410*(1)+(C42^1)*$T$410*(C42^1)+(C42^1)*$U$410*(C42^2)+(C42^1)*$V$410*(C42^3)+(C42^2)*$S$411*(1)+(C42^2)*$T$411*(C42^1)+(C42^2)*$U$411*(C42^2)+(C42^2)*$V$411*(C42^3)+(C42^3)*$S$412*(1)+(C42^3)*$T$412*(C42^1)+(C42^3)*$U$412*(C42^2)+(C42^3)*$V$412*(C42^3)+2*((1)*INDEX($S$416:$V$427,MONTH(A42),1)+(C42^1)*INDEX($S$416:$V$427,MONTH(A42),2)+(C42^2)*INDEX($S$416:$V$427,MONTH(A42),3)+(C42^3)*INDEX($S$416:$V$427,MONTH(A42),4))+INDEX($W$416:$W$427,MONTH(A42)))))</x:f>
        <x:v>6.158253405280492</x:v>
      </x:c>
      <x:c r="I42" s="3"/>
      <x:c r="J42" s="10" t="n">
        <x:v>45893</x:v>
      </x:c>
      <x:c r="K42" s="8" t="n">
        <x:f>INDEX('Сводка'!$S$3:$S$397,U42)</x:f>
        <x:v>245</x:v>
      </x:c>
      <x:c r="L42" s="8" t="n">
        <x:f>INDEX('Сводка'!$S$3:$S$397,V42)</x:f>
        <x:v>255</x:v>
      </x:c>
      <x:c r="M42" s="8" t="n">
        <x:f>INDEX($K$388:$N$400,W42,1)+INDEX($K$388:$N$400,W42,2)*(2*(J42-$T$405)/(T42-$T$405)-1)^1+INDEX($K$388:$N$400,W42,3)*(2*(J42-$T$405)/(T42-$T$405)-1)^2+INDEX($K$388:$N$400,W42,4)*(2*(J42-$T$405)/(T42-$T$405)-1)^3+INDEX($O$388:$Z$400,W42,MONTH(J42))</x:f>
        <x:v>329.5354458918386</x:v>
      </x:c>
      <x:c r="N42" s="8" t="n">
        <x:f>K42-M42</x:f>
        <x:v>-84.5354458918386</x:v>
      </x:c>
      <x:c r="O42" s="8" t="n">
        <x:f>ABS(N42)</x:f>
        <x:v>84.5354458918386</x:v>
      </x:c>
      <x:c r="P42" s="8" t="n">
        <x:f>N42^2</x:f>
        <x:v>7146.241612131973</x:v>
      </x:c>
      <x:c r="Q42" s="8" t="n">
        <x:f>K42-L42</x:f>
        <x:v>-10</x:v>
      </x:c>
      <x:c r="R42" s="9" t="n">
        <x:f>IF(AND(INDEX('Сводка'!$T$3:$T$397,U42)=0,INDEX('Сводка'!$T$3:$T$397,V42)=0),1,0)</x:f>
        <x:v>1</x:v>
      </x:c>
      <x:c r="S42" s="9" t="n">
        <x:f>IF(AND(R42=1,O42&lt;=$G$13),1,0)</x:f>
        <x:v>0</x:v>
      </x:c>
      <x:c r="T42" s="10" t="n">
        <x:f>EOMONTH(J42-'Сводка'!$B$11,-1)</x:f>
        <x:v>45869</x:v>
      </x:c>
      <x:c r="U42" s="4" t="n">
        <x:f>MATCH(J42,'Сводка'!$R$3:$R$397,0)</x:f>
        <x:v>53</x:v>
      </x:c>
      <x:c r="V42" s="4" t="n">
        <x:f>MATCH(J42-'Сводка'!$B$11,'Сводка'!$R$3:$R$397,0)</x:f>
        <x:v>52</x:v>
      </x:c>
      <x:c r="W42" s="4" t="n">
        <x:f>MATCH(T42,$J$388:$J$400,0)</x:f>
        <x:v>2</x:v>
      </x:c>
      <x:c r="X42" s="3"/>
      <x:c r="Y42" s="3"/>
      <x:c r="Z42" s="3"/>
    </x:row>
    <x:row r="43" ht="15" customHeight="1">
      <x:c r="A43" s="10" t="n">
        <x:f>IF(25&lt;='Сводка'!$B$3,'Сводка'!$B$4+25,"")</x:f>
        <x:v>46260</x:v>
      </x:c>
      <x:c r="B43" s="19" t="n">
        <x:f>IF($A43="","",(A43-$T$405+1)/1000)</x:f>
        <x:v>9.004</x:v>
      </x:c>
      <x:c r="C43" s="19" t="n">
        <x:f>IF($A43="","",2*(A43-$T$405)/$T$406-1)</x:f>
        <x:v>1.005569169079973</x:v>
      </x:c>
      <x:c r="D43" s="8" t="n">
        <x:f>IF($A43="","",$B$4+$B$5*C43^1+$B$6*C43^2+$B$7*C43^3+INDEX($E$4:$E$15,MONTH(A43)))</x:f>
        <x:v>301.3112439270036</x:v>
      </x:c>
      <x:c r="E43" s="8" t="n">
        <x:f>IF($A43="","",SQRT($T$403^2+H43^2))</x:f>
        <x:v>108.77712424140623</x:v>
      </x:c>
      <x:c r="F43" s="8" t="n">
        <x:f>IF($A43="","",D43-$T$404*E43)</x:f>
        <x:v>88.08191827833389</x:v>
      </x:c>
      <x:c r="G43" s="8" t="n">
        <x:f>IF($A43="","",D43+$T$404*E43)</x:f>
        <x:v>514.5405695756733</x:v>
      </x:c>
      <x:c r="H43" s="8" t="n">
        <x:f>IF($A43="","",SQRT(MAX(0,(1)*$S$409*(1)+(1)*$T$409*(C43^1)+(1)*$U$409*(C43^2)+(1)*$V$409*(C43^3)+(C43^1)*$S$410*(1)+(C43^1)*$T$410*(C43^1)+(C43^1)*$U$410*(C43^2)+(C43^1)*$V$410*(C43^3)+(C43^2)*$S$411*(1)+(C43^2)*$T$411*(C43^1)+(C43^2)*$U$411*(C43^2)+(C43^2)*$V$411*(C43^3)+(C43^3)*$S$412*(1)+(C43^3)*$T$412*(C43^1)+(C43^3)*$U$412*(C43^2)+(C43^3)*$V$412*(C43^3)+2*((1)*INDEX($S$416:$V$427,MONTH(A43),1)+(C43^1)*INDEX($S$416:$V$427,MONTH(A43),2)+(C43^2)*INDEX($S$416:$V$427,MONTH(A43),3)+(C43^3)*INDEX($S$416:$V$427,MONTH(A43),4))+INDEX($W$416:$W$427,MONTH(A43)))))</x:f>
        <x:v>6.161355496694676</x:v>
      </x:c>
      <x:c r="I43" s="3"/>
      <x:c r="J43" s="10" t="n">
        <x:v>45894</x:v>
      </x:c>
      <x:c r="K43" s="8" t="n">
        <x:f>INDEX('Сводка'!$S$3:$S$397,U43)</x:f>
        <x:v>235</x:v>
      </x:c>
      <x:c r="L43" s="8" t="n">
        <x:f>INDEX('Сводка'!$S$3:$S$397,V43)</x:f>
        <x:v>245</x:v>
      </x:c>
      <x:c r="M43" s="8" t="n">
        <x:f>INDEX($K$388:$N$400,W43,1)+INDEX($K$388:$N$400,W43,2)*(2*(J43-$T$405)/(T43-$T$405)-1)^1+INDEX($K$388:$N$400,W43,3)*(2*(J43-$T$405)/(T43-$T$405)-1)^2+INDEX($K$388:$N$400,W43,4)*(2*(J43-$T$405)/(T43-$T$405)-1)^3+INDEX($O$388:$Z$400,W43,MONTH(J43))</x:f>
        <x:v>329.52447567429226</x:v>
      </x:c>
      <x:c r="N43" s="8" t="n">
        <x:f>K43-M43</x:f>
        <x:v>-94.52447567429226</x:v>
      </x:c>
      <x:c r="O43" s="8" t="n">
        <x:f>ABS(N43)</x:f>
        <x:v>94.52447567429226</x:v>
      </x:c>
      <x:c r="P43" s="8" t="n">
        <x:f>N43^2</x:f>
        <x:v>8934.87650149987</x:v>
      </x:c>
      <x:c r="Q43" s="8" t="n">
        <x:f>K43-L43</x:f>
        <x:v>-10</x:v>
      </x:c>
      <x:c r="R43" s="9" t="n">
        <x:f>IF(AND(INDEX('Сводка'!$T$3:$T$397,U43)=0,INDEX('Сводка'!$T$3:$T$397,V43)=0),1,0)</x:f>
        <x:v>1</x:v>
      </x:c>
      <x:c r="S43" s="9" t="n">
        <x:f>IF(AND(R43=1,O43&lt;=$G$13),1,0)</x:f>
        <x:v>0</x:v>
      </x:c>
      <x:c r="T43" s="10" t="n">
        <x:f>EOMONTH(J43-'Сводка'!$B$11,-1)</x:f>
        <x:v>45869</x:v>
      </x:c>
      <x:c r="U43" s="4" t="n">
        <x:f>MATCH(J43,'Сводка'!$R$3:$R$397,0)</x:f>
        <x:v>54</x:v>
      </x:c>
      <x:c r="V43" s="4" t="n">
        <x:f>MATCH(J43-'Сводка'!$B$11,'Сводка'!$R$3:$R$397,0)</x:f>
        <x:v>53</x:v>
      </x:c>
      <x:c r="W43" s="4" t="n">
        <x:f>MATCH(T43,$J$388:$J$400,0)</x:f>
        <x:v>2</x:v>
      </x:c>
      <x:c r="X43" s="3"/>
      <x:c r="Y43" s="3"/>
      <x:c r="Z43" s="3"/>
    </x:row>
    <x:row r="44" ht="15" customHeight="1">
      <x:c r="A44" s="10" t="n">
        <x:f>IF(26&lt;='Сводка'!$B$3,'Сводка'!$B$4+26,"")</x:f>
        <x:v>46261</x:v>
      </x:c>
      <x:c r="B44" s="19" t="n">
        <x:f>IF($A44="","",(A44-$T$405+1)/1000)</x:f>
        <x:v>9.005</x:v>
      </x:c>
      <x:c r="C44" s="19" t="n">
        <x:f>IF($A44="","",2*(A44-$T$405)/$T$406-1)</x:f>
        <x:v>1.0057919358431722</x:v>
      </x:c>
      <x:c r="D44" s="8" t="n">
        <x:f>IF($A44="","",$B$4+$B$5*C44^1+$B$6*C44^2+$B$7*C44^3+INDEX($E$4:$E$15,MONTH(A44)))</x:f>
        <x:v>301.2793078886539</x:v>
      </x:c>
      <x:c r="E44" s="8" t="n">
        <x:f>IF($A44="","",SQRT($T$403^2+H44^2))</x:f>
        <x:v>108.77730017392679</x:v>
      </x:c>
      <x:c r="F44" s="8" t="n">
        <x:f>IF($A44="","",D44-$T$404*E44)</x:f>
        <x:v>88.04963736993008</x:v>
      </x:c>
      <x:c r="G44" s="8" t="n">
        <x:f>IF($A44="","",D44+$T$404*E44)</x:f>
        <x:v>514.5089784073776</x:v>
      </x:c>
      <x:c r="H44" s="8" t="n">
        <x:f>IF($A44="","",SQRT(MAX(0,(1)*$S$409*(1)+(1)*$T$409*(C44^1)+(1)*$U$409*(C44^2)+(1)*$V$409*(C44^3)+(C44^1)*$S$410*(1)+(C44^1)*$T$410*(C44^1)+(C44^1)*$U$410*(C44^2)+(C44^1)*$V$410*(C44^3)+(C44^2)*$S$411*(1)+(C44^2)*$T$411*(C44^1)+(C44^2)*$U$411*(C44^2)+(C44^2)*$V$411*(C44^3)+(C44^3)*$S$412*(1)+(C44^3)*$T$412*(C44^1)+(C44^3)*$U$412*(C44^2)+(C44^3)*$V$412*(C44^3)+2*((1)*INDEX($S$416:$V$427,MONTH(A44),1)+(C44^1)*INDEX($S$416:$V$427,MONTH(A44),2)+(C44^2)*INDEX($S$416:$V$427,MONTH(A44),3)+(C44^3)*INDEX($S$416:$V$427,MONTH(A44),4))+INDEX($W$416:$W$427,MONTH(A44)))))</x:f>
        <x:v>6.164460759457948</x:v>
      </x:c>
      <x:c r="I44" s="3"/>
      <x:c r="J44" s="10" t="n">
        <x:v>45895</x:v>
      </x:c>
      <x:c r="K44" s="8" t="n">
        <x:f>INDEX('Сводка'!$S$3:$S$397,U44)</x:f>
        <x:v>227</x:v>
      </x:c>
      <x:c r="L44" s="8" t="n">
        <x:f>INDEX('Сводка'!$S$3:$S$397,V44)</x:f>
        <x:v>235</x:v>
      </x:c>
      <x:c r="M44" s="8" t="n">
        <x:f>INDEX($K$388:$N$400,W44,1)+INDEX($K$388:$N$400,W44,2)*(2*(J44-$T$405)/(T44-$T$405)-1)^1+INDEX($K$388:$N$400,W44,3)*(2*(J44-$T$405)/(T44-$T$405)-1)^2+INDEX($K$388:$N$400,W44,4)*(2*(J44-$T$405)/(T44-$T$405)-1)^3+INDEX($O$388:$Z$400,W44,MONTH(J44))</x:f>
        <x:v>329.51349498870775</x:v>
      </x:c>
      <x:c r="N44" s="8" t="n">
        <x:f>K44-M44</x:f>
        <x:v>-102.51349498870775</x:v>
      </x:c>
      <x:c r="O44" s="8" t="n">
        <x:f>ABS(N44)</x:f>
        <x:v>102.51349498870775</x:v>
      </x:c>
      <x:c r="P44" s="8" t="n">
        <x:f>N44^2</x:f>
        <x:v>10509.016654799809</x:v>
      </x:c>
      <x:c r="Q44" s="8" t="n">
        <x:f>K44-L44</x:f>
        <x:v>-8</x:v>
      </x:c>
      <x:c r="R44" s="9" t="n">
        <x:f>IF(AND(INDEX('Сводка'!$T$3:$T$397,U44)=0,INDEX('Сводка'!$T$3:$T$397,V44)=0),1,0)</x:f>
        <x:v>1</x:v>
      </x:c>
      <x:c r="S44" s="9" t="n">
        <x:f>IF(AND(R44=1,O44&lt;=$G$13),1,0)</x:f>
        <x:v>0</x:v>
      </x:c>
      <x:c r="T44" s="10" t="n">
        <x:f>EOMONTH(J44-'Сводка'!$B$11,-1)</x:f>
        <x:v>45869</x:v>
      </x:c>
      <x:c r="U44" s="4" t="n">
        <x:f>MATCH(J44,'Сводка'!$R$3:$R$397,0)</x:f>
        <x:v>55</x:v>
      </x:c>
      <x:c r="V44" s="4" t="n">
        <x:f>MATCH(J44-'Сводка'!$B$11,'Сводка'!$R$3:$R$397,0)</x:f>
        <x:v>54</x:v>
      </x:c>
      <x:c r="W44" s="4" t="n">
        <x:f>MATCH(T44,$J$388:$J$400,0)</x:f>
        <x:v>2</x:v>
      </x:c>
      <x:c r="X44" s="3"/>
      <x:c r="Y44" s="3"/>
      <x:c r="Z44" s="3"/>
    </x:row>
    <x:row r="45" ht="15" customHeight="1">
      <x:c r="A45" s="10" t="n">
        <x:f>IF(27&lt;='Сводка'!$B$3,'Сводка'!$B$4+27,"")</x:f>
        <x:v>46262</x:v>
      </x:c>
      <x:c r="B45" s="19" t="n">
        <x:f>IF($A45="","",(A45-$T$405+1)/1000)</x:f>
        <x:v>9.006</x:v>
      </x:c>
      <x:c r="C45" s="19" t="n">
        <x:f>IF($A45="","",2*(A45-$T$405)/$T$406-1)</x:f>
        <x:v>1.0060147026063713</x:v>
      </x:c>
      <x:c r="D45" s="8" t="n">
        <x:f>IF($A45="","",$B$4+$B$5*C45^1+$B$6*C45^2+$B$7*C45^3+INDEX($E$4:$E$15,MONTH(A45)))</x:f>
        <x:v>301.2473537432085</x:v>
      </x:c>
      <x:c r="E45" s="8" t="n">
        <x:f>IF($A45="","",SQRT($T$403^2+H45^2))</x:f>
        <x:v>108.77747637464876</x:v>
      </x:c>
      <x:c r="F45" s="8" t="n">
        <x:f>IF($A45="","",D45-$T$404*E45)</x:f>
        <x:v>88.01733782869138</x:v>
      </x:c>
      <x:c r="G45" s="8" t="n">
        <x:f>IF($A45="","",D45+$T$404*E45)</x:f>
        <x:v>514.4773696577256</x:v>
      </x:c>
      <x:c r="H45" s="8" t="n">
        <x:f>IF($A45="","",SQRT(MAX(0,(1)*$S$409*(1)+(1)*$T$409*(C45^1)+(1)*$U$409*(C45^2)+(1)*$V$409*(C45^3)+(C45^1)*$S$410*(1)+(C45^1)*$T$410*(C45^1)+(C45^1)*$U$410*(C45^2)+(C45^1)*$V$410*(C45^3)+(C45^2)*$S$411*(1)+(C45^2)*$T$411*(C45^1)+(C45^2)*$U$411*(C45^2)+(C45^2)*$V$411*(C45^3)+(C45^3)*$S$412*(1)+(C45^3)*$T$412*(C45^1)+(C45^3)*$U$412*(C45^2)+(C45^3)*$V$412*(C45^3)+2*((1)*INDEX($S$416:$V$427,MONTH(A45),1)+(C45^1)*INDEX($S$416:$V$427,MONTH(A45),2)+(C45^2)*INDEX($S$416:$V$427,MONTH(A45),3)+(C45^3)*INDEX($S$416:$V$427,MONTH(A45),4))+INDEX($W$416:$W$427,MONTH(A45)))))</x:f>
        <x:v>6.167569194066089</x:v>
      </x:c>
      <x:c r="I45" s="3"/>
      <x:c r="J45" s="10" t="n">
        <x:v>45896</x:v>
      </x:c>
      <x:c r="K45" s="8" t="n">
        <x:f>INDEX('Сводка'!$S$3:$S$397,U45)</x:f>
        <x:v>226</x:v>
      </x:c>
      <x:c r="L45" s="8" t="n">
        <x:f>INDEX('Сводка'!$S$3:$S$397,V45)</x:f>
        <x:v>227</x:v>
      </x:c>
      <x:c r="M45" s="8" t="n">
        <x:f>INDEX($K$388:$N$400,W45,1)+INDEX($K$388:$N$400,W45,2)*(2*(J45-$T$405)/(T45-$T$405)-1)^1+INDEX($K$388:$N$400,W45,3)*(2*(J45-$T$405)/(T45-$T$405)-1)^2+INDEX($K$388:$N$400,W45,4)*(2*(J45-$T$405)/(T45-$T$405)-1)^3+INDEX($O$388:$Z$400,W45,MONTH(J45))</x:f>
        <x:v>329.50250383392574</x:v>
      </x:c>
      <x:c r="N45" s="8" t="n">
        <x:f>K45-M45</x:f>
        <x:v>-103.50250383392574</x:v>
      </x:c>
      <x:c r="O45" s="8" t="n">
        <x:f>ABS(N45)</x:f>
        <x:v>103.50250383392574</x:v>
      </x:c>
      <x:c r="P45" s="8" t="n">
        <x:f>N45^2</x:f>
        <x:v>10712.768299891814</x:v>
      </x:c>
      <x:c r="Q45" s="8" t="n">
        <x:f>K45-L45</x:f>
        <x:v>-1</x:v>
      </x:c>
      <x:c r="R45" s="9" t="n">
        <x:f>IF(AND(INDEX('Сводка'!$T$3:$T$397,U45)=0,INDEX('Сводка'!$T$3:$T$397,V45)=0),1,0)</x:f>
        <x:v>1</x:v>
      </x:c>
      <x:c r="S45" s="9" t="n">
        <x:f>IF(AND(R45=1,O45&lt;=$G$13),1,0)</x:f>
        <x:v>0</x:v>
      </x:c>
      <x:c r="T45" s="10" t="n">
        <x:f>EOMONTH(J45-'Сводка'!$B$11,-1)</x:f>
        <x:v>45869</x:v>
      </x:c>
      <x:c r="U45" s="4" t="n">
        <x:f>MATCH(J45,'Сводка'!$R$3:$R$397,0)</x:f>
        <x:v>56</x:v>
      </x:c>
      <x:c r="V45" s="4" t="n">
        <x:f>MATCH(J45-'Сводка'!$B$11,'Сводка'!$R$3:$R$397,0)</x:f>
        <x:v>55</x:v>
      </x:c>
      <x:c r="W45" s="4" t="n">
        <x:f>MATCH(T45,$J$388:$J$400,0)</x:f>
        <x:v>2</x:v>
      </x:c>
      <x:c r="X45" s="3"/>
      <x:c r="Y45" s="3"/>
      <x:c r="Z45" s="3"/>
    </x:row>
    <x:row r="46" ht="15" customHeight="1">
      <x:c r="A46" s="10" t="n">
        <x:f>IF(28&lt;='Сводка'!$B$3,'Сводка'!$B$4+28,"")</x:f>
        <x:v>46263</x:v>
      </x:c>
      <x:c r="B46" s="19" t="n">
        <x:f>IF($A46="","",(A46-$T$405+1)/1000)</x:f>
        <x:v>9.007</x:v>
      </x:c>
      <x:c r="C46" s="19" t="n">
        <x:f>IF($A46="","",2*(A46-$T$405)/$T$406-1)</x:f>
        <x:v>1.00623746936957</x:v>
      </x:c>
      <x:c r="D46" s="8" t="n">
        <x:f>IF($A46="","",$B$4+$B$5*C46^1+$B$6*C46^2+$B$7*C46^3+INDEX($E$4:$E$15,MONTH(A46)))</x:f>
        <x:v>301.21538148814716</x:v>
      </x:c>
      <x:c r="E46" s="8" t="n">
        <x:f>IF($A46="","",SQRT($T$403^2+H46^2))</x:f>
        <x:v>108.77765284387078</x:v>
      </x:c>
      <x:c r="F46" s="8" t="n">
        <x:f>IF($A46="","",D46-$T$404*E46)</x:f>
        <x:v>87.985019651512</x:v>
      </x:c>
      <x:c r="G46" s="8" t="n">
        <x:f>IF($A46="","",D46+$T$404*E46)</x:f>
        <x:v>514.4457433247824</x:v>
      </x:c>
      <x:c r="H46" s="8" t="n">
        <x:f>IF($A46="","",SQRT(MAX(0,(1)*$S$409*(1)+(1)*$T$409*(C46^1)+(1)*$U$409*(C46^2)+(1)*$V$409*(C46^3)+(C46^1)*$S$410*(1)+(C46^1)*$T$410*(C46^1)+(C46^1)*$U$410*(C46^2)+(C46^1)*$V$410*(C46^3)+(C46^2)*$S$411*(1)+(C46^2)*$T$411*(C46^1)+(C46^2)*$U$411*(C46^2)+(C46^2)*$V$411*(C46^3)+(C46^3)*$S$412*(1)+(C46^3)*$T$412*(C46^1)+(C46^3)*$U$412*(C46^2)+(C46^3)*$V$412*(C46^3)+2*((1)*INDEX($S$416:$V$427,MONTH(A46),1)+(C46^1)*INDEX($S$416:$V$427,MONTH(A46),2)+(C46^2)*INDEX($S$416:$V$427,MONTH(A46),3)+(C46^3)*INDEX($S$416:$V$427,MONTH(A46),4))+INDEX($W$416:$W$427,MONTH(A46)))))</x:f>
        <x:v>6.17068080101305</x:v>
      </x:c>
      <x:c r="I46" s="3"/>
      <x:c r="J46" s="10" t="n">
        <x:v>45897</x:v>
      </x:c>
      <x:c r="K46" s="8" t="n">
        <x:f>INDEX('Сводка'!$S$3:$S$397,U46)</x:f>
        <x:v>229</x:v>
      </x:c>
      <x:c r="L46" s="8" t="n">
        <x:f>INDEX('Сводка'!$S$3:$S$397,V46)</x:f>
        <x:v>226</x:v>
      </x:c>
      <x:c r="M46" s="8" t="n">
        <x:f>INDEX($K$388:$N$400,W46,1)+INDEX($K$388:$N$400,W46,2)*(2*(J46-$T$405)/(T46-$T$405)-1)^1+INDEX($K$388:$N$400,W46,3)*(2*(J46-$T$405)/(T46-$T$405)-1)^2+INDEX($K$388:$N$400,W46,4)*(2*(J46-$T$405)/(T46-$T$405)-1)^3+INDEX($O$388:$Z$400,W46,MONTH(J46))</x:f>
        <x:v>329.49150220878687</x:v>
      </x:c>
      <x:c r="N46" s="8" t="n">
        <x:f>K46-M46</x:f>
        <x:v>-100.49150220878687</x:v>
      </x:c>
      <x:c r="O46" s="8" t="n">
        <x:f>ABS(N46)</x:f>
        <x:v>100.49150220878687</x:v>
      </x:c>
      <x:c r="P46" s="8" t="n">
        <x:f>N46^2</x:f>
        <x:v>10098.542016178617</x:v>
      </x:c>
      <x:c r="Q46" s="8" t="n">
        <x:f>K46-L46</x:f>
        <x:v>3</x:v>
      </x:c>
      <x:c r="R46" s="9" t="n">
        <x:f>IF(AND(INDEX('Сводка'!$T$3:$T$397,U46)=0,INDEX('Сводка'!$T$3:$T$397,V46)=0),1,0)</x:f>
        <x:v>1</x:v>
      </x:c>
      <x:c r="S46" s="9" t="n">
        <x:f>IF(AND(R46=1,O46&lt;=$G$13),1,0)</x:f>
        <x:v>0</x:v>
      </x:c>
      <x:c r="T46" s="10" t="n">
        <x:f>EOMONTH(J46-'Сводка'!$B$11,-1)</x:f>
        <x:v>45869</x:v>
      </x:c>
      <x:c r="U46" s="4" t="n">
        <x:f>MATCH(J46,'Сводка'!$R$3:$R$397,0)</x:f>
        <x:v>57</x:v>
      </x:c>
      <x:c r="V46" s="4" t="n">
        <x:f>MATCH(J46-'Сводка'!$B$11,'Сводка'!$R$3:$R$397,0)</x:f>
        <x:v>56</x:v>
      </x:c>
      <x:c r="W46" s="4" t="n">
        <x:f>MATCH(T46,$J$388:$J$400,0)</x:f>
        <x:v>2</x:v>
      </x:c>
      <x:c r="X46" s="3"/>
      <x:c r="Y46" s="3"/>
      <x:c r="Z46" s="3"/>
    </x:row>
    <x:row r="47" ht="15" customHeight="1">
      <x:c r="A47" s="10" t="n">
        <x:f>IF(29&lt;='Сводка'!$B$3,'Сводка'!$B$4+29,"")</x:f>
        <x:v>46264</x:v>
      </x:c>
      <x:c r="B47" s="19" t="n">
        <x:f>IF($A47="","",(A47-$T$405+1)/1000)</x:f>
        <x:v>9.008</x:v>
      </x:c>
      <x:c r="C47" s="19" t="n">
        <x:f>IF($A47="","",2*(A47-$T$405)/$T$406-1)</x:f>
        <x:v>1.006460236132769</x:v>
      </x:c>
      <x:c r="D47" s="8" t="n">
        <x:f>IF($A47="","",$B$4+$B$5*C47^1+$B$6*C47^2+$B$7*C47^3+INDEX($E$4:$E$15,MONTH(A47)))</x:f>
        <x:v>301.183391120949</x:v>
      </x:c>
      <x:c r="E47" s="8" t="n">
        <x:f>IF($A47="","",SQRT($T$403^2+H47^2))</x:f>
        <x:v>108.7778295818917</x:v>
      </x:c>
      <x:c r="F47" s="8" t="n">
        <x:f>IF($A47="","",D47-$T$404*E47)</x:f>
        <x:v>87.95268283528537</x:v>
      </x:c>
      <x:c r="G47" s="8" t="n">
        <x:f>IF($A47="","",D47+$T$404*E47)</x:f>
        <x:v>514.4140994066126</x:v>
      </x:c>
      <x:c r="H47" s="8" t="n">
        <x:f>IF($A47="","",SQRT(MAX(0,(1)*$S$409*(1)+(1)*$T$409*(C47^1)+(1)*$U$409*(C47^2)+(1)*$V$409*(C47^3)+(C47^1)*$S$410*(1)+(C47^1)*$T$410*(C47^1)+(C47^1)*$U$410*(C47^2)+(C47^1)*$V$410*(C47^3)+(C47^2)*$S$411*(1)+(C47^2)*$T$411*(C47^1)+(C47^2)*$U$411*(C47^2)+(C47^2)*$V$411*(C47^3)+(C47^3)*$S$412*(1)+(C47^3)*$T$412*(C47^1)+(C47^3)*$U$412*(C47^2)+(C47^3)*$V$412*(C47^3)+2*((1)*INDEX($S$416:$V$427,MONTH(A47),1)+(C47^1)*INDEX($S$416:$V$427,MONTH(A47),2)+(C47^2)*INDEX($S$416:$V$427,MONTH(A47),3)+(C47^3)*INDEX($S$416:$V$427,MONTH(A47),4))+INDEX($W$416:$W$427,MONTH(A47)))))</x:f>
        <x:v>6.17379558079095</x:v>
      </x:c>
      <x:c r="I47" s="3"/>
      <x:c r="J47" s="10" t="n">
        <x:v>45898</x:v>
      </x:c>
      <x:c r="K47" s="8" t="n">
        <x:f>INDEX('Сводка'!$S$3:$S$397,U47)</x:f>
        <x:v>233</x:v>
      </x:c>
      <x:c r="L47" s="8" t="n">
        <x:f>INDEX('Сводка'!$S$3:$S$397,V47)</x:f>
        <x:v>229</x:v>
      </x:c>
      <x:c r="M47" s="8" t="n">
        <x:f>INDEX($K$388:$N$400,W47,1)+INDEX($K$388:$N$400,W47,2)*(2*(J47-$T$405)/(T47-$T$405)-1)^1+INDEX($K$388:$N$400,W47,3)*(2*(J47-$T$405)/(T47-$T$405)-1)^2+INDEX($K$388:$N$400,W47,4)*(2*(J47-$T$405)/(T47-$T$405)-1)^3+INDEX($O$388:$Z$400,W47,MONTH(J47))</x:f>
        <x:v>329.48049011213175</x:v>
      </x:c>
      <x:c r="N47" s="8" t="n">
        <x:f>K47-M47</x:f>
        <x:v>-96.48049011213175</x:v>
      </x:c>
      <x:c r="O47" s="8" t="n">
        <x:f>ABS(N47)</x:f>
        <x:v>96.48049011213175</x:v>
      </x:c>
      <x:c r="P47" s="8" t="n">
        <x:f>N47^2</x:f>
        <x:v>9308.484972277152</x:v>
      </x:c>
      <x:c r="Q47" s="8" t="n">
        <x:f>K47-L47</x:f>
        <x:v>4</x:v>
      </x:c>
      <x:c r="R47" s="9" t="n">
        <x:f>IF(AND(INDEX('Сводка'!$T$3:$T$397,U47)=0,INDEX('Сводка'!$T$3:$T$397,V47)=0),1,0)</x:f>
        <x:v>1</x:v>
      </x:c>
      <x:c r="S47" s="9" t="n">
        <x:f>IF(AND(R47=1,O47&lt;=$G$13),1,0)</x:f>
        <x:v>0</x:v>
      </x:c>
      <x:c r="T47" s="10" t="n">
        <x:f>EOMONTH(J47-'Сводка'!$B$11,-1)</x:f>
        <x:v>45869</x:v>
      </x:c>
      <x:c r="U47" s="4" t="n">
        <x:f>MATCH(J47,'Сводка'!$R$3:$R$397,0)</x:f>
        <x:v>58</x:v>
      </x:c>
      <x:c r="V47" s="4" t="n">
        <x:f>MATCH(J47-'Сводка'!$B$11,'Сводка'!$R$3:$R$397,0)</x:f>
        <x:v>57</x:v>
      </x:c>
      <x:c r="W47" s="4" t="n">
        <x:f>MATCH(T47,$J$388:$J$400,0)</x:f>
        <x:v>2</x:v>
      </x:c>
      <x:c r="X47" s="3"/>
      <x:c r="Y47" s="3"/>
      <x:c r="Z47" s="3"/>
    </x:row>
    <x:row r="48" ht="15" customHeight="1">
      <x:c r="A48" s="10" t="n">
        <x:f>IF(30&lt;='Сводка'!$B$3,'Сводка'!$B$4+30,"")</x:f>
        <x:v>46265</x:v>
      </x:c>
      <x:c r="B48" s="19" t="n">
        <x:f>IF($A48="","",(A48-$T$405+1)/1000)</x:f>
        <x:v>9.009</x:v>
      </x:c>
      <x:c r="C48" s="19" t="n">
        <x:f>IF($A48="","",2*(A48-$T$405)/$T$406-1)</x:f>
        <x:v>1.0066830028959681</x:v>
      </x:c>
      <x:c r="D48" s="8" t="n">
        <x:f>IF($A48="","",$B$4+$B$5*C48^1+$B$6*C48^2+$B$7*C48^3+INDEX($E$4:$E$15,MONTH(A48)))</x:f>
        <x:v>301.1513826390936</x:v>
      </x:c>
      <x:c r="E48" s="8" t="n">
        <x:f>IF($A48="","",SQRT($T$403^2+H48^2))</x:f>
        <x:v>108.77800658901059</x:v>
      </x:c>
      <x:c r="F48" s="8" t="n">
        <x:f>IF($A48="","",D48-$T$404*E48)</x:f>
        <x:v>87.92032737690468</x:v>
      </x:c>
      <x:c r="G48" s="8" t="n">
        <x:f>IF($A48="","",D48+$T$404*E48)</x:f>
        <x:v>514.3824379012825</x:v>
      </x:c>
      <x:c r="H48" s="8" t="n">
        <x:f>IF($A48="","",SQRT(MAX(0,(1)*$S$409*(1)+(1)*$T$409*(C48^1)+(1)*$U$409*(C48^2)+(1)*$V$409*(C48^3)+(C48^1)*$S$410*(1)+(C48^1)*$T$410*(C48^1)+(C48^1)*$U$410*(C48^2)+(C48^1)*$V$410*(C48^3)+(C48^2)*$S$411*(1)+(C48^2)*$T$411*(C48^1)+(C48^2)*$U$411*(C48^2)+(C48^2)*$V$411*(C48^3)+(C48^3)*$S$412*(1)+(C48^3)*$T$412*(C48^1)+(C48^3)*$U$412*(C48^2)+(C48^3)*$V$412*(C48^3)+2*((1)*INDEX($S$416:$V$427,MONTH(A48),1)+(C48^1)*INDEX($S$416:$V$427,MONTH(A48),2)+(C48^2)*INDEX($S$416:$V$427,MONTH(A48),3)+(C48^3)*INDEX($S$416:$V$427,MONTH(A48),4))+INDEX($W$416:$W$427,MONTH(A48)))))</x:f>
        <x:v>6.176913533890067</x:v>
      </x:c>
      <x:c r="I48" s="3"/>
      <x:c r="J48" s="10" t="n">
        <x:v>45899</x:v>
      </x:c>
      <x:c r="K48" s="8" t="n">
        <x:f>INDEX('Сводка'!$S$3:$S$397,U48)</x:f>
        <x:v>238</x:v>
      </x:c>
      <x:c r="L48" s="8" t="n">
        <x:f>INDEX('Сводка'!$S$3:$S$397,V48)</x:f>
        <x:v>233</x:v>
      </x:c>
      <x:c r="M48" s="8" t="n">
        <x:f>INDEX($K$388:$N$400,W48,1)+INDEX($K$388:$N$400,W48,2)*(2*(J48-$T$405)/(T48-$T$405)-1)^1+INDEX($K$388:$N$400,W48,3)*(2*(J48-$T$405)/(T48-$T$405)-1)^2+INDEX($K$388:$N$400,W48,4)*(2*(J48-$T$405)/(T48-$T$405)-1)^3+INDEX($O$388:$Z$400,W48,MONTH(J48))</x:f>
        <x:v>329.4694675428011</x:v>
      </x:c>
      <x:c r="N48" s="8" t="n">
        <x:f>K48-M48</x:f>
        <x:v>-91.46946754280111</x:v>
      </x:c>
      <x:c r="O48" s="8" t="n">
        <x:f>ABS(N48)</x:f>
        <x:v>91.46946754280111</x:v>
      </x:c>
      <x:c r="P48" s="8" t="n">
        <x:f>N48^2</x:f>
        <x:v>8366.663492563546</x:v>
      </x:c>
      <x:c r="Q48" s="8" t="n">
        <x:f>K48-L48</x:f>
        <x:v>5</x:v>
      </x:c>
      <x:c r="R48" s="9" t="n">
        <x:f>IF(AND(INDEX('Сводка'!$T$3:$T$397,U48)=0,INDEX('Сводка'!$T$3:$T$397,V48)=0),1,0)</x:f>
        <x:v>1</x:v>
      </x:c>
      <x:c r="S48" s="9" t="n">
        <x:f>IF(AND(R48=1,O48&lt;=$G$13),1,0)</x:f>
        <x:v>0</x:v>
      </x:c>
      <x:c r="T48" s="10" t="n">
        <x:f>EOMONTH(J48-'Сводка'!$B$11,-1)</x:f>
        <x:v>45869</x:v>
      </x:c>
      <x:c r="U48" s="4" t="n">
        <x:f>MATCH(J48,'Сводка'!$R$3:$R$397,0)</x:f>
        <x:v>59</x:v>
      </x:c>
      <x:c r="V48" s="4" t="n">
        <x:f>MATCH(J48-'Сводка'!$B$11,'Сводка'!$R$3:$R$397,0)</x:f>
        <x:v>58</x:v>
      </x:c>
      <x:c r="W48" s="4" t="n">
        <x:f>MATCH(T48,$J$388:$J$400,0)</x:f>
        <x:v>2</x:v>
      </x:c>
      <x:c r="X48" s="3"/>
      <x:c r="Y48" s="3"/>
      <x:c r="Z48" s="3"/>
    </x:row>
    <x:row r="49" ht="15" customHeight="1">
      <x:c r="A49" s="7" t="str">
        <x:f>IF(31&lt;='Сводка'!$B$3,'Сводка'!$B$4+31,"")</x:f>
      </x:c>
      <x:c r="B49" s="20" t="str">
        <x:f>IF($A49="","",(A49-$T$405+1)/1000)</x:f>
      </x:c>
      <x:c r="C49" s="20" t="str">
        <x:f>IF($A49="","",2*(A49-$T$405)/$T$406-1)</x:f>
      </x:c>
      <x:c r="D49" s="3" t="str">
        <x:f>IF($A49="","",$B$4+$B$5*C49^1+$B$6*C49^2+$B$7*C49^3+INDEX($E$4:$E$15,MONTH(A49)))</x:f>
      </x:c>
      <x:c r="E49" s="3" t="str">
        <x:f>IF($A49="","",SQRT($T$403^2+H49^2))</x:f>
      </x:c>
      <x:c r="F49" s="3" t="str">
        <x:f>IF($A49="","",D49-$T$404*E49)</x:f>
      </x:c>
      <x:c r="G49" s="3" t="str">
        <x:f>IF($A49="","",D49+$T$404*E49)</x:f>
      </x:c>
      <x:c r="H49" s="3" t="str">
        <x:f>IF($A49="","",SQRT(MAX(0,(1)*$S$409*(1)+(1)*$T$409*(C49^1)+(1)*$U$409*(C49^2)+(1)*$V$409*(C49^3)+(C49^1)*$S$410*(1)+(C49^1)*$T$410*(C49^1)+(C49^1)*$U$410*(C49^2)+(C49^1)*$V$410*(C49^3)+(C49^2)*$S$411*(1)+(C49^2)*$T$411*(C49^1)+(C49^2)*$U$411*(C49^2)+(C49^2)*$V$411*(C49^3)+(C49^3)*$S$412*(1)+(C49^3)*$T$412*(C49^1)+(C49^3)*$U$412*(C49^2)+(C49^3)*$V$412*(C49^3)+2*((1)*INDEX($S$416:$V$427,MONTH(A49),1)+(C49^1)*INDEX($S$416:$V$427,MONTH(A49),2)+(C49^2)*INDEX($S$416:$V$427,MONTH(A49),3)+(C49^3)*INDEX($S$416:$V$427,MONTH(A49),4))+INDEX($W$416:$W$427,MONTH(A49)))))</x:f>
      </x:c>
      <x:c r="I49" s="3"/>
      <x:c r="J49" s="10" t="n">
        <x:v>45900</x:v>
      </x:c>
      <x:c r="K49" s="8" t="n">
        <x:f>INDEX('Сводка'!$S$3:$S$397,U49)</x:f>
        <x:v>238</x:v>
      </x:c>
      <x:c r="L49" s="8" t="n">
        <x:f>INDEX('Сводка'!$S$3:$S$397,V49)</x:f>
        <x:v>238</x:v>
      </x:c>
      <x:c r="M49" s="8" t="n">
        <x:f>INDEX($K$388:$N$400,W49,1)+INDEX($K$388:$N$400,W49,2)*(2*(J49-$T$405)/(T49-$T$405)-1)^1+INDEX($K$388:$N$400,W49,3)*(2*(J49-$T$405)/(T49-$T$405)-1)^2+INDEX($K$388:$N$400,W49,4)*(2*(J49-$T$405)/(T49-$T$405)-1)^3+INDEX($O$388:$Z$400,W49,MONTH(J49))</x:f>
        <x:v>329.4584344996354</x:v>
      </x:c>
      <x:c r="N49" s="8" t="n">
        <x:f>K49-M49</x:f>
        <x:v>-91.45843449963542</x:v>
      </x:c>
      <x:c r="O49" s="8" t="n">
        <x:f>ABS(N49)</x:f>
        <x:v>91.45843449963542</x:v>
      </x:c>
      <x:c r="P49" s="8" t="n">
        <x:f>N49^2</x:f>
        <x:v>8364.645241124103</x:v>
      </x:c>
      <x:c r="Q49" s="8" t="n">
        <x:f>K49-L49</x:f>
        <x:v>0</x:v>
      </x:c>
      <x:c r="R49" s="9" t="n">
        <x:f>IF(AND(INDEX('Сводка'!$T$3:$T$397,U49)=0,INDEX('Сводка'!$T$3:$T$397,V49)=0),1,0)</x:f>
        <x:v>1</x:v>
      </x:c>
      <x:c r="S49" s="9" t="n">
        <x:f>IF(AND(R49=1,O49&lt;=$G$13),1,0)</x:f>
        <x:v>0</x:v>
      </x:c>
      <x:c r="T49" s="10" t="n">
        <x:f>EOMONTH(J49-'Сводка'!$B$11,-1)</x:f>
        <x:v>45869</x:v>
      </x:c>
      <x:c r="U49" s="4" t="n">
        <x:f>MATCH(J49,'Сводка'!$R$3:$R$397,0)</x:f>
        <x:v>60</x:v>
      </x:c>
      <x:c r="V49" s="4" t="n">
        <x:f>MATCH(J49-'Сводка'!$B$11,'Сводка'!$R$3:$R$397,0)</x:f>
        <x:v>59</x:v>
      </x:c>
      <x:c r="W49" s="4" t="n">
        <x:f>MATCH(T49,$J$388:$J$400,0)</x:f>
        <x:v>2</x:v>
      </x:c>
      <x:c r="X49" s="3"/>
      <x:c r="Y49" s="3"/>
      <x:c r="Z49" s="3"/>
    </x:row>
    <x:row r="50" ht="15" customHeight="1">
      <x:c r="A50" s="7" t="str">
        <x:f>IF(32&lt;='Сводка'!$B$3,'Сводка'!$B$4+32,"")</x:f>
      </x:c>
      <x:c r="B50" s="20" t="str">
        <x:f>IF($A50="","",(A50-$T$405+1)/1000)</x:f>
      </x:c>
      <x:c r="C50" s="20" t="str">
        <x:f>IF($A50="","",2*(A50-$T$405)/$T$406-1)</x:f>
      </x:c>
      <x:c r="D50" s="3" t="str">
        <x:f>IF($A50="","",$B$4+$B$5*C50^1+$B$6*C50^2+$B$7*C50^3+INDEX($E$4:$E$15,MONTH(A50)))</x:f>
      </x:c>
      <x:c r="E50" s="3" t="str">
        <x:f>IF($A50="","",SQRT($T$403^2+H50^2))</x:f>
      </x:c>
      <x:c r="F50" s="3" t="str">
        <x:f>IF($A50="","",D50-$T$404*E50)</x:f>
      </x:c>
      <x:c r="G50" s="3" t="str">
        <x:f>IF($A50="","",D50+$T$404*E50)</x:f>
      </x:c>
      <x:c r="H50" s="3" t="str">
        <x:f>IF($A50="","",SQRT(MAX(0,(1)*$S$409*(1)+(1)*$T$409*(C50^1)+(1)*$U$409*(C50^2)+(1)*$V$409*(C50^3)+(C50^1)*$S$410*(1)+(C50^1)*$T$410*(C50^1)+(C50^1)*$U$410*(C50^2)+(C50^1)*$V$410*(C50^3)+(C50^2)*$S$411*(1)+(C50^2)*$T$411*(C50^1)+(C50^2)*$U$411*(C50^2)+(C50^2)*$V$411*(C50^3)+(C50^3)*$S$412*(1)+(C50^3)*$T$412*(C50^1)+(C50^3)*$U$412*(C50^2)+(C50^3)*$V$412*(C50^3)+2*((1)*INDEX($S$416:$V$427,MONTH(A50),1)+(C50^1)*INDEX($S$416:$V$427,MONTH(A50),2)+(C50^2)*INDEX($S$416:$V$427,MONTH(A50),3)+(C50^3)*INDEX($S$416:$V$427,MONTH(A50),4))+INDEX($W$416:$W$427,MONTH(A50)))))</x:f>
      </x:c>
      <x:c r="I50" s="3"/>
      <x:c r="J50" s="10" t="n">
        <x:v>45901</x:v>
      </x:c>
      <x:c r="K50" s="8" t="n">
        <x:f>INDEX('Сводка'!$S$3:$S$397,U50)</x:f>
        <x:v>238</x:v>
      </x:c>
      <x:c r="L50" s="8" t="n">
        <x:f>INDEX('Сводка'!$S$3:$S$397,V50)</x:f>
        <x:v>238</x:v>
      </x:c>
      <x:c r="M50" s="8" t="n">
        <x:f>INDEX($K$388:$N$400,W50,1)+INDEX($K$388:$N$400,W50,2)*(2*(J50-$T$405)/(T50-$T$405)-1)^1+INDEX($K$388:$N$400,W50,3)*(2*(J50-$T$405)/(T50-$T$405)-1)^2+INDEX($K$388:$N$400,W50,4)*(2*(J50-$T$405)/(T50-$T$405)-1)^3+INDEX($O$388:$Z$400,W50,MONTH(J50))</x:f>
        <x:v>289.2461671193007</x:v>
      </x:c>
      <x:c r="N50" s="8" t="n">
        <x:f>K50-M50</x:f>
        <x:v>-51.24616711930071</x:v>
      </x:c>
      <x:c r="O50" s="8" t="n">
        <x:f>ABS(N50)</x:f>
        <x:v>51.24616711930071</x:v>
      </x:c>
      <x:c r="P50" s="8" t="n">
        <x:f>N50^2</x:f>
        <x:v>2626.169644419297</x:v>
      </x:c>
      <x:c r="Q50" s="8" t="n">
        <x:f>K50-L50</x:f>
        <x:v>0</x:v>
      </x:c>
      <x:c r="R50" s="9" t="n">
        <x:f>IF(AND(INDEX('Сводка'!$T$3:$T$397,U50)=0,INDEX('Сводка'!$T$3:$T$397,V50)=0),1,0)</x:f>
        <x:v>1</x:v>
      </x:c>
      <x:c r="S50" s="9" t="n">
        <x:f>IF(AND(R50=1,O50&lt;=$G$13),1,0)</x:f>
        <x:v>0</x:v>
      </x:c>
      <x:c r="T50" s="10" t="n">
        <x:f>EOMONTH(J50-'Сводка'!$B$11,-1)</x:f>
        <x:v>45869</x:v>
      </x:c>
      <x:c r="U50" s="4" t="n">
        <x:f>MATCH(J50,'Сводка'!$R$3:$R$397,0)</x:f>
        <x:v>61</x:v>
      </x:c>
      <x:c r="V50" s="4" t="n">
        <x:f>MATCH(J50-'Сводка'!$B$11,'Сводка'!$R$3:$R$397,0)</x:f>
        <x:v>60</x:v>
      </x:c>
      <x:c r="W50" s="4" t="n">
        <x:f>MATCH(T50,$J$388:$J$400,0)</x:f>
        <x:v>2</x:v>
      </x:c>
      <x:c r="X50" s="3"/>
      <x:c r="Y50" s="3"/>
      <x:c r="Z50" s="3"/>
    </x:row>
    <x:row r="51" ht="15" customHeight="1">
      <x:c r="A51" s="7" t="str">
        <x:f>IF(33&lt;='Сводка'!$B$3,'Сводка'!$B$4+33,"")</x:f>
      </x:c>
      <x:c r="B51" s="20" t="str">
        <x:f>IF($A51="","",(A51-$T$405+1)/1000)</x:f>
      </x:c>
      <x:c r="C51" s="20" t="str">
        <x:f>IF($A51="","",2*(A51-$T$405)/$T$406-1)</x:f>
      </x:c>
      <x:c r="D51" s="3" t="str">
        <x:f>IF($A51="","",$B$4+$B$5*C51^1+$B$6*C51^2+$B$7*C51^3+INDEX($E$4:$E$15,MONTH(A51)))</x:f>
      </x:c>
      <x:c r="E51" s="3" t="str">
        <x:f>IF($A51="","",SQRT($T$403^2+H51^2))</x:f>
      </x:c>
      <x:c r="F51" s="3" t="str">
        <x:f>IF($A51="","",D51-$T$404*E51)</x:f>
      </x:c>
      <x:c r="G51" s="3" t="str">
        <x:f>IF($A51="","",D51+$T$404*E51)</x:f>
      </x:c>
      <x:c r="H51" s="3" t="str">
        <x:f>IF($A51="","",SQRT(MAX(0,(1)*$S$409*(1)+(1)*$T$409*(C51^1)+(1)*$U$409*(C51^2)+(1)*$V$409*(C51^3)+(C51^1)*$S$410*(1)+(C51^1)*$T$410*(C51^1)+(C51^1)*$U$410*(C51^2)+(C51^1)*$V$410*(C51^3)+(C51^2)*$S$411*(1)+(C51^2)*$T$411*(C51^1)+(C51^2)*$U$411*(C51^2)+(C51^2)*$V$411*(C51^3)+(C51^3)*$S$412*(1)+(C51^3)*$T$412*(C51^1)+(C51^3)*$U$412*(C51^2)+(C51^3)*$V$412*(C51^3)+2*((1)*INDEX($S$416:$V$427,MONTH(A51),1)+(C51^1)*INDEX($S$416:$V$427,MONTH(A51),2)+(C51^2)*INDEX($S$416:$V$427,MONTH(A51),3)+(C51^3)*INDEX($S$416:$V$427,MONTH(A51),4))+INDEX($W$416:$W$427,MONTH(A51)))))</x:f>
      </x:c>
      <x:c r="I51" s="3"/>
      <x:c r="J51" s="10" t="n">
        <x:v>45902</x:v>
      </x:c>
      <x:c r="K51" s="8" t="n">
        <x:f>INDEX('Сводка'!$S$3:$S$397,U51)</x:f>
        <x:v>233</x:v>
      </x:c>
      <x:c r="L51" s="8" t="n">
        <x:f>INDEX('Сводка'!$S$3:$S$397,V51)</x:f>
        <x:v>238</x:v>
      </x:c>
      <x:c r="M51" s="8" t="n">
        <x:f>INDEX($K$388:$N$400,W51,1)+INDEX($K$388:$N$400,W51,2)*(2*(J51-$T$405)/(T51-$T$405)-1)^1+INDEX($K$388:$N$400,W51,3)*(2*(J51-$T$405)/(T51-$T$405)-1)^2+INDEX($K$388:$N$400,W51,4)*(2*(J51-$T$405)/(T51-$T$405)-1)^3+INDEX($O$388:$Z$400,W51,MONTH(J51))</x:f>
        <x:v>285.72209030861086</x:v>
      </x:c>
      <x:c r="N51" s="8" t="n">
        <x:f>K51-M51</x:f>
        <x:v>-52.72209030861086</x:v>
      </x:c>
      <x:c r="O51" s="8" t="n">
        <x:f>ABS(N51)</x:f>
        <x:v>52.72209030861086</x:v>
      </x:c>
      <x:c r="P51" s="8" t="n">
        <x:f>N51^2</x:f>
        <x:v>2779.6188065093193</x:v>
      </x:c>
      <x:c r="Q51" s="8" t="n">
        <x:f>K51-L51</x:f>
        <x:v>-5</x:v>
      </x:c>
      <x:c r="R51" s="9" t="n">
        <x:f>IF(AND(INDEX('Сводка'!$T$3:$T$397,U51)=0,INDEX('Сводка'!$T$3:$T$397,V51)=0),1,0)</x:f>
        <x:v>1</x:v>
      </x:c>
      <x:c r="S51" s="9" t="n">
        <x:f>IF(AND(R51=1,O51&lt;=$G$13),1,0)</x:f>
        <x:v>0</x:v>
      </x:c>
      <x:c r="T51" s="10" t="n">
        <x:f>EOMONTH(J51-'Сводка'!$B$11,-1)</x:f>
        <x:v>45900</x:v>
      </x:c>
      <x:c r="U51" s="4" t="n">
        <x:f>MATCH(J51,'Сводка'!$R$3:$R$397,0)</x:f>
        <x:v>62</x:v>
      </x:c>
      <x:c r="V51" s="4" t="n">
        <x:f>MATCH(J51-'Сводка'!$B$11,'Сводка'!$R$3:$R$397,0)</x:f>
        <x:v>61</x:v>
      </x:c>
      <x:c r="W51" s="4" t="n">
        <x:f>MATCH(T51,$J$388:$J$400,0)</x:f>
        <x:v>3</x:v>
      </x:c>
      <x:c r="X51" s="3"/>
      <x:c r="Y51" s="3"/>
      <x:c r="Z51" s="3"/>
    </x:row>
    <x:row r="52" ht="15" customHeight="1">
      <x:c r="A52" s="7" t="str">
        <x:f>IF(34&lt;='Сводка'!$B$3,'Сводка'!$B$4+34,"")</x:f>
      </x:c>
      <x:c r="B52" s="20" t="str">
        <x:f>IF($A52="","",(A52-$T$405+1)/1000)</x:f>
      </x:c>
      <x:c r="C52" s="20" t="str">
        <x:f>IF($A52="","",2*(A52-$T$405)/$T$406-1)</x:f>
      </x:c>
      <x:c r="D52" s="3" t="str">
        <x:f>IF($A52="","",$B$4+$B$5*C52^1+$B$6*C52^2+$B$7*C52^3+INDEX($E$4:$E$15,MONTH(A52)))</x:f>
      </x:c>
      <x:c r="E52" s="3" t="str">
        <x:f>IF($A52="","",SQRT($T$403^2+H52^2))</x:f>
      </x:c>
      <x:c r="F52" s="3" t="str">
        <x:f>IF($A52="","",D52-$T$404*E52)</x:f>
      </x:c>
      <x:c r="G52" s="3" t="str">
        <x:f>IF($A52="","",D52+$T$404*E52)</x:f>
      </x:c>
      <x:c r="H52" s="3" t="str">
        <x:f>IF($A52="","",SQRT(MAX(0,(1)*$S$409*(1)+(1)*$T$409*(C52^1)+(1)*$U$409*(C52^2)+(1)*$V$409*(C52^3)+(C52^1)*$S$410*(1)+(C52^1)*$T$410*(C52^1)+(C52^1)*$U$410*(C52^2)+(C52^1)*$V$410*(C52^3)+(C52^2)*$S$411*(1)+(C52^2)*$T$411*(C52^1)+(C52^2)*$U$411*(C52^2)+(C52^2)*$V$411*(C52^3)+(C52^3)*$S$412*(1)+(C52^3)*$T$412*(C52^1)+(C52^3)*$U$412*(C52^2)+(C52^3)*$V$412*(C52^3)+2*((1)*INDEX($S$416:$V$427,MONTH(A52),1)+(C52^1)*INDEX($S$416:$V$427,MONTH(A52),2)+(C52^2)*INDEX($S$416:$V$427,MONTH(A52),3)+(C52^3)*INDEX($S$416:$V$427,MONTH(A52),4))+INDEX($W$416:$W$427,MONTH(A52)))))</x:f>
      </x:c>
      <x:c r="I52" s="3"/>
      <x:c r="J52" s="10" t="n">
        <x:v>45903</x:v>
      </x:c>
      <x:c r="K52" s="8" t="n">
        <x:f>INDEX('Сводка'!$S$3:$S$397,U52)</x:f>
        <x:v>228</x:v>
      </x:c>
      <x:c r="L52" s="8" t="n">
        <x:f>INDEX('Сводка'!$S$3:$S$397,V52)</x:f>
        <x:v>233</x:v>
      </x:c>
      <x:c r="M52" s="8" t="n">
        <x:f>INDEX($K$388:$N$400,W52,1)+INDEX($K$388:$N$400,W52,2)*(2*(J52-$T$405)/(T52-$T$405)-1)^1+INDEX($K$388:$N$400,W52,3)*(2*(J52-$T$405)/(T52-$T$405)-1)^2+INDEX($K$388:$N$400,W52,4)*(2*(J52-$T$405)/(T52-$T$405)-1)^3+INDEX($O$388:$Z$400,W52,MONTH(J52))</x:f>
        <x:v>285.7078914328732</x:v>
      </x:c>
      <x:c r="N52" s="8" t="n">
        <x:f>K52-M52</x:f>
        <x:v>-57.707891432873225</x:v>
      </x:c>
      <x:c r="O52" s="8" t="n">
        <x:f>ABS(N52)</x:f>
        <x:v>57.707891432873225</x:v>
      </x:c>
      <x:c r="P52" s="8" t="n">
        <x:f>N52^2</x:f>
        <x:v>3330.200733628283</x:v>
      </x:c>
      <x:c r="Q52" s="8" t="n">
        <x:f>K52-L52</x:f>
        <x:v>-5</x:v>
      </x:c>
      <x:c r="R52" s="9" t="n">
        <x:f>IF(AND(INDEX('Сводка'!$T$3:$T$397,U52)=0,INDEX('Сводка'!$T$3:$T$397,V52)=0),1,0)</x:f>
        <x:v>1</x:v>
      </x:c>
      <x:c r="S52" s="9" t="n">
        <x:f>IF(AND(R52=1,O52&lt;=$G$13),1,0)</x:f>
        <x:v>0</x:v>
      </x:c>
      <x:c r="T52" s="10" t="n">
        <x:f>EOMONTH(J52-'Сводка'!$B$11,-1)</x:f>
        <x:v>45900</x:v>
      </x:c>
      <x:c r="U52" s="4" t="n">
        <x:f>MATCH(J52,'Сводка'!$R$3:$R$397,0)</x:f>
        <x:v>63</x:v>
      </x:c>
      <x:c r="V52" s="4" t="n">
        <x:f>MATCH(J52-'Сводка'!$B$11,'Сводка'!$R$3:$R$397,0)</x:f>
        <x:v>62</x:v>
      </x:c>
      <x:c r="W52" s="4" t="n">
        <x:f>MATCH(T52,$J$388:$J$400,0)</x:f>
        <x:v>3</x:v>
      </x:c>
      <x:c r="X52" s="3"/>
      <x:c r="Y52" s="3"/>
      <x:c r="Z52" s="3"/>
    </x:row>
    <x:row r="53" ht="15" customHeight="1">
      <x:c r="A53" s="7" t="str">
        <x:f>IF(35&lt;='Сводка'!$B$3,'Сводка'!$B$4+35,"")</x:f>
      </x:c>
      <x:c r="B53" s="20" t="str">
        <x:f>IF($A53="","",(A53-$T$405+1)/1000)</x:f>
      </x:c>
      <x:c r="C53" s="20" t="str">
        <x:f>IF($A53="","",2*(A53-$T$405)/$T$406-1)</x:f>
      </x:c>
      <x:c r="D53" s="3" t="str">
        <x:f>IF($A53="","",$B$4+$B$5*C53^1+$B$6*C53^2+$B$7*C53^3+INDEX($E$4:$E$15,MONTH(A53)))</x:f>
      </x:c>
      <x:c r="E53" s="3" t="str">
        <x:f>IF($A53="","",SQRT($T$403^2+H53^2))</x:f>
      </x:c>
      <x:c r="F53" s="3" t="str">
        <x:f>IF($A53="","",D53-$T$404*E53)</x:f>
      </x:c>
      <x:c r="G53" s="3" t="str">
        <x:f>IF($A53="","",D53+$T$404*E53)</x:f>
      </x:c>
      <x:c r="H53" s="3" t="str">
        <x:f>IF($A53="","",SQRT(MAX(0,(1)*$S$409*(1)+(1)*$T$409*(C53^1)+(1)*$U$409*(C53^2)+(1)*$V$409*(C53^3)+(C53^1)*$S$410*(1)+(C53^1)*$T$410*(C53^1)+(C53^1)*$U$410*(C53^2)+(C53^1)*$V$410*(C53^3)+(C53^2)*$S$411*(1)+(C53^2)*$T$411*(C53^1)+(C53^2)*$U$411*(C53^2)+(C53^2)*$V$411*(C53^3)+(C53^3)*$S$412*(1)+(C53^3)*$T$412*(C53^1)+(C53^3)*$U$412*(C53^2)+(C53^3)*$V$412*(C53^3)+2*((1)*INDEX($S$416:$V$427,MONTH(A53),1)+(C53^1)*INDEX($S$416:$V$427,MONTH(A53),2)+(C53^2)*INDEX($S$416:$V$427,MONTH(A53),3)+(C53^3)*INDEX($S$416:$V$427,MONTH(A53),4))+INDEX($W$416:$W$427,MONTH(A53)))))</x:f>
      </x:c>
      <x:c r="I53" s="3"/>
      <x:c r="J53" s="10" t="n">
        <x:v>45904</x:v>
      </x:c>
      <x:c r="K53" s="8" t="n">
        <x:f>INDEX('Сводка'!$S$3:$S$397,U53)</x:f>
        <x:v>226</x:v>
      </x:c>
      <x:c r="L53" s="8" t="n">
        <x:f>INDEX('Сводка'!$S$3:$S$397,V53)</x:f>
        <x:v>228</x:v>
      </x:c>
      <x:c r="M53" s="8" t="n">
        <x:f>INDEX($K$388:$N$400,W53,1)+INDEX($K$388:$N$400,W53,2)*(2*(J53-$T$405)/(T53-$T$405)-1)^1+INDEX($K$388:$N$400,W53,3)*(2*(J53-$T$405)/(T53-$T$405)-1)^2+INDEX($K$388:$N$400,W53,4)*(2*(J53-$T$405)/(T53-$T$405)-1)^3+INDEX($O$388:$Z$400,W53,MONTH(J53))</x:f>
        <x:v>285.69368064632135</x:v>
      </x:c>
      <x:c r="N53" s="8" t="n">
        <x:f>K53-M53</x:f>
        <x:v>-59.693680646321354</x:v>
      </x:c>
      <x:c r="O53" s="8" t="n">
        <x:f>ABS(N53)</x:f>
        <x:v>59.693680646321354</x:v>
      </x:c>
      <x:c r="P53" s="8" t="n">
        <x:f>N53^2</x:f>
        <x:v>3563.3355091050007</x:v>
      </x:c>
      <x:c r="Q53" s="8" t="n">
        <x:f>K53-L53</x:f>
        <x:v>-2</x:v>
      </x:c>
      <x:c r="R53" s="9" t="n">
        <x:f>IF(AND(INDEX('Сводка'!$T$3:$T$397,U53)=0,INDEX('Сводка'!$T$3:$T$397,V53)=0),1,0)</x:f>
        <x:v>1</x:v>
      </x:c>
      <x:c r="S53" s="9" t="n">
        <x:f>IF(AND(R53=1,O53&lt;=$G$13),1,0)</x:f>
        <x:v>0</x:v>
      </x:c>
      <x:c r="T53" s="10" t="n">
        <x:f>EOMONTH(J53-'Сводка'!$B$11,-1)</x:f>
        <x:v>45900</x:v>
      </x:c>
      <x:c r="U53" s="4" t="n">
        <x:f>MATCH(J53,'Сводка'!$R$3:$R$397,0)</x:f>
        <x:v>64</x:v>
      </x:c>
      <x:c r="V53" s="4" t="n">
        <x:f>MATCH(J53-'Сводка'!$B$11,'Сводка'!$R$3:$R$397,0)</x:f>
        <x:v>63</x:v>
      </x:c>
      <x:c r="W53" s="4" t="n">
        <x:f>MATCH(T53,$J$388:$J$400,0)</x:f>
        <x:v>3</x:v>
      </x:c>
      <x:c r="X53" s="3"/>
      <x:c r="Y53" s="3"/>
      <x:c r="Z53" s="3"/>
    </x:row>
    <x:row r="54" ht="15" customHeight="1">
      <x:c r="A54" s="7" t="str">
        <x:f>IF(36&lt;='Сводка'!$B$3,'Сводка'!$B$4+36,"")</x:f>
      </x:c>
      <x:c r="B54" s="20" t="str">
        <x:f>IF($A54="","",(A54-$T$405+1)/1000)</x:f>
      </x:c>
      <x:c r="C54" s="20" t="str">
        <x:f>IF($A54="","",2*(A54-$T$405)/$T$406-1)</x:f>
      </x:c>
      <x:c r="D54" s="3" t="str">
        <x:f>IF($A54="","",$B$4+$B$5*C54^1+$B$6*C54^2+$B$7*C54^3+INDEX($E$4:$E$15,MONTH(A54)))</x:f>
      </x:c>
      <x:c r="E54" s="3" t="str">
        <x:f>IF($A54="","",SQRT($T$403^2+H54^2))</x:f>
      </x:c>
      <x:c r="F54" s="3" t="str">
        <x:f>IF($A54="","",D54-$T$404*E54)</x:f>
      </x:c>
      <x:c r="G54" s="3" t="str">
        <x:f>IF($A54="","",D54+$T$404*E54)</x:f>
      </x:c>
      <x:c r="H54" s="3" t="str">
        <x:f>IF($A54="","",SQRT(MAX(0,(1)*$S$409*(1)+(1)*$T$409*(C54^1)+(1)*$U$409*(C54^2)+(1)*$V$409*(C54^3)+(C54^1)*$S$410*(1)+(C54^1)*$T$410*(C54^1)+(C54^1)*$U$410*(C54^2)+(C54^1)*$V$410*(C54^3)+(C54^2)*$S$411*(1)+(C54^2)*$T$411*(C54^1)+(C54^2)*$U$411*(C54^2)+(C54^2)*$V$411*(C54^3)+(C54^3)*$S$412*(1)+(C54^3)*$T$412*(C54^1)+(C54^3)*$U$412*(C54^2)+(C54^3)*$V$412*(C54^3)+2*((1)*INDEX($S$416:$V$427,MONTH(A54),1)+(C54^1)*INDEX($S$416:$V$427,MONTH(A54),2)+(C54^2)*INDEX($S$416:$V$427,MONTH(A54),3)+(C54^3)*INDEX($S$416:$V$427,MONTH(A54),4))+INDEX($W$416:$W$427,MONTH(A54)))))</x:f>
      </x:c>
      <x:c r="I54" s="3"/>
      <x:c r="J54" s="10" t="n">
        <x:v>45905</x:v>
      </x:c>
      <x:c r="K54" s="8" t="n">
        <x:f>INDEX('Сводка'!$S$3:$S$397,U54)</x:f>
        <x:v>226</x:v>
      </x:c>
      <x:c r="L54" s="8" t="n">
        <x:f>INDEX('Сводка'!$S$3:$S$397,V54)</x:f>
        <x:v>226</x:v>
      </x:c>
      <x:c r="M54" s="8" t="n">
        <x:f>INDEX($K$388:$N$400,W54,1)+INDEX($K$388:$N$400,W54,2)*(2*(J54-$T$405)/(T54-$T$405)-1)^1+INDEX($K$388:$N$400,W54,3)*(2*(J54-$T$405)/(T54-$T$405)-1)^2+INDEX($K$388:$N$400,W54,4)*(2*(J54-$T$405)/(T54-$T$405)-1)^3+INDEX($O$388:$Z$400,W54,MONTH(J54))</x:f>
        <x:v>285.679457947508</x:v>
      </x:c>
      <x:c r="N54" s="8" t="n">
        <x:f>K54-M54</x:f>
        <x:v>-59.67945794750801</x:v>
      </x:c>
      <x:c r="O54" s="8" t="n">
        <x:f>ABS(N54)</x:f>
        <x:v>59.67945794750801</x:v>
      </x:c>
      <x:c r="P54" s="8" t="n">
        <x:f>N54^2</x:f>
        <x:v>3561.637700908377</x:v>
      </x:c>
      <x:c r="Q54" s="8" t="n">
        <x:f>K54-L54</x:f>
        <x:v>0</x:v>
      </x:c>
      <x:c r="R54" s="9" t="n">
        <x:f>IF(AND(INDEX('Сводка'!$T$3:$T$397,U54)=0,INDEX('Сводка'!$T$3:$T$397,V54)=0),1,0)</x:f>
        <x:v>1</x:v>
      </x:c>
      <x:c r="S54" s="9" t="n">
        <x:f>IF(AND(R54=1,O54&lt;=$G$13),1,0)</x:f>
        <x:v>0</x:v>
      </x:c>
      <x:c r="T54" s="10" t="n">
        <x:f>EOMONTH(J54-'Сводка'!$B$11,-1)</x:f>
        <x:v>45900</x:v>
      </x:c>
      <x:c r="U54" s="4" t="n">
        <x:f>MATCH(J54,'Сводка'!$R$3:$R$397,0)</x:f>
        <x:v>65</x:v>
      </x:c>
      <x:c r="V54" s="4" t="n">
        <x:f>MATCH(J54-'Сводка'!$B$11,'Сводка'!$R$3:$R$397,0)</x:f>
        <x:v>64</x:v>
      </x:c>
      <x:c r="W54" s="4" t="n">
        <x:f>MATCH(T54,$J$388:$J$400,0)</x:f>
        <x:v>3</x:v>
      </x:c>
      <x:c r="X54" s="3"/>
      <x:c r="Y54" s="3"/>
      <x:c r="Z54" s="3"/>
    </x:row>
    <x:row r="55" ht="15" customHeight="1">
      <x:c r="A55" s="7" t="str">
        <x:f>IF(37&lt;='Сводка'!$B$3,'Сводка'!$B$4+37,"")</x:f>
      </x:c>
      <x:c r="B55" s="20" t="str">
        <x:f>IF($A55="","",(A55-$T$405+1)/1000)</x:f>
      </x:c>
      <x:c r="C55" s="20" t="str">
        <x:f>IF($A55="","",2*(A55-$T$405)/$T$406-1)</x:f>
      </x:c>
      <x:c r="D55" s="3" t="str">
        <x:f>IF($A55="","",$B$4+$B$5*C55^1+$B$6*C55^2+$B$7*C55^3+INDEX($E$4:$E$15,MONTH(A55)))</x:f>
      </x:c>
      <x:c r="E55" s="3" t="str">
        <x:f>IF($A55="","",SQRT($T$403^2+H55^2))</x:f>
      </x:c>
      <x:c r="F55" s="3" t="str">
        <x:f>IF($A55="","",D55-$T$404*E55)</x:f>
      </x:c>
      <x:c r="G55" s="3" t="str">
        <x:f>IF($A55="","",D55+$T$404*E55)</x:f>
      </x:c>
      <x:c r="H55" s="3" t="str">
        <x:f>IF($A55="","",SQRT(MAX(0,(1)*$S$409*(1)+(1)*$T$409*(C55^1)+(1)*$U$409*(C55^2)+(1)*$V$409*(C55^3)+(C55^1)*$S$410*(1)+(C55^1)*$T$410*(C55^1)+(C55^1)*$U$410*(C55^2)+(C55^1)*$V$410*(C55^3)+(C55^2)*$S$411*(1)+(C55^2)*$T$411*(C55^1)+(C55^2)*$U$411*(C55^2)+(C55^2)*$V$411*(C55^3)+(C55^3)*$S$412*(1)+(C55^3)*$T$412*(C55^1)+(C55^3)*$U$412*(C55^2)+(C55^3)*$V$412*(C55^3)+2*((1)*INDEX($S$416:$V$427,MONTH(A55),1)+(C55^1)*INDEX($S$416:$V$427,MONTH(A55),2)+(C55^2)*INDEX($S$416:$V$427,MONTH(A55),3)+(C55^3)*INDEX($S$416:$V$427,MONTH(A55),4))+INDEX($W$416:$W$427,MONTH(A55)))))</x:f>
      </x:c>
      <x:c r="I55" s="3"/>
      <x:c r="J55" s="10" t="n">
        <x:v>45906</x:v>
      </x:c>
      <x:c r="K55" s="8" t="n">
        <x:f>INDEX('Сводка'!$S$3:$S$397,U55)</x:f>
        <x:v>226</x:v>
      </x:c>
      <x:c r="L55" s="8" t="n">
        <x:f>INDEX('Сводка'!$S$3:$S$397,V55)</x:f>
        <x:v>226</x:v>
      </x:c>
      <x:c r="M55" s="8" t="n">
        <x:f>INDEX($K$388:$N$400,W55,1)+INDEX($K$388:$N$400,W55,2)*(2*(J55-$T$405)/(T55-$T$405)-1)^1+INDEX($K$388:$N$400,W55,3)*(2*(J55-$T$405)/(T55-$T$405)-1)^2+INDEX($K$388:$N$400,W55,4)*(2*(J55-$T$405)/(T55-$T$405)-1)^3+INDEX($O$388:$Z$400,W55,MONTH(J55))</x:f>
        <x:v>285.66522333498597</x:v>
      </x:c>
      <x:c r="N55" s="8" t="n">
        <x:f>K55-M55</x:f>
        <x:v>-59.66522333498597</x:v>
      </x:c>
      <x:c r="O55" s="8" t="n">
        <x:f>ABS(N55)</x:f>
        <x:v>59.66522333498597</x:v>
      </x:c>
      <x:c r="P55" s="8" t="n">
        <x:f>N55^2</x:f>
        <x:v>3559.938875613754</x:v>
      </x:c>
      <x:c r="Q55" s="8" t="n">
        <x:f>K55-L55</x:f>
        <x:v>0</x:v>
      </x:c>
      <x:c r="R55" s="9" t="n">
        <x:f>IF(AND(INDEX('Сводка'!$T$3:$T$397,U55)=0,INDEX('Сводка'!$T$3:$T$397,V55)=0),1,0)</x:f>
        <x:v>1</x:v>
      </x:c>
      <x:c r="S55" s="9" t="n">
        <x:f>IF(AND(R55=1,O55&lt;=$G$13),1,0)</x:f>
        <x:v>0</x:v>
      </x:c>
      <x:c r="T55" s="10" t="n">
        <x:f>EOMONTH(J55-'Сводка'!$B$11,-1)</x:f>
        <x:v>45900</x:v>
      </x:c>
      <x:c r="U55" s="4" t="n">
        <x:f>MATCH(J55,'Сводка'!$R$3:$R$397,0)</x:f>
        <x:v>66</x:v>
      </x:c>
      <x:c r="V55" s="4" t="n">
        <x:f>MATCH(J55-'Сводка'!$B$11,'Сводка'!$R$3:$R$397,0)</x:f>
        <x:v>65</x:v>
      </x:c>
      <x:c r="W55" s="4" t="n">
        <x:f>MATCH(T55,$J$388:$J$400,0)</x:f>
        <x:v>3</x:v>
      </x:c>
      <x:c r="X55" s="3"/>
      <x:c r="Y55" s="3"/>
      <x:c r="Z55" s="3"/>
    </x:row>
    <x:row r="56" ht="15" customHeight="1">
      <x:c r="A56" s="7" t="str">
        <x:f>IF(38&lt;='Сводка'!$B$3,'Сводка'!$B$4+38,"")</x:f>
      </x:c>
      <x:c r="B56" s="20" t="str">
        <x:f>IF($A56="","",(A56-$T$405+1)/1000)</x:f>
      </x:c>
      <x:c r="C56" s="20" t="str">
        <x:f>IF($A56="","",2*(A56-$T$405)/$T$406-1)</x:f>
      </x:c>
      <x:c r="D56" s="3" t="str">
        <x:f>IF($A56="","",$B$4+$B$5*C56^1+$B$6*C56^2+$B$7*C56^3+INDEX($E$4:$E$15,MONTH(A56)))</x:f>
      </x:c>
      <x:c r="E56" s="3" t="str">
        <x:f>IF($A56="","",SQRT($T$403^2+H56^2))</x:f>
      </x:c>
      <x:c r="F56" s="3" t="str">
        <x:f>IF($A56="","",D56-$T$404*E56)</x:f>
      </x:c>
      <x:c r="G56" s="3" t="str">
        <x:f>IF($A56="","",D56+$T$404*E56)</x:f>
      </x:c>
      <x:c r="H56" s="3" t="str">
        <x:f>IF($A56="","",SQRT(MAX(0,(1)*$S$409*(1)+(1)*$T$409*(C56^1)+(1)*$U$409*(C56^2)+(1)*$V$409*(C56^3)+(C56^1)*$S$410*(1)+(C56^1)*$T$410*(C56^1)+(C56^1)*$U$410*(C56^2)+(C56^1)*$V$410*(C56^3)+(C56^2)*$S$411*(1)+(C56^2)*$T$411*(C56^1)+(C56^2)*$U$411*(C56^2)+(C56^2)*$V$411*(C56^3)+(C56^3)*$S$412*(1)+(C56^3)*$T$412*(C56^1)+(C56^3)*$U$412*(C56^2)+(C56^3)*$V$412*(C56^3)+2*((1)*INDEX($S$416:$V$427,MONTH(A56),1)+(C56^1)*INDEX($S$416:$V$427,MONTH(A56),2)+(C56^2)*INDEX($S$416:$V$427,MONTH(A56),3)+(C56^3)*INDEX($S$416:$V$427,MONTH(A56),4))+INDEX($W$416:$W$427,MONTH(A56)))))</x:f>
      </x:c>
      <x:c r="I56" s="3"/>
      <x:c r="J56" s="10" t="n">
        <x:v>45907</x:v>
      </x:c>
      <x:c r="K56" s="8" t="n">
        <x:f>INDEX('Сводка'!$S$3:$S$397,U56)</x:f>
        <x:v>226</x:v>
      </x:c>
      <x:c r="L56" s="8" t="n">
        <x:f>INDEX('Сводка'!$S$3:$S$397,V56)</x:f>
        <x:v>226</x:v>
      </x:c>
      <x:c r="M56" s="8" t="n">
        <x:f>INDEX($K$388:$N$400,W56,1)+INDEX($K$388:$N$400,W56,2)*(2*(J56-$T$405)/(T56-$T$405)-1)^1+INDEX($K$388:$N$400,W56,3)*(2*(J56-$T$405)/(T56-$T$405)-1)^2+INDEX($K$388:$N$400,W56,4)*(2*(J56-$T$405)/(T56-$T$405)-1)^3+INDEX($O$388:$Z$400,W56,MONTH(J56))</x:f>
        <x:v>285.6509768073081</x:v>
      </x:c>
      <x:c r="N56" s="8" t="n">
        <x:f>K56-M56</x:f>
        <x:v>-59.6509768073081</x:v>
      </x:c>
      <x:c r="O56" s="8" t="n">
        <x:f>ABS(N56)</x:f>
        <x:v>59.6509768073081</x:v>
      </x:c>
      <x:c r="P56" s="8" t="n">
        <x:f>N56^2</x:f>
        <x:v>3558.2390340660086</x:v>
      </x:c>
      <x:c r="Q56" s="8" t="n">
        <x:f>K56-L56</x:f>
        <x:v>0</x:v>
      </x:c>
      <x:c r="R56" s="9" t="n">
        <x:f>IF(AND(INDEX('Сводка'!$T$3:$T$397,U56)=0,INDEX('Сводка'!$T$3:$T$397,V56)=0),1,0)</x:f>
        <x:v>1</x:v>
      </x:c>
      <x:c r="S56" s="9" t="n">
        <x:f>IF(AND(R56=1,O56&lt;=$G$13),1,0)</x:f>
        <x:v>0</x:v>
      </x:c>
      <x:c r="T56" s="10" t="n">
        <x:f>EOMONTH(J56-'Сводка'!$B$11,-1)</x:f>
        <x:v>45900</x:v>
      </x:c>
      <x:c r="U56" s="4" t="n">
        <x:f>MATCH(J56,'Сводка'!$R$3:$R$397,0)</x:f>
        <x:v>67</x:v>
      </x:c>
      <x:c r="V56" s="4" t="n">
        <x:f>MATCH(J56-'Сводка'!$B$11,'Сводка'!$R$3:$R$397,0)</x:f>
        <x:v>66</x:v>
      </x:c>
      <x:c r="W56" s="4" t="n">
        <x:f>MATCH(T56,$J$388:$J$400,0)</x:f>
        <x:v>3</x:v>
      </x:c>
      <x:c r="X56" s="3"/>
      <x:c r="Y56" s="3"/>
      <x:c r="Z56" s="3"/>
    </x:row>
    <x:row r="57" ht="15" customHeight="1">
      <x:c r="A57" s="7" t="str">
        <x:f>IF(39&lt;='Сводка'!$B$3,'Сводка'!$B$4+39,"")</x:f>
      </x:c>
      <x:c r="B57" s="20" t="str">
        <x:f>IF($A57="","",(A57-$T$405+1)/1000)</x:f>
      </x:c>
      <x:c r="C57" s="20" t="str">
        <x:f>IF($A57="","",2*(A57-$T$405)/$T$406-1)</x:f>
      </x:c>
      <x:c r="D57" s="3" t="str">
        <x:f>IF($A57="","",$B$4+$B$5*C57^1+$B$6*C57^2+$B$7*C57^3+INDEX($E$4:$E$15,MONTH(A57)))</x:f>
      </x:c>
      <x:c r="E57" s="3" t="str">
        <x:f>IF($A57="","",SQRT($T$403^2+H57^2))</x:f>
      </x:c>
      <x:c r="F57" s="3" t="str">
        <x:f>IF($A57="","",D57-$T$404*E57)</x:f>
      </x:c>
      <x:c r="G57" s="3" t="str">
        <x:f>IF($A57="","",D57+$T$404*E57)</x:f>
      </x:c>
      <x:c r="H57" s="3" t="str">
        <x:f>IF($A57="","",SQRT(MAX(0,(1)*$S$409*(1)+(1)*$T$409*(C57^1)+(1)*$U$409*(C57^2)+(1)*$V$409*(C57^3)+(C57^1)*$S$410*(1)+(C57^1)*$T$410*(C57^1)+(C57^1)*$U$410*(C57^2)+(C57^1)*$V$410*(C57^3)+(C57^2)*$S$411*(1)+(C57^2)*$T$411*(C57^1)+(C57^2)*$U$411*(C57^2)+(C57^2)*$V$411*(C57^3)+(C57^3)*$S$412*(1)+(C57^3)*$T$412*(C57^1)+(C57^3)*$U$412*(C57^2)+(C57^3)*$V$412*(C57^3)+2*((1)*INDEX($S$416:$V$427,MONTH(A57),1)+(C57^1)*INDEX($S$416:$V$427,MONTH(A57),2)+(C57^2)*INDEX($S$416:$V$427,MONTH(A57),3)+(C57^3)*INDEX($S$416:$V$427,MONTH(A57),4))+INDEX($W$416:$W$427,MONTH(A57)))))</x:f>
      </x:c>
      <x:c r="I57" s="3"/>
      <x:c r="J57" s="10" t="n">
        <x:v>45908</x:v>
      </x:c>
      <x:c r="K57" s="8" t="n">
        <x:f>INDEX('Сводка'!$S$3:$S$397,U57)</x:f>
        <x:v>222</x:v>
      </x:c>
      <x:c r="L57" s="8" t="n">
        <x:f>INDEX('Сводка'!$S$3:$S$397,V57)</x:f>
        <x:v>226</x:v>
      </x:c>
      <x:c r="M57" s="8" t="n">
        <x:f>INDEX($K$388:$N$400,W57,1)+INDEX($K$388:$N$400,W57,2)*(2*(J57-$T$405)/(T57-$T$405)-1)^1+INDEX($K$388:$N$400,W57,3)*(2*(J57-$T$405)/(T57-$T$405)-1)^2+INDEX($K$388:$N$400,W57,4)*(2*(J57-$T$405)/(T57-$T$405)-1)^3+INDEX($O$388:$Z$400,W57,MONTH(J57))</x:f>
        <x:v>285.63671836302706</x:v>
      </x:c>
      <x:c r="N57" s="8" t="n">
        <x:f>K57-M57</x:f>
        <x:v>-63.63671836302706</x:v>
      </x:c>
      <x:c r="O57" s="8" t="n">
        <x:f>ABS(N57)</x:f>
        <x:v>63.63671836302706</x:v>
      </x:c>
      <x:c r="P57" s="8" t="n">
        <x:f>N57^2</x:f>
        <x:v>4049.631924015225</x:v>
      </x:c>
      <x:c r="Q57" s="8" t="n">
        <x:f>K57-L57</x:f>
        <x:v>-4</x:v>
      </x:c>
      <x:c r="R57" s="9" t="n">
        <x:f>IF(AND(INDEX('Сводка'!$T$3:$T$397,U57)=0,INDEX('Сводка'!$T$3:$T$397,V57)=0),1,0)</x:f>
        <x:v>1</x:v>
      </x:c>
      <x:c r="S57" s="9" t="n">
        <x:f>IF(AND(R57=1,O57&lt;=$G$13),1,0)</x:f>
        <x:v>0</x:v>
      </x:c>
      <x:c r="T57" s="10" t="n">
        <x:f>EOMONTH(J57-'Сводка'!$B$11,-1)</x:f>
        <x:v>45900</x:v>
      </x:c>
      <x:c r="U57" s="4" t="n">
        <x:f>MATCH(J57,'Сводка'!$R$3:$R$397,0)</x:f>
        <x:v>68</x:v>
      </x:c>
      <x:c r="V57" s="4" t="n">
        <x:f>MATCH(J57-'Сводка'!$B$11,'Сводка'!$R$3:$R$397,0)</x:f>
        <x:v>67</x:v>
      </x:c>
      <x:c r="W57" s="4" t="n">
        <x:f>MATCH(T57,$J$388:$J$400,0)</x:f>
        <x:v>3</x:v>
      </x:c>
      <x:c r="X57" s="3"/>
      <x:c r="Y57" s="3"/>
      <x:c r="Z57" s="3"/>
    </x:row>
    <x:row r="58" ht="15" customHeight="1">
      <x:c r="A58" s="7" t="str">
        <x:f>IF(40&lt;='Сводка'!$B$3,'Сводка'!$B$4+40,"")</x:f>
      </x:c>
      <x:c r="B58" s="20" t="str">
        <x:f>IF($A58="","",(A58-$T$405+1)/1000)</x:f>
      </x:c>
      <x:c r="C58" s="20" t="str">
        <x:f>IF($A58="","",2*(A58-$T$405)/$T$406-1)</x:f>
      </x:c>
      <x:c r="D58" s="3" t="str">
        <x:f>IF($A58="","",$B$4+$B$5*C58^1+$B$6*C58^2+$B$7*C58^3+INDEX($E$4:$E$15,MONTH(A58)))</x:f>
      </x:c>
      <x:c r="E58" s="3" t="str">
        <x:f>IF($A58="","",SQRT($T$403^2+H58^2))</x:f>
      </x:c>
      <x:c r="F58" s="3" t="str">
        <x:f>IF($A58="","",D58-$T$404*E58)</x:f>
      </x:c>
      <x:c r="G58" s="3" t="str">
        <x:f>IF($A58="","",D58+$T$404*E58)</x:f>
      </x:c>
      <x:c r="H58" s="3" t="str">
        <x:f>IF($A58="","",SQRT(MAX(0,(1)*$S$409*(1)+(1)*$T$409*(C58^1)+(1)*$U$409*(C58^2)+(1)*$V$409*(C58^3)+(C58^1)*$S$410*(1)+(C58^1)*$T$410*(C58^1)+(C58^1)*$U$410*(C58^2)+(C58^1)*$V$410*(C58^3)+(C58^2)*$S$411*(1)+(C58^2)*$T$411*(C58^1)+(C58^2)*$U$411*(C58^2)+(C58^2)*$V$411*(C58^3)+(C58^3)*$S$412*(1)+(C58^3)*$T$412*(C58^1)+(C58^3)*$U$412*(C58^2)+(C58^3)*$V$412*(C58^3)+2*((1)*INDEX($S$416:$V$427,MONTH(A58),1)+(C58^1)*INDEX($S$416:$V$427,MONTH(A58),2)+(C58^2)*INDEX($S$416:$V$427,MONTH(A58),3)+(C58^3)*INDEX($S$416:$V$427,MONTH(A58),4))+INDEX($W$416:$W$427,MONTH(A58)))))</x:f>
      </x:c>
      <x:c r="I58" s="3"/>
      <x:c r="J58" s="10" t="n">
        <x:v>45909</x:v>
      </x:c>
      <x:c r="K58" s="8" t="n">
        <x:f>INDEX('Сводка'!$S$3:$S$397,U58)</x:f>
        <x:v>218</x:v>
      </x:c>
      <x:c r="L58" s="8" t="n">
        <x:f>INDEX('Сводка'!$S$3:$S$397,V58)</x:f>
        <x:v>222</x:v>
      </x:c>
      <x:c r="M58" s="8" t="n">
        <x:f>INDEX($K$388:$N$400,W58,1)+INDEX($K$388:$N$400,W58,2)*(2*(J58-$T$405)/(T58-$T$405)-1)^1+INDEX($K$388:$N$400,W58,3)*(2*(J58-$T$405)/(T58-$T$405)-1)^2+INDEX($K$388:$N$400,W58,4)*(2*(J58-$T$405)/(T58-$T$405)-1)^3+INDEX($O$388:$Z$400,W58,MONTH(J58))</x:f>
        <x:v>285.62244800069556</x:v>
      </x:c>
      <x:c r="N58" s="8" t="n">
        <x:f>K58-M58</x:f>
        <x:v>-67.62244800069556</x:v>
      </x:c>
      <x:c r="O58" s="8" t="n">
        <x:f>ABS(N58)</x:f>
        <x:v>67.62244800069556</x:v>
      </x:c>
      <x:c r="P58" s="8" t="n">
        <x:f>N58^2</x:f>
        <x:v>4572.795473606774</x:v>
      </x:c>
      <x:c r="Q58" s="8" t="n">
        <x:f>K58-L58</x:f>
        <x:v>-4</x:v>
      </x:c>
      <x:c r="R58" s="9" t="n">
        <x:f>IF(AND(INDEX('Сводка'!$T$3:$T$397,U58)=0,INDEX('Сводка'!$T$3:$T$397,V58)=0),1,0)</x:f>
        <x:v>1</x:v>
      </x:c>
      <x:c r="S58" s="9" t="n">
        <x:f>IF(AND(R58=1,O58&lt;=$G$13),1,0)</x:f>
        <x:v>0</x:v>
      </x:c>
      <x:c r="T58" s="10" t="n">
        <x:f>EOMONTH(J58-'Сводка'!$B$11,-1)</x:f>
        <x:v>45900</x:v>
      </x:c>
      <x:c r="U58" s="4" t="n">
        <x:f>MATCH(J58,'Сводка'!$R$3:$R$397,0)</x:f>
        <x:v>69</x:v>
      </x:c>
      <x:c r="V58" s="4" t="n">
        <x:f>MATCH(J58-'Сводка'!$B$11,'Сводка'!$R$3:$R$397,0)</x:f>
        <x:v>68</x:v>
      </x:c>
      <x:c r="W58" s="4" t="n">
        <x:f>MATCH(T58,$J$388:$J$400,0)</x:f>
        <x:v>3</x:v>
      </x:c>
      <x:c r="X58" s="3"/>
      <x:c r="Y58" s="3"/>
      <x:c r="Z58" s="3"/>
    </x:row>
    <x:row r="59" ht="15" customHeight="1">
      <x:c r="A59" s="7" t="str">
        <x:f>IF(41&lt;='Сводка'!$B$3,'Сводка'!$B$4+41,"")</x:f>
      </x:c>
      <x:c r="B59" s="20" t="str">
        <x:f>IF($A59="","",(A59-$T$405+1)/1000)</x:f>
      </x:c>
      <x:c r="C59" s="20" t="str">
        <x:f>IF($A59="","",2*(A59-$T$405)/$T$406-1)</x:f>
      </x:c>
      <x:c r="D59" s="3" t="str">
        <x:f>IF($A59="","",$B$4+$B$5*C59^1+$B$6*C59^2+$B$7*C59^3+INDEX($E$4:$E$15,MONTH(A59)))</x:f>
      </x:c>
      <x:c r="E59" s="3" t="str">
        <x:f>IF($A59="","",SQRT($T$403^2+H59^2))</x:f>
      </x:c>
      <x:c r="F59" s="3" t="str">
        <x:f>IF($A59="","",D59-$T$404*E59)</x:f>
      </x:c>
      <x:c r="G59" s="3" t="str">
        <x:f>IF($A59="","",D59+$T$404*E59)</x:f>
      </x:c>
      <x:c r="H59" s="3" t="str">
        <x:f>IF($A59="","",SQRT(MAX(0,(1)*$S$409*(1)+(1)*$T$409*(C59^1)+(1)*$U$409*(C59^2)+(1)*$V$409*(C59^3)+(C59^1)*$S$410*(1)+(C59^1)*$T$410*(C59^1)+(C59^1)*$U$410*(C59^2)+(C59^1)*$V$410*(C59^3)+(C59^2)*$S$411*(1)+(C59^2)*$T$411*(C59^1)+(C59^2)*$U$411*(C59^2)+(C59^2)*$V$411*(C59^3)+(C59^3)*$S$412*(1)+(C59^3)*$T$412*(C59^1)+(C59^3)*$U$412*(C59^2)+(C59^3)*$V$412*(C59^3)+2*((1)*INDEX($S$416:$V$427,MONTH(A59),1)+(C59^1)*INDEX($S$416:$V$427,MONTH(A59),2)+(C59^2)*INDEX($S$416:$V$427,MONTH(A59),3)+(C59^3)*INDEX($S$416:$V$427,MONTH(A59),4))+INDEX($W$416:$W$427,MONTH(A59)))))</x:f>
      </x:c>
      <x:c r="I59" s="3"/>
      <x:c r="J59" s="10" t="n">
        <x:v>45910</x:v>
      </x:c>
      <x:c r="K59" s="8" t="n">
        <x:f>INDEX('Сводка'!$S$3:$S$397,U59)</x:f>
        <x:v>209</x:v>
      </x:c>
      <x:c r="L59" s="8" t="n">
        <x:f>INDEX('Сводка'!$S$3:$S$397,V59)</x:f>
        <x:v>218</x:v>
      </x:c>
      <x:c r="M59" s="8" t="n">
        <x:f>INDEX($K$388:$N$400,W59,1)+INDEX($K$388:$N$400,W59,2)*(2*(J59-$T$405)/(T59-$T$405)-1)^1+INDEX($K$388:$N$400,W59,3)*(2*(J59-$T$405)/(T59-$T$405)-1)^2+INDEX($K$388:$N$400,W59,4)*(2*(J59-$T$405)/(T59-$T$405)-1)^3+INDEX($O$388:$Z$400,W59,MONTH(J59))</x:f>
        <x:v>285.6081657188665</x:v>
      </x:c>
      <x:c r="N59" s="8" t="n">
        <x:f>K59-M59</x:f>
        <x:v>-76.60816571886647</x:v>
      </x:c>
      <x:c r="O59" s="8" t="n">
        <x:f>ABS(N59)</x:f>
        <x:v>76.60816571886647</x:v>
      </x:c>
      <x:c r="P59" s="8" t="n">
        <x:f>N59^2</x:f>
        <x:v>5868.811054809308</x:v>
      </x:c>
      <x:c r="Q59" s="8" t="n">
        <x:f>K59-L59</x:f>
        <x:v>-9</x:v>
      </x:c>
      <x:c r="R59" s="9" t="n">
        <x:f>IF(AND(INDEX('Сводка'!$T$3:$T$397,U59)=0,INDEX('Сводка'!$T$3:$T$397,V59)=0),1,0)</x:f>
        <x:v>1</x:v>
      </x:c>
      <x:c r="S59" s="9" t="n">
        <x:f>IF(AND(R59=1,O59&lt;=$G$13),1,0)</x:f>
        <x:v>0</x:v>
      </x:c>
      <x:c r="T59" s="10" t="n">
        <x:f>EOMONTH(J59-'Сводка'!$B$11,-1)</x:f>
        <x:v>45900</x:v>
      </x:c>
      <x:c r="U59" s="4" t="n">
        <x:f>MATCH(J59,'Сводка'!$R$3:$R$397,0)</x:f>
        <x:v>70</x:v>
      </x:c>
      <x:c r="V59" s="4" t="n">
        <x:f>MATCH(J59-'Сводка'!$B$11,'Сводка'!$R$3:$R$397,0)</x:f>
        <x:v>69</x:v>
      </x:c>
      <x:c r="W59" s="4" t="n">
        <x:f>MATCH(T59,$J$388:$J$400,0)</x:f>
        <x:v>3</x:v>
      </x:c>
      <x:c r="X59" s="3"/>
      <x:c r="Y59" s="3"/>
      <x:c r="Z59" s="3"/>
    </x:row>
    <x:row r="60" ht="15" customHeight="1">
      <x:c r="A60" s="7" t="str">
        <x:f>IF(42&lt;='Сводка'!$B$3,'Сводка'!$B$4+42,"")</x:f>
      </x:c>
      <x:c r="B60" s="20" t="str">
        <x:f>IF($A60="","",(A60-$T$405+1)/1000)</x:f>
      </x:c>
      <x:c r="C60" s="20" t="str">
        <x:f>IF($A60="","",2*(A60-$T$405)/$T$406-1)</x:f>
      </x:c>
      <x:c r="D60" s="3" t="str">
        <x:f>IF($A60="","",$B$4+$B$5*C60^1+$B$6*C60^2+$B$7*C60^3+INDEX($E$4:$E$15,MONTH(A60)))</x:f>
      </x:c>
      <x:c r="E60" s="3" t="str">
        <x:f>IF($A60="","",SQRT($T$403^2+H60^2))</x:f>
      </x:c>
      <x:c r="F60" s="3" t="str">
        <x:f>IF($A60="","",D60-$T$404*E60)</x:f>
      </x:c>
      <x:c r="G60" s="3" t="str">
        <x:f>IF($A60="","",D60+$T$404*E60)</x:f>
      </x:c>
      <x:c r="H60" s="3" t="str">
        <x:f>IF($A60="","",SQRT(MAX(0,(1)*$S$409*(1)+(1)*$T$409*(C60^1)+(1)*$U$409*(C60^2)+(1)*$V$409*(C60^3)+(C60^1)*$S$410*(1)+(C60^1)*$T$410*(C60^1)+(C60^1)*$U$410*(C60^2)+(C60^1)*$V$410*(C60^3)+(C60^2)*$S$411*(1)+(C60^2)*$T$411*(C60^1)+(C60^2)*$U$411*(C60^2)+(C60^2)*$V$411*(C60^3)+(C60^3)*$S$412*(1)+(C60^3)*$T$412*(C60^1)+(C60^3)*$U$412*(C60^2)+(C60^3)*$V$412*(C60^3)+2*((1)*INDEX($S$416:$V$427,MONTH(A60),1)+(C60^1)*INDEX($S$416:$V$427,MONTH(A60),2)+(C60^2)*INDEX($S$416:$V$427,MONTH(A60),3)+(C60^3)*INDEX($S$416:$V$427,MONTH(A60),4))+INDEX($W$416:$W$427,MONTH(A60)))))</x:f>
      </x:c>
      <x:c r="I60" s="3"/>
      <x:c r="J60" s="10" t="n">
        <x:v>45911</x:v>
      </x:c>
      <x:c r="K60" s="8" t="n">
        <x:f>INDEX('Сводка'!$S$3:$S$397,U60)</x:f>
        <x:v>207</x:v>
      </x:c>
      <x:c r="L60" s="8" t="n">
        <x:f>INDEX('Сводка'!$S$3:$S$397,V60)</x:f>
        <x:v>209</x:v>
      </x:c>
      <x:c r="M60" s="8" t="n">
        <x:f>INDEX($K$388:$N$400,W60,1)+INDEX($K$388:$N$400,W60,2)*(2*(J60-$T$405)/(T60-$T$405)-1)^1+INDEX($K$388:$N$400,W60,3)*(2*(J60-$T$405)/(T60-$T$405)-1)^2+INDEX($K$388:$N$400,W60,4)*(2*(J60-$T$405)/(T60-$T$405)-1)^3+INDEX($O$388:$Z$400,W60,MONTH(J60))</x:f>
        <x:v>285.59387151609263</x:v>
      </x:c>
      <x:c r="N60" s="8" t="n">
        <x:f>K60-M60</x:f>
        <x:v>-78.59387151609263</x:v>
      </x:c>
      <x:c r="O60" s="8" t="n">
        <x:f>ABS(N60)</x:f>
        <x:v>78.59387151609263</x:v>
      </x:c>
      <x:c r="P60" s="8" t="n">
        <x:f>N60^2</x:f>
        <x:v>6176.996639888077</x:v>
      </x:c>
      <x:c r="Q60" s="8" t="n">
        <x:f>K60-L60</x:f>
        <x:v>-2</x:v>
      </x:c>
      <x:c r="R60" s="9" t="n">
        <x:f>IF(AND(INDEX('Сводка'!$T$3:$T$397,U60)=0,INDEX('Сводка'!$T$3:$T$397,V60)=0),1,0)</x:f>
        <x:v>1</x:v>
      </x:c>
      <x:c r="S60" s="9" t="n">
        <x:f>IF(AND(R60=1,O60&lt;=$G$13),1,0)</x:f>
        <x:v>0</x:v>
      </x:c>
      <x:c r="T60" s="10" t="n">
        <x:f>EOMONTH(J60-'Сводка'!$B$11,-1)</x:f>
        <x:v>45900</x:v>
      </x:c>
      <x:c r="U60" s="4" t="n">
        <x:f>MATCH(J60,'Сводка'!$R$3:$R$397,0)</x:f>
        <x:v>71</x:v>
      </x:c>
      <x:c r="V60" s="4" t="n">
        <x:f>MATCH(J60-'Сводка'!$B$11,'Сводка'!$R$3:$R$397,0)</x:f>
        <x:v>70</x:v>
      </x:c>
      <x:c r="W60" s="4" t="n">
        <x:f>MATCH(T60,$J$388:$J$400,0)</x:f>
        <x:v>3</x:v>
      </x:c>
      <x:c r="X60" s="3"/>
      <x:c r="Y60" s="3"/>
      <x:c r="Z60" s="3"/>
    </x:row>
    <x:row r="61" ht="15" customHeight="1">
      <x:c r="A61" s="7" t="str">
        <x:f>IF(43&lt;='Сводка'!$B$3,'Сводка'!$B$4+43,"")</x:f>
      </x:c>
      <x:c r="B61" s="20" t="str">
        <x:f>IF($A61="","",(A61-$T$405+1)/1000)</x:f>
      </x:c>
      <x:c r="C61" s="20" t="str">
        <x:f>IF($A61="","",2*(A61-$T$405)/$T$406-1)</x:f>
      </x:c>
      <x:c r="D61" s="3" t="str">
        <x:f>IF($A61="","",$B$4+$B$5*C61^1+$B$6*C61^2+$B$7*C61^3+INDEX($E$4:$E$15,MONTH(A61)))</x:f>
      </x:c>
      <x:c r="E61" s="3" t="str">
        <x:f>IF($A61="","",SQRT($T$403^2+H61^2))</x:f>
      </x:c>
      <x:c r="F61" s="3" t="str">
        <x:f>IF($A61="","",D61-$T$404*E61)</x:f>
      </x:c>
      <x:c r="G61" s="3" t="str">
        <x:f>IF($A61="","",D61+$T$404*E61)</x:f>
      </x:c>
      <x:c r="H61" s="3" t="str">
        <x:f>IF($A61="","",SQRT(MAX(0,(1)*$S$409*(1)+(1)*$T$409*(C61^1)+(1)*$U$409*(C61^2)+(1)*$V$409*(C61^3)+(C61^1)*$S$410*(1)+(C61^1)*$T$410*(C61^1)+(C61^1)*$U$410*(C61^2)+(C61^1)*$V$410*(C61^3)+(C61^2)*$S$411*(1)+(C61^2)*$T$411*(C61^1)+(C61^2)*$U$411*(C61^2)+(C61^2)*$V$411*(C61^3)+(C61^3)*$S$412*(1)+(C61^3)*$T$412*(C61^1)+(C61^3)*$U$412*(C61^2)+(C61^3)*$V$412*(C61^3)+2*((1)*INDEX($S$416:$V$427,MONTH(A61),1)+(C61^1)*INDEX($S$416:$V$427,MONTH(A61),2)+(C61^2)*INDEX($S$416:$V$427,MONTH(A61),3)+(C61^3)*INDEX($S$416:$V$427,MONTH(A61),4))+INDEX($W$416:$W$427,MONTH(A61)))))</x:f>
      </x:c>
      <x:c r="I61" s="3"/>
      <x:c r="J61" s="10" t="n">
        <x:v>45912</x:v>
      </x:c>
      <x:c r="K61" s="8" t="n">
        <x:f>INDEX('Сводка'!$S$3:$S$397,U61)</x:f>
        <x:v>204</x:v>
      </x:c>
      <x:c r="L61" s="8" t="n">
        <x:f>INDEX('Сводка'!$S$3:$S$397,V61)</x:f>
        <x:v>207</x:v>
      </x:c>
      <x:c r="M61" s="8" t="n">
        <x:f>INDEX($K$388:$N$400,W61,1)+INDEX($K$388:$N$400,W61,2)*(2*(J61-$T$405)/(T61-$T$405)-1)^1+INDEX($K$388:$N$400,W61,3)*(2*(J61-$T$405)/(T61-$T$405)-1)^2+INDEX($K$388:$N$400,W61,4)*(2*(J61-$T$405)/(T61-$T$405)-1)^3+INDEX($O$388:$Z$400,W61,MONTH(J61))</x:f>
        <x:v>285.57956539092663</x:v>
      </x:c>
      <x:c r="N61" s="8" t="n">
        <x:f>K61-M61</x:f>
        <x:v>-81.57956539092663</x:v>
      </x:c>
      <x:c r="O61" s="8" t="n">
        <x:f>ABS(N61)</x:f>
        <x:v>81.57956539092663</x:v>
      </x:c>
      <x:c r="P61" s="8" t="n">
        <x:f>N61^2</x:f>
        <x:v>6655.225489372474</x:v>
      </x:c>
      <x:c r="Q61" s="8" t="n">
        <x:f>K61-L61</x:f>
        <x:v>-3</x:v>
      </x:c>
      <x:c r="R61" s="9" t="n">
        <x:f>IF(AND(INDEX('Сводка'!$T$3:$T$397,U61)=0,INDEX('Сводка'!$T$3:$T$397,V61)=0),1,0)</x:f>
        <x:v>1</x:v>
      </x:c>
      <x:c r="S61" s="9" t="n">
        <x:f>IF(AND(R61=1,O61&lt;=$G$13),1,0)</x:f>
        <x:v>0</x:v>
      </x:c>
      <x:c r="T61" s="10" t="n">
        <x:f>EOMONTH(J61-'Сводка'!$B$11,-1)</x:f>
        <x:v>45900</x:v>
      </x:c>
      <x:c r="U61" s="4" t="n">
        <x:f>MATCH(J61,'Сводка'!$R$3:$R$397,0)</x:f>
        <x:v>72</x:v>
      </x:c>
      <x:c r="V61" s="4" t="n">
        <x:f>MATCH(J61-'Сводка'!$B$11,'Сводка'!$R$3:$R$397,0)</x:f>
        <x:v>71</x:v>
      </x:c>
      <x:c r="W61" s="4" t="n">
        <x:f>MATCH(T61,$J$388:$J$400,0)</x:f>
        <x:v>3</x:v>
      </x:c>
      <x:c r="X61" s="3"/>
      <x:c r="Y61" s="3"/>
      <x:c r="Z61" s="3"/>
    </x:row>
    <x:row r="62" ht="15" customHeight="1">
      <x:c r="A62" s="7" t="str">
        <x:f>IF(44&lt;='Сводка'!$B$3,'Сводка'!$B$4+44,"")</x:f>
      </x:c>
      <x:c r="B62" s="20" t="str">
        <x:f>IF($A62="","",(A62-$T$405+1)/1000)</x:f>
      </x:c>
      <x:c r="C62" s="20" t="str">
        <x:f>IF($A62="","",2*(A62-$T$405)/$T$406-1)</x:f>
      </x:c>
      <x:c r="D62" s="3" t="str">
        <x:f>IF($A62="","",$B$4+$B$5*C62^1+$B$6*C62^2+$B$7*C62^3+INDEX($E$4:$E$15,MONTH(A62)))</x:f>
      </x:c>
      <x:c r="E62" s="3" t="str">
        <x:f>IF($A62="","",SQRT($T$403^2+H62^2))</x:f>
      </x:c>
      <x:c r="F62" s="3" t="str">
        <x:f>IF($A62="","",D62-$T$404*E62)</x:f>
      </x:c>
      <x:c r="G62" s="3" t="str">
        <x:f>IF($A62="","",D62+$T$404*E62)</x:f>
      </x:c>
      <x:c r="H62" s="3" t="str">
        <x:f>IF($A62="","",SQRT(MAX(0,(1)*$S$409*(1)+(1)*$T$409*(C62^1)+(1)*$U$409*(C62^2)+(1)*$V$409*(C62^3)+(C62^1)*$S$410*(1)+(C62^1)*$T$410*(C62^1)+(C62^1)*$U$410*(C62^2)+(C62^1)*$V$410*(C62^3)+(C62^2)*$S$411*(1)+(C62^2)*$T$411*(C62^1)+(C62^2)*$U$411*(C62^2)+(C62^2)*$V$411*(C62^3)+(C62^3)*$S$412*(1)+(C62^3)*$T$412*(C62^1)+(C62^3)*$U$412*(C62^2)+(C62^3)*$V$412*(C62^3)+2*((1)*INDEX($S$416:$V$427,MONTH(A62),1)+(C62^1)*INDEX($S$416:$V$427,MONTH(A62),2)+(C62^2)*INDEX($S$416:$V$427,MONTH(A62),3)+(C62^3)*INDEX($S$416:$V$427,MONTH(A62),4))+INDEX($W$416:$W$427,MONTH(A62)))))</x:f>
      </x:c>
      <x:c r="I62" s="3"/>
      <x:c r="J62" s="10" t="n">
        <x:v>45913</x:v>
      </x:c>
      <x:c r="K62" s="8" t="n">
        <x:f>INDEX('Сводка'!$S$3:$S$397,U62)</x:f>
        <x:v>201</x:v>
      </x:c>
      <x:c r="L62" s="8" t="n">
        <x:f>INDEX('Сводка'!$S$3:$S$397,V62)</x:f>
        <x:v>204</x:v>
      </x:c>
      <x:c r="M62" s="8" t="n">
        <x:f>INDEX($K$388:$N$400,W62,1)+INDEX($K$388:$N$400,W62,2)*(2*(J62-$T$405)/(T62-$T$405)-1)^1+INDEX($K$388:$N$400,W62,3)*(2*(J62-$T$405)/(T62-$T$405)-1)^2+INDEX($K$388:$N$400,W62,4)*(2*(J62-$T$405)/(T62-$T$405)-1)^3+INDEX($O$388:$Z$400,W62,MONTH(J62))</x:f>
        <x:v>285.56524734192124</x:v>
      </x:c>
      <x:c r="N62" s="8" t="n">
        <x:f>K62-M62</x:f>
        <x:v>-84.56524734192124</x:v>
      </x:c>
      <x:c r="O62" s="8" t="n">
        <x:f>ABS(N62)</x:f>
        <x:v>84.56524734192124</x:v>
      </x:c>
      <x:c r="P62" s="8" t="n">
        <x:f>N62^2</x:f>
        <x:v>7151.281058000317</x:v>
      </x:c>
      <x:c r="Q62" s="8" t="n">
        <x:f>K62-L62</x:f>
        <x:v>-3</x:v>
      </x:c>
      <x:c r="R62" s="9" t="n">
        <x:f>IF(AND(INDEX('Сводка'!$T$3:$T$397,U62)=0,INDEX('Сводка'!$T$3:$T$397,V62)=0),1,0)</x:f>
        <x:v>1</x:v>
      </x:c>
      <x:c r="S62" s="9" t="n">
        <x:f>IF(AND(R62=1,O62&lt;=$G$13),1,0)</x:f>
        <x:v>0</x:v>
      </x:c>
      <x:c r="T62" s="10" t="n">
        <x:f>EOMONTH(J62-'Сводка'!$B$11,-1)</x:f>
        <x:v>45900</x:v>
      </x:c>
      <x:c r="U62" s="4" t="n">
        <x:f>MATCH(J62,'Сводка'!$R$3:$R$397,0)</x:f>
        <x:v>73</x:v>
      </x:c>
      <x:c r="V62" s="4" t="n">
        <x:f>MATCH(J62-'Сводка'!$B$11,'Сводка'!$R$3:$R$397,0)</x:f>
        <x:v>72</x:v>
      </x:c>
      <x:c r="W62" s="4" t="n">
        <x:f>MATCH(T62,$J$388:$J$400,0)</x:f>
        <x:v>3</x:v>
      </x:c>
      <x:c r="X62" s="3"/>
      <x:c r="Y62" s="3"/>
      <x:c r="Z62" s="3"/>
    </x:row>
    <x:row r="63" ht="15" customHeight="1">
      <x:c r="A63" s="7" t="str">
        <x:f>IF(45&lt;='Сводка'!$B$3,'Сводка'!$B$4+45,"")</x:f>
      </x:c>
      <x:c r="B63" s="20" t="str">
        <x:f>IF($A63="","",(A63-$T$405+1)/1000)</x:f>
      </x:c>
      <x:c r="C63" s="20" t="str">
        <x:f>IF($A63="","",2*(A63-$T$405)/$T$406-1)</x:f>
      </x:c>
      <x:c r="D63" s="3" t="str">
        <x:f>IF($A63="","",$B$4+$B$5*C63^1+$B$6*C63^2+$B$7*C63^3+INDEX($E$4:$E$15,MONTH(A63)))</x:f>
      </x:c>
      <x:c r="E63" s="3" t="str">
        <x:f>IF($A63="","",SQRT($T$403^2+H63^2))</x:f>
      </x:c>
      <x:c r="F63" s="3" t="str">
        <x:f>IF($A63="","",D63-$T$404*E63)</x:f>
      </x:c>
      <x:c r="G63" s="3" t="str">
        <x:f>IF($A63="","",D63+$T$404*E63)</x:f>
      </x:c>
      <x:c r="H63" s="3" t="str">
        <x:f>IF($A63="","",SQRT(MAX(0,(1)*$S$409*(1)+(1)*$T$409*(C63^1)+(1)*$U$409*(C63^2)+(1)*$V$409*(C63^3)+(C63^1)*$S$410*(1)+(C63^1)*$T$410*(C63^1)+(C63^1)*$U$410*(C63^2)+(C63^1)*$V$410*(C63^3)+(C63^2)*$S$411*(1)+(C63^2)*$T$411*(C63^1)+(C63^2)*$U$411*(C63^2)+(C63^2)*$V$411*(C63^3)+(C63^3)*$S$412*(1)+(C63^3)*$T$412*(C63^1)+(C63^3)*$U$412*(C63^2)+(C63^3)*$V$412*(C63^3)+2*((1)*INDEX($S$416:$V$427,MONTH(A63),1)+(C63^1)*INDEX($S$416:$V$427,MONTH(A63),2)+(C63^2)*INDEX($S$416:$V$427,MONTH(A63),3)+(C63^3)*INDEX($S$416:$V$427,MONTH(A63),4))+INDEX($W$416:$W$427,MONTH(A63)))))</x:f>
      </x:c>
      <x:c r="I63" s="3"/>
      <x:c r="J63" s="10" t="n">
        <x:v>45914</x:v>
      </x:c>
      <x:c r="K63" s="8" t="n">
        <x:f>INDEX('Сводка'!$S$3:$S$397,U63)</x:f>
        <x:v>202</x:v>
      </x:c>
      <x:c r="L63" s="8" t="n">
        <x:f>INDEX('Сводка'!$S$3:$S$397,V63)</x:f>
        <x:v>201</x:v>
      </x:c>
      <x:c r="M63" s="8" t="n">
        <x:f>INDEX($K$388:$N$400,W63,1)+INDEX($K$388:$N$400,W63,2)*(2*(J63-$T$405)/(T63-$T$405)-1)^1+INDEX($K$388:$N$400,W63,3)*(2*(J63-$T$405)/(T63-$T$405)-1)^2+INDEX($K$388:$N$400,W63,4)*(2*(J63-$T$405)/(T63-$T$405)-1)^3+INDEX($O$388:$Z$400,W63,MONTH(J63))</x:f>
        <x:v>285.5509173676294</x:v>
      </x:c>
      <x:c r="N63" s="8" t="n">
        <x:f>K63-M63</x:f>
        <x:v>-83.55091736762938</x:v>
      </x:c>
      <x:c r="O63" s="8" t="n">
        <x:f>ABS(N63)</x:f>
        <x:v>83.55091736762938</x:v>
      </x:c>
      <x:c r="P63" s="8" t="n">
        <x:f>N63^2</x:f>
        <x:v>6980.755792972433</x:v>
      </x:c>
      <x:c r="Q63" s="8" t="n">
        <x:f>K63-L63</x:f>
        <x:v>1</x:v>
      </x:c>
      <x:c r="R63" s="9" t="n">
        <x:f>IF(AND(INDEX('Сводка'!$T$3:$T$397,U63)=0,INDEX('Сводка'!$T$3:$T$397,V63)=0),1,0)</x:f>
        <x:v>1</x:v>
      </x:c>
      <x:c r="S63" s="9" t="n">
        <x:f>IF(AND(R63=1,O63&lt;=$G$13),1,0)</x:f>
        <x:v>0</x:v>
      </x:c>
      <x:c r="T63" s="10" t="n">
        <x:f>EOMONTH(J63-'Сводка'!$B$11,-1)</x:f>
        <x:v>45900</x:v>
      </x:c>
      <x:c r="U63" s="4" t="n">
        <x:f>MATCH(J63,'Сводка'!$R$3:$R$397,0)</x:f>
        <x:v>74</x:v>
      </x:c>
      <x:c r="V63" s="4" t="n">
        <x:f>MATCH(J63-'Сводка'!$B$11,'Сводка'!$R$3:$R$397,0)</x:f>
        <x:v>73</x:v>
      </x:c>
      <x:c r="W63" s="4" t="n">
        <x:f>MATCH(T63,$J$388:$J$400,0)</x:f>
        <x:v>3</x:v>
      </x:c>
      <x:c r="X63" s="3"/>
      <x:c r="Y63" s="3"/>
      <x:c r="Z63" s="3"/>
    </x:row>
    <x:row r="64" ht="15" customHeight="1">
      <x:c r="A64" s="7" t="str">
        <x:f>IF(46&lt;='Сводка'!$B$3,'Сводка'!$B$4+46,"")</x:f>
      </x:c>
      <x:c r="B64" s="20" t="str">
        <x:f>IF($A64="","",(A64-$T$405+1)/1000)</x:f>
      </x:c>
      <x:c r="C64" s="20" t="str">
        <x:f>IF($A64="","",2*(A64-$T$405)/$T$406-1)</x:f>
      </x:c>
      <x:c r="D64" s="3" t="str">
        <x:f>IF($A64="","",$B$4+$B$5*C64^1+$B$6*C64^2+$B$7*C64^3+INDEX($E$4:$E$15,MONTH(A64)))</x:f>
      </x:c>
      <x:c r="E64" s="3" t="str">
        <x:f>IF($A64="","",SQRT($T$403^2+H64^2))</x:f>
      </x:c>
      <x:c r="F64" s="3" t="str">
        <x:f>IF($A64="","",D64-$T$404*E64)</x:f>
      </x:c>
      <x:c r="G64" s="3" t="str">
        <x:f>IF($A64="","",D64+$T$404*E64)</x:f>
      </x:c>
      <x:c r="H64" s="3" t="str">
        <x:f>IF($A64="","",SQRT(MAX(0,(1)*$S$409*(1)+(1)*$T$409*(C64^1)+(1)*$U$409*(C64^2)+(1)*$V$409*(C64^3)+(C64^1)*$S$410*(1)+(C64^1)*$T$410*(C64^1)+(C64^1)*$U$410*(C64^2)+(C64^1)*$V$410*(C64^3)+(C64^2)*$S$411*(1)+(C64^2)*$T$411*(C64^1)+(C64^2)*$U$411*(C64^2)+(C64^2)*$V$411*(C64^3)+(C64^3)*$S$412*(1)+(C64^3)*$T$412*(C64^1)+(C64^3)*$U$412*(C64^2)+(C64^3)*$V$412*(C64^3)+2*((1)*INDEX($S$416:$V$427,MONTH(A64),1)+(C64^1)*INDEX($S$416:$V$427,MONTH(A64),2)+(C64^2)*INDEX($S$416:$V$427,MONTH(A64),3)+(C64^3)*INDEX($S$416:$V$427,MONTH(A64),4))+INDEX($W$416:$W$427,MONTH(A64)))))</x:f>
      </x:c>
      <x:c r="I64" s="3"/>
      <x:c r="J64" s="10" t="n">
        <x:v>45915</x:v>
      </x:c>
      <x:c r="K64" s="8" t="n">
        <x:f>INDEX('Сводка'!$S$3:$S$397,U64)</x:f>
        <x:v>204</x:v>
      </x:c>
      <x:c r="L64" s="8" t="n">
        <x:f>INDEX('Сводка'!$S$3:$S$397,V64)</x:f>
        <x:v>202</x:v>
      </x:c>
      <x:c r="M64" s="8" t="n">
        <x:f>INDEX($K$388:$N$400,W64,1)+INDEX($K$388:$N$400,W64,2)*(2*(J64-$T$405)/(T64-$T$405)-1)^1+INDEX($K$388:$N$400,W64,3)*(2*(J64-$T$405)/(T64-$T$405)-1)^2+INDEX($K$388:$N$400,W64,4)*(2*(J64-$T$405)/(T64-$T$405)-1)^3+INDEX($O$388:$Z$400,W64,MONTH(J64))</x:f>
        <x:v>285.5365754666037</x:v>
      </x:c>
      <x:c r="N64" s="8" t="n">
        <x:f>K64-M64</x:f>
        <x:v>-81.53657546660372</x:v>
      </x:c>
      <x:c r="O64" s="8" t="n">
        <x:f>ABS(N64)</x:f>
        <x:v>81.53657546660372</x:v>
      </x:c>
      <x:c r="P64" s="8" t="n">
        <x:f>N64^2</x:f>
        <x:v>6648.213138821164</x:v>
      </x:c>
      <x:c r="Q64" s="8" t="n">
        <x:f>K64-L64</x:f>
        <x:v>2</x:v>
      </x:c>
      <x:c r="R64" s="9" t="n">
        <x:f>IF(AND(INDEX('Сводка'!$T$3:$T$397,U64)=0,INDEX('Сводка'!$T$3:$T$397,V64)=0),1,0)</x:f>
        <x:v>1</x:v>
      </x:c>
      <x:c r="S64" s="9" t="n">
        <x:f>IF(AND(R64=1,O64&lt;=$G$13),1,0)</x:f>
        <x:v>0</x:v>
      </x:c>
      <x:c r="T64" s="10" t="n">
        <x:f>EOMONTH(J64-'Сводка'!$B$11,-1)</x:f>
        <x:v>45900</x:v>
      </x:c>
      <x:c r="U64" s="4" t="n">
        <x:f>MATCH(J64,'Сводка'!$R$3:$R$397,0)</x:f>
        <x:v>75</x:v>
      </x:c>
      <x:c r="V64" s="4" t="n">
        <x:f>MATCH(J64-'Сводка'!$B$11,'Сводка'!$R$3:$R$397,0)</x:f>
        <x:v>74</x:v>
      </x:c>
      <x:c r="W64" s="4" t="n">
        <x:f>MATCH(T64,$J$388:$J$400,0)</x:f>
        <x:v>3</x:v>
      </x:c>
      <x:c r="X64" s="3"/>
      <x:c r="Y64" s="3"/>
      <x:c r="Z64" s="3"/>
    </x:row>
    <x:row r="65" ht="15" customHeight="1">
      <x:c r="A65" s="7" t="str">
        <x:f>IF(47&lt;='Сводка'!$B$3,'Сводка'!$B$4+47,"")</x:f>
      </x:c>
      <x:c r="B65" s="20" t="str">
        <x:f>IF($A65="","",(A65-$T$405+1)/1000)</x:f>
      </x:c>
      <x:c r="C65" s="20" t="str">
        <x:f>IF($A65="","",2*(A65-$T$405)/$T$406-1)</x:f>
      </x:c>
      <x:c r="D65" s="3" t="str">
        <x:f>IF($A65="","",$B$4+$B$5*C65^1+$B$6*C65^2+$B$7*C65^3+INDEX($E$4:$E$15,MONTH(A65)))</x:f>
      </x:c>
      <x:c r="E65" s="3" t="str">
        <x:f>IF($A65="","",SQRT($T$403^2+H65^2))</x:f>
      </x:c>
      <x:c r="F65" s="3" t="str">
        <x:f>IF($A65="","",D65-$T$404*E65)</x:f>
      </x:c>
      <x:c r="G65" s="3" t="str">
        <x:f>IF($A65="","",D65+$T$404*E65)</x:f>
      </x:c>
      <x:c r="H65" s="3" t="str">
        <x:f>IF($A65="","",SQRT(MAX(0,(1)*$S$409*(1)+(1)*$T$409*(C65^1)+(1)*$U$409*(C65^2)+(1)*$V$409*(C65^3)+(C65^1)*$S$410*(1)+(C65^1)*$T$410*(C65^1)+(C65^1)*$U$410*(C65^2)+(C65^1)*$V$410*(C65^3)+(C65^2)*$S$411*(1)+(C65^2)*$T$411*(C65^1)+(C65^2)*$U$411*(C65^2)+(C65^2)*$V$411*(C65^3)+(C65^3)*$S$412*(1)+(C65^3)*$T$412*(C65^1)+(C65^3)*$U$412*(C65^2)+(C65^3)*$V$412*(C65^3)+2*((1)*INDEX($S$416:$V$427,MONTH(A65),1)+(C65^1)*INDEX($S$416:$V$427,MONTH(A65),2)+(C65^2)*INDEX($S$416:$V$427,MONTH(A65),3)+(C65^3)*INDEX($S$416:$V$427,MONTH(A65),4))+INDEX($W$416:$W$427,MONTH(A65)))))</x:f>
      </x:c>
      <x:c r="I65" s="3"/>
      <x:c r="J65" s="10" t="n">
        <x:v>45916</x:v>
      </x:c>
      <x:c r="K65" s="8" t="n">
        <x:f>INDEX('Сводка'!$S$3:$S$397,U65)</x:f>
        <x:v>213</x:v>
      </x:c>
      <x:c r="L65" s="8" t="n">
        <x:f>INDEX('Сводка'!$S$3:$S$397,V65)</x:f>
        <x:v>204</x:v>
      </x:c>
      <x:c r="M65" s="8" t="n">
        <x:f>INDEX($K$388:$N$400,W65,1)+INDEX($K$388:$N$400,W65,2)*(2*(J65-$T$405)/(T65-$T$405)-1)^1+INDEX($K$388:$N$400,W65,3)*(2*(J65-$T$405)/(T65-$T$405)-1)^2+INDEX($K$388:$N$400,W65,4)*(2*(J65-$T$405)/(T65-$T$405)-1)^3+INDEX($O$388:$Z$400,W65,MONTH(J65))</x:f>
        <x:v>285.522221637397</x:v>
      </x:c>
      <x:c r="N65" s="8" t="n">
        <x:f>K65-M65</x:f>
        <x:v>-72.52222163739702</x:v>
      </x:c>
      <x:c r="O65" s="8" t="n">
        <x:f>ABS(N65)</x:f>
        <x:v>72.52222163739702</x:v>
      </x:c>
      <x:c r="P65" s="8" t="n">
        <x:f>N65^2</x:f>
        <x:v>5259.472631223737</x:v>
      </x:c>
      <x:c r="Q65" s="8" t="n">
        <x:f>K65-L65</x:f>
        <x:v>9</x:v>
      </x:c>
      <x:c r="R65" s="9" t="n">
        <x:f>IF(AND(INDEX('Сводка'!$T$3:$T$397,U65)=0,INDEX('Сводка'!$T$3:$T$397,V65)=0),1,0)</x:f>
        <x:v>1</x:v>
      </x:c>
      <x:c r="S65" s="9" t="n">
        <x:f>IF(AND(R65=1,O65&lt;=$G$13),1,0)</x:f>
        <x:v>0</x:v>
      </x:c>
      <x:c r="T65" s="10" t="n">
        <x:f>EOMONTH(J65-'Сводка'!$B$11,-1)</x:f>
        <x:v>45900</x:v>
      </x:c>
      <x:c r="U65" s="4" t="n">
        <x:f>MATCH(J65,'Сводка'!$R$3:$R$397,0)</x:f>
        <x:v>76</x:v>
      </x:c>
      <x:c r="V65" s="4" t="n">
        <x:f>MATCH(J65-'Сводка'!$B$11,'Сводка'!$R$3:$R$397,0)</x:f>
        <x:v>75</x:v>
      </x:c>
      <x:c r="W65" s="4" t="n">
        <x:f>MATCH(T65,$J$388:$J$400,0)</x:f>
        <x:v>3</x:v>
      </x:c>
      <x:c r="X65" s="3"/>
      <x:c r="Y65" s="3"/>
      <x:c r="Z65" s="3"/>
    </x:row>
    <x:row r="66" ht="15" customHeight="1">
      <x:c r="A66" s="7" t="str">
        <x:f>IF(48&lt;='Сводка'!$B$3,'Сводка'!$B$4+48,"")</x:f>
      </x:c>
      <x:c r="B66" s="20" t="str">
        <x:f>IF($A66="","",(A66-$T$405+1)/1000)</x:f>
      </x:c>
      <x:c r="C66" s="20" t="str">
        <x:f>IF($A66="","",2*(A66-$T$405)/$T$406-1)</x:f>
      </x:c>
      <x:c r="D66" s="3" t="str">
        <x:f>IF($A66="","",$B$4+$B$5*C66^1+$B$6*C66^2+$B$7*C66^3+INDEX($E$4:$E$15,MONTH(A66)))</x:f>
      </x:c>
      <x:c r="E66" s="3" t="str">
        <x:f>IF($A66="","",SQRT($T$403^2+H66^2))</x:f>
      </x:c>
      <x:c r="F66" s="3" t="str">
        <x:f>IF($A66="","",D66-$T$404*E66)</x:f>
      </x:c>
      <x:c r="G66" s="3" t="str">
        <x:f>IF($A66="","",D66+$T$404*E66)</x:f>
      </x:c>
      <x:c r="H66" s="3" t="str">
        <x:f>IF($A66="","",SQRT(MAX(0,(1)*$S$409*(1)+(1)*$T$409*(C66^1)+(1)*$U$409*(C66^2)+(1)*$V$409*(C66^3)+(C66^1)*$S$410*(1)+(C66^1)*$T$410*(C66^1)+(C66^1)*$U$410*(C66^2)+(C66^1)*$V$410*(C66^3)+(C66^2)*$S$411*(1)+(C66^2)*$T$411*(C66^1)+(C66^2)*$U$411*(C66^2)+(C66^2)*$V$411*(C66^3)+(C66^3)*$S$412*(1)+(C66^3)*$T$412*(C66^1)+(C66^3)*$U$412*(C66^2)+(C66^3)*$V$412*(C66^3)+2*((1)*INDEX($S$416:$V$427,MONTH(A66),1)+(C66^1)*INDEX($S$416:$V$427,MONTH(A66),2)+(C66^2)*INDEX($S$416:$V$427,MONTH(A66),3)+(C66^3)*INDEX($S$416:$V$427,MONTH(A66),4))+INDEX($W$416:$W$427,MONTH(A66)))))</x:f>
      </x:c>
      <x:c r="I66" s="3"/>
      <x:c r="J66" s="10" t="n">
        <x:v>45917</x:v>
      </x:c>
      <x:c r="K66" s="8" t="n">
        <x:f>INDEX('Сводка'!$S$3:$S$397,U66)</x:f>
        <x:v>219</x:v>
      </x:c>
      <x:c r="L66" s="8" t="n">
        <x:f>INDEX('Сводка'!$S$3:$S$397,V66)</x:f>
        <x:v>213</x:v>
      </x:c>
      <x:c r="M66" s="8" t="n">
        <x:f>INDEX($K$388:$N$400,W66,1)+INDEX($K$388:$N$400,W66,2)*(2*(J66-$T$405)/(T66-$T$405)-1)^1+INDEX($K$388:$N$400,W66,3)*(2*(J66-$T$405)/(T66-$T$405)-1)^2+INDEX($K$388:$N$400,W66,4)*(2*(J66-$T$405)/(T66-$T$405)-1)^3+INDEX($O$388:$Z$400,W66,MONTH(J66))</x:f>
        <x:v>285.50785587856217</x:v>
      </x:c>
      <x:c r="N66" s="8" t="n">
        <x:f>K66-M66</x:f>
        <x:v>-66.50785587856217</x:v>
      </x:c>
      <x:c r="O66" s="8" t="n">
        <x:f>ABS(N66)</x:f>
        <x:v>66.50785587856217</x:v>
      </x:c>
      <x:c r="P66" s="8" t="n">
        <x:f>N66^2</x:f>
        <x:v>4423.294893563596</x:v>
      </x:c>
      <x:c r="Q66" s="8" t="n">
        <x:f>K66-L66</x:f>
        <x:v>6</x:v>
      </x:c>
      <x:c r="R66" s="9" t="n">
        <x:f>IF(AND(INDEX('Сводка'!$T$3:$T$397,U66)=0,INDEX('Сводка'!$T$3:$T$397,V66)=0),1,0)</x:f>
        <x:v>1</x:v>
      </x:c>
      <x:c r="S66" s="9" t="n">
        <x:f>IF(AND(R66=1,O66&lt;=$G$13),1,0)</x:f>
        <x:v>0</x:v>
      </x:c>
      <x:c r="T66" s="10" t="n">
        <x:f>EOMONTH(J66-'Сводка'!$B$11,-1)</x:f>
        <x:v>45900</x:v>
      </x:c>
      <x:c r="U66" s="4" t="n">
        <x:f>MATCH(J66,'Сводка'!$R$3:$R$397,0)</x:f>
        <x:v>77</x:v>
      </x:c>
      <x:c r="V66" s="4" t="n">
        <x:f>MATCH(J66-'Сводка'!$B$11,'Сводка'!$R$3:$R$397,0)</x:f>
        <x:v>76</x:v>
      </x:c>
      <x:c r="W66" s="4" t="n">
        <x:f>MATCH(T66,$J$388:$J$400,0)</x:f>
        <x:v>3</x:v>
      </x:c>
      <x:c r="X66" s="3"/>
      <x:c r="Y66" s="3"/>
      <x:c r="Z66" s="3"/>
    </x:row>
    <x:row r="67" ht="15" customHeight="1">
      <x:c r="A67" s="7" t="str">
        <x:f>IF(49&lt;='Сводка'!$B$3,'Сводка'!$B$4+49,"")</x:f>
      </x:c>
      <x:c r="B67" s="20" t="str">
        <x:f>IF($A67="","",(A67-$T$405+1)/1000)</x:f>
      </x:c>
      <x:c r="C67" s="20" t="str">
        <x:f>IF($A67="","",2*(A67-$T$405)/$T$406-1)</x:f>
      </x:c>
      <x:c r="D67" s="3" t="str">
        <x:f>IF($A67="","",$B$4+$B$5*C67^1+$B$6*C67^2+$B$7*C67^3+INDEX($E$4:$E$15,MONTH(A67)))</x:f>
      </x:c>
      <x:c r="E67" s="3" t="str">
        <x:f>IF($A67="","",SQRT($T$403^2+H67^2))</x:f>
      </x:c>
      <x:c r="F67" s="3" t="str">
        <x:f>IF($A67="","",D67-$T$404*E67)</x:f>
      </x:c>
      <x:c r="G67" s="3" t="str">
        <x:f>IF($A67="","",D67+$T$404*E67)</x:f>
      </x:c>
      <x:c r="H67" s="3" t="str">
        <x:f>IF($A67="","",SQRT(MAX(0,(1)*$S$409*(1)+(1)*$T$409*(C67^1)+(1)*$U$409*(C67^2)+(1)*$V$409*(C67^3)+(C67^1)*$S$410*(1)+(C67^1)*$T$410*(C67^1)+(C67^1)*$U$410*(C67^2)+(C67^1)*$V$410*(C67^3)+(C67^2)*$S$411*(1)+(C67^2)*$T$411*(C67^1)+(C67^2)*$U$411*(C67^2)+(C67^2)*$V$411*(C67^3)+(C67^3)*$S$412*(1)+(C67^3)*$T$412*(C67^1)+(C67^3)*$U$412*(C67^2)+(C67^3)*$V$412*(C67^3)+2*((1)*INDEX($S$416:$V$427,MONTH(A67),1)+(C67^1)*INDEX($S$416:$V$427,MONTH(A67),2)+(C67^2)*INDEX($S$416:$V$427,MONTH(A67),3)+(C67^3)*INDEX($S$416:$V$427,MONTH(A67),4))+INDEX($W$416:$W$427,MONTH(A67)))))</x:f>
      </x:c>
      <x:c r="I67" s="3"/>
      <x:c r="J67" s="10" t="n">
        <x:v>45918</x:v>
      </x:c>
      <x:c r="K67" s="8" t="n">
        <x:f>INDEX('Сводка'!$S$3:$S$397,U67)</x:f>
        <x:v>227</x:v>
      </x:c>
      <x:c r="L67" s="8" t="n">
        <x:f>INDEX('Сводка'!$S$3:$S$397,V67)</x:f>
        <x:v>219</x:v>
      </x:c>
      <x:c r="M67" s="8" t="n">
        <x:f>INDEX($K$388:$N$400,W67,1)+INDEX($K$388:$N$400,W67,2)*(2*(J67-$T$405)/(T67-$T$405)-1)^1+INDEX($K$388:$N$400,W67,3)*(2*(J67-$T$405)/(T67-$T$405)-1)^2+INDEX($K$388:$N$400,W67,4)*(2*(J67-$T$405)/(T67-$T$405)-1)^3+INDEX($O$388:$Z$400,W67,MONTH(J67))</x:f>
        <x:v>285.4934781886517</x:v>
      </x:c>
      <x:c r="N67" s="8" t="n">
        <x:f>K67-M67</x:f>
        <x:v>-58.49347818865169</x:v>
      </x:c>
      <x:c r="O67" s="8" t="n">
        <x:f>ABS(N67)</x:f>
        <x:v>58.49347818865169</x:v>
      </x:c>
      <x:c r="P67" s="8" t="n">
        <x:f>N67^2</x:f>
        <x:v>3421.4869906062713</x:v>
      </x:c>
      <x:c r="Q67" s="8" t="n">
        <x:f>K67-L67</x:f>
        <x:v>8</x:v>
      </x:c>
      <x:c r="R67" s="9" t="n">
        <x:f>IF(AND(INDEX('Сводка'!$T$3:$T$397,U67)=0,INDEX('Сводка'!$T$3:$T$397,V67)=0),1,0)</x:f>
        <x:v>1</x:v>
      </x:c>
      <x:c r="S67" s="9" t="n">
        <x:f>IF(AND(R67=1,O67&lt;=$G$13),1,0)</x:f>
        <x:v>0</x:v>
      </x:c>
      <x:c r="T67" s="10" t="n">
        <x:f>EOMONTH(J67-'Сводка'!$B$11,-1)</x:f>
        <x:v>45900</x:v>
      </x:c>
      <x:c r="U67" s="4" t="n">
        <x:f>MATCH(J67,'Сводка'!$R$3:$R$397,0)</x:f>
        <x:v>78</x:v>
      </x:c>
      <x:c r="V67" s="4" t="n">
        <x:f>MATCH(J67-'Сводка'!$B$11,'Сводка'!$R$3:$R$397,0)</x:f>
        <x:v>77</x:v>
      </x:c>
      <x:c r="W67" s="4" t="n">
        <x:f>MATCH(T67,$J$388:$J$400,0)</x:f>
        <x:v>3</x:v>
      </x:c>
      <x:c r="X67" s="3"/>
      <x:c r="Y67" s="3"/>
      <x:c r="Z67" s="3"/>
    </x:row>
    <x:row r="68" ht="15" customHeight="1">
      <x:c r="A68" s="7" t="str">
        <x:f>IF(50&lt;='Сводка'!$B$3,'Сводка'!$B$4+50,"")</x:f>
      </x:c>
      <x:c r="B68" s="20" t="str">
        <x:f>IF($A68="","",(A68-$T$405+1)/1000)</x:f>
      </x:c>
      <x:c r="C68" s="20" t="str">
        <x:f>IF($A68="","",2*(A68-$T$405)/$T$406-1)</x:f>
      </x:c>
      <x:c r="D68" s="3" t="str">
        <x:f>IF($A68="","",$B$4+$B$5*C68^1+$B$6*C68^2+$B$7*C68^3+INDEX($E$4:$E$15,MONTH(A68)))</x:f>
      </x:c>
      <x:c r="E68" s="3" t="str">
        <x:f>IF($A68="","",SQRT($T$403^2+H68^2))</x:f>
      </x:c>
      <x:c r="F68" s="3" t="str">
        <x:f>IF($A68="","",D68-$T$404*E68)</x:f>
      </x:c>
      <x:c r="G68" s="3" t="str">
        <x:f>IF($A68="","",D68+$T$404*E68)</x:f>
      </x:c>
      <x:c r="H68" s="3" t="str">
        <x:f>IF($A68="","",SQRT(MAX(0,(1)*$S$409*(1)+(1)*$T$409*(C68^1)+(1)*$U$409*(C68^2)+(1)*$V$409*(C68^3)+(C68^1)*$S$410*(1)+(C68^1)*$T$410*(C68^1)+(C68^1)*$U$410*(C68^2)+(C68^1)*$V$410*(C68^3)+(C68^2)*$S$411*(1)+(C68^2)*$T$411*(C68^1)+(C68^2)*$U$411*(C68^2)+(C68^2)*$V$411*(C68^3)+(C68^3)*$S$412*(1)+(C68^3)*$T$412*(C68^1)+(C68^3)*$U$412*(C68^2)+(C68^3)*$V$412*(C68^3)+2*((1)*INDEX($S$416:$V$427,MONTH(A68),1)+(C68^1)*INDEX($S$416:$V$427,MONTH(A68),2)+(C68^2)*INDEX($S$416:$V$427,MONTH(A68),3)+(C68^3)*INDEX($S$416:$V$427,MONTH(A68),4))+INDEX($W$416:$W$427,MONTH(A68)))))</x:f>
      </x:c>
      <x:c r="I68" s="3"/>
      <x:c r="J68" s="10" t="n">
        <x:v>45919</x:v>
      </x:c>
      <x:c r="K68" s="8" t="n">
        <x:f>INDEX('Сводка'!$S$3:$S$397,U68)</x:f>
        <x:v>241</x:v>
      </x:c>
      <x:c r="L68" s="8" t="n">
        <x:f>INDEX('Сводка'!$S$3:$S$397,V68)</x:f>
        <x:v>227</x:v>
      </x:c>
      <x:c r="M68" s="8" t="n">
        <x:f>INDEX($K$388:$N$400,W68,1)+INDEX($K$388:$N$400,W68,2)*(2*(J68-$T$405)/(T68-$T$405)-1)^1+INDEX($K$388:$N$400,W68,3)*(2*(J68-$T$405)/(T68-$T$405)-1)^2+INDEX($K$388:$N$400,W68,4)*(2*(J68-$T$405)/(T68-$T$405)-1)^3+INDEX($O$388:$Z$400,W68,MONTH(J68))</x:f>
        <x:v>285.4790885662185</x:v>
      </x:c>
      <x:c r="N68" s="8" t="n">
        <x:f>K68-M68</x:f>
        <x:v>-44.47908856621848</x:v>
      </x:c>
      <x:c r="O68" s="8" t="n">
        <x:f>ABS(N68)</x:f>
        <x:v>44.47908856621848</x:v>
      </x:c>
      <x:c r="P68" s="8" t="n">
        <x:f>N68^2</x:f>
        <x:v>1978.3893196815075</x:v>
      </x:c>
      <x:c r="Q68" s="8" t="n">
        <x:f>K68-L68</x:f>
        <x:v>14</x:v>
      </x:c>
      <x:c r="R68" s="9" t="n">
        <x:f>IF(AND(INDEX('Сводка'!$T$3:$T$397,U68)=0,INDEX('Сводка'!$T$3:$T$397,V68)=0),1,0)</x:f>
        <x:v>1</x:v>
      </x:c>
      <x:c r="S68" s="9" t="n">
        <x:f>IF(AND(R68=1,O68&lt;=$G$13),1,0)</x:f>
        <x:v>0</x:v>
      </x:c>
      <x:c r="T68" s="10" t="n">
        <x:f>EOMONTH(J68-'Сводка'!$B$11,-1)</x:f>
        <x:v>45900</x:v>
      </x:c>
      <x:c r="U68" s="4" t="n">
        <x:f>MATCH(J68,'Сводка'!$R$3:$R$397,0)</x:f>
        <x:v>79</x:v>
      </x:c>
      <x:c r="V68" s="4" t="n">
        <x:f>MATCH(J68-'Сводка'!$B$11,'Сводка'!$R$3:$R$397,0)</x:f>
        <x:v>78</x:v>
      </x:c>
      <x:c r="W68" s="4" t="n">
        <x:f>MATCH(T68,$J$388:$J$400,0)</x:f>
        <x:v>3</x:v>
      </x:c>
      <x:c r="X68" s="3"/>
      <x:c r="Y68" s="3"/>
      <x:c r="Z68" s="3"/>
    </x:row>
    <x:row r="69" ht="15" customHeight="1">
      <x:c r="A69" s="7" t="str">
        <x:f>IF(51&lt;='Сводка'!$B$3,'Сводка'!$B$4+51,"")</x:f>
      </x:c>
      <x:c r="B69" s="20" t="str">
        <x:f>IF($A69="","",(A69-$T$405+1)/1000)</x:f>
      </x:c>
      <x:c r="C69" s="20" t="str">
        <x:f>IF($A69="","",2*(A69-$T$405)/$T$406-1)</x:f>
      </x:c>
      <x:c r="D69" s="3" t="str">
        <x:f>IF($A69="","",$B$4+$B$5*C69^1+$B$6*C69^2+$B$7*C69^3+INDEX($E$4:$E$15,MONTH(A69)))</x:f>
      </x:c>
      <x:c r="E69" s="3" t="str">
        <x:f>IF($A69="","",SQRT($T$403^2+H69^2))</x:f>
      </x:c>
      <x:c r="F69" s="3" t="str">
        <x:f>IF($A69="","",D69-$T$404*E69)</x:f>
      </x:c>
      <x:c r="G69" s="3" t="str">
        <x:f>IF($A69="","",D69+$T$404*E69)</x:f>
      </x:c>
      <x:c r="H69" s="3" t="str">
        <x:f>IF($A69="","",SQRT(MAX(0,(1)*$S$409*(1)+(1)*$T$409*(C69^1)+(1)*$U$409*(C69^2)+(1)*$V$409*(C69^3)+(C69^1)*$S$410*(1)+(C69^1)*$T$410*(C69^1)+(C69^1)*$U$410*(C69^2)+(C69^1)*$V$410*(C69^3)+(C69^2)*$S$411*(1)+(C69^2)*$T$411*(C69^1)+(C69^2)*$U$411*(C69^2)+(C69^2)*$V$411*(C69^3)+(C69^3)*$S$412*(1)+(C69^3)*$T$412*(C69^1)+(C69^3)*$U$412*(C69^2)+(C69^3)*$V$412*(C69^3)+2*((1)*INDEX($S$416:$V$427,MONTH(A69),1)+(C69^1)*INDEX($S$416:$V$427,MONTH(A69),2)+(C69^2)*INDEX($S$416:$V$427,MONTH(A69),3)+(C69^3)*INDEX($S$416:$V$427,MONTH(A69),4))+INDEX($W$416:$W$427,MONTH(A69)))))</x:f>
      </x:c>
      <x:c r="I69" s="3"/>
      <x:c r="J69" s="10" t="n">
        <x:v>45920</x:v>
      </x:c>
      <x:c r="K69" s="8" t="n">
        <x:f>INDEX('Сводка'!$S$3:$S$397,U69)</x:f>
        <x:v>249</x:v>
      </x:c>
      <x:c r="L69" s="8" t="n">
        <x:f>INDEX('Сводка'!$S$3:$S$397,V69)</x:f>
        <x:v>241</x:v>
      </x:c>
      <x:c r="M69" s="8" t="n">
        <x:f>INDEX($K$388:$N$400,W69,1)+INDEX($K$388:$N$400,W69,2)*(2*(J69-$T$405)/(T69-$T$405)-1)^1+INDEX($K$388:$N$400,W69,3)*(2*(J69-$T$405)/(T69-$T$405)-1)^2+INDEX($K$388:$N$400,W69,4)*(2*(J69-$T$405)/(T69-$T$405)-1)^3+INDEX($O$388:$Z$400,W69,MONTH(J69))</x:f>
        <x:v>285.4646870098154</x:v>
      </x:c>
      <x:c r="N69" s="8" t="n">
        <x:f>K69-M69</x:f>
        <x:v>-36.46468700981541</x:v>
      </x:c>
      <x:c r="O69" s="8" t="n">
        <x:f>ABS(N69)</x:f>
        <x:v>36.46468700981541</x:v>
      </x:c>
      <x:c r="P69" s="8" t="n">
        <x:f>N69^2</x:f>
        <x:v>1329.6733987238006</x:v>
      </x:c>
      <x:c r="Q69" s="8" t="n">
        <x:f>K69-L69</x:f>
        <x:v>8</x:v>
      </x:c>
      <x:c r="R69" s="9" t="n">
        <x:f>IF(AND(INDEX('Сводка'!$T$3:$T$397,U69)=0,INDEX('Сводка'!$T$3:$T$397,V69)=0),1,0)</x:f>
        <x:v>1</x:v>
      </x:c>
      <x:c r="S69" s="9" t="n">
        <x:f>IF(AND(R69=1,O69&lt;=$G$13),1,0)</x:f>
        <x:v>0</x:v>
      </x:c>
      <x:c r="T69" s="10" t="n">
        <x:f>EOMONTH(J69-'Сводка'!$B$11,-1)</x:f>
        <x:v>45900</x:v>
      </x:c>
      <x:c r="U69" s="4" t="n">
        <x:f>MATCH(J69,'Сводка'!$R$3:$R$397,0)</x:f>
        <x:v>80</x:v>
      </x:c>
      <x:c r="V69" s="4" t="n">
        <x:f>MATCH(J69-'Сводка'!$B$11,'Сводка'!$R$3:$R$397,0)</x:f>
        <x:v>79</x:v>
      </x:c>
      <x:c r="W69" s="4" t="n">
        <x:f>MATCH(T69,$J$388:$J$400,0)</x:f>
        <x:v>3</x:v>
      </x:c>
      <x:c r="X69" s="3"/>
      <x:c r="Y69" s="3"/>
      <x:c r="Z69" s="3"/>
    </x:row>
    <x:row r="70" ht="15" customHeight="1">
      <x:c r="A70" s="7" t="str">
        <x:f>IF(52&lt;='Сводка'!$B$3,'Сводка'!$B$4+52,"")</x:f>
      </x:c>
      <x:c r="B70" s="20" t="str">
        <x:f>IF($A70="","",(A70-$T$405+1)/1000)</x:f>
      </x:c>
      <x:c r="C70" s="20" t="str">
        <x:f>IF($A70="","",2*(A70-$T$405)/$T$406-1)</x:f>
      </x:c>
      <x:c r="D70" s="3" t="str">
        <x:f>IF($A70="","",$B$4+$B$5*C70^1+$B$6*C70^2+$B$7*C70^3+INDEX($E$4:$E$15,MONTH(A70)))</x:f>
      </x:c>
      <x:c r="E70" s="3" t="str">
        <x:f>IF($A70="","",SQRT($T$403^2+H70^2))</x:f>
      </x:c>
      <x:c r="F70" s="3" t="str">
        <x:f>IF($A70="","",D70-$T$404*E70)</x:f>
      </x:c>
      <x:c r="G70" s="3" t="str">
        <x:f>IF($A70="","",D70+$T$404*E70)</x:f>
      </x:c>
      <x:c r="H70" s="3" t="str">
        <x:f>IF($A70="","",SQRT(MAX(0,(1)*$S$409*(1)+(1)*$T$409*(C70^1)+(1)*$U$409*(C70^2)+(1)*$V$409*(C70^3)+(C70^1)*$S$410*(1)+(C70^1)*$T$410*(C70^1)+(C70^1)*$U$410*(C70^2)+(C70^1)*$V$410*(C70^3)+(C70^2)*$S$411*(1)+(C70^2)*$T$411*(C70^1)+(C70^2)*$U$411*(C70^2)+(C70^2)*$V$411*(C70^3)+(C70^3)*$S$412*(1)+(C70^3)*$T$412*(C70^1)+(C70^3)*$U$412*(C70^2)+(C70^3)*$V$412*(C70^3)+2*((1)*INDEX($S$416:$V$427,MONTH(A70),1)+(C70^1)*INDEX($S$416:$V$427,MONTH(A70),2)+(C70^2)*INDEX($S$416:$V$427,MONTH(A70),3)+(C70^3)*INDEX($S$416:$V$427,MONTH(A70),4))+INDEX($W$416:$W$427,MONTH(A70)))))</x:f>
      </x:c>
      <x:c r="I70" s="3"/>
      <x:c r="J70" s="10" t="n">
        <x:v>45921</x:v>
      </x:c>
      <x:c r="K70" s="8" t="n">
        <x:f>INDEX('Сводка'!$S$3:$S$397,U70)</x:f>
        <x:v>260</x:v>
      </x:c>
      <x:c r="L70" s="8" t="n">
        <x:f>INDEX('Сводка'!$S$3:$S$397,V70)</x:f>
        <x:v>249</x:v>
      </x:c>
      <x:c r="M70" s="8" t="n">
        <x:f>INDEX($K$388:$N$400,W70,1)+INDEX($K$388:$N$400,W70,2)*(2*(J70-$T$405)/(T70-$T$405)-1)^1+INDEX($K$388:$N$400,W70,3)*(2*(J70-$T$405)/(T70-$T$405)-1)^2+INDEX($K$388:$N$400,W70,4)*(2*(J70-$T$405)/(T70-$T$405)-1)^3+INDEX($O$388:$Z$400,W70,MONTH(J70))</x:f>
        <x:v>285.45027351799513</x:v>
      </x:c>
      <x:c r="N70" s="8" t="n">
        <x:f>K70-M70</x:f>
        <x:v>-25.45027351799513</x:v>
      </x:c>
      <x:c r="O70" s="8" t="n">
        <x:f>ABS(N70)</x:f>
        <x:v>25.45027351799513</x:v>
      </x:c>
      <x:c r="P70" s="8" t="n">
        <x:f>N70^2</x:f>
        <x:v>647.7164221407642</x:v>
      </x:c>
      <x:c r="Q70" s="8" t="n">
        <x:f>K70-L70</x:f>
        <x:v>11</x:v>
      </x:c>
      <x:c r="R70" s="9" t="n">
        <x:f>IF(AND(INDEX('Сводка'!$T$3:$T$397,U70)=0,INDEX('Сводка'!$T$3:$T$397,V70)=0),1,0)</x:f>
        <x:v>1</x:v>
      </x:c>
      <x:c r="S70" s="9" t="n">
        <x:f>IF(AND(R70=1,O70&lt;=$G$13),1,0)</x:f>
        <x:v>0</x:v>
      </x:c>
      <x:c r="T70" s="10" t="n">
        <x:f>EOMONTH(J70-'Сводка'!$B$11,-1)</x:f>
        <x:v>45900</x:v>
      </x:c>
      <x:c r="U70" s="4" t="n">
        <x:f>MATCH(J70,'Сводка'!$R$3:$R$397,0)</x:f>
        <x:v>81</x:v>
      </x:c>
      <x:c r="V70" s="4" t="n">
        <x:f>MATCH(J70-'Сводка'!$B$11,'Сводка'!$R$3:$R$397,0)</x:f>
        <x:v>80</x:v>
      </x:c>
      <x:c r="W70" s="4" t="n">
        <x:f>MATCH(T70,$J$388:$J$400,0)</x:f>
        <x:v>3</x:v>
      </x:c>
      <x:c r="X70" s="3"/>
      <x:c r="Y70" s="3"/>
      <x:c r="Z70" s="3"/>
    </x:row>
    <x:row r="71" ht="15" customHeight="1">
      <x:c r="A71" s="7" t="str">
        <x:f>IF(53&lt;='Сводка'!$B$3,'Сводка'!$B$4+53,"")</x:f>
      </x:c>
      <x:c r="B71" s="20" t="str">
        <x:f>IF($A71="","",(A71-$T$405+1)/1000)</x:f>
      </x:c>
      <x:c r="C71" s="20" t="str">
        <x:f>IF($A71="","",2*(A71-$T$405)/$T$406-1)</x:f>
      </x:c>
      <x:c r="D71" s="3" t="str">
        <x:f>IF($A71="","",$B$4+$B$5*C71^1+$B$6*C71^2+$B$7*C71^3+INDEX($E$4:$E$15,MONTH(A71)))</x:f>
      </x:c>
      <x:c r="E71" s="3" t="str">
        <x:f>IF($A71="","",SQRT($T$403^2+H71^2))</x:f>
      </x:c>
      <x:c r="F71" s="3" t="str">
        <x:f>IF($A71="","",D71-$T$404*E71)</x:f>
      </x:c>
      <x:c r="G71" s="3" t="str">
        <x:f>IF($A71="","",D71+$T$404*E71)</x:f>
      </x:c>
      <x:c r="H71" s="3" t="str">
        <x:f>IF($A71="","",SQRT(MAX(0,(1)*$S$409*(1)+(1)*$T$409*(C71^1)+(1)*$U$409*(C71^2)+(1)*$V$409*(C71^3)+(C71^1)*$S$410*(1)+(C71^1)*$T$410*(C71^1)+(C71^1)*$U$410*(C71^2)+(C71^1)*$V$410*(C71^3)+(C71^2)*$S$411*(1)+(C71^2)*$T$411*(C71^1)+(C71^2)*$U$411*(C71^2)+(C71^2)*$V$411*(C71^3)+(C71^3)*$S$412*(1)+(C71^3)*$T$412*(C71^1)+(C71^3)*$U$412*(C71^2)+(C71^3)*$V$412*(C71^3)+2*((1)*INDEX($S$416:$V$427,MONTH(A71),1)+(C71^1)*INDEX($S$416:$V$427,MONTH(A71),2)+(C71^2)*INDEX($S$416:$V$427,MONTH(A71),3)+(C71^3)*INDEX($S$416:$V$427,MONTH(A71),4))+INDEX($W$416:$W$427,MONTH(A71)))))</x:f>
      </x:c>
      <x:c r="I71" s="3"/>
      <x:c r="J71" s="10" t="n">
        <x:v>45922</x:v>
      </x:c>
      <x:c r="K71" s="8" t="n">
        <x:f>INDEX('Сводка'!$S$3:$S$397,U71)</x:f>
        <x:v>272</x:v>
      </x:c>
      <x:c r="L71" s="8" t="n">
        <x:f>INDEX('Сводка'!$S$3:$S$397,V71)</x:f>
        <x:v>260</x:v>
      </x:c>
      <x:c r="M71" s="8" t="n">
        <x:f>INDEX($K$388:$N$400,W71,1)+INDEX($K$388:$N$400,W71,2)*(2*(J71-$T$405)/(T71-$T$405)-1)^1+INDEX($K$388:$N$400,W71,3)*(2*(J71-$T$405)/(T71-$T$405)-1)^2+INDEX($K$388:$N$400,W71,4)*(2*(J71-$T$405)/(T71-$T$405)-1)^3+INDEX($O$388:$Z$400,W71,MONTH(J71))</x:f>
        <x:v>285.43584808931035</x:v>
      </x:c>
      <x:c r="N71" s="8" t="n">
        <x:f>K71-M71</x:f>
        <x:v>-13.435848089310355</x:v>
      </x:c>
      <x:c r="O71" s="8" t="n">
        <x:f>ABS(N71)</x:f>
        <x:v>13.435848089310355</x:v>
      </x:c>
      <x:c r="P71" s="8" t="n">
        <x:f>N71^2</x:f>
        <x:v>180.5220138790247</x:v>
      </x:c>
      <x:c r="Q71" s="8" t="n">
        <x:f>K71-L71</x:f>
        <x:v>12</x:v>
      </x:c>
      <x:c r="R71" s="9" t="n">
        <x:f>IF(AND(INDEX('Сводка'!$T$3:$T$397,U71)=0,INDEX('Сводка'!$T$3:$T$397,V71)=0),1,0)</x:f>
        <x:v>1</x:v>
      </x:c>
      <x:c r="S71" s="9" t="n">
        <x:f>IF(AND(R71=1,O71&lt;=$G$13),1,0)</x:f>
        <x:v>0</x:v>
      </x:c>
      <x:c r="T71" s="10" t="n">
        <x:f>EOMONTH(J71-'Сводка'!$B$11,-1)</x:f>
        <x:v>45900</x:v>
      </x:c>
      <x:c r="U71" s="4" t="n">
        <x:f>MATCH(J71,'Сводка'!$R$3:$R$397,0)</x:f>
        <x:v>82</x:v>
      </x:c>
      <x:c r="V71" s="4" t="n">
        <x:f>MATCH(J71-'Сводка'!$B$11,'Сводка'!$R$3:$R$397,0)</x:f>
        <x:v>81</x:v>
      </x:c>
      <x:c r="W71" s="4" t="n">
        <x:f>MATCH(T71,$J$388:$J$400,0)</x:f>
        <x:v>3</x:v>
      </x:c>
      <x:c r="X71" s="3"/>
      <x:c r="Y71" s="3"/>
      <x:c r="Z71" s="3"/>
    </x:row>
    <x:row r="72" ht="15" customHeight="1">
      <x:c r="A72" s="7" t="str">
        <x:f>IF(54&lt;='Сводка'!$B$3,'Сводка'!$B$4+54,"")</x:f>
      </x:c>
      <x:c r="B72" s="20" t="str">
        <x:f>IF($A72="","",(A72-$T$405+1)/1000)</x:f>
      </x:c>
      <x:c r="C72" s="20" t="str">
        <x:f>IF($A72="","",2*(A72-$T$405)/$T$406-1)</x:f>
      </x:c>
      <x:c r="D72" s="3" t="str">
        <x:f>IF($A72="","",$B$4+$B$5*C72^1+$B$6*C72^2+$B$7*C72^3+INDEX($E$4:$E$15,MONTH(A72)))</x:f>
      </x:c>
      <x:c r="E72" s="3" t="str">
        <x:f>IF($A72="","",SQRT($T$403^2+H72^2))</x:f>
      </x:c>
      <x:c r="F72" s="3" t="str">
        <x:f>IF($A72="","",D72-$T$404*E72)</x:f>
      </x:c>
      <x:c r="G72" s="3" t="str">
        <x:f>IF($A72="","",D72+$T$404*E72)</x:f>
      </x:c>
      <x:c r="H72" s="3" t="str">
        <x:f>IF($A72="","",SQRT(MAX(0,(1)*$S$409*(1)+(1)*$T$409*(C72^1)+(1)*$U$409*(C72^2)+(1)*$V$409*(C72^3)+(C72^1)*$S$410*(1)+(C72^1)*$T$410*(C72^1)+(C72^1)*$U$410*(C72^2)+(C72^1)*$V$410*(C72^3)+(C72^2)*$S$411*(1)+(C72^2)*$T$411*(C72^1)+(C72^2)*$U$411*(C72^2)+(C72^2)*$V$411*(C72^3)+(C72^3)*$S$412*(1)+(C72^3)*$T$412*(C72^1)+(C72^3)*$U$412*(C72^2)+(C72^3)*$V$412*(C72^3)+2*((1)*INDEX($S$416:$V$427,MONTH(A72),1)+(C72^1)*INDEX($S$416:$V$427,MONTH(A72),2)+(C72^2)*INDEX($S$416:$V$427,MONTH(A72),3)+(C72^3)*INDEX($S$416:$V$427,MONTH(A72),4))+INDEX($W$416:$W$427,MONTH(A72)))))</x:f>
      </x:c>
      <x:c r="I72" s="3"/>
      <x:c r="J72" s="10" t="n">
        <x:v>45923</x:v>
      </x:c>
      <x:c r="K72" s="8" t="n">
        <x:f>INDEX('Сводка'!$S$3:$S$397,U72)</x:f>
        <x:v>279</x:v>
      </x:c>
      <x:c r="L72" s="8" t="n">
        <x:f>INDEX('Сводка'!$S$3:$S$397,V72)</x:f>
        <x:v>272</x:v>
      </x:c>
      <x:c r="M72" s="8" t="n">
        <x:f>INDEX($K$388:$N$400,W72,1)+INDEX($K$388:$N$400,W72,2)*(2*(J72-$T$405)/(T72-$T$405)-1)^1+INDEX($K$388:$N$400,W72,3)*(2*(J72-$T$405)/(T72-$T$405)-1)^2+INDEX($K$388:$N$400,W72,4)*(2*(J72-$T$405)/(T72-$T$405)-1)^3+INDEX($O$388:$Z$400,W72,MONTH(J72))</x:f>
        <x:v>285.421410722314</x:v>
      </x:c>
      <x:c r="N72" s="8" t="n">
        <x:f>K72-M72</x:f>
        <x:v>-6.421410722314022</x:v>
      </x:c>
      <x:c r="O72" s="8" t="n">
        <x:f>ABS(N72)</x:f>
        <x:v>6.421410722314022</x:v>
      </x:c>
      <x:c r="P72" s="8" t="n">
        <x:f>N72^2</x:f>
        <x:v>41.234515664649486</x:v>
      </x:c>
      <x:c r="Q72" s="8" t="n">
        <x:f>K72-L72</x:f>
        <x:v>7</x:v>
      </x:c>
      <x:c r="R72" s="9" t="n">
        <x:f>IF(AND(INDEX('Сводка'!$T$3:$T$397,U72)=0,INDEX('Сводка'!$T$3:$T$397,V72)=0),1,0)</x:f>
        <x:v>1</x:v>
      </x:c>
      <x:c r="S72" s="9" t="n">
        <x:f>IF(AND(R72=1,O72&lt;=$G$13),1,0)</x:f>
        <x:v>1</x:v>
      </x:c>
      <x:c r="T72" s="10" t="n">
        <x:f>EOMONTH(J72-'Сводка'!$B$11,-1)</x:f>
        <x:v>45900</x:v>
      </x:c>
      <x:c r="U72" s="4" t="n">
        <x:f>MATCH(J72,'Сводка'!$R$3:$R$397,0)</x:f>
        <x:v>83</x:v>
      </x:c>
      <x:c r="V72" s="4" t="n">
        <x:f>MATCH(J72-'Сводка'!$B$11,'Сводка'!$R$3:$R$397,0)</x:f>
        <x:v>82</x:v>
      </x:c>
      <x:c r="W72" s="4" t="n">
        <x:f>MATCH(T72,$J$388:$J$400,0)</x:f>
        <x:v>3</x:v>
      </x:c>
      <x:c r="X72" s="3"/>
      <x:c r="Y72" s="3"/>
      <x:c r="Z72" s="3"/>
    </x:row>
    <x:row r="73" ht="15" customHeight="1">
      <x:c r="A73" s="7" t="str">
        <x:f>IF(55&lt;='Сводка'!$B$3,'Сводка'!$B$4+55,"")</x:f>
      </x:c>
      <x:c r="B73" s="20" t="str">
        <x:f>IF($A73="","",(A73-$T$405+1)/1000)</x:f>
      </x:c>
      <x:c r="C73" s="20" t="str">
        <x:f>IF($A73="","",2*(A73-$T$405)/$T$406-1)</x:f>
      </x:c>
      <x:c r="D73" s="3" t="str">
        <x:f>IF($A73="","",$B$4+$B$5*C73^1+$B$6*C73^2+$B$7*C73^3+INDEX($E$4:$E$15,MONTH(A73)))</x:f>
      </x:c>
      <x:c r="E73" s="3" t="str">
        <x:f>IF($A73="","",SQRT($T$403^2+H73^2))</x:f>
      </x:c>
      <x:c r="F73" s="3" t="str">
        <x:f>IF($A73="","",D73-$T$404*E73)</x:f>
      </x:c>
      <x:c r="G73" s="3" t="str">
        <x:f>IF($A73="","",D73+$T$404*E73)</x:f>
      </x:c>
      <x:c r="H73" s="3" t="str">
        <x:f>IF($A73="","",SQRT(MAX(0,(1)*$S$409*(1)+(1)*$T$409*(C73^1)+(1)*$U$409*(C73^2)+(1)*$V$409*(C73^3)+(C73^1)*$S$410*(1)+(C73^1)*$T$410*(C73^1)+(C73^1)*$U$410*(C73^2)+(C73^1)*$V$410*(C73^3)+(C73^2)*$S$411*(1)+(C73^2)*$T$411*(C73^1)+(C73^2)*$U$411*(C73^2)+(C73^2)*$V$411*(C73^3)+(C73^3)*$S$412*(1)+(C73^3)*$T$412*(C73^1)+(C73^3)*$U$412*(C73^2)+(C73^3)*$V$412*(C73^3)+2*((1)*INDEX($S$416:$V$427,MONTH(A73),1)+(C73^1)*INDEX($S$416:$V$427,MONTH(A73),2)+(C73^2)*INDEX($S$416:$V$427,MONTH(A73),3)+(C73^3)*INDEX($S$416:$V$427,MONTH(A73),4))+INDEX($W$416:$W$427,MONTH(A73)))))</x:f>
      </x:c>
      <x:c r="I73" s="3"/>
      <x:c r="J73" s="10" t="n">
        <x:v>45924</x:v>
      </x:c>
      <x:c r="K73" s="8" t="n">
        <x:f>INDEX('Сводка'!$S$3:$S$397,U73)</x:f>
        <x:v>284</x:v>
      </x:c>
      <x:c r="L73" s="8" t="n">
        <x:f>INDEX('Сводка'!$S$3:$S$397,V73)</x:f>
        <x:v>279</x:v>
      </x:c>
      <x:c r="M73" s="8" t="n">
        <x:f>INDEX($K$388:$N$400,W73,1)+INDEX($K$388:$N$400,W73,2)*(2*(J73-$T$405)/(T73-$T$405)-1)^1+INDEX($K$388:$N$400,W73,3)*(2*(J73-$T$405)/(T73-$T$405)-1)^2+INDEX($K$388:$N$400,W73,4)*(2*(J73-$T$405)/(T73-$T$405)-1)^3+INDEX($O$388:$Z$400,W73,MONTH(J73))</x:f>
        <x:v>285.40696141555867</x:v>
      </x:c>
      <x:c r="N73" s="8" t="n">
        <x:f>K73-M73</x:f>
        <x:v>-1.4069614155586692</x:v>
      </x:c>
      <x:c r="O73" s="8" t="n">
        <x:f>ABS(N73)</x:f>
        <x:v>1.4069614155586692</x:v>
      </x:c>
      <x:c r="P73" s="8" t="n">
        <x:f>N73^2</x:f>
        <x:v>1.9795404248708541</x:v>
      </x:c>
      <x:c r="Q73" s="8" t="n">
        <x:f>K73-L73</x:f>
        <x:v>5</x:v>
      </x:c>
      <x:c r="R73" s="9" t="n">
        <x:f>IF(AND(INDEX('Сводка'!$T$3:$T$397,U73)=0,INDEX('Сводка'!$T$3:$T$397,V73)=0),1,0)</x:f>
        <x:v>1</x:v>
      </x:c>
      <x:c r="S73" s="9" t="n">
        <x:f>IF(AND(R73=1,O73&lt;=$G$13),1,0)</x:f>
        <x:v>1</x:v>
      </x:c>
      <x:c r="T73" s="10" t="n">
        <x:f>EOMONTH(J73-'Сводка'!$B$11,-1)</x:f>
        <x:v>45900</x:v>
      </x:c>
      <x:c r="U73" s="4" t="n">
        <x:f>MATCH(J73,'Сводка'!$R$3:$R$397,0)</x:f>
        <x:v>84</x:v>
      </x:c>
      <x:c r="V73" s="4" t="n">
        <x:f>MATCH(J73-'Сводка'!$B$11,'Сводка'!$R$3:$R$397,0)</x:f>
        <x:v>83</x:v>
      </x:c>
      <x:c r="W73" s="4" t="n">
        <x:f>MATCH(T73,$J$388:$J$400,0)</x:f>
        <x:v>3</x:v>
      </x:c>
      <x:c r="X73" s="3"/>
      <x:c r="Y73" s="3"/>
      <x:c r="Z73" s="3"/>
    </x:row>
    <x:row r="74" ht="15" customHeight="1">
      <x:c r="A74" s="7" t="str">
        <x:f>IF(56&lt;='Сводка'!$B$3,'Сводка'!$B$4+56,"")</x:f>
      </x:c>
      <x:c r="B74" s="20" t="str">
        <x:f>IF($A74="","",(A74-$T$405+1)/1000)</x:f>
      </x:c>
      <x:c r="C74" s="20" t="str">
        <x:f>IF($A74="","",2*(A74-$T$405)/$T$406-1)</x:f>
      </x:c>
      <x:c r="D74" s="3" t="str">
        <x:f>IF($A74="","",$B$4+$B$5*C74^1+$B$6*C74^2+$B$7*C74^3+INDEX($E$4:$E$15,MONTH(A74)))</x:f>
      </x:c>
      <x:c r="E74" s="3" t="str">
        <x:f>IF($A74="","",SQRT($T$403^2+H74^2))</x:f>
      </x:c>
      <x:c r="F74" s="3" t="str">
        <x:f>IF($A74="","",D74-$T$404*E74)</x:f>
      </x:c>
      <x:c r="G74" s="3" t="str">
        <x:f>IF($A74="","",D74+$T$404*E74)</x:f>
      </x:c>
      <x:c r="H74" s="3" t="str">
        <x:f>IF($A74="","",SQRT(MAX(0,(1)*$S$409*(1)+(1)*$T$409*(C74^1)+(1)*$U$409*(C74^2)+(1)*$V$409*(C74^3)+(C74^1)*$S$410*(1)+(C74^1)*$T$410*(C74^1)+(C74^1)*$U$410*(C74^2)+(C74^1)*$V$410*(C74^3)+(C74^2)*$S$411*(1)+(C74^2)*$T$411*(C74^1)+(C74^2)*$U$411*(C74^2)+(C74^2)*$V$411*(C74^3)+(C74^3)*$S$412*(1)+(C74^3)*$T$412*(C74^1)+(C74^3)*$U$412*(C74^2)+(C74^3)*$V$412*(C74^3)+2*((1)*INDEX($S$416:$V$427,MONTH(A74),1)+(C74^1)*INDEX($S$416:$V$427,MONTH(A74),2)+(C74^2)*INDEX($S$416:$V$427,MONTH(A74),3)+(C74^3)*INDEX($S$416:$V$427,MONTH(A74),4))+INDEX($W$416:$W$427,MONTH(A74)))))</x:f>
      </x:c>
      <x:c r="I74" s="3"/>
      <x:c r="J74" s="10" t="n">
        <x:v>45925</x:v>
      </x:c>
      <x:c r="K74" s="8" t="n">
        <x:f>INDEX('Сводка'!$S$3:$S$397,U74)</x:f>
        <x:v>288</x:v>
      </x:c>
      <x:c r="L74" s="8" t="n">
        <x:f>INDEX('Сводка'!$S$3:$S$397,V74)</x:f>
        <x:v>284</x:v>
      </x:c>
      <x:c r="M74" s="8" t="n">
        <x:f>INDEX($K$388:$N$400,W74,1)+INDEX($K$388:$N$400,W74,2)*(2*(J74-$T$405)/(T74-$T$405)-1)^1+INDEX($K$388:$N$400,W74,3)*(2*(J74-$T$405)/(T74-$T$405)-1)^2+INDEX($K$388:$N$400,W74,4)*(2*(J74-$T$405)/(T74-$T$405)-1)^3+INDEX($O$388:$Z$400,W74,MONTH(J74))</x:f>
        <x:v>285.3925001675973</x:v>
      </x:c>
      <x:c r="N74" s="8" t="n">
        <x:f>K74-M74</x:f>
        <x:v>2.607499832402709</x:v>
      </x:c>
      <x:c r="O74" s="8" t="n">
        <x:f>ABS(N74)</x:f>
        <x:v>2.607499832402709</x:v>
      </x:c>
      <x:c r="P74" s="8" t="n">
        <x:f>N74^2</x:f>
        <x:v>6.799055375980156</x:v>
      </x:c>
      <x:c r="Q74" s="8" t="n">
        <x:f>K74-L74</x:f>
        <x:v>4</x:v>
      </x:c>
      <x:c r="R74" s="9" t="n">
        <x:f>IF(AND(INDEX('Сводка'!$T$3:$T$397,U74)=0,INDEX('Сводка'!$T$3:$T$397,V74)=0),1,0)</x:f>
        <x:v>1</x:v>
      </x:c>
      <x:c r="S74" s="9" t="n">
        <x:f>IF(AND(R74=1,O74&lt;=$G$13),1,0)</x:f>
        <x:v>1</x:v>
      </x:c>
      <x:c r="T74" s="10" t="n">
        <x:f>EOMONTH(J74-'Сводка'!$B$11,-1)</x:f>
        <x:v>45900</x:v>
      </x:c>
      <x:c r="U74" s="4" t="n">
        <x:f>MATCH(J74,'Сводка'!$R$3:$R$397,0)</x:f>
        <x:v>85</x:v>
      </x:c>
      <x:c r="V74" s="4" t="n">
        <x:f>MATCH(J74-'Сводка'!$B$11,'Сводка'!$R$3:$R$397,0)</x:f>
        <x:v>84</x:v>
      </x:c>
      <x:c r="W74" s="4" t="n">
        <x:f>MATCH(T74,$J$388:$J$400,0)</x:f>
        <x:v>3</x:v>
      </x:c>
      <x:c r="X74" s="3"/>
      <x:c r="Y74" s="3"/>
      <x:c r="Z74" s="3"/>
    </x:row>
    <x:row r="75" ht="15" customHeight="1">
      <x:c r="A75" s="7" t="str">
        <x:f>IF(57&lt;='Сводка'!$B$3,'Сводка'!$B$4+57,"")</x:f>
      </x:c>
      <x:c r="B75" s="20" t="str">
        <x:f>IF($A75="","",(A75-$T$405+1)/1000)</x:f>
      </x:c>
      <x:c r="C75" s="20" t="str">
        <x:f>IF($A75="","",2*(A75-$T$405)/$T$406-1)</x:f>
      </x:c>
      <x:c r="D75" s="3" t="str">
        <x:f>IF($A75="","",$B$4+$B$5*C75^1+$B$6*C75^2+$B$7*C75^3+INDEX($E$4:$E$15,MONTH(A75)))</x:f>
      </x:c>
      <x:c r="E75" s="3" t="str">
        <x:f>IF($A75="","",SQRT($T$403^2+H75^2))</x:f>
      </x:c>
      <x:c r="F75" s="3" t="str">
        <x:f>IF($A75="","",D75-$T$404*E75)</x:f>
      </x:c>
      <x:c r="G75" s="3" t="str">
        <x:f>IF($A75="","",D75+$T$404*E75)</x:f>
      </x:c>
      <x:c r="H75" s="3" t="str">
        <x:f>IF($A75="","",SQRT(MAX(0,(1)*$S$409*(1)+(1)*$T$409*(C75^1)+(1)*$U$409*(C75^2)+(1)*$V$409*(C75^3)+(C75^1)*$S$410*(1)+(C75^1)*$T$410*(C75^1)+(C75^1)*$U$410*(C75^2)+(C75^1)*$V$410*(C75^3)+(C75^2)*$S$411*(1)+(C75^2)*$T$411*(C75^1)+(C75^2)*$U$411*(C75^2)+(C75^2)*$V$411*(C75^3)+(C75^3)*$S$412*(1)+(C75^3)*$T$412*(C75^1)+(C75^3)*$U$412*(C75^2)+(C75^3)*$V$412*(C75^3)+2*((1)*INDEX($S$416:$V$427,MONTH(A75),1)+(C75^1)*INDEX($S$416:$V$427,MONTH(A75),2)+(C75^2)*INDEX($S$416:$V$427,MONTH(A75),3)+(C75^3)*INDEX($S$416:$V$427,MONTH(A75),4))+INDEX($W$416:$W$427,MONTH(A75)))))</x:f>
      </x:c>
      <x:c r="I75" s="3"/>
      <x:c r="J75" s="10" t="n">
        <x:v>45926</x:v>
      </x:c>
      <x:c r="K75" s="8" t="n">
        <x:f>INDEX('Сводка'!$S$3:$S$397,U75)</x:f>
        <x:v>290</x:v>
      </x:c>
      <x:c r="L75" s="8" t="n">
        <x:f>INDEX('Сводка'!$S$3:$S$397,V75)</x:f>
        <x:v>288</x:v>
      </x:c>
      <x:c r="M75" s="8" t="n">
        <x:f>INDEX($K$388:$N$400,W75,1)+INDEX($K$388:$N$400,W75,2)*(2*(J75-$T$405)/(T75-$T$405)-1)^1+INDEX($K$388:$N$400,W75,3)*(2*(J75-$T$405)/(T75-$T$405)-1)^2+INDEX($K$388:$N$400,W75,4)*(2*(J75-$T$405)/(T75-$T$405)-1)^3+INDEX($O$388:$Z$400,W75,MONTH(J75))</x:f>
        <x:v>285.3780269769825</x:v>
      </x:c>
      <x:c r="N75" s="8" t="n">
        <x:f>K75-M75</x:f>
        <x:v>4.621973023017517</x:v>
      </x:c>
      <x:c r="O75" s="8" t="n">
        <x:f>ABS(N75)</x:f>
        <x:v>4.621973023017517</x:v>
      </x:c>
      <x:c r="P75" s="8" t="n">
        <x:f>N75^2</x:f>
        <x:v>21.362634625501688</x:v>
      </x:c>
      <x:c r="Q75" s="8" t="n">
        <x:f>K75-L75</x:f>
        <x:v>2</x:v>
      </x:c>
      <x:c r="R75" s="9" t="n">
        <x:f>IF(AND(INDEX('Сводка'!$T$3:$T$397,U75)=0,INDEX('Сводка'!$T$3:$T$397,V75)=0),1,0)</x:f>
        <x:v>1</x:v>
      </x:c>
      <x:c r="S75" s="9" t="n">
        <x:f>IF(AND(R75=1,O75&lt;=$G$13),1,0)</x:f>
        <x:v>1</x:v>
      </x:c>
      <x:c r="T75" s="10" t="n">
        <x:f>EOMONTH(J75-'Сводка'!$B$11,-1)</x:f>
        <x:v>45900</x:v>
      </x:c>
      <x:c r="U75" s="4" t="n">
        <x:f>MATCH(J75,'Сводка'!$R$3:$R$397,0)</x:f>
        <x:v>86</x:v>
      </x:c>
      <x:c r="V75" s="4" t="n">
        <x:f>MATCH(J75-'Сводка'!$B$11,'Сводка'!$R$3:$R$397,0)</x:f>
        <x:v>85</x:v>
      </x:c>
      <x:c r="W75" s="4" t="n">
        <x:f>MATCH(T75,$J$388:$J$400,0)</x:f>
        <x:v>3</x:v>
      </x:c>
      <x:c r="X75" s="3"/>
      <x:c r="Y75" s="3"/>
      <x:c r="Z75" s="3"/>
    </x:row>
    <x:row r="76" ht="15" customHeight="1">
      <x:c r="A76" s="7" t="str">
        <x:f>IF(58&lt;='Сводка'!$B$3,'Сводка'!$B$4+58,"")</x:f>
      </x:c>
      <x:c r="B76" s="20" t="str">
        <x:f>IF($A76="","",(A76-$T$405+1)/1000)</x:f>
      </x:c>
      <x:c r="C76" s="20" t="str">
        <x:f>IF($A76="","",2*(A76-$T$405)/$T$406-1)</x:f>
      </x:c>
      <x:c r="D76" s="3" t="str">
        <x:f>IF($A76="","",$B$4+$B$5*C76^1+$B$6*C76^2+$B$7*C76^3+INDEX($E$4:$E$15,MONTH(A76)))</x:f>
      </x:c>
      <x:c r="E76" s="3" t="str">
        <x:f>IF($A76="","",SQRT($T$403^2+H76^2))</x:f>
      </x:c>
      <x:c r="F76" s="3" t="str">
        <x:f>IF($A76="","",D76-$T$404*E76)</x:f>
      </x:c>
      <x:c r="G76" s="3" t="str">
        <x:f>IF($A76="","",D76+$T$404*E76)</x:f>
      </x:c>
      <x:c r="H76" s="3" t="str">
        <x:f>IF($A76="","",SQRT(MAX(0,(1)*$S$409*(1)+(1)*$T$409*(C76^1)+(1)*$U$409*(C76^2)+(1)*$V$409*(C76^3)+(C76^1)*$S$410*(1)+(C76^1)*$T$410*(C76^1)+(C76^1)*$U$410*(C76^2)+(C76^1)*$V$410*(C76^3)+(C76^2)*$S$411*(1)+(C76^2)*$T$411*(C76^1)+(C76^2)*$U$411*(C76^2)+(C76^2)*$V$411*(C76^3)+(C76^3)*$S$412*(1)+(C76^3)*$T$412*(C76^1)+(C76^3)*$U$412*(C76^2)+(C76^3)*$V$412*(C76^3)+2*((1)*INDEX($S$416:$V$427,MONTH(A76),1)+(C76^1)*INDEX($S$416:$V$427,MONTH(A76),2)+(C76^2)*INDEX($S$416:$V$427,MONTH(A76),3)+(C76^3)*INDEX($S$416:$V$427,MONTH(A76),4))+INDEX($W$416:$W$427,MONTH(A76)))))</x:f>
      </x:c>
      <x:c r="I76" s="3"/>
      <x:c r="J76" s="10" t="n">
        <x:v>45927</x:v>
      </x:c>
      <x:c r="K76" s="8" t="n">
        <x:f>INDEX('Сводка'!$S$3:$S$397,U76)</x:f>
        <x:v>291</x:v>
      </x:c>
      <x:c r="L76" s="8" t="n">
        <x:f>INDEX('Сводка'!$S$3:$S$397,V76)</x:f>
        <x:v>290</x:v>
      </x:c>
      <x:c r="M76" s="8" t="n">
        <x:f>INDEX($K$388:$N$400,W76,1)+INDEX($K$388:$N$400,W76,2)*(2*(J76-$T$405)/(T76-$T$405)-1)^1+INDEX($K$388:$N$400,W76,3)*(2*(J76-$T$405)/(T76-$T$405)-1)^2+INDEX($K$388:$N$400,W76,4)*(2*(J76-$T$405)/(T76-$T$405)-1)^3+INDEX($O$388:$Z$400,W76,MONTH(J76))</x:f>
        <x:v>285.36354184226707</x:v>
      </x:c>
      <x:c r="N76" s="8" t="n">
        <x:f>K76-M76</x:f>
        <x:v>5.636458157732932</x:v>
      </x:c>
      <x:c r="O76" s="8" t="n">
        <x:f>ABS(N76)</x:f>
        <x:v>5.636458157732932</x:v>
      </x:c>
      <x:c r="P76" s="8" t="n">
        <x:f>N76^2</x:f>
        <x:v>31.769660563874115</x:v>
      </x:c>
      <x:c r="Q76" s="8" t="n">
        <x:f>K76-L76</x:f>
        <x:v>1</x:v>
      </x:c>
      <x:c r="R76" s="9" t="n">
        <x:f>IF(AND(INDEX('Сводка'!$T$3:$T$397,U76)=0,INDEX('Сводка'!$T$3:$T$397,V76)=0),1,0)</x:f>
        <x:v>1</x:v>
      </x:c>
      <x:c r="S76" s="9" t="n">
        <x:f>IF(AND(R76=1,O76&lt;=$G$13),1,0)</x:f>
        <x:v>1</x:v>
      </x:c>
      <x:c r="T76" s="10" t="n">
        <x:f>EOMONTH(J76-'Сводка'!$B$11,-1)</x:f>
        <x:v>45900</x:v>
      </x:c>
      <x:c r="U76" s="4" t="n">
        <x:f>MATCH(J76,'Сводка'!$R$3:$R$397,0)</x:f>
        <x:v>87</x:v>
      </x:c>
      <x:c r="V76" s="4" t="n">
        <x:f>MATCH(J76-'Сводка'!$B$11,'Сводка'!$R$3:$R$397,0)</x:f>
        <x:v>86</x:v>
      </x:c>
      <x:c r="W76" s="4" t="n">
        <x:f>MATCH(T76,$J$388:$J$400,0)</x:f>
        <x:v>3</x:v>
      </x:c>
      <x:c r="X76" s="3"/>
      <x:c r="Y76" s="3"/>
      <x:c r="Z76" s="3"/>
    </x:row>
    <x:row r="77" ht="15" customHeight="1">
      <x:c r="A77" s="7" t="str">
        <x:f>IF(59&lt;='Сводка'!$B$3,'Сводка'!$B$4+59,"")</x:f>
      </x:c>
      <x:c r="B77" s="20" t="str">
        <x:f>IF($A77="","",(A77-$T$405+1)/1000)</x:f>
      </x:c>
      <x:c r="C77" s="20" t="str">
        <x:f>IF($A77="","",2*(A77-$T$405)/$T$406-1)</x:f>
      </x:c>
      <x:c r="D77" s="3" t="str">
        <x:f>IF($A77="","",$B$4+$B$5*C77^1+$B$6*C77^2+$B$7*C77^3+INDEX($E$4:$E$15,MONTH(A77)))</x:f>
      </x:c>
      <x:c r="E77" s="3" t="str">
        <x:f>IF($A77="","",SQRT($T$403^2+H77^2))</x:f>
      </x:c>
      <x:c r="F77" s="3" t="str">
        <x:f>IF($A77="","",D77-$T$404*E77)</x:f>
      </x:c>
      <x:c r="G77" s="3" t="str">
        <x:f>IF($A77="","",D77+$T$404*E77)</x:f>
      </x:c>
      <x:c r="H77" s="3" t="str">
        <x:f>IF($A77="","",SQRT(MAX(0,(1)*$S$409*(1)+(1)*$T$409*(C77^1)+(1)*$U$409*(C77^2)+(1)*$V$409*(C77^3)+(C77^1)*$S$410*(1)+(C77^1)*$T$410*(C77^1)+(C77^1)*$U$410*(C77^2)+(C77^1)*$V$410*(C77^3)+(C77^2)*$S$411*(1)+(C77^2)*$T$411*(C77^1)+(C77^2)*$U$411*(C77^2)+(C77^2)*$V$411*(C77^3)+(C77^3)*$S$412*(1)+(C77^3)*$T$412*(C77^1)+(C77^3)*$U$412*(C77^2)+(C77^3)*$V$412*(C77^3)+2*((1)*INDEX($S$416:$V$427,MONTH(A77),1)+(C77^1)*INDEX($S$416:$V$427,MONTH(A77),2)+(C77^2)*INDEX($S$416:$V$427,MONTH(A77),3)+(C77^3)*INDEX($S$416:$V$427,MONTH(A77),4))+INDEX($W$416:$W$427,MONTH(A77)))))</x:f>
      </x:c>
      <x:c r="I77" s="3"/>
      <x:c r="J77" s="10" t="n">
        <x:v>45928</x:v>
      </x:c>
      <x:c r="K77" s="8" t="n">
        <x:f>INDEX('Сводка'!$S$3:$S$397,U77)</x:f>
        <x:v>290</x:v>
      </x:c>
      <x:c r="L77" s="8" t="n">
        <x:f>INDEX('Сводка'!$S$3:$S$397,V77)</x:f>
        <x:v>291</x:v>
      </x:c>
      <x:c r="M77" s="8" t="n">
        <x:f>INDEX($K$388:$N$400,W77,1)+INDEX($K$388:$N$400,W77,2)*(2*(J77-$T$405)/(T77-$T$405)-1)^1+INDEX($K$388:$N$400,W77,3)*(2*(J77-$T$405)/(T77-$T$405)-1)^2+INDEX($K$388:$N$400,W77,4)*(2*(J77-$T$405)/(T77-$T$405)-1)^3+INDEX($O$388:$Z$400,W77,MONTH(J77))</x:f>
        <x:v>285.34904476200387</x:v>
      </x:c>
      <x:c r="N77" s="8" t="n">
        <x:f>K77-M77</x:f>
        <x:v>4.650955237996129</x:v>
      </x:c>
      <x:c r="O77" s="8" t="n">
        <x:f>ABS(N77)</x:f>
        <x:v>4.650955237996129</x:v>
      </x:c>
      <x:c r="P77" s="8" t="n">
        <x:f>N77^2</x:f>
        <x:v>21.63138462584363</x:v>
      </x:c>
      <x:c r="Q77" s="8" t="n">
        <x:f>K77-L77</x:f>
        <x:v>-1</x:v>
      </x:c>
      <x:c r="R77" s="9" t="n">
        <x:f>IF(AND(INDEX('Сводка'!$T$3:$T$397,U77)=0,INDEX('Сводка'!$T$3:$T$397,V77)=0),1,0)</x:f>
        <x:v>1</x:v>
      </x:c>
      <x:c r="S77" s="9" t="n">
        <x:f>IF(AND(R77=1,O77&lt;=$G$13),1,0)</x:f>
        <x:v>1</x:v>
      </x:c>
      <x:c r="T77" s="10" t="n">
        <x:f>EOMONTH(J77-'Сводка'!$B$11,-1)</x:f>
        <x:v>45900</x:v>
      </x:c>
      <x:c r="U77" s="4" t="n">
        <x:f>MATCH(J77,'Сводка'!$R$3:$R$397,0)</x:f>
        <x:v>88</x:v>
      </x:c>
      <x:c r="V77" s="4" t="n">
        <x:f>MATCH(J77-'Сводка'!$B$11,'Сводка'!$R$3:$R$397,0)</x:f>
        <x:v>87</x:v>
      </x:c>
      <x:c r="W77" s="4" t="n">
        <x:f>MATCH(T77,$J$388:$J$400,0)</x:f>
        <x:v>3</x:v>
      </x:c>
      <x:c r="X77" s="3"/>
      <x:c r="Y77" s="3"/>
      <x:c r="Z77" s="3"/>
    </x:row>
    <x:row r="78" ht="15" customHeight="1">
      <x:c r="A78" s="7" t="str">
        <x:f>IF(60&lt;='Сводка'!$B$3,'Сводка'!$B$4+60,"")</x:f>
      </x:c>
      <x:c r="B78" s="20" t="str">
        <x:f>IF($A78="","",(A78-$T$405+1)/1000)</x:f>
      </x:c>
      <x:c r="C78" s="20" t="str">
        <x:f>IF($A78="","",2*(A78-$T$405)/$T$406-1)</x:f>
      </x:c>
      <x:c r="D78" s="3" t="str">
        <x:f>IF($A78="","",$B$4+$B$5*C78^1+$B$6*C78^2+$B$7*C78^3+INDEX($E$4:$E$15,MONTH(A78)))</x:f>
      </x:c>
      <x:c r="E78" s="3" t="str">
        <x:f>IF($A78="","",SQRT($T$403^2+H78^2))</x:f>
      </x:c>
      <x:c r="F78" s="3" t="str">
        <x:f>IF($A78="","",D78-$T$404*E78)</x:f>
      </x:c>
      <x:c r="G78" s="3" t="str">
        <x:f>IF($A78="","",D78+$T$404*E78)</x:f>
      </x:c>
      <x:c r="H78" s="3" t="str">
        <x:f>IF($A78="","",SQRT(MAX(0,(1)*$S$409*(1)+(1)*$T$409*(C78^1)+(1)*$U$409*(C78^2)+(1)*$V$409*(C78^3)+(C78^1)*$S$410*(1)+(C78^1)*$T$410*(C78^1)+(C78^1)*$U$410*(C78^2)+(C78^1)*$V$410*(C78^3)+(C78^2)*$S$411*(1)+(C78^2)*$T$411*(C78^1)+(C78^2)*$U$411*(C78^2)+(C78^2)*$V$411*(C78^3)+(C78^3)*$S$412*(1)+(C78^3)*$T$412*(C78^1)+(C78^3)*$U$412*(C78^2)+(C78^3)*$V$412*(C78^3)+2*((1)*INDEX($S$416:$V$427,MONTH(A78),1)+(C78^1)*INDEX($S$416:$V$427,MONTH(A78),2)+(C78^2)*INDEX($S$416:$V$427,MONTH(A78),3)+(C78^3)*INDEX($S$416:$V$427,MONTH(A78),4))+INDEX($W$416:$W$427,MONTH(A78)))))</x:f>
      </x:c>
      <x:c r="I78" s="3"/>
      <x:c r="J78" s="10" t="n">
        <x:v>45929</x:v>
      </x:c>
      <x:c r="K78" s="8" t="n">
        <x:f>INDEX('Сводка'!$S$3:$S$397,U78)</x:f>
        <x:v>290</x:v>
      </x:c>
      <x:c r="L78" s="8" t="n">
        <x:f>INDEX('Сводка'!$S$3:$S$397,V78)</x:f>
        <x:v>290</x:v>
      </x:c>
      <x:c r="M78" s="8" t="n">
        <x:f>INDEX($K$388:$N$400,W78,1)+INDEX($K$388:$N$400,W78,2)*(2*(J78-$T$405)/(T78-$T$405)-1)^1+INDEX($K$388:$N$400,W78,3)*(2*(J78-$T$405)/(T78-$T$405)-1)^2+INDEX($K$388:$N$400,W78,4)*(2*(J78-$T$405)/(T78-$T$405)-1)^3+INDEX($O$388:$Z$400,W78,MONTH(J78))</x:f>
        <x:v>285.3345357347456</x:v>
      </x:c>
      <x:c r="N78" s="8" t="n">
        <x:f>K78-M78</x:f>
        <x:v>4.6654642652544</x:v>
      </x:c>
      <x:c r="O78" s="8" t="n">
        <x:f>ABS(N78)</x:f>
        <x:v>4.6654642652544</x:v>
      </x:c>
      <x:c r="P78" s="8" t="n">
        <x:f>N78^2</x:f>
        <x:v>21.766556810365778</x:v>
      </x:c>
      <x:c r="Q78" s="8" t="n">
        <x:f>K78-L78</x:f>
        <x:v>0</x:v>
      </x:c>
      <x:c r="R78" s="9" t="n">
        <x:f>IF(AND(INDEX('Сводка'!$T$3:$T$397,U78)=0,INDEX('Сводка'!$T$3:$T$397,V78)=0),1,0)</x:f>
        <x:v>1</x:v>
      </x:c>
      <x:c r="S78" s="9" t="n">
        <x:f>IF(AND(R78=1,O78&lt;=$G$13),1,0)</x:f>
        <x:v>1</x:v>
      </x:c>
      <x:c r="T78" s="10" t="n">
        <x:f>EOMONTH(J78-'Сводка'!$B$11,-1)</x:f>
        <x:v>45900</x:v>
      </x:c>
      <x:c r="U78" s="4" t="n">
        <x:f>MATCH(J78,'Сводка'!$R$3:$R$397,0)</x:f>
        <x:v>89</x:v>
      </x:c>
      <x:c r="V78" s="4" t="n">
        <x:f>MATCH(J78-'Сводка'!$B$11,'Сводка'!$R$3:$R$397,0)</x:f>
        <x:v>88</x:v>
      </x:c>
      <x:c r="W78" s="4" t="n">
        <x:f>MATCH(T78,$J$388:$J$400,0)</x:f>
        <x:v>3</x:v>
      </x:c>
      <x:c r="X78" s="3"/>
      <x:c r="Y78" s="3"/>
      <x:c r="Z78" s="3"/>
    </x:row>
    <x:row r="79" ht="15" customHeight="1">
      <x:c r="A79" s="7" t="str">
        <x:f>IF(61&lt;='Сводка'!$B$3,'Сводка'!$B$4+61,"")</x:f>
      </x:c>
      <x:c r="B79" s="20" t="str">
        <x:f>IF($A79="","",(A79-$T$405+1)/1000)</x:f>
      </x:c>
      <x:c r="C79" s="20" t="str">
        <x:f>IF($A79="","",2*(A79-$T$405)/$T$406-1)</x:f>
      </x:c>
      <x:c r="D79" s="3" t="str">
        <x:f>IF($A79="","",$B$4+$B$5*C79^1+$B$6*C79^2+$B$7*C79^3+INDEX($E$4:$E$15,MONTH(A79)))</x:f>
      </x:c>
      <x:c r="E79" s="3" t="str">
        <x:f>IF($A79="","",SQRT($T$403^2+H79^2))</x:f>
      </x:c>
      <x:c r="F79" s="3" t="str">
        <x:f>IF($A79="","",D79-$T$404*E79)</x:f>
      </x:c>
      <x:c r="G79" s="3" t="str">
        <x:f>IF($A79="","",D79+$T$404*E79)</x:f>
      </x:c>
      <x:c r="H79" s="3" t="str">
        <x:f>IF($A79="","",SQRT(MAX(0,(1)*$S$409*(1)+(1)*$T$409*(C79^1)+(1)*$U$409*(C79^2)+(1)*$V$409*(C79^3)+(C79^1)*$S$410*(1)+(C79^1)*$T$410*(C79^1)+(C79^1)*$U$410*(C79^2)+(C79^1)*$V$410*(C79^3)+(C79^2)*$S$411*(1)+(C79^2)*$T$411*(C79^1)+(C79^2)*$U$411*(C79^2)+(C79^2)*$V$411*(C79^3)+(C79^3)*$S$412*(1)+(C79^3)*$T$412*(C79^1)+(C79^3)*$U$412*(C79^2)+(C79^3)*$V$412*(C79^3)+2*((1)*INDEX($S$416:$V$427,MONTH(A79),1)+(C79^1)*INDEX($S$416:$V$427,MONTH(A79),2)+(C79^2)*INDEX($S$416:$V$427,MONTH(A79),3)+(C79^3)*INDEX($S$416:$V$427,MONTH(A79),4))+INDEX($W$416:$W$427,MONTH(A79)))))</x:f>
      </x:c>
      <x:c r="I79" s="3"/>
      <x:c r="J79" s="10" t="n">
        <x:v>45930</x:v>
      </x:c>
      <x:c r="K79" s="8" t="n">
        <x:f>INDEX('Сводка'!$S$3:$S$397,U79)</x:f>
        <x:v>293</x:v>
      </x:c>
      <x:c r="L79" s="8" t="n">
        <x:f>INDEX('Сводка'!$S$3:$S$397,V79)</x:f>
        <x:v>290</x:v>
      </x:c>
      <x:c r="M79" s="8" t="n">
        <x:f>INDEX($K$388:$N$400,W79,1)+INDEX($K$388:$N$400,W79,2)*(2*(J79-$T$405)/(T79-$T$405)-1)^1+INDEX($K$388:$N$400,W79,3)*(2*(J79-$T$405)/(T79-$T$405)-1)^2+INDEX($K$388:$N$400,W79,4)*(2*(J79-$T$405)/(T79-$T$405)-1)^3+INDEX($O$388:$Z$400,W79,MONTH(J79))</x:f>
        <x:v>285.32001475904497</x:v>
      </x:c>
      <x:c r="N79" s="8" t="n">
        <x:f>K79-M79</x:f>
        <x:v>7.679985240955034</x:v>
      </x:c>
      <x:c r="O79" s="8" t="n">
        <x:f>ABS(N79)</x:f>
        <x:v>7.679985240955034</x:v>
      </x:c>
      <x:c r="P79" s="8" t="n">
        <x:f>N79^2</x:f>
        <x:v>58.982173301287155</x:v>
      </x:c>
      <x:c r="Q79" s="8" t="n">
        <x:f>K79-L79</x:f>
        <x:v>3</x:v>
      </x:c>
      <x:c r="R79" s="9" t="n">
        <x:f>IF(AND(INDEX('Сводка'!$T$3:$T$397,U79)=0,INDEX('Сводка'!$T$3:$T$397,V79)=0),1,0)</x:f>
        <x:v>1</x:v>
      </x:c>
      <x:c r="S79" s="9" t="n">
        <x:f>IF(AND(R79=1,O79&lt;=$G$13),1,0)</x:f>
        <x:v>0</x:v>
      </x:c>
      <x:c r="T79" s="10" t="n">
        <x:f>EOMONTH(J79-'Сводка'!$B$11,-1)</x:f>
        <x:v>45900</x:v>
      </x:c>
      <x:c r="U79" s="4" t="n">
        <x:f>MATCH(J79,'Сводка'!$R$3:$R$397,0)</x:f>
        <x:v>90</x:v>
      </x:c>
      <x:c r="V79" s="4" t="n">
        <x:f>MATCH(J79-'Сводка'!$B$11,'Сводка'!$R$3:$R$397,0)</x:f>
        <x:v>89</x:v>
      </x:c>
      <x:c r="W79" s="4" t="n">
        <x:f>MATCH(T79,$J$388:$J$400,0)</x:f>
        <x:v>3</x:v>
      </x:c>
      <x:c r="X79" s="3"/>
      <x:c r="Y79" s="3"/>
      <x:c r="Z79" s="3"/>
    </x:row>
    <x:row r="80" ht="15" customHeight="1">
      <x:c r="A80" s="7" t="str">
        <x:f>IF(62&lt;='Сводка'!$B$3,'Сводка'!$B$4+62,"")</x:f>
      </x:c>
      <x:c r="B80" s="20" t="str">
        <x:f>IF($A80="","",(A80-$T$405+1)/1000)</x:f>
      </x:c>
      <x:c r="C80" s="20" t="str">
        <x:f>IF($A80="","",2*(A80-$T$405)/$T$406-1)</x:f>
      </x:c>
      <x:c r="D80" s="3" t="str">
        <x:f>IF($A80="","",$B$4+$B$5*C80^1+$B$6*C80^2+$B$7*C80^3+INDEX($E$4:$E$15,MONTH(A80)))</x:f>
      </x:c>
      <x:c r="E80" s="3" t="str">
        <x:f>IF($A80="","",SQRT($T$403^2+H80^2))</x:f>
      </x:c>
      <x:c r="F80" s="3" t="str">
        <x:f>IF($A80="","",D80-$T$404*E80)</x:f>
      </x:c>
      <x:c r="G80" s="3" t="str">
        <x:f>IF($A80="","",D80+$T$404*E80)</x:f>
      </x:c>
      <x:c r="H80" s="3" t="str">
        <x:f>IF($A80="","",SQRT(MAX(0,(1)*$S$409*(1)+(1)*$T$409*(C80^1)+(1)*$U$409*(C80^2)+(1)*$V$409*(C80^3)+(C80^1)*$S$410*(1)+(C80^1)*$T$410*(C80^1)+(C80^1)*$U$410*(C80^2)+(C80^1)*$V$410*(C80^3)+(C80^2)*$S$411*(1)+(C80^2)*$T$411*(C80^1)+(C80^2)*$U$411*(C80^2)+(C80^2)*$V$411*(C80^3)+(C80^3)*$S$412*(1)+(C80^3)*$T$412*(C80^1)+(C80^3)*$U$412*(C80^2)+(C80^3)*$V$412*(C80^3)+2*((1)*INDEX($S$416:$V$427,MONTH(A80),1)+(C80^1)*INDEX($S$416:$V$427,MONTH(A80),2)+(C80^2)*INDEX($S$416:$V$427,MONTH(A80),3)+(C80^3)*INDEX($S$416:$V$427,MONTH(A80),4))+INDEX($W$416:$W$427,MONTH(A80)))))</x:f>
      </x:c>
      <x:c r="I80" s="3"/>
      <x:c r="J80" s="10" t="n">
        <x:v>45931</x:v>
      </x:c>
      <x:c r="K80" s="8" t="n">
        <x:f>INDEX('Сводка'!$S$3:$S$397,U80)</x:f>
        <x:v>292</x:v>
      </x:c>
      <x:c r="L80" s="8" t="n">
        <x:f>INDEX('Сводка'!$S$3:$S$397,V80)</x:f>
        <x:v>293</x:v>
      </x:c>
      <x:c r="M80" s="8" t="n">
        <x:f>INDEX($K$388:$N$400,W80,1)+INDEX($K$388:$N$400,W80,2)*(2*(J80-$T$405)/(T80-$T$405)-1)^1+INDEX($K$388:$N$400,W80,3)*(2*(J80-$T$405)/(T80-$T$405)-1)^2+INDEX($K$388:$N$400,W80,4)*(2*(J80-$T$405)/(T80-$T$405)-1)^3+INDEX($O$388:$Z$400,W80,MONTH(J80))</x:f>
        <x:v>131.70931235050665</x:v>
      </x:c>
      <x:c r="N80" s="8" t="n">
        <x:f>K80-M80</x:f>
        <x:v>160.29068764949335</x:v>
      </x:c>
      <x:c r="O80" s="8" t="n">
        <x:f>ABS(N80)</x:f>
        <x:v>160.29068764949335</x:v>
      </x:c>
      <x:c r="P80" s="8" t="n">
        <x:f>N80^2</x:f>
        <x:v>25693.10454714744</x:v>
      </x:c>
      <x:c r="Q80" s="8" t="n">
        <x:f>K80-L80</x:f>
        <x:v>-1</x:v>
      </x:c>
      <x:c r="R80" s="9" t="n">
        <x:f>IF(AND(INDEX('Сводка'!$T$3:$T$397,U80)=0,INDEX('Сводка'!$T$3:$T$397,V80)=0),1,0)</x:f>
        <x:v>1</x:v>
      </x:c>
      <x:c r="S80" s="9" t="n">
        <x:f>IF(AND(R80=1,O80&lt;=$G$13),1,0)</x:f>
        <x:v>0</x:v>
      </x:c>
      <x:c r="T80" s="10" t="n">
        <x:f>EOMONTH(J80-'Сводка'!$B$11,-1)</x:f>
        <x:v>45900</x:v>
      </x:c>
      <x:c r="U80" s="4" t="n">
        <x:f>MATCH(J80,'Сводка'!$R$3:$R$397,0)</x:f>
        <x:v>91</x:v>
      </x:c>
      <x:c r="V80" s="4" t="n">
        <x:f>MATCH(J80-'Сводка'!$B$11,'Сводка'!$R$3:$R$397,0)</x:f>
        <x:v>90</x:v>
      </x:c>
      <x:c r="W80" s="4" t="n">
        <x:f>MATCH(T80,$J$388:$J$400,0)</x:f>
        <x:v>3</x:v>
      </x:c>
      <x:c r="X80" s="3"/>
      <x:c r="Y80" s="3"/>
      <x:c r="Z80" s="3"/>
    </x:row>
    <x:row r="81" ht="15" customHeight="1">
      <x:c r="A81" s="7" t="str">
        <x:f>IF(63&lt;='Сводка'!$B$3,'Сводка'!$B$4+63,"")</x:f>
      </x:c>
      <x:c r="B81" s="20" t="str">
        <x:f>IF($A81="","",(A81-$T$405+1)/1000)</x:f>
      </x:c>
      <x:c r="C81" s="20" t="str">
        <x:f>IF($A81="","",2*(A81-$T$405)/$T$406-1)</x:f>
      </x:c>
      <x:c r="D81" s="3" t="str">
        <x:f>IF($A81="","",$B$4+$B$5*C81^1+$B$6*C81^2+$B$7*C81^3+INDEX($E$4:$E$15,MONTH(A81)))</x:f>
      </x:c>
      <x:c r="E81" s="3" t="str">
        <x:f>IF($A81="","",SQRT($T$403^2+H81^2))</x:f>
      </x:c>
      <x:c r="F81" s="3" t="str">
        <x:f>IF($A81="","",D81-$T$404*E81)</x:f>
      </x:c>
      <x:c r="G81" s="3" t="str">
        <x:f>IF($A81="","",D81+$T$404*E81)</x:f>
      </x:c>
      <x:c r="H81" s="3" t="str">
        <x:f>IF($A81="","",SQRT(MAX(0,(1)*$S$409*(1)+(1)*$T$409*(C81^1)+(1)*$U$409*(C81^2)+(1)*$V$409*(C81^3)+(C81^1)*$S$410*(1)+(C81^1)*$T$410*(C81^1)+(C81^1)*$U$410*(C81^2)+(C81^1)*$V$410*(C81^3)+(C81^2)*$S$411*(1)+(C81^2)*$T$411*(C81^1)+(C81^2)*$U$411*(C81^2)+(C81^2)*$V$411*(C81^3)+(C81^3)*$S$412*(1)+(C81^3)*$T$412*(C81^1)+(C81^3)*$U$412*(C81^2)+(C81^3)*$V$412*(C81^3)+2*((1)*INDEX($S$416:$V$427,MONTH(A81),1)+(C81^1)*INDEX($S$416:$V$427,MONTH(A81),2)+(C81^2)*INDEX($S$416:$V$427,MONTH(A81),3)+(C81^3)*INDEX($S$416:$V$427,MONTH(A81),4))+INDEX($W$416:$W$427,MONTH(A81)))))</x:f>
      </x:c>
      <x:c r="I81" s="3"/>
      <x:c r="J81" s="10" t="n">
        <x:v>45932</x:v>
      </x:c>
      <x:c r="K81" s="8" t="n">
        <x:f>INDEX('Сводка'!$S$3:$S$397,U81)</x:f>
        <x:v>284</x:v>
      </x:c>
      <x:c r="L81" s="8" t="n">
        <x:f>INDEX('Сводка'!$S$3:$S$397,V81)</x:f>
        <x:v>292</x:v>
      </x:c>
      <x:c r="M81" s="8" t="n">
        <x:f>INDEX($K$388:$N$400,W81,1)+INDEX($K$388:$N$400,W81,2)*(2*(J81-$T$405)/(T81-$T$405)-1)^1+INDEX($K$388:$N$400,W81,3)*(2*(J81-$T$405)/(T81-$T$405)-1)^2+INDEX($K$388:$N$400,W81,4)*(2*(J81-$T$405)/(T81-$T$405)-1)^3+INDEX($O$388:$Z$400,W81,MONTH(J81))</x:f>
        <x:v>129.30392260330547</x:v>
      </x:c>
      <x:c r="N81" s="8" t="n">
        <x:f>K81-M81</x:f>
        <x:v>154.69607739669453</x:v>
      </x:c>
      <x:c r="O81" s="8" t="n">
        <x:f>ABS(N81)</x:f>
        <x:v>154.69607739669453</x:v>
      </x:c>
      <x:c r="P81" s="8" t="n">
        <x:f>N81^2</x:f>
        <x:v>23930.876361924107</x:v>
      </x:c>
      <x:c r="Q81" s="8" t="n">
        <x:f>K81-L81</x:f>
        <x:v>-8</x:v>
      </x:c>
      <x:c r="R81" s="9" t="n">
        <x:f>IF(AND(INDEX('Сводка'!$T$3:$T$397,U81)=0,INDEX('Сводка'!$T$3:$T$397,V81)=0),1,0)</x:f>
        <x:v>1</x:v>
      </x:c>
      <x:c r="S81" s="9" t="n">
        <x:f>IF(AND(R81=1,O81&lt;=$G$13),1,0)</x:f>
        <x:v>0</x:v>
      </x:c>
      <x:c r="T81" s="10" t="n">
        <x:f>EOMONTH(J81-'Сводка'!$B$11,-1)</x:f>
        <x:v>45930</x:v>
      </x:c>
      <x:c r="U81" s="4" t="n">
        <x:f>MATCH(J81,'Сводка'!$R$3:$R$397,0)</x:f>
        <x:v>92</x:v>
      </x:c>
      <x:c r="V81" s="4" t="n">
        <x:f>MATCH(J81-'Сводка'!$B$11,'Сводка'!$R$3:$R$397,0)</x:f>
        <x:v>91</x:v>
      </x:c>
      <x:c r="W81" s="4" t="n">
        <x:f>MATCH(T81,$J$388:$J$400,0)</x:f>
        <x:v>4</x:v>
      </x:c>
      <x:c r="X81" s="3"/>
      <x:c r="Y81" s="3"/>
      <x:c r="Z81" s="3"/>
    </x:row>
    <x:row r="82" ht="15" customHeight="1">
      <x:c r="A82" s="7" t="str">
        <x:f>IF(64&lt;='Сводка'!$B$3,'Сводка'!$B$4+64,"")</x:f>
      </x:c>
      <x:c r="B82" s="20" t="str">
        <x:f>IF($A82="","",(A82-$T$405+1)/1000)</x:f>
      </x:c>
      <x:c r="C82" s="20" t="str">
        <x:f>IF($A82="","",2*(A82-$T$405)/$T$406-1)</x:f>
      </x:c>
      <x:c r="D82" s="3" t="str">
        <x:f>IF($A82="","",$B$4+$B$5*C82^1+$B$6*C82^2+$B$7*C82^3+INDEX($E$4:$E$15,MONTH(A82)))</x:f>
      </x:c>
      <x:c r="E82" s="3" t="str">
        <x:f>IF($A82="","",SQRT($T$403^2+H82^2))</x:f>
      </x:c>
      <x:c r="F82" s="3" t="str">
        <x:f>IF($A82="","",D82-$T$404*E82)</x:f>
      </x:c>
      <x:c r="G82" s="3" t="str">
        <x:f>IF($A82="","",D82+$T$404*E82)</x:f>
      </x:c>
      <x:c r="H82" s="3" t="str">
        <x:f>IF($A82="","",SQRT(MAX(0,(1)*$S$409*(1)+(1)*$T$409*(C82^1)+(1)*$U$409*(C82^2)+(1)*$V$409*(C82^3)+(C82^1)*$S$410*(1)+(C82^1)*$T$410*(C82^1)+(C82^1)*$U$410*(C82^2)+(C82^1)*$V$410*(C82^3)+(C82^2)*$S$411*(1)+(C82^2)*$T$411*(C82^1)+(C82^2)*$U$411*(C82^2)+(C82^2)*$V$411*(C82^3)+(C82^3)*$S$412*(1)+(C82^3)*$T$412*(C82^1)+(C82^3)*$U$412*(C82^2)+(C82^3)*$V$412*(C82^3)+2*((1)*INDEX($S$416:$V$427,MONTH(A82),1)+(C82^1)*INDEX($S$416:$V$427,MONTH(A82),2)+(C82^2)*INDEX($S$416:$V$427,MONTH(A82),3)+(C82^3)*INDEX($S$416:$V$427,MONTH(A82),4))+INDEX($W$416:$W$427,MONTH(A82)))))</x:f>
      </x:c>
      <x:c r="I82" s="3"/>
      <x:c r="J82" s="10" t="n">
        <x:v>45933</x:v>
      </x:c>
      <x:c r="K82" s="8" t="n">
        <x:f>INDEX('Сводка'!$S$3:$S$397,U82)</x:f>
        <x:v>274</x:v>
      </x:c>
      <x:c r="L82" s="8" t="n">
        <x:f>INDEX('Сводка'!$S$3:$S$397,V82)</x:f>
        <x:v>284</x:v>
      </x:c>
      <x:c r="M82" s="8" t="n">
        <x:f>INDEX($K$388:$N$400,W82,1)+INDEX($K$388:$N$400,W82,2)*(2*(J82-$T$405)/(T82-$T$405)-1)^1+INDEX($K$388:$N$400,W82,3)*(2*(J82-$T$405)/(T82-$T$405)-1)^2+INDEX($K$388:$N$400,W82,4)*(2*(J82-$T$405)/(T82-$T$405)-1)^3+INDEX($O$388:$Z$400,W82,MONTH(J82))</x:f>
        <x:v>129.28723982442781</x:v>
      </x:c>
      <x:c r="N82" s="8" t="n">
        <x:f>K82-M82</x:f>
        <x:v>144.71276017557219</x:v>
      </x:c>
      <x:c r="O82" s="8" t="n">
        <x:f>ABS(N82)</x:f>
        <x:v>144.71276017557219</x:v>
      </x:c>
      <x:c r="P82" s="8" t="n">
        <x:f>N82^2</x:f>
        <x:v>20941.78295763267</x:v>
      </x:c>
      <x:c r="Q82" s="8" t="n">
        <x:f>K82-L82</x:f>
        <x:v>-10</x:v>
      </x:c>
      <x:c r="R82" s="9" t="n">
        <x:f>IF(AND(INDEX('Сводка'!$T$3:$T$397,U82)=0,INDEX('Сводка'!$T$3:$T$397,V82)=0),1,0)</x:f>
        <x:v>1</x:v>
      </x:c>
      <x:c r="S82" s="9" t="n">
        <x:f>IF(AND(R82=1,O82&lt;=$G$13),1,0)</x:f>
        <x:v>0</x:v>
      </x:c>
      <x:c r="T82" s="10" t="n">
        <x:f>EOMONTH(J82-'Сводка'!$B$11,-1)</x:f>
        <x:v>45930</x:v>
      </x:c>
      <x:c r="U82" s="4" t="n">
        <x:f>MATCH(J82,'Сводка'!$R$3:$R$397,0)</x:f>
        <x:v>93</x:v>
      </x:c>
      <x:c r="V82" s="4" t="n">
        <x:f>MATCH(J82-'Сводка'!$B$11,'Сводка'!$R$3:$R$397,0)</x:f>
        <x:v>92</x:v>
      </x:c>
      <x:c r="W82" s="4" t="n">
        <x:f>MATCH(T82,$J$388:$J$400,0)</x:f>
        <x:v>4</x:v>
      </x:c>
      <x:c r="X82" s="3"/>
      <x:c r="Y82" s="3"/>
      <x:c r="Z82" s="3"/>
    </x:row>
    <x:row r="83" ht="15" customHeight="1">
      <x:c r="A83" s="7" t="str">
        <x:f>IF(65&lt;='Сводка'!$B$3,'Сводка'!$B$4+65,"")</x:f>
      </x:c>
      <x:c r="B83" s="20" t="str">
        <x:f>IF($A83="","",(A83-$T$405+1)/1000)</x:f>
      </x:c>
      <x:c r="C83" s="20" t="str">
        <x:f>IF($A83="","",2*(A83-$T$405)/$T$406-1)</x:f>
      </x:c>
      <x:c r="D83" s="3" t="str">
        <x:f>IF($A83="","",$B$4+$B$5*C83^1+$B$6*C83^2+$B$7*C83^3+INDEX($E$4:$E$15,MONTH(A83)))</x:f>
      </x:c>
      <x:c r="E83" s="3" t="str">
        <x:f>IF($A83="","",SQRT($T$403^2+H83^2))</x:f>
      </x:c>
      <x:c r="F83" s="3" t="str">
        <x:f>IF($A83="","",D83-$T$404*E83)</x:f>
      </x:c>
      <x:c r="G83" s="3" t="str">
        <x:f>IF($A83="","",D83+$T$404*E83)</x:f>
      </x:c>
      <x:c r="H83" s="3" t="str">
        <x:f>IF($A83="","",SQRT(MAX(0,(1)*$S$409*(1)+(1)*$T$409*(C83^1)+(1)*$U$409*(C83^2)+(1)*$V$409*(C83^3)+(C83^1)*$S$410*(1)+(C83^1)*$T$410*(C83^1)+(C83^1)*$U$410*(C83^2)+(C83^1)*$V$410*(C83^3)+(C83^2)*$S$411*(1)+(C83^2)*$T$411*(C83^1)+(C83^2)*$U$411*(C83^2)+(C83^2)*$V$411*(C83^3)+(C83^3)*$S$412*(1)+(C83^3)*$T$412*(C83^1)+(C83^3)*$U$412*(C83^2)+(C83^3)*$V$412*(C83^3)+2*((1)*INDEX($S$416:$V$427,MONTH(A83),1)+(C83^1)*INDEX($S$416:$V$427,MONTH(A83),2)+(C83^2)*INDEX($S$416:$V$427,MONTH(A83),3)+(C83^3)*INDEX($S$416:$V$427,MONTH(A83),4))+INDEX($W$416:$W$427,MONTH(A83)))))</x:f>
      </x:c>
      <x:c r="I83" s="3"/>
      <x:c r="J83" s="10" t="n">
        <x:v>45934</x:v>
      </x:c>
      <x:c r="K83" s="8" t="n">
        <x:f>INDEX('Сводка'!$S$3:$S$397,U83)</x:f>
        <x:v>258</x:v>
      </x:c>
      <x:c r="L83" s="8" t="n">
        <x:f>INDEX('Сводка'!$S$3:$S$397,V83)</x:f>
        <x:v>274</x:v>
      </x:c>
      <x:c r="M83" s="8" t="n">
        <x:f>INDEX($K$388:$N$400,W83,1)+INDEX($K$388:$N$400,W83,2)*(2*(J83-$T$405)/(T83-$T$405)-1)^1+INDEX($K$388:$N$400,W83,3)*(2*(J83-$T$405)/(T83-$T$405)-1)^2+INDEX($K$388:$N$400,W83,4)*(2*(J83-$T$405)/(T83-$T$405)-1)^3+INDEX($O$388:$Z$400,W83,MONTH(J83))</x:f>
        <x:v>129.27054412430513</x:v>
      </x:c>
      <x:c r="N83" s="8" t="n">
        <x:f>K83-M83</x:f>
        <x:v>128.72945587569487</x:v>
      </x:c>
      <x:c r="O83" s="8" t="n">
        <x:f>ABS(N83)</x:f>
        <x:v>128.72945587569487</x:v>
      </x:c>
      <x:c r="P83" s="8" t="n">
        <x:f>N83^2</x:f>
        <x:v>16571.272810052473</x:v>
      </x:c>
      <x:c r="Q83" s="8" t="n">
        <x:f>K83-L83</x:f>
        <x:v>-16</x:v>
      </x:c>
      <x:c r="R83" s="9" t="n">
        <x:f>IF(AND(INDEX('Сводка'!$T$3:$T$397,U83)=0,INDEX('Сводка'!$T$3:$T$397,V83)=0),1,0)</x:f>
        <x:v>1</x:v>
      </x:c>
      <x:c r="S83" s="9" t="n">
        <x:f>IF(AND(R83=1,O83&lt;=$G$13),1,0)</x:f>
        <x:v>0</x:v>
      </x:c>
      <x:c r="T83" s="10" t="n">
        <x:f>EOMONTH(J83-'Сводка'!$B$11,-1)</x:f>
        <x:v>45930</x:v>
      </x:c>
      <x:c r="U83" s="4" t="n">
        <x:f>MATCH(J83,'Сводка'!$R$3:$R$397,0)</x:f>
        <x:v>94</x:v>
      </x:c>
      <x:c r="V83" s="4" t="n">
        <x:f>MATCH(J83-'Сводка'!$B$11,'Сводка'!$R$3:$R$397,0)</x:f>
        <x:v>93</x:v>
      </x:c>
      <x:c r="W83" s="4" t="n">
        <x:f>MATCH(T83,$J$388:$J$400,0)</x:f>
        <x:v>4</x:v>
      </x:c>
      <x:c r="X83" s="3"/>
      <x:c r="Y83" s="3"/>
      <x:c r="Z83" s="3"/>
    </x:row>
    <x:row r="84" ht="15" customHeight="1">
      <x:c r="A84" s="7" t="str">
        <x:f>IF(66&lt;='Сводка'!$B$3,'Сводка'!$B$4+66,"")</x:f>
      </x:c>
      <x:c r="B84" s="20" t="str">
        <x:f>IF($A84="","",(A84-$T$405+1)/1000)</x:f>
      </x:c>
      <x:c r="C84" s="20" t="str">
        <x:f>IF($A84="","",2*(A84-$T$405)/$T$406-1)</x:f>
      </x:c>
      <x:c r="D84" s="3" t="str">
        <x:f>IF($A84="","",$B$4+$B$5*C84^1+$B$6*C84^2+$B$7*C84^3+INDEX($E$4:$E$15,MONTH(A84)))</x:f>
      </x:c>
      <x:c r="E84" s="3" t="str">
        <x:f>IF($A84="","",SQRT($T$403^2+H84^2))</x:f>
      </x:c>
      <x:c r="F84" s="3" t="str">
        <x:f>IF($A84="","",D84-$T$404*E84)</x:f>
      </x:c>
      <x:c r="G84" s="3" t="str">
        <x:f>IF($A84="","",D84+$T$404*E84)</x:f>
      </x:c>
      <x:c r="H84" s="3" t="str">
        <x:f>IF($A84="","",SQRT(MAX(0,(1)*$S$409*(1)+(1)*$T$409*(C84^1)+(1)*$U$409*(C84^2)+(1)*$V$409*(C84^3)+(C84^1)*$S$410*(1)+(C84^1)*$T$410*(C84^1)+(C84^1)*$U$410*(C84^2)+(C84^1)*$V$410*(C84^3)+(C84^2)*$S$411*(1)+(C84^2)*$T$411*(C84^1)+(C84^2)*$U$411*(C84^2)+(C84^2)*$V$411*(C84^3)+(C84^3)*$S$412*(1)+(C84^3)*$T$412*(C84^1)+(C84^3)*$U$412*(C84^2)+(C84^3)*$V$412*(C84^3)+2*((1)*INDEX($S$416:$V$427,MONTH(A84),1)+(C84^1)*INDEX($S$416:$V$427,MONTH(A84),2)+(C84^2)*INDEX($S$416:$V$427,MONTH(A84),3)+(C84^3)*INDEX($S$416:$V$427,MONTH(A84),4))+INDEX($W$416:$W$427,MONTH(A84)))))</x:f>
      </x:c>
      <x:c r="I84" s="3"/>
      <x:c r="J84" s="10" t="n">
        <x:v>45935</x:v>
      </x:c>
      <x:c r="K84" s="8" t="n">
        <x:f>INDEX('Сводка'!$S$3:$S$397,U84)</x:f>
        <x:v>240</x:v>
      </x:c>
      <x:c r="L84" s="8" t="n">
        <x:f>INDEX('Сводка'!$S$3:$S$397,V84)</x:f>
        <x:v>258</x:v>
      </x:c>
      <x:c r="M84" s="8" t="n">
        <x:f>INDEX($K$388:$N$400,W84,1)+INDEX($K$388:$N$400,W84,2)*(2*(J84-$T$405)/(T84-$T$405)-1)^1+INDEX($K$388:$N$400,W84,3)*(2*(J84-$T$405)/(T84-$T$405)-1)^2+INDEX($K$388:$N$400,W84,4)*(2*(J84-$T$405)/(T84-$T$405)-1)^3+INDEX($O$388:$Z$400,W84,MONTH(J84))</x:f>
        <x:v>129.2538355012969</x:v>
      </x:c>
      <x:c r="N84" s="8" t="n">
        <x:f>K84-M84</x:f>
        <x:v>110.74616449870311</x:v>
      </x:c>
      <x:c r="O84" s="8" t="n">
        <x:f>ABS(N84)</x:f>
        <x:v>110.74616449870311</x:v>
      </x:c>
      <x:c r="P84" s="8" t="n">
        <x:f>N84^2</x:f>
        <x:v>12264.71295117381</x:v>
      </x:c>
      <x:c r="Q84" s="8" t="n">
        <x:f>K84-L84</x:f>
        <x:v>-18</x:v>
      </x:c>
      <x:c r="R84" s="9" t="n">
        <x:f>IF(AND(INDEX('Сводка'!$T$3:$T$397,U84)=0,INDEX('Сводка'!$T$3:$T$397,V84)=0),1,0)</x:f>
        <x:v>1</x:v>
      </x:c>
      <x:c r="S84" s="9" t="n">
        <x:f>IF(AND(R84=1,O84&lt;=$G$13),1,0)</x:f>
        <x:v>0</x:v>
      </x:c>
      <x:c r="T84" s="10" t="n">
        <x:f>EOMONTH(J84-'Сводка'!$B$11,-1)</x:f>
        <x:v>45930</x:v>
      </x:c>
      <x:c r="U84" s="4" t="n">
        <x:f>MATCH(J84,'Сводка'!$R$3:$R$397,0)</x:f>
        <x:v>95</x:v>
      </x:c>
      <x:c r="V84" s="4" t="n">
        <x:f>MATCH(J84-'Сводка'!$B$11,'Сводка'!$R$3:$R$397,0)</x:f>
        <x:v>94</x:v>
      </x:c>
      <x:c r="W84" s="4" t="n">
        <x:f>MATCH(T84,$J$388:$J$400,0)</x:f>
        <x:v>4</x:v>
      </x:c>
      <x:c r="X84" s="3"/>
      <x:c r="Y84" s="3"/>
      <x:c r="Z84" s="3"/>
    </x:row>
    <x:row r="85" ht="15" customHeight="1">
      <x:c r="A85" s="7" t="str">
        <x:f>IF(67&lt;='Сводка'!$B$3,'Сводка'!$B$4+67,"")</x:f>
      </x:c>
      <x:c r="B85" s="20" t="str">
        <x:f>IF($A85="","",(A85-$T$405+1)/1000)</x:f>
      </x:c>
      <x:c r="C85" s="20" t="str">
        <x:f>IF($A85="","",2*(A85-$T$405)/$T$406-1)</x:f>
      </x:c>
      <x:c r="D85" s="3" t="str">
        <x:f>IF($A85="","",$B$4+$B$5*C85^1+$B$6*C85^2+$B$7*C85^3+INDEX($E$4:$E$15,MONTH(A85)))</x:f>
      </x:c>
      <x:c r="E85" s="3" t="str">
        <x:f>IF($A85="","",SQRT($T$403^2+H85^2))</x:f>
      </x:c>
      <x:c r="F85" s="3" t="str">
        <x:f>IF($A85="","",D85-$T$404*E85)</x:f>
      </x:c>
      <x:c r="G85" s="3" t="str">
        <x:f>IF($A85="","",D85+$T$404*E85)</x:f>
      </x:c>
      <x:c r="H85" s="3" t="str">
        <x:f>IF($A85="","",SQRT(MAX(0,(1)*$S$409*(1)+(1)*$T$409*(C85^1)+(1)*$U$409*(C85^2)+(1)*$V$409*(C85^3)+(C85^1)*$S$410*(1)+(C85^1)*$T$410*(C85^1)+(C85^1)*$U$410*(C85^2)+(C85^1)*$V$410*(C85^3)+(C85^2)*$S$411*(1)+(C85^2)*$T$411*(C85^1)+(C85^2)*$U$411*(C85^2)+(C85^2)*$V$411*(C85^3)+(C85^3)*$S$412*(1)+(C85^3)*$T$412*(C85^1)+(C85^3)*$U$412*(C85^2)+(C85^3)*$V$412*(C85^3)+2*((1)*INDEX($S$416:$V$427,MONTH(A85),1)+(C85^1)*INDEX($S$416:$V$427,MONTH(A85),2)+(C85^2)*INDEX($S$416:$V$427,MONTH(A85),3)+(C85^3)*INDEX($S$416:$V$427,MONTH(A85),4))+INDEX($W$416:$W$427,MONTH(A85)))))</x:f>
      </x:c>
      <x:c r="I85" s="3"/>
      <x:c r="J85" s="10" t="n">
        <x:v>45936</x:v>
      </x:c>
      <x:c r="K85" s="8" t="n">
        <x:f>INDEX('Сводка'!$S$3:$S$397,U85)</x:f>
        <x:v>224</x:v>
      </x:c>
      <x:c r="L85" s="8" t="n">
        <x:f>INDEX('Сводка'!$S$3:$S$397,V85)</x:f>
        <x:v>240</x:v>
      </x:c>
      <x:c r="M85" s="8" t="n">
        <x:f>INDEX($K$388:$N$400,W85,1)+INDEX($K$388:$N$400,W85,2)*(2*(J85-$T$405)/(T85-$T$405)-1)^1+INDEX($K$388:$N$400,W85,3)*(2*(J85-$T$405)/(T85-$T$405)-1)^2+INDEX($K$388:$N$400,W85,4)*(2*(J85-$T$405)/(T85-$T$405)-1)^3+INDEX($O$388:$Z$400,W85,MONTH(J85))</x:f>
        <x:v>129.23711395376236</x:v>
      </x:c>
      <x:c r="N85" s="8" t="n">
        <x:f>K85-M85</x:f>
        <x:v>94.76288604623764</x:v>
      </x:c>
      <x:c r="O85" s="8" t="n">
        <x:f>ABS(N85)</x:f>
        <x:v>94.76288604623764</x:v>
      </x:c>
      <x:c r="P85" s="8" t="n">
        <x:f>N85^2</x:f>
        <x:v>8980.00457181222</x:v>
      </x:c>
      <x:c r="Q85" s="8" t="n">
        <x:f>K85-L85</x:f>
        <x:v>-16</x:v>
      </x:c>
      <x:c r="R85" s="9" t="n">
        <x:f>IF(AND(INDEX('Сводка'!$T$3:$T$397,U85)=0,INDEX('Сводка'!$T$3:$T$397,V85)=0),1,0)</x:f>
        <x:v>1</x:v>
      </x:c>
      <x:c r="S85" s="9" t="n">
        <x:f>IF(AND(R85=1,O85&lt;=$G$13),1,0)</x:f>
        <x:v>0</x:v>
      </x:c>
      <x:c r="T85" s="10" t="n">
        <x:f>EOMONTH(J85-'Сводка'!$B$11,-1)</x:f>
        <x:v>45930</x:v>
      </x:c>
      <x:c r="U85" s="4" t="n">
        <x:f>MATCH(J85,'Сводка'!$R$3:$R$397,0)</x:f>
        <x:v>96</x:v>
      </x:c>
      <x:c r="V85" s="4" t="n">
        <x:f>MATCH(J85-'Сводка'!$B$11,'Сводка'!$R$3:$R$397,0)</x:f>
        <x:v>95</x:v>
      </x:c>
      <x:c r="W85" s="4" t="n">
        <x:f>MATCH(T85,$J$388:$J$400,0)</x:f>
        <x:v>4</x:v>
      </x:c>
      <x:c r="X85" s="3"/>
      <x:c r="Y85" s="3"/>
      <x:c r="Z85" s="3"/>
    </x:row>
    <x:row r="86" ht="15" customHeight="1">
      <x:c r="A86" s="7" t="str">
        <x:f>IF(68&lt;='Сводка'!$B$3,'Сводка'!$B$4+68,"")</x:f>
      </x:c>
      <x:c r="B86" s="20" t="str">
        <x:f>IF($A86="","",(A86-$T$405+1)/1000)</x:f>
      </x:c>
      <x:c r="C86" s="20" t="str">
        <x:f>IF($A86="","",2*(A86-$T$405)/$T$406-1)</x:f>
      </x:c>
      <x:c r="D86" s="3" t="str">
        <x:f>IF($A86="","",$B$4+$B$5*C86^1+$B$6*C86^2+$B$7*C86^3+INDEX($E$4:$E$15,MONTH(A86)))</x:f>
      </x:c>
      <x:c r="E86" s="3" t="str">
        <x:f>IF($A86="","",SQRT($T$403^2+H86^2))</x:f>
      </x:c>
      <x:c r="F86" s="3" t="str">
        <x:f>IF($A86="","",D86-$T$404*E86)</x:f>
      </x:c>
      <x:c r="G86" s="3" t="str">
        <x:f>IF($A86="","",D86+$T$404*E86)</x:f>
      </x:c>
      <x:c r="H86" s="3" t="str">
        <x:f>IF($A86="","",SQRT(MAX(0,(1)*$S$409*(1)+(1)*$T$409*(C86^1)+(1)*$U$409*(C86^2)+(1)*$V$409*(C86^3)+(C86^1)*$S$410*(1)+(C86^1)*$T$410*(C86^1)+(C86^1)*$U$410*(C86^2)+(C86^1)*$V$410*(C86^3)+(C86^2)*$S$411*(1)+(C86^2)*$T$411*(C86^1)+(C86^2)*$U$411*(C86^2)+(C86^2)*$V$411*(C86^3)+(C86^3)*$S$412*(1)+(C86^3)*$T$412*(C86^1)+(C86^3)*$U$412*(C86^2)+(C86^3)*$V$412*(C86^3)+2*((1)*INDEX($S$416:$V$427,MONTH(A86),1)+(C86^1)*INDEX($S$416:$V$427,MONTH(A86),2)+(C86^2)*INDEX($S$416:$V$427,MONTH(A86),3)+(C86^3)*INDEX($S$416:$V$427,MONTH(A86),4))+INDEX($W$416:$W$427,MONTH(A86)))))</x:f>
      </x:c>
      <x:c r="I86" s="3"/>
      <x:c r="J86" s="10" t="n">
        <x:v>45937</x:v>
      </x:c>
      <x:c r="K86" s="8" t="n">
        <x:f>INDEX('Сводка'!$S$3:$S$397,U86)</x:f>
        <x:v>210</x:v>
      </x:c>
      <x:c r="L86" s="8" t="n">
        <x:f>INDEX('Сводка'!$S$3:$S$397,V86)</x:f>
        <x:v>224</x:v>
      </x:c>
      <x:c r="M86" s="8" t="n">
        <x:f>INDEX($K$388:$N$400,W86,1)+INDEX($K$388:$N$400,W86,2)*(2*(J86-$T$405)/(T86-$T$405)-1)^1+INDEX($K$388:$N$400,W86,3)*(2*(J86-$T$405)/(T86-$T$405)-1)^2+INDEX($K$388:$N$400,W86,4)*(2*(J86-$T$405)/(T86-$T$405)-1)^3+INDEX($O$388:$Z$400,W86,MONTH(J86))</x:f>
        <x:v>129.22037948006087</x:v>
      </x:c>
      <x:c r="N86" s="8" t="n">
        <x:f>K86-M86</x:f>
        <x:v>80.77962051993913</x:v>
      </x:c>
      <x:c r="O86" s="8" t="n">
        <x:f>ABS(N86)</x:f>
        <x:v>80.77962051993913</x:v>
      </x:c>
      <x:c r="P86" s="8" t="n">
        <x:f>N86^2</x:f>
        <x:v>6525.347091345371</x:v>
      </x:c>
      <x:c r="Q86" s="8" t="n">
        <x:f>K86-L86</x:f>
        <x:v>-14</x:v>
      </x:c>
      <x:c r="R86" s="9" t="n">
        <x:f>IF(AND(INDEX('Сводка'!$T$3:$T$397,U86)=0,INDEX('Сводка'!$T$3:$T$397,V86)=0),1,0)</x:f>
        <x:v>1</x:v>
      </x:c>
      <x:c r="S86" s="9" t="n">
        <x:f>IF(AND(R86=1,O86&lt;=$G$13),1,0)</x:f>
        <x:v>0</x:v>
      </x:c>
      <x:c r="T86" s="10" t="n">
        <x:f>EOMONTH(J86-'Сводка'!$B$11,-1)</x:f>
        <x:v>45930</x:v>
      </x:c>
      <x:c r="U86" s="4" t="n">
        <x:f>MATCH(J86,'Сводка'!$R$3:$R$397,0)</x:f>
        <x:v>97</x:v>
      </x:c>
      <x:c r="V86" s="4" t="n">
        <x:f>MATCH(J86-'Сводка'!$B$11,'Сводка'!$R$3:$R$397,0)</x:f>
        <x:v>96</x:v>
      </x:c>
      <x:c r="W86" s="4" t="n">
        <x:f>MATCH(T86,$J$388:$J$400,0)</x:f>
        <x:v>4</x:v>
      </x:c>
      <x:c r="X86" s="3"/>
      <x:c r="Y86" s="3"/>
      <x:c r="Z86" s="3"/>
    </x:row>
    <x:row r="87" ht="15" customHeight="1">
      <x:c r="A87" s="7" t="str">
        <x:f>IF(69&lt;='Сводка'!$B$3,'Сводка'!$B$4+69,"")</x:f>
      </x:c>
      <x:c r="B87" s="20" t="str">
        <x:f>IF($A87="","",(A87-$T$405+1)/1000)</x:f>
      </x:c>
      <x:c r="C87" s="20" t="str">
        <x:f>IF($A87="","",2*(A87-$T$405)/$T$406-1)</x:f>
      </x:c>
      <x:c r="D87" s="3" t="str">
        <x:f>IF($A87="","",$B$4+$B$5*C87^1+$B$6*C87^2+$B$7*C87^3+INDEX($E$4:$E$15,MONTH(A87)))</x:f>
      </x:c>
      <x:c r="E87" s="3" t="str">
        <x:f>IF($A87="","",SQRT($T$403^2+H87^2))</x:f>
      </x:c>
      <x:c r="F87" s="3" t="str">
        <x:f>IF($A87="","",D87-$T$404*E87)</x:f>
      </x:c>
      <x:c r="G87" s="3" t="str">
        <x:f>IF($A87="","",D87+$T$404*E87)</x:f>
      </x:c>
      <x:c r="H87" s="3" t="str">
        <x:f>IF($A87="","",SQRT(MAX(0,(1)*$S$409*(1)+(1)*$T$409*(C87^1)+(1)*$U$409*(C87^2)+(1)*$V$409*(C87^3)+(C87^1)*$S$410*(1)+(C87^1)*$T$410*(C87^1)+(C87^1)*$U$410*(C87^2)+(C87^1)*$V$410*(C87^3)+(C87^2)*$S$411*(1)+(C87^2)*$T$411*(C87^1)+(C87^2)*$U$411*(C87^2)+(C87^2)*$V$411*(C87^3)+(C87^3)*$S$412*(1)+(C87^3)*$T$412*(C87^1)+(C87^3)*$U$412*(C87^2)+(C87^3)*$V$412*(C87^3)+2*((1)*INDEX($S$416:$V$427,MONTH(A87),1)+(C87^1)*INDEX($S$416:$V$427,MONTH(A87),2)+(C87^2)*INDEX($S$416:$V$427,MONTH(A87),3)+(C87^3)*INDEX($S$416:$V$427,MONTH(A87),4))+INDEX($W$416:$W$427,MONTH(A87)))))</x:f>
      </x:c>
      <x:c r="I87" s="3"/>
      <x:c r="J87" s="10" t="n">
        <x:v>45938</x:v>
      </x:c>
      <x:c r="K87" s="8" t="n">
        <x:f>INDEX('Сводка'!$S$3:$S$397,U87)</x:f>
        <x:v>198</x:v>
      </x:c>
      <x:c r="L87" s="8" t="n">
        <x:f>INDEX('Сводка'!$S$3:$S$397,V87)</x:f>
        <x:v>210</x:v>
      </x:c>
      <x:c r="M87" s="8" t="n">
        <x:f>INDEX($K$388:$N$400,W87,1)+INDEX($K$388:$N$400,W87,2)*(2*(J87-$T$405)/(T87-$T$405)-1)^1+INDEX($K$388:$N$400,W87,3)*(2*(J87-$T$405)/(T87-$T$405)-1)^2+INDEX($K$388:$N$400,W87,4)*(2*(J87-$T$405)/(T87-$T$405)-1)^3+INDEX($O$388:$Z$400,W87,MONTH(J87))</x:f>
        <x:v>129.2036320785516</x:v>
      </x:c>
      <x:c r="N87" s="8" t="n">
        <x:f>K87-M87</x:f>
        <x:v>68.7963679214484</x:v>
      </x:c>
      <x:c r="O87" s="8" t="n">
        <x:f>ABS(N87)</x:f>
        <x:v>68.7963679214484</x:v>
      </x:c>
      <x:c r="P87" s="8" t="n">
        <x:f>N87^2</x:f>
        <x:v>4732.940239183294</x:v>
      </x:c>
      <x:c r="Q87" s="8" t="n">
        <x:f>K87-L87</x:f>
        <x:v>-12</x:v>
      </x:c>
      <x:c r="R87" s="9" t="n">
        <x:f>IF(AND(INDEX('Сводка'!$T$3:$T$397,U87)=0,INDEX('Сводка'!$T$3:$T$397,V87)=0),1,0)</x:f>
        <x:v>1</x:v>
      </x:c>
      <x:c r="S87" s="9" t="n">
        <x:f>IF(AND(R87=1,O87&lt;=$G$13),1,0)</x:f>
        <x:v>0</x:v>
      </x:c>
      <x:c r="T87" s="10" t="n">
        <x:f>EOMONTH(J87-'Сводка'!$B$11,-1)</x:f>
        <x:v>45930</x:v>
      </x:c>
      <x:c r="U87" s="4" t="n">
        <x:f>MATCH(J87,'Сводка'!$R$3:$R$397,0)</x:f>
        <x:v>98</x:v>
      </x:c>
      <x:c r="V87" s="4" t="n">
        <x:f>MATCH(J87-'Сводка'!$B$11,'Сводка'!$R$3:$R$397,0)</x:f>
        <x:v>97</x:v>
      </x:c>
      <x:c r="W87" s="4" t="n">
        <x:f>MATCH(T87,$J$388:$J$400,0)</x:f>
        <x:v>4</x:v>
      </x:c>
      <x:c r="X87" s="3"/>
      <x:c r="Y87" s="3"/>
      <x:c r="Z87" s="3"/>
    </x:row>
    <x:row r="88" ht="15" customHeight="1">
      <x:c r="A88" s="7" t="str">
        <x:f>IF(70&lt;='Сводка'!$B$3,'Сводка'!$B$4+70,"")</x:f>
      </x:c>
      <x:c r="B88" s="20" t="str">
        <x:f>IF($A88="","",(A88-$T$405+1)/1000)</x:f>
      </x:c>
      <x:c r="C88" s="20" t="str">
        <x:f>IF($A88="","",2*(A88-$T$405)/$T$406-1)</x:f>
      </x:c>
      <x:c r="D88" s="3" t="str">
        <x:f>IF($A88="","",$B$4+$B$5*C88^1+$B$6*C88^2+$B$7*C88^3+INDEX($E$4:$E$15,MONTH(A88)))</x:f>
      </x:c>
      <x:c r="E88" s="3" t="str">
        <x:f>IF($A88="","",SQRT($T$403^2+H88^2))</x:f>
      </x:c>
      <x:c r="F88" s="3" t="str">
        <x:f>IF($A88="","",D88-$T$404*E88)</x:f>
      </x:c>
      <x:c r="G88" s="3" t="str">
        <x:f>IF($A88="","",D88+$T$404*E88)</x:f>
      </x:c>
      <x:c r="H88" s="3" t="str">
        <x:f>IF($A88="","",SQRT(MAX(0,(1)*$S$409*(1)+(1)*$T$409*(C88^1)+(1)*$U$409*(C88^2)+(1)*$V$409*(C88^3)+(C88^1)*$S$410*(1)+(C88^1)*$T$410*(C88^1)+(C88^1)*$U$410*(C88^2)+(C88^1)*$V$410*(C88^3)+(C88^2)*$S$411*(1)+(C88^2)*$T$411*(C88^1)+(C88^2)*$U$411*(C88^2)+(C88^2)*$V$411*(C88^3)+(C88^3)*$S$412*(1)+(C88^3)*$T$412*(C88^1)+(C88^3)*$U$412*(C88^2)+(C88^3)*$V$412*(C88^3)+2*((1)*INDEX($S$416:$V$427,MONTH(A88),1)+(C88^1)*INDEX($S$416:$V$427,MONTH(A88),2)+(C88^2)*INDEX($S$416:$V$427,MONTH(A88),3)+(C88^3)*INDEX($S$416:$V$427,MONTH(A88),4))+INDEX($W$416:$W$427,MONTH(A88)))))</x:f>
      </x:c>
      <x:c r="I88" s="3"/>
      <x:c r="J88" s="10" t="n">
        <x:v>45939</x:v>
      </x:c>
      <x:c r="K88" s="8" t="n">
        <x:f>INDEX('Сводка'!$S$3:$S$397,U88)</x:f>
        <x:v>178</x:v>
      </x:c>
      <x:c r="L88" s="8" t="n">
        <x:f>INDEX('Сводка'!$S$3:$S$397,V88)</x:f>
        <x:v>198</x:v>
      </x:c>
      <x:c r="M88" s="8" t="n">
        <x:f>INDEX($K$388:$N$400,W88,1)+INDEX($K$388:$N$400,W88,2)*(2*(J88-$T$405)/(T88-$T$405)-1)^1+INDEX($K$388:$N$400,W88,3)*(2*(J88-$T$405)/(T88-$T$405)-1)^2+INDEX($K$388:$N$400,W88,4)*(2*(J88-$T$405)/(T88-$T$405)-1)^3+INDEX($O$388:$Z$400,W88,MONTH(J88))</x:f>
        <x:v>129.186871747594</x:v>
      </x:c>
      <x:c r="N88" s="8" t="n">
        <x:f>K88-M88</x:f>
        <x:v>48.81312825240599</x:v>
      </x:c>
      <x:c r="O88" s="8" t="n">
        <x:f>ABS(N88)</x:f>
        <x:v>48.81312825240599</x:v>
      </x:c>
      <x:c r="P88" s="8" t="n">
        <x:f>N88^2</x:f>
        <x:v>2382.7214897858357</x:v>
      </x:c>
      <x:c r="Q88" s="8" t="n">
        <x:f>K88-L88</x:f>
        <x:v>-20</x:v>
      </x:c>
      <x:c r="R88" s="9" t="n">
        <x:f>IF(AND(INDEX('Сводка'!$T$3:$T$397,U88)=0,INDEX('Сводка'!$T$3:$T$397,V88)=0),1,0)</x:f>
        <x:v>1</x:v>
      </x:c>
      <x:c r="S88" s="9" t="n">
        <x:f>IF(AND(R88=1,O88&lt;=$G$13),1,0)</x:f>
        <x:v>0</x:v>
      </x:c>
      <x:c r="T88" s="10" t="n">
        <x:f>EOMONTH(J88-'Сводка'!$B$11,-1)</x:f>
        <x:v>45930</x:v>
      </x:c>
      <x:c r="U88" s="4" t="n">
        <x:f>MATCH(J88,'Сводка'!$R$3:$R$397,0)</x:f>
        <x:v>99</x:v>
      </x:c>
      <x:c r="V88" s="4" t="n">
        <x:f>MATCH(J88-'Сводка'!$B$11,'Сводка'!$R$3:$R$397,0)</x:f>
        <x:v>98</x:v>
      </x:c>
      <x:c r="W88" s="4" t="n">
        <x:f>MATCH(T88,$J$388:$J$400,0)</x:f>
        <x:v>4</x:v>
      </x:c>
      <x:c r="X88" s="3"/>
      <x:c r="Y88" s="3"/>
      <x:c r="Z88" s="3"/>
    </x:row>
    <x:row r="89" ht="15" customHeight="1">
      <x:c r="A89" s="7" t="str">
        <x:f>IF(71&lt;='Сводка'!$B$3,'Сводка'!$B$4+71,"")</x:f>
      </x:c>
      <x:c r="B89" s="20" t="str">
        <x:f>IF($A89="","",(A89-$T$405+1)/1000)</x:f>
      </x:c>
      <x:c r="C89" s="20" t="str">
        <x:f>IF($A89="","",2*(A89-$T$405)/$T$406-1)</x:f>
      </x:c>
      <x:c r="D89" s="3" t="str">
        <x:f>IF($A89="","",$B$4+$B$5*C89^1+$B$6*C89^2+$B$7*C89^3+INDEX($E$4:$E$15,MONTH(A89)))</x:f>
      </x:c>
      <x:c r="E89" s="3" t="str">
        <x:f>IF($A89="","",SQRT($T$403^2+H89^2))</x:f>
      </x:c>
      <x:c r="F89" s="3" t="str">
        <x:f>IF($A89="","",D89-$T$404*E89)</x:f>
      </x:c>
      <x:c r="G89" s="3" t="str">
        <x:f>IF($A89="","",D89+$T$404*E89)</x:f>
      </x:c>
      <x:c r="H89" s="3" t="str">
        <x:f>IF($A89="","",SQRT(MAX(0,(1)*$S$409*(1)+(1)*$T$409*(C89^1)+(1)*$U$409*(C89^2)+(1)*$V$409*(C89^3)+(C89^1)*$S$410*(1)+(C89^1)*$T$410*(C89^1)+(C89^1)*$U$410*(C89^2)+(C89^1)*$V$410*(C89^3)+(C89^2)*$S$411*(1)+(C89^2)*$T$411*(C89^1)+(C89^2)*$U$411*(C89^2)+(C89^2)*$V$411*(C89^3)+(C89^3)*$S$412*(1)+(C89^3)*$T$412*(C89^1)+(C89^3)*$U$412*(C89^2)+(C89^3)*$V$412*(C89^3)+2*((1)*INDEX($S$416:$V$427,MONTH(A89),1)+(C89^1)*INDEX($S$416:$V$427,MONTH(A89),2)+(C89^2)*INDEX($S$416:$V$427,MONTH(A89),3)+(C89^3)*INDEX($S$416:$V$427,MONTH(A89),4))+INDEX($W$416:$W$427,MONTH(A89)))))</x:f>
      </x:c>
      <x:c r="I89" s="3"/>
      <x:c r="J89" s="10" t="n">
        <x:v>45940</x:v>
      </x:c>
      <x:c r="K89" s="8" t="n">
        <x:f>INDEX('Сводка'!$S$3:$S$397,U89)</x:f>
        <x:v>163</x:v>
      </x:c>
      <x:c r="L89" s="8" t="n">
        <x:f>INDEX('Сводка'!$S$3:$S$397,V89)</x:f>
        <x:v>178</x:v>
      </x:c>
      <x:c r="M89" s="8" t="n">
        <x:f>INDEX($K$388:$N$400,W89,1)+INDEX($K$388:$N$400,W89,2)*(2*(J89-$T$405)/(T89-$T$405)-1)^1+INDEX($K$388:$N$400,W89,3)*(2*(J89-$T$405)/(T89-$T$405)-1)^2+INDEX($K$388:$N$400,W89,4)*(2*(J89-$T$405)/(T89-$T$405)-1)^3+INDEX($O$388:$Z$400,W89,MONTH(J89))</x:f>
        <x:v>129.17009848554733</x:v>
      </x:c>
      <x:c r="N89" s="8" t="n">
        <x:f>K89-M89</x:f>
        <x:v>33.82990151445267</x:v>
      </x:c>
      <x:c r="O89" s="8" t="n">
        <x:f>ABS(N89)</x:f>
        <x:v>33.82990151445267</x:v>
      </x:c>
      <x:c r="P89" s="8" t="n">
        <x:f>N89^2</x:f>
        <x:v>1144.462236477567</x:v>
      </x:c>
      <x:c r="Q89" s="8" t="n">
        <x:f>K89-L89</x:f>
        <x:v>-15</x:v>
      </x:c>
      <x:c r="R89" s="9" t="n">
        <x:f>IF(AND(INDEX('Сводка'!$T$3:$T$397,U89)=0,INDEX('Сводка'!$T$3:$T$397,V89)=0),1,0)</x:f>
        <x:v>1</x:v>
      </x:c>
      <x:c r="S89" s="9" t="n">
        <x:f>IF(AND(R89=1,O89&lt;=$G$13),1,0)</x:f>
        <x:v>0</x:v>
      </x:c>
      <x:c r="T89" s="10" t="n">
        <x:f>EOMONTH(J89-'Сводка'!$B$11,-1)</x:f>
        <x:v>45930</x:v>
      </x:c>
      <x:c r="U89" s="4" t="n">
        <x:f>MATCH(J89,'Сводка'!$R$3:$R$397,0)</x:f>
        <x:v>100</x:v>
      </x:c>
      <x:c r="V89" s="4" t="n">
        <x:f>MATCH(J89-'Сводка'!$B$11,'Сводка'!$R$3:$R$397,0)</x:f>
        <x:v>99</x:v>
      </x:c>
      <x:c r="W89" s="4" t="n">
        <x:f>MATCH(T89,$J$388:$J$400,0)</x:f>
        <x:v>4</x:v>
      </x:c>
      <x:c r="X89" s="3"/>
      <x:c r="Y89" s="3"/>
      <x:c r="Z89" s="3"/>
    </x:row>
    <x:row r="90" ht="15" customHeight="1">
      <x:c r="A90" s="7" t="str">
        <x:f>IF(72&lt;='Сводка'!$B$3,'Сводка'!$B$4+72,"")</x:f>
      </x:c>
      <x:c r="B90" s="20" t="str">
        <x:f>IF($A90="","",(A90-$T$405+1)/1000)</x:f>
      </x:c>
      <x:c r="C90" s="20" t="str">
        <x:f>IF($A90="","",2*(A90-$T$405)/$T$406-1)</x:f>
      </x:c>
      <x:c r="D90" s="3" t="str">
        <x:f>IF($A90="","",$B$4+$B$5*C90^1+$B$6*C90^2+$B$7*C90^3+INDEX($E$4:$E$15,MONTH(A90)))</x:f>
      </x:c>
      <x:c r="E90" s="3" t="str">
        <x:f>IF($A90="","",SQRT($T$403^2+H90^2))</x:f>
      </x:c>
      <x:c r="F90" s="3" t="str">
        <x:f>IF($A90="","",D90-$T$404*E90)</x:f>
      </x:c>
      <x:c r="G90" s="3" t="str">
        <x:f>IF($A90="","",D90+$T$404*E90)</x:f>
      </x:c>
      <x:c r="H90" s="3" t="str">
        <x:f>IF($A90="","",SQRT(MAX(0,(1)*$S$409*(1)+(1)*$T$409*(C90^1)+(1)*$U$409*(C90^2)+(1)*$V$409*(C90^3)+(C90^1)*$S$410*(1)+(C90^1)*$T$410*(C90^1)+(C90^1)*$U$410*(C90^2)+(C90^1)*$V$410*(C90^3)+(C90^2)*$S$411*(1)+(C90^2)*$T$411*(C90^1)+(C90^2)*$U$411*(C90^2)+(C90^2)*$V$411*(C90^3)+(C90^3)*$S$412*(1)+(C90^3)*$T$412*(C90^1)+(C90^3)*$U$412*(C90^2)+(C90^3)*$V$412*(C90^3)+2*((1)*INDEX($S$416:$V$427,MONTH(A90),1)+(C90^1)*INDEX($S$416:$V$427,MONTH(A90),2)+(C90^2)*INDEX($S$416:$V$427,MONTH(A90),3)+(C90^3)*INDEX($S$416:$V$427,MONTH(A90),4))+INDEX($W$416:$W$427,MONTH(A90)))))</x:f>
      </x:c>
      <x:c r="I90" s="3"/>
      <x:c r="J90" s="10" t="n">
        <x:v>45941</x:v>
      </x:c>
      <x:c r="K90" s="8" t="n">
        <x:f>INDEX('Сводка'!$S$3:$S$397,U90)</x:f>
        <x:v>152</x:v>
      </x:c>
      <x:c r="L90" s="8" t="n">
        <x:f>INDEX('Сводка'!$S$3:$S$397,V90)</x:f>
        <x:v>163</x:v>
      </x:c>
      <x:c r="M90" s="8" t="n">
        <x:f>INDEX($K$388:$N$400,W90,1)+INDEX($K$388:$N$400,W90,2)*(2*(J90-$T$405)/(T90-$T$405)-1)^1+INDEX($K$388:$N$400,W90,3)*(2*(J90-$T$405)/(T90-$T$405)-1)^2+INDEX($K$388:$N$400,W90,4)*(2*(J90-$T$405)/(T90-$T$405)-1)^3+INDEX($O$388:$Z$400,W90,MONTH(J90))</x:f>
        <x:v>129.15331229077088</x:v>
      </x:c>
      <x:c r="N90" s="8" t="n">
        <x:f>K90-M90</x:f>
        <x:v>22.846687709229116</x:v>
      </x:c>
      <x:c r="O90" s="8" t="n">
        <x:f>ABS(N90)</x:f>
        <x:v>22.846687709229116</x:v>
      </x:c>
      <x:c r="P90" s="8" t="n">
        <x:f>N90^2</x:f>
        <x:v>521.9711392830408</x:v>
      </x:c>
      <x:c r="Q90" s="8" t="n">
        <x:f>K90-L90</x:f>
        <x:v>-11</x:v>
      </x:c>
      <x:c r="R90" s="9" t="n">
        <x:f>IF(AND(INDEX('Сводка'!$T$3:$T$397,U90)=0,INDEX('Сводка'!$T$3:$T$397,V90)=0),1,0)</x:f>
        <x:v>1</x:v>
      </x:c>
      <x:c r="S90" s="9" t="n">
        <x:f>IF(AND(R90=1,O90&lt;=$G$13),1,0)</x:f>
        <x:v>0</x:v>
      </x:c>
      <x:c r="T90" s="10" t="n">
        <x:f>EOMONTH(J90-'Сводка'!$B$11,-1)</x:f>
        <x:v>45930</x:v>
      </x:c>
      <x:c r="U90" s="4" t="n">
        <x:f>MATCH(J90,'Сводка'!$R$3:$R$397,0)</x:f>
        <x:v>101</x:v>
      </x:c>
      <x:c r="V90" s="4" t="n">
        <x:f>MATCH(J90-'Сводка'!$B$11,'Сводка'!$R$3:$R$397,0)</x:f>
        <x:v>100</x:v>
      </x:c>
      <x:c r="W90" s="4" t="n">
        <x:f>MATCH(T90,$J$388:$J$400,0)</x:f>
        <x:v>4</x:v>
      </x:c>
      <x:c r="X90" s="3"/>
      <x:c r="Y90" s="3"/>
      <x:c r="Z90" s="3"/>
    </x:row>
    <x:row r="91" ht="15" customHeight="1">
      <x:c r="A91" s="7" t="str">
        <x:f>IF(73&lt;='Сводка'!$B$3,'Сводка'!$B$4+73,"")</x:f>
      </x:c>
      <x:c r="B91" s="20" t="str">
        <x:f>IF($A91="","",(A91-$T$405+1)/1000)</x:f>
      </x:c>
      <x:c r="C91" s="20" t="str">
        <x:f>IF($A91="","",2*(A91-$T$405)/$T$406-1)</x:f>
      </x:c>
      <x:c r="D91" s="3" t="str">
        <x:f>IF($A91="","",$B$4+$B$5*C91^1+$B$6*C91^2+$B$7*C91^3+INDEX($E$4:$E$15,MONTH(A91)))</x:f>
      </x:c>
      <x:c r="E91" s="3" t="str">
        <x:f>IF($A91="","",SQRT($T$403^2+H91^2))</x:f>
      </x:c>
      <x:c r="F91" s="3" t="str">
        <x:f>IF($A91="","",D91-$T$404*E91)</x:f>
      </x:c>
      <x:c r="G91" s="3" t="str">
        <x:f>IF($A91="","",D91+$T$404*E91)</x:f>
      </x:c>
      <x:c r="H91" s="3" t="str">
        <x:f>IF($A91="","",SQRT(MAX(0,(1)*$S$409*(1)+(1)*$T$409*(C91^1)+(1)*$U$409*(C91^2)+(1)*$V$409*(C91^3)+(C91^1)*$S$410*(1)+(C91^1)*$T$410*(C91^1)+(C91^1)*$U$410*(C91^2)+(C91^1)*$V$410*(C91^3)+(C91^2)*$S$411*(1)+(C91^2)*$T$411*(C91^1)+(C91^2)*$U$411*(C91^2)+(C91^2)*$V$411*(C91^3)+(C91^3)*$S$412*(1)+(C91^3)*$T$412*(C91^1)+(C91^3)*$U$412*(C91^2)+(C91^3)*$V$412*(C91^3)+2*((1)*INDEX($S$416:$V$427,MONTH(A91),1)+(C91^1)*INDEX($S$416:$V$427,MONTH(A91),2)+(C91^2)*INDEX($S$416:$V$427,MONTH(A91),3)+(C91^3)*INDEX($S$416:$V$427,MONTH(A91),4))+INDEX($W$416:$W$427,MONTH(A91)))))</x:f>
      </x:c>
      <x:c r="I91" s="3"/>
      <x:c r="J91" s="10" t="n">
        <x:v>45942</x:v>
      </x:c>
      <x:c r="K91" s="8" t="n">
        <x:f>INDEX('Сводка'!$S$3:$S$397,U91)</x:f>
        <x:v>138</x:v>
      </x:c>
      <x:c r="L91" s="8" t="n">
        <x:f>INDEX('Сводка'!$S$3:$S$397,V91)</x:f>
        <x:v>152</x:v>
      </x:c>
      <x:c r="M91" s="8" t="n">
        <x:f>INDEX($K$388:$N$400,W91,1)+INDEX($K$388:$N$400,W91,2)*(2*(J91-$T$405)/(T91-$T$405)-1)^1+INDEX($K$388:$N$400,W91,3)*(2*(J91-$T$405)/(T91-$T$405)-1)^2+INDEX($K$388:$N$400,W91,4)*(2*(J91-$T$405)/(T91-$T$405)-1)^3+INDEX($O$388:$Z$400,W91,MONTH(J91))</x:f>
        <x:v>129.13651316162395</x:v>
      </x:c>
      <x:c r="N91" s="8" t="n">
        <x:f>K91-M91</x:f>
        <x:v>8.863486838376048</x:v>
      </x:c>
      <x:c r="O91" s="8" t="n">
        <x:f>ABS(N91)</x:f>
        <x:v>8.863486838376048</x:v>
      </x:c>
      <x:c r="P91" s="8" t="n">
        <x:f>N91^2</x:f>
        <x:v>78.56139893406542</x:v>
      </x:c>
      <x:c r="Q91" s="8" t="n">
        <x:f>K91-L91</x:f>
        <x:v>-14</x:v>
      </x:c>
      <x:c r="R91" s="9" t="n">
        <x:f>IF(AND(INDEX('Сводка'!$T$3:$T$397,U91)=0,INDEX('Сводка'!$T$3:$T$397,V91)=0),1,0)</x:f>
        <x:v>1</x:v>
      </x:c>
      <x:c r="S91" s="9" t="n">
        <x:f>IF(AND(R91=1,O91&lt;=$G$13),1,0)</x:f>
        <x:v>0</x:v>
      </x:c>
      <x:c r="T91" s="10" t="n">
        <x:f>EOMONTH(J91-'Сводка'!$B$11,-1)</x:f>
        <x:v>45930</x:v>
      </x:c>
      <x:c r="U91" s="4" t="n">
        <x:f>MATCH(J91,'Сводка'!$R$3:$R$397,0)</x:f>
        <x:v>102</x:v>
      </x:c>
      <x:c r="V91" s="4" t="n">
        <x:f>MATCH(J91-'Сводка'!$B$11,'Сводка'!$R$3:$R$397,0)</x:f>
        <x:v>101</x:v>
      </x:c>
      <x:c r="W91" s="4" t="n">
        <x:f>MATCH(T91,$J$388:$J$400,0)</x:f>
        <x:v>4</x:v>
      </x:c>
      <x:c r="X91" s="3"/>
      <x:c r="Y91" s="3"/>
      <x:c r="Z91" s="3"/>
    </x:row>
    <x:row r="92" ht="15" customHeight="1">
      <x:c r="A92" s="7" t="str">
        <x:f>IF(74&lt;='Сводка'!$B$3,'Сводка'!$B$4+74,"")</x:f>
      </x:c>
      <x:c r="B92" s="20" t="str">
        <x:f>IF($A92="","",(A92-$T$405+1)/1000)</x:f>
      </x:c>
      <x:c r="C92" s="20" t="str">
        <x:f>IF($A92="","",2*(A92-$T$405)/$T$406-1)</x:f>
      </x:c>
      <x:c r="D92" s="3" t="str">
        <x:f>IF($A92="","",$B$4+$B$5*C92^1+$B$6*C92^2+$B$7*C92^3+INDEX($E$4:$E$15,MONTH(A92)))</x:f>
      </x:c>
      <x:c r="E92" s="3" t="str">
        <x:f>IF($A92="","",SQRT($T$403^2+H92^2))</x:f>
      </x:c>
      <x:c r="F92" s="3" t="str">
        <x:f>IF($A92="","",D92-$T$404*E92)</x:f>
      </x:c>
      <x:c r="G92" s="3" t="str">
        <x:f>IF($A92="","",D92+$T$404*E92)</x:f>
      </x:c>
      <x:c r="H92" s="3" t="str">
        <x:f>IF($A92="","",SQRT(MAX(0,(1)*$S$409*(1)+(1)*$T$409*(C92^1)+(1)*$U$409*(C92^2)+(1)*$V$409*(C92^3)+(C92^1)*$S$410*(1)+(C92^1)*$T$410*(C92^1)+(C92^1)*$U$410*(C92^2)+(C92^1)*$V$410*(C92^3)+(C92^2)*$S$411*(1)+(C92^2)*$T$411*(C92^1)+(C92^2)*$U$411*(C92^2)+(C92^2)*$V$411*(C92^3)+(C92^3)*$S$412*(1)+(C92^3)*$T$412*(C92^1)+(C92^3)*$U$412*(C92^2)+(C92^3)*$V$412*(C92^3)+2*((1)*INDEX($S$416:$V$427,MONTH(A92),1)+(C92^1)*INDEX($S$416:$V$427,MONTH(A92),2)+(C92^2)*INDEX($S$416:$V$427,MONTH(A92),3)+(C92^3)*INDEX($S$416:$V$427,MONTH(A92),4))+INDEX($W$416:$W$427,MONTH(A92)))))</x:f>
      </x:c>
      <x:c r="I92" s="3"/>
      <x:c r="J92" s="10" t="n">
        <x:v>45943</x:v>
      </x:c>
      <x:c r="K92" s="8" t="n">
        <x:f>INDEX('Сводка'!$S$3:$S$397,U92)</x:f>
        <x:v>123</x:v>
      </x:c>
      <x:c r="L92" s="8" t="n">
        <x:f>INDEX('Сводка'!$S$3:$S$397,V92)</x:f>
        <x:v>138</x:v>
      </x:c>
      <x:c r="M92" s="8" t="n">
        <x:f>INDEX($K$388:$N$400,W92,1)+INDEX($K$388:$N$400,W92,2)*(2*(J92-$T$405)/(T92-$T$405)-1)^1+INDEX($K$388:$N$400,W92,3)*(2*(J92-$T$405)/(T92-$T$405)-1)^2+INDEX($K$388:$N$400,W92,4)*(2*(J92-$T$405)/(T92-$T$405)-1)^3+INDEX($O$388:$Z$400,W92,MONTH(J92))</x:f>
        <x:v>129.1197010964659</x:v>
      </x:c>
      <x:c r="N92" s="8" t="n">
        <x:f>K92-M92</x:f>
        <x:v>-6.119701096465889</x:v>
      </x:c>
      <x:c r="O92" s="8" t="n">
        <x:f>ABS(N92)</x:f>
        <x:v>6.119701096465889</x:v>
      </x:c>
      <x:c r="P92" s="8" t="n">
        <x:f>N92^2</x:f>
        <x:v>37.4507415100858</x:v>
      </x:c>
      <x:c r="Q92" s="8" t="n">
        <x:f>K92-L92</x:f>
        <x:v>-15</x:v>
      </x:c>
      <x:c r="R92" s="9" t="n">
        <x:f>IF(AND(INDEX('Сводка'!$T$3:$T$397,U92)=0,INDEX('Сводка'!$T$3:$T$397,V92)=0),1,0)</x:f>
        <x:v>1</x:v>
      </x:c>
      <x:c r="S92" s="9" t="n">
        <x:f>IF(AND(R92=1,O92&lt;=$G$13),1,0)</x:f>
        <x:v>1</x:v>
      </x:c>
      <x:c r="T92" s="10" t="n">
        <x:f>EOMONTH(J92-'Сводка'!$B$11,-1)</x:f>
        <x:v>45930</x:v>
      </x:c>
      <x:c r="U92" s="4" t="n">
        <x:f>MATCH(J92,'Сводка'!$R$3:$R$397,0)</x:f>
        <x:v>103</x:v>
      </x:c>
      <x:c r="V92" s="4" t="n">
        <x:f>MATCH(J92-'Сводка'!$B$11,'Сводка'!$R$3:$R$397,0)</x:f>
        <x:v>102</x:v>
      </x:c>
      <x:c r="W92" s="4" t="n">
        <x:f>MATCH(T92,$J$388:$J$400,0)</x:f>
        <x:v>4</x:v>
      </x:c>
      <x:c r="X92" s="3"/>
      <x:c r="Y92" s="3"/>
      <x:c r="Z92" s="3"/>
    </x:row>
    <x:row r="93" ht="15" customHeight="1">
      <x:c r="A93" s="7" t="str">
        <x:f>IF(75&lt;='Сводка'!$B$3,'Сводка'!$B$4+75,"")</x:f>
      </x:c>
      <x:c r="B93" s="20" t="str">
        <x:f>IF($A93="","",(A93-$T$405+1)/1000)</x:f>
      </x:c>
      <x:c r="C93" s="20" t="str">
        <x:f>IF($A93="","",2*(A93-$T$405)/$T$406-1)</x:f>
      </x:c>
      <x:c r="D93" s="3" t="str">
        <x:f>IF($A93="","",$B$4+$B$5*C93^1+$B$6*C93^2+$B$7*C93^3+INDEX($E$4:$E$15,MONTH(A93)))</x:f>
      </x:c>
      <x:c r="E93" s="3" t="str">
        <x:f>IF($A93="","",SQRT($T$403^2+H93^2))</x:f>
      </x:c>
      <x:c r="F93" s="3" t="str">
        <x:f>IF($A93="","",D93-$T$404*E93)</x:f>
      </x:c>
      <x:c r="G93" s="3" t="str">
        <x:f>IF($A93="","",D93+$T$404*E93)</x:f>
      </x:c>
      <x:c r="H93" s="3" t="str">
        <x:f>IF($A93="","",SQRT(MAX(0,(1)*$S$409*(1)+(1)*$T$409*(C93^1)+(1)*$U$409*(C93^2)+(1)*$V$409*(C93^3)+(C93^1)*$S$410*(1)+(C93^1)*$T$410*(C93^1)+(C93^1)*$U$410*(C93^2)+(C93^1)*$V$410*(C93^3)+(C93^2)*$S$411*(1)+(C93^2)*$T$411*(C93^1)+(C93^2)*$U$411*(C93^2)+(C93^2)*$V$411*(C93^3)+(C93^3)*$S$412*(1)+(C93^3)*$T$412*(C93^1)+(C93^3)*$U$412*(C93^2)+(C93^3)*$V$412*(C93^3)+2*((1)*INDEX($S$416:$V$427,MONTH(A93),1)+(C93^1)*INDEX($S$416:$V$427,MONTH(A93),2)+(C93^2)*INDEX($S$416:$V$427,MONTH(A93),3)+(C93^3)*INDEX($S$416:$V$427,MONTH(A93),4))+INDEX($W$416:$W$427,MONTH(A93)))))</x:f>
      </x:c>
      <x:c r="I93" s="3"/>
      <x:c r="J93" s="10" t="n">
        <x:v>45944</x:v>
      </x:c>
      <x:c r="K93" s="8" t="n">
        <x:f>INDEX('Сводка'!$S$3:$S$397,U93)</x:f>
        <x:v>111</x:v>
      </x:c>
      <x:c r="L93" s="8" t="n">
        <x:f>INDEX('Сводка'!$S$3:$S$397,V93)</x:f>
        <x:v>123</x:v>
      </x:c>
      <x:c r="M93" s="8" t="n">
        <x:f>INDEX($K$388:$N$400,W93,1)+INDEX($K$388:$N$400,W93,2)*(2*(J93-$T$405)/(T93-$T$405)-1)^1+INDEX($K$388:$N$400,W93,3)*(2*(J93-$T$405)/(T93-$T$405)-1)^2+INDEX($K$388:$N$400,W93,4)*(2*(J93-$T$405)/(T93-$T$405)-1)^3+INDEX($O$388:$Z$400,W93,MONTH(J93))</x:f>
        <x:v>129.102876093656</x:v>
      </x:c>
      <x:c r="N93" s="8" t="n">
        <x:f>K93-M93</x:f>
        <x:v>-18.102876093655993</x:v>
      </x:c>
      <x:c r="O93" s="8" t="n">
        <x:f>ABS(N93)</x:f>
        <x:v>18.102876093655993</x:v>
      </x:c>
      <x:c r="P93" s="8" t="n">
        <x:f>N93^2</x:f>
        <x:v>327.71412286226166</x:v>
      </x:c>
      <x:c r="Q93" s="8" t="n">
        <x:f>K93-L93</x:f>
        <x:v>-12</x:v>
      </x:c>
      <x:c r="R93" s="9" t="n">
        <x:f>IF(AND(INDEX('Сводка'!$T$3:$T$397,U93)=0,INDEX('Сводка'!$T$3:$T$397,V93)=0),1,0)</x:f>
        <x:v>1</x:v>
      </x:c>
      <x:c r="S93" s="9" t="n">
        <x:f>IF(AND(R93=1,O93&lt;=$G$13),1,0)</x:f>
        <x:v>0</x:v>
      </x:c>
      <x:c r="T93" s="10" t="n">
        <x:f>EOMONTH(J93-'Сводка'!$B$11,-1)</x:f>
        <x:v>45930</x:v>
      </x:c>
      <x:c r="U93" s="4" t="n">
        <x:f>MATCH(J93,'Сводка'!$R$3:$R$397,0)</x:f>
        <x:v>104</x:v>
      </x:c>
      <x:c r="V93" s="4" t="n">
        <x:f>MATCH(J93-'Сводка'!$B$11,'Сводка'!$R$3:$R$397,0)</x:f>
        <x:v>103</x:v>
      </x:c>
      <x:c r="W93" s="4" t="n">
        <x:f>MATCH(T93,$J$388:$J$400,0)</x:f>
        <x:v>4</x:v>
      </x:c>
      <x:c r="X93" s="3"/>
      <x:c r="Y93" s="3"/>
      <x:c r="Z93" s="3"/>
    </x:row>
    <x:row r="94" ht="15" customHeight="1">
      <x:c r="A94" s="7" t="str">
        <x:f>IF(76&lt;='Сводка'!$B$3,'Сводка'!$B$4+76,"")</x:f>
      </x:c>
      <x:c r="B94" s="20" t="str">
        <x:f>IF($A94="","",(A94-$T$405+1)/1000)</x:f>
      </x:c>
      <x:c r="C94" s="20" t="str">
        <x:f>IF($A94="","",2*(A94-$T$405)/$T$406-1)</x:f>
      </x:c>
      <x:c r="D94" s="3" t="str">
        <x:f>IF($A94="","",$B$4+$B$5*C94^1+$B$6*C94^2+$B$7*C94^3+INDEX($E$4:$E$15,MONTH(A94)))</x:f>
      </x:c>
      <x:c r="E94" s="3" t="str">
        <x:f>IF($A94="","",SQRT($T$403^2+H94^2))</x:f>
      </x:c>
      <x:c r="F94" s="3" t="str">
        <x:f>IF($A94="","",D94-$T$404*E94)</x:f>
      </x:c>
      <x:c r="G94" s="3" t="str">
        <x:f>IF($A94="","",D94+$T$404*E94)</x:f>
      </x:c>
      <x:c r="H94" s="3" t="str">
        <x:f>IF($A94="","",SQRT(MAX(0,(1)*$S$409*(1)+(1)*$T$409*(C94^1)+(1)*$U$409*(C94^2)+(1)*$V$409*(C94^3)+(C94^1)*$S$410*(1)+(C94^1)*$T$410*(C94^1)+(C94^1)*$U$410*(C94^2)+(C94^1)*$V$410*(C94^3)+(C94^2)*$S$411*(1)+(C94^2)*$T$411*(C94^1)+(C94^2)*$U$411*(C94^2)+(C94^2)*$V$411*(C94^3)+(C94^3)*$S$412*(1)+(C94^3)*$T$412*(C94^1)+(C94^3)*$U$412*(C94^2)+(C94^3)*$V$412*(C94^3)+2*((1)*INDEX($S$416:$V$427,MONTH(A94),1)+(C94^1)*INDEX($S$416:$V$427,MONTH(A94),2)+(C94^2)*INDEX($S$416:$V$427,MONTH(A94),3)+(C94^3)*INDEX($S$416:$V$427,MONTH(A94),4))+INDEX($W$416:$W$427,MONTH(A94)))))</x:f>
      </x:c>
      <x:c r="I94" s="3"/>
      <x:c r="J94" s="10" t="n">
        <x:v>45945</x:v>
      </x:c>
      <x:c r="K94" s="8" t="n">
        <x:f>INDEX('Сводка'!$S$3:$S$397,U94)</x:f>
        <x:v>100</x:v>
      </x:c>
      <x:c r="L94" s="8" t="n">
        <x:f>INDEX('Сводка'!$S$3:$S$397,V94)</x:f>
        <x:v>111</x:v>
      </x:c>
      <x:c r="M94" s="8" t="n">
        <x:f>INDEX($K$388:$N$400,W94,1)+INDEX($K$388:$N$400,W94,2)*(2*(J94-$T$405)/(T94-$T$405)-1)^1+INDEX($K$388:$N$400,W94,3)*(2*(J94-$T$405)/(T94-$T$405)-1)^2+INDEX($K$388:$N$400,W94,4)*(2*(J94-$T$405)/(T94-$T$405)-1)^3+INDEX($O$388:$Z$400,W94,MONTH(J94))</x:f>
        <x:v>129.08603815155357</x:v>
      </x:c>
      <x:c r="N94" s="8" t="n">
        <x:f>K94-M94</x:f>
        <x:v>-29.086038151553566</x:v>
      </x:c>
      <x:c r="O94" s="8" t="n">
        <x:f>ABS(N94)</x:f>
        <x:v>29.086038151553566</x:v>
      </x:c>
      <x:c r="P94" s="8" t="n">
        <x:f>N94^2</x:f>
        <x:v>845.9976153536296</x:v>
      </x:c>
      <x:c r="Q94" s="8" t="n">
        <x:f>K94-L94</x:f>
        <x:v>-11</x:v>
      </x:c>
      <x:c r="R94" s="9" t="n">
        <x:f>IF(AND(INDEX('Сводка'!$T$3:$T$397,U94)=0,INDEX('Сводка'!$T$3:$T$397,V94)=0),1,0)</x:f>
        <x:v>1</x:v>
      </x:c>
      <x:c r="S94" s="9" t="n">
        <x:f>IF(AND(R94=1,O94&lt;=$G$13),1,0)</x:f>
        <x:v>0</x:v>
      </x:c>
      <x:c r="T94" s="10" t="n">
        <x:f>EOMONTH(J94-'Сводка'!$B$11,-1)</x:f>
        <x:v>45930</x:v>
      </x:c>
      <x:c r="U94" s="4" t="n">
        <x:f>MATCH(J94,'Сводка'!$R$3:$R$397,0)</x:f>
        <x:v>105</x:v>
      </x:c>
      <x:c r="V94" s="4" t="n">
        <x:f>MATCH(J94-'Сводка'!$B$11,'Сводка'!$R$3:$R$397,0)</x:f>
        <x:v>104</x:v>
      </x:c>
      <x:c r="W94" s="4" t="n">
        <x:f>MATCH(T94,$J$388:$J$400,0)</x:f>
        <x:v>4</x:v>
      </x:c>
      <x:c r="X94" s="3"/>
      <x:c r="Y94" s="3"/>
      <x:c r="Z94" s="3"/>
    </x:row>
    <x:row r="95" ht="15" customHeight="1">
      <x:c r="A95" s="7" t="str">
        <x:f>IF(77&lt;='Сводка'!$B$3,'Сводка'!$B$4+77,"")</x:f>
      </x:c>
      <x:c r="B95" s="20" t="str">
        <x:f>IF($A95="","",(A95-$T$405+1)/1000)</x:f>
      </x:c>
      <x:c r="C95" s="20" t="str">
        <x:f>IF($A95="","",2*(A95-$T$405)/$T$406-1)</x:f>
      </x:c>
      <x:c r="D95" s="3" t="str">
        <x:f>IF($A95="","",$B$4+$B$5*C95^1+$B$6*C95^2+$B$7*C95^3+INDEX($E$4:$E$15,MONTH(A95)))</x:f>
      </x:c>
      <x:c r="E95" s="3" t="str">
        <x:f>IF($A95="","",SQRT($T$403^2+H95^2))</x:f>
      </x:c>
      <x:c r="F95" s="3" t="str">
        <x:f>IF($A95="","",D95-$T$404*E95)</x:f>
      </x:c>
      <x:c r="G95" s="3" t="str">
        <x:f>IF($A95="","",D95+$T$404*E95)</x:f>
      </x:c>
      <x:c r="H95" s="3" t="str">
        <x:f>IF($A95="","",SQRT(MAX(0,(1)*$S$409*(1)+(1)*$T$409*(C95^1)+(1)*$U$409*(C95^2)+(1)*$V$409*(C95^3)+(C95^1)*$S$410*(1)+(C95^1)*$T$410*(C95^1)+(C95^1)*$U$410*(C95^2)+(C95^1)*$V$410*(C95^3)+(C95^2)*$S$411*(1)+(C95^2)*$T$411*(C95^1)+(C95^2)*$U$411*(C95^2)+(C95^2)*$V$411*(C95^3)+(C95^3)*$S$412*(1)+(C95^3)*$T$412*(C95^1)+(C95^3)*$U$412*(C95^2)+(C95^3)*$V$412*(C95^3)+2*((1)*INDEX($S$416:$V$427,MONTH(A95),1)+(C95^1)*INDEX($S$416:$V$427,MONTH(A95),2)+(C95^2)*INDEX($S$416:$V$427,MONTH(A95),3)+(C95^3)*INDEX($S$416:$V$427,MONTH(A95),4))+INDEX($W$416:$W$427,MONTH(A95)))))</x:f>
      </x:c>
      <x:c r="I95" s="3"/>
      <x:c r="J95" s="10" t="n">
        <x:v>45946</x:v>
      </x:c>
      <x:c r="K95" s="8" t="n">
        <x:f>INDEX('Сводка'!$S$3:$S$397,U95)</x:f>
        <x:v>89</x:v>
      </x:c>
      <x:c r="L95" s="8" t="n">
        <x:f>INDEX('Сводка'!$S$3:$S$397,V95)</x:f>
        <x:v>100</x:v>
      </x:c>
      <x:c r="M95" s="8" t="n">
        <x:f>INDEX($K$388:$N$400,W95,1)+INDEX($K$388:$N$400,W95,2)*(2*(J95-$T$405)/(T95-$T$405)-1)^1+INDEX($K$388:$N$400,W95,3)*(2*(J95-$T$405)/(T95-$T$405)-1)^2+INDEX($K$388:$N$400,W95,4)*(2*(J95-$T$405)/(T95-$T$405)-1)^3+INDEX($O$388:$Z$400,W95,MONTH(J95))</x:f>
        <x:v>129.06918726851788</x:v>
      </x:c>
      <x:c r="N95" s="8" t="n">
        <x:f>K95-M95</x:f>
        <x:v>-40.06918726851788</x:v>
      </x:c>
      <x:c r="O95" s="8" t="n">
        <x:f>ABS(N95)</x:f>
        <x:v>40.06918726851788</x:v>
      </x:c>
      <x:c r="P95" s="8" t="n">
        <x:f>N95^2</x:f>
        <x:v>1605.5397683595554</x:v>
      </x:c>
      <x:c r="Q95" s="8" t="n">
        <x:f>K95-L95</x:f>
        <x:v>-11</x:v>
      </x:c>
      <x:c r="R95" s="9" t="n">
        <x:f>IF(AND(INDEX('Сводка'!$T$3:$T$397,U95)=0,INDEX('Сводка'!$T$3:$T$397,V95)=0),1,0)</x:f>
        <x:v>1</x:v>
      </x:c>
      <x:c r="S95" s="9" t="n">
        <x:f>IF(AND(R95=1,O95&lt;=$G$13),1,0)</x:f>
        <x:v>0</x:v>
      </x:c>
      <x:c r="T95" s="10" t="n">
        <x:f>EOMONTH(J95-'Сводка'!$B$11,-1)</x:f>
        <x:v>45930</x:v>
      </x:c>
      <x:c r="U95" s="4" t="n">
        <x:f>MATCH(J95,'Сводка'!$R$3:$R$397,0)</x:f>
        <x:v>106</x:v>
      </x:c>
      <x:c r="V95" s="4" t="n">
        <x:f>MATCH(J95-'Сводка'!$B$11,'Сводка'!$R$3:$R$397,0)</x:f>
        <x:v>105</x:v>
      </x:c>
      <x:c r="W95" s="4" t="n">
        <x:f>MATCH(T95,$J$388:$J$400,0)</x:f>
        <x:v>4</x:v>
      </x:c>
      <x:c r="X95" s="3"/>
      <x:c r="Y95" s="3"/>
      <x:c r="Z95" s="3"/>
    </x:row>
    <x:row r="96" ht="15" customHeight="1">
      <x:c r="A96" s="7" t="str">
        <x:f>IF(78&lt;='Сводка'!$B$3,'Сводка'!$B$4+78,"")</x:f>
      </x:c>
      <x:c r="B96" s="20" t="str">
        <x:f>IF($A96="","",(A96-$T$405+1)/1000)</x:f>
      </x:c>
      <x:c r="C96" s="20" t="str">
        <x:f>IF($A96="","",2*(A96-$T$405)/$T$406-1)</x:f>
      </x:c>
      <x:c r="D96" s="3" t="str">
        <x:f>IF($A96="","",$B$4+$B$5*C96^1+$B$6*C96^2+$B$7*C96^3+INDEX($E$4:$E$15,MONTH(A96)))</x:f>
      </x:c>
      <x:c r="E96" s="3" t="str">
        <x:f>IF($A96="","",SQRT($T$403^2+H96^2))</x:f>
      </x:c>
      <x:c r="F96" s="3" t="str">
        <x:f>IF($A96="","",D96-$T$404*E96)</x:f>
      </x:c>
      <x:c r="G96" s="3" t="str">
        <x:f>IF($A96="","",D96+$T$404*E96)</x:f>
      </x:c>
      <x:c r="H96" s="3" t="str">
        <x:f>IF($A96="","",SQRT(MAX(0,(1)*$S$409*(1)+(1)*$T$409*(C96^1)+(1)*$U$409*(C96^2)+(1)*$V$409*(C96^3)+(C96^1)*$S$410*(1)+(C96^1)*$T$410*(C96^1)+(C96^1)*$U$410*(C96^2)+(C96^1)*$V$410*(C96^3)+(C96^2)*$S$411*(1)+(C96^2)*$T$411*(C96^1)+(C96^2)*$U$411*(C96^2)+(C96^2)*$V$411*(C96^3)+(C96^3)*$S$412*(1)+(C96^3)*$T$412*(C96^1)+(C96^3)*$U$412*(C96^2)+(C96^3)*$V$412*(C96^3)+2*((1)*INDEX($S$416:$V$427,MONTH(A96),1)+(C96^1)*INDEX($S$416:$V$427,MONTH(A96),2)+(C96^2)*INDEX($S$416:$V$427,MONTH(A96),3)+(C96^3)*INDEX($S$416:$V$427,MONTH(A96),4))+INDEX($W$416:$W$427,MONTH(A96)))))</x:f>
      </x:c>
      <x:c r="I96" s="3"/>
      <x:c r="J96" s="10" t="n">
        <x:v>45947</x:v>
      </x:c>
      <x:c r="K96" s="8" t="n">
        <x:f>INDEX('Сводка'!$S$3:$S$397,U96)</x:f>
        <x:v>79</x:v>
      </x:c>
      <x:c r="L96" s="8" t="n">
        <x:f>INDEX('Сводка'!$S$3:$S$397,V96)</x:f>
        <x:v>89</x:v>
      </x:c>
      <x:c r="M96" s="8" t="n">
        <x:f>INDEX($K$388:$N$400,W96,1)+INDEX($K$388:$N$400,W96,2)*(2*(J96-$T$405)/(T96-$T$405)-1)^1+INDEX($K$388:$N$400,W96,3)*(2*(J96-$T$405)/(T96-$T$405)-1)^2+INDEX($K$388:$N$400,W96,4)*(2*(J96-$T$405)/(T96-$T$405)-1)^3+INDEX($O$388:$Z$400,W96,MONTH(J96))</x:f>
        <x:v>129.05232344290823</x:v>
      </x:c>
      <x:c r="N96" s="8" t="n">
        <x:f>K96-M96</x:f>
        <x:v>-50.05232344290823</x:v>
      </x:c>
      <x:c r="O96" s="8" t="n">
        <x:f>ABS(N96)</x:f>
        <x:v>50.05232344290823</x:v>
      </x:c>
      <x:c r="P96" s="8" t="n">
        <x:f>N96^2</x:f>
        <x:v>2505.235082033501</x:v>
      </x:c>
      <x:c r="Q96" s="8" t="n">
        <x:f>K96-L96</x:f>
        <x:v>-10</x:v>
      </x:c>
      <x:c r="R96" s="9" t="n">
        <x:f>IF(AND(INDEX('Сводка'!$T$3:$T$397,U96)=0,INDEX('Сводка'!$T$3:$T$397,V96)=0),1,0)</x:f>
        <x:v>1</x:v>
      </x:c>
      <x:c r="S96" s="9" t="n">
        <x:f>IF(AND(R96=1,O96&lt;=$G$13),1,0)</x:f>
        <x:v>0</x:v>
      </x:c>
      <x:c r="T96" s="10" t="n">
        <x:f>EOMONTH(J96-'Сводка'!$B$11,-1)</x:f>
        <x:v>45930</x:v>
      </x:c>
      <x:c r="U96" s="4" t="n">
        <x:f>MATCH(J96,'Сводка'!$R$3:$R$397,0)</x:f>
        <x:v>107</x:v>
      </x:c>
      <x:c r="V96" s="4" t="n">
        <x:f>MATCH(J96-'Сводка'!$B$11,'Сводка'!$R$3:$R$397,0)</x:f>
        <x:v>106</x:v>
      </x:c>
      <x:c r="W96" s="4" t="n">
        <x:f>MATCH(T96,$J$388:$J$400,0)</x:f>
        <x:v>4</x:v>
      </x:c>
      <x:c r="X96" s="3"/>
      <x:c r="Y96" s="3"/>
      <x:c r="Z96" s="3"/>
    </x:row>
    <x:row r="97" ht="15" customHeight="1">
      <x:c r="A97" s="7" t="str">
        <x:f>IF(79&lt;='Сводка'!$B$3,'Сводка'!$B$4+79,"")</x:f>
      </x:c>
      <x:c r="B97" s="20" t="str">
        <x:f>IF($A97="","",(A97-$T$405+1)/1000)</x:f>
      </x:c>
      <x:c r="C97" s="20" t="str">
        <x:f>IF($A97="","",2*(A97-$T$405)/$T$406-1)</x:f>
      </x:c>
      <x:c r="D97" s="3" t="str">
        <x:f>IF($A97="","",$B$4+$B$5*C97^1+$B$6*C97^2+$B$7*C97^3+INDEX($E$4:$E$15,MONTH(A97)))</x:f>
      </x:c>
      <x:c r="E97" s="3" t="str">
        <x:f>IF($A97="","",SQRT($T$403^2+H97^2))</x:f>
      </x:c>
      <x:c r="F97" s="3" t="str">
        <x:f>IF($A97="","",D97-$T$404*E97)</x:f>
      </x:c>
      <x:c r="G97" s="3" t="str">
        <x:f>IF($A97="","",D97+$T$404*E97)</x:f>
      </x:c>
      <x:c r="H97" s="3" t="str">
        <x:f>IF($A97="","",SQRT(MAX(0,(1)*$S$409*(1)+(1)*$T$409*(C97^1)+(1)*$U$409*(C97^2)+(1)*$V$409*(C97^3)+(C97^1)*$S$410*(1)+(C97^1)*$T$410*(C97^1)+(C97^1)*$U$410*(C97^2)+(C97^1)*$V$410*(C97^3)+(C97^2)*$S$411*(1)+(C97^2)*$T$411*(C97^1)+(C97^2)*$U$411*(C97^2)+(C97^2)*$V$411*(C97^3)+(C97^3)*$S$412*(1)+(C97^3)*$T$412*(C97^1)+(C97^3)*$U$412*(C97^2)+(C97^3)*$V$412*(C97^3)+2*((1)*INDEX($S$416:$V$427,MONTH(A97),1)+(C97^1)*INDEX($S$416:$V$427,MONTH(A97),2)+(C97^2)*INDEX($S$416:$V$427,MONTH(A97),3)+(C97^3)*INDEX($S$416:$V$427,MONTH(A97),4))+INDEX($W$416:$W$427,MONTH(A97)))))</x:f>
      </x:c>
      <x:c r="I97" s="3"/>
      <x:c r="J97" s="10" t="n">
        <x:v>45948</x:v>
      </x:c>
      <x:c r="K97" s="8" t="n">
        <x:f>INDEX('Сводка'!$S$3:$S$397,U97)</x:f>
        <x:v>66</x:v>
      </x:c>
      <x:c r="L97" s="8" t="n">
        <x:f>INDEX('Сводка'!$S$3:$S$397,V97)</x:f>
        <x:v>79</x:v>
      </x:c>
      <x:c r="M97" s="8" t="n">
        <x:f>INDEX($K$388:$N$400,W97,1)+INDEX($K$388:$N$400,W97,2)*(2*(J97-$T$405)/(T97-$T$405)-1)^1+INDEX($K$388:$N$400,W97,3)*(2*(J97-$T$405)/(T97-$T$405)-1)^2+INDEX($K$388:$N$400,W97,4)*(2*(J97-$T$405)/(T97-$T$405)-1)^3+INDEX($O$388:$Z$400,W97,MONTH(J97))</x:f>
        <x:v>129.03544667308398</x:v>
      </x:c>
      <x:c r="N97" s="8" t="n">
        <x:f>K97-M97</x:f>
        <x:v>-63.03544667308398</x:v>
      </x:c>
      <x:c r="O97" s="8" t="n">
        <x:f>ABS(N97)</x:f>
        <x:v>63.03544667308398</x:v>
      </x:c>
      <x:c r="P97" s="8" t="n">
        <x:f>N97^2</x:f>
        <x:v>3973.4675372752145</x:v>
      </x:c>
      <x:c r="Q97" s="8" t="n">
        <x:f>K97-L97</x:f>
        <x:v>-13</x:v>
      </x:c>
      <x:c r="R97" s="9" t="n">
        <x:f>IF(AND(INDEX('Сводка'!$T$3:$T$397,U97)=0,INDEX('Сводка'!$T$3:$T$397,V97)=0),1,0)</x:f>
        <x:v>1</x:v>
      </x:c>
      <x:c r="S97" s="9" t="n">
        <x:f>IF(AND(R97=1,O97&lt;=$G$13),1,0)</x:f>
        <x:v>0</x:v>
      </x:c>
      <x:c r="T97" s="10" t="n">
        <x:f>EOMONTH(J97-'Сводка'!$B$11,-1)</x:f>
        <x:v>45930</x:v>
      </x:c>
      <x:c r="U97" s="4" t="n">
        <x:f>MATCH(J97,'Сводка'!$R$3:$R$397,0)</x:f>
        <x:v>108</x:v>
      </x:c>
      <x:c r="V97" s="4" t="n">
        <x:f>MATCH(J97-'Сводка'!$B$11,'Сводка'!$R$3:$R$397,0)</x:f>
        <x:v>107</x:v>
      </x:c>
      <x:c r="W97" s="4" t="n">
        <x:f>MATCH(T97,$J$388:$J$400,0)</x:f>
        <x:v>4</x:v>
      </x:c>
      <x:c r="X97" s="3"/>
      <x:c r="Y97" s="3"/>
      <x:c r="Z97" s="3"/>
    </x:row>
    <x:row r="98" ht="15" customHeight="1">
      <x:c r="A98" s="7" t="str">
        <x:f>IF(80&lt;='Сводка'!$B$3,'Сводка'!$B$4+80,"")</x:f>
      </x:c>
      <x:c r="B98" s="20" t="str">
        <x:f>IF($A98="","",(A98-$T$405+1)/1000)</x:f>
      </x:c>
      <x:c r="C98" s="20" t="str">
        <x:f>IF($A98="","",2*(A98-$T$405)/$T$406-1)</x:f>
      </x:c>
      <x:c r="D98" s="3" t="str">
        <x:f>IF($A98="","",$B$4+$B$5*C98^1+$B$6*C98^2+$B$7*C98^3+INDEX($E$4:$E$15,MONTH(A98)))</x:f>
      </x:c>
      <x:c r="E98" s="3" t="str">
        <x:f>IF($A98="","",SQRT($T$403^2+H98^2))</x:f>
      </x:c>
      <x:c r="F98" s="3" t="str">
        <x:f>IF($A98="","",D98-$T$404*E98)</x:f>
      </x:c>
      <x:c r="G98" s="3" t="str">
        <x:f>IF($A98="","",D98+$T$404*E98)</x:f>
      </x:c>
      <x:c r="H98" s="3" t="str">
        <x:f>IF($A98="","",SQRT(MAX(0,(1)*$S$409*(1)+(1)*$T$409*(C98^1)+(1)*$U$409*(C98^2)+(1)*$V$409*(C98^3)+(C98^1)*$S$410*(1)+(C98^1)*$T$410*(C98^1)+(C98^1)*$U$410*(C98^2)+(C98^1)*$V$410*(C98^3)+(C98^2)*$S$411*(1)+(C98^2)*$T$411*(C98^1)+(C98^2)*$U$411*(C98^2)+(C98^2)*$V$411*(C98^3)+(C98^3)*$S$412*(1)+(C98^3)*$T$412*(C98^1)+(C98^3)*$U$412*(C98^2)+(C98^3)*$V$412*(C98^3)+2*((1)*INDEX($S$416:$V$427,MONTH(A98),1)+(C98^1)*INDEX($S$416:$V$427,MONTH(A98),2)+(C98^2)*INDEX($S$416:$V$427,MONTH(A98),3)+(C98^3)*INDEX($S$416:$V$427,MONTH(A98),4))+INDEX($W$416:$W$427,MONTH(A98)))))</x:f>
      </x:c>
      <x:c r="I98" s="3"/>
      <x:c r="J98" s="10" t="n">
        <x:v>45949</x:v>
      </x:c>
      <x:c r="K98" s="8" t="n">
        <x:f>INDEX('Сводка'!$S$3:$S$397,U98)</x:f>
        <x:v>56</x:v>
      </x:c>
      <x:c r="L98" s="8" t="n">
        <x:f>INDEX('Сводка'!$S$3:$S$397,V98)</x:f>
        <x:v>66</x:v>
      </x:c>
      <x:c r="M98" s="8" t="n">
        <x:f>INDEX($K$388:$N$400,W98,1)+INDEX($K$388:$N$400,W98,2)*(2*(J98-$T$405)/(T98-$T$405)-1)^1+INDEX($K$388:$N$400,W98,3)*(2*(J98-$T$405)/(T98-$T$405)-1)^2+INDEX($K$388:$N$400,W98,4)*(2*(J98-$T$405)/(T98-$T$405)-1)^3+INDEX($O$388:$Z$400,W98,MONTH(J98))</x:f>
        <x:v>129.0185569574045</x:v>
      </x:c>
      <x:c r="N98" s="8" t="n">
        <x:f>K98-M98</x:f>
        <x:v>-73.01855695740451</x:v>
      </x:c>
      <x:c r="O98" s="8" t="n">
        <x:f>ABS(N98)</x:f>
        <x:v>73.01855695740451</x:v>
      </x:c>
      <x:c r="P98" s="8" t="n">
        <x:f>N98^2</x:f>
        <x:v>5331.709660141727</x:v>
      </x:c>
      <x:c r="Q98" s="8" t="n">
        <x:f>K98-L98</x:f>
        <x:v>-10</x:v>
      </x:c>
      <x:c r="R98" s="9" t="n">
        <x:f>IF(AND(INDEX('Сводка'!$T$3:$T$397,U98)=0,INDEX('Сводка'!$T$3:$T$397,V98)=0),1,0)</x:f>
        <x:v>1</x:v>
      </x:c>
      <x:c r="S98" s="9" t="n">
        <x:f>IF(AND(R98=1,O98&lt;=$G$13),1,0)</x:f>
        <x:v>0</x:v>
      </x:c>
      <x:c r="T98" s="10" t="n">
        <x:f>EOMONTH(J98-'Сводка'!$B$11,-1)</x:f>
        <x:v>45930</x:v>
      </x:c>
      <x:c r="U98" s="4" t="n">
        <x:f>MATCH(J98,'Сводка'!$R$3:$R$397,0)</x:f>
        <x:v>109</x:v>
      </x:c>
      <x:c r="V98" s="4" t="n">
        <x:f>MATCH(J98-'Сводка'!$B$11,'Сводка'!$R$3:$R$397,0)</x:f>
        <x:v>108</x:v>
      </x:c>
      <x:c r="W98" s="4" t="n">
        <x:f>MATCH(T98,$J$388:$J$400,0)</x:f>
        <x:v>4</x:v>
      </x:c>
      <x:c r="X98" s="3"/>
      <x:c r="Y98" s="3"/>
      <x:c r="Z98" s="3"/>
    </x:row>
    <x:row r="99" ht="15" customHeight="1">
      <x:c r="A99" s="7" t="str">
        <x:f>IF(81&lt;='Сводка'!$B$3,'Сводка'!$B$4+81,"")</x:f>
      </x:c>
      <x:c r="B99" s="20" t="str">
        <x:f>IF($A99="","",(A99-$T$405+1)/1000)</x:f>
      </x:c>
      <x:c r="C99" s="20" t="str">
        <x:f>IF($A99="","",2*(A99-$T$405)/$T$406-1)</x:f>
      </x:c>
      <x:c r="D99" s="3" t="str">
        <x:f>IF($A99="","",$B$4+$B$5*C99^1+$B$6*C99^2+$B$7*C99^3+INDEX($E$4:$E$15,MONTH(A99)))</x:f>
      </x:c>
      <x:c r="E99" s="3" t="str">
        <x:f>IF($A99="","",SQRT($T$403^2+H99^2))</x:f>
      </x:c>
      <x:c r="F99" s="3" t="str">
        <x:f>IF($A99="","",D99-$T$404*E99)</x:f>
      </x:c>
      <x:c r="G99" s="3" t="str">
        <x:f>IF($A99="","",D99+$T$404*E99)</x:f>
      </x:c>
      <x:c r="H99" s="3" t="str">
        <x:f>IF($A99="","",SQRT(MAX(0,(1)*$S$409*(1)+(1)*$T$409*(C99^1)+(1)*$U$409*(C99^2)+(1)*$V$409*(C99^3)+(C99^1)*$S$410*(1)+(C99^1)*$T$410*(C99^1)+(C99^1)*$U$410*(C99^2)+(C99^1)*$V$410*(C99^3)+(C99^2)*$S$411*(1)+(C99^2)*$T$411*(C99^1)+(C99^2)*$U$411*(C99^2)+(C99^2)*$V$411*(C99^3)+(C99^3)*$S$412*(1)+(C99^3)*$T$412*(C99^1)+(C99^3)*$U$412*(C99^2)+(C99^3)*$V$412*(C99^3)+2*((1)*INDEX($S$416:$V$427,MONTH(A99),1)+(C99^1)*INDEX($S$416:$V$427,MONTH(A99),2)+(C99^2)*INDEX($S$416:$V$427,MONTH(A99),3)+(C99^3)*INDEX($S$416:$V$427,MONTH(A99),4))+INDEX($W$416:$W$427,MONTH(A99)))))</x:f>
      </x:c>
      <x:c r="I99" s="3"/>
      <x:c r="J99" s="10" t="n">
        <x:v>45950</x:v>
      </x:c>
      <x:c r="K99" s="8" t="n">
        <x:f>INDEX('Сводка'!$S$3:$S$397,U99)</x:f>
        <x:v>46</x:v>
      </x:c>
      <x:c r="L99" s="8" t="n">
        <x:f>INDEX('Сводка'!$S$3:$S$397,V99)</x:f>
        <x:v>56</x:v>
      </x:c>
      <x:c r="M99" s="8" t="n">
        <x:f>INDEX($K$388:$N$400,W99,1)+INDEX($K$388:$N$400,W99,2)*(2*(J99-$T$405)/(T99-$T$405)-1)^1+INDEX($K$388:$N$400,W99,3)*(2*(J99-$T$405)/(T99-$T$405)-1)^2+INDEX($K$388:$N$400,W99,4)*(2*(J99-$T$405)/(T99-$T$405)-1)^3+INDEX($O$388:$Z$400,W99,MONTH(J99))</x:f>
        <x:v>129.00165429422896</x:v>
      </x:c>
      <x:c r="N99" s="8" t="n">
        <x:f>K99-M99</x:f>
        <x:v>-83.00165429422896</x:v>
      </x:c>
      <x:c r="O99" s="8" t="n">
        <x:f>ABS(N99)</x:f>
        <x:v>83.00165429422896</x:v>
      </x:c>
      <x:c r="P99" s="8" t="n">
        <x:f>N99^2</x:f>
        <x:v>6889.274615578696</x:v>
      </x:c>
      <x:c r="Q99" s="8" t="n">
        <x:f>K99-L99</x:f>
        <x:v>-10</x:v>
      </x:c>
      <x:c r="R99" s="9" t="n">
        <x:f>IF(AND(INDEX('Сводка'!$T$3:$T$397,U99)=0,INDEX('Сводка'!$T$3:$T$397,V99)=0),1,0)</x:f>
        <x:v>1</x:v>
      </x:c>
      <x:c r="S99" s="9" t="n">
        <x:f>IF(AND(R99=1,O99&lt;=$G$13),1,0)</x:f>
        <x:v>0</x:v>
      </x:c>
      <x:c r="T99" s="10" t="n">
        <x:f>EOMONTH(J99-'Сводка'!$B$11,-1)</x:f>
        <x:v>45930</x:v>
      </x:c>
      <x:c r="U99" s="4" t="n">
        <x:f>MATCH(J99,'Сводка'!$R$3:$R$397,0)</x:f>
        <x:v>110</x:v>
      </x:c>
      <x:c r="V99" s="4" t="n">
        <x:f>MATCH(J99-'Сводка'!$B$11,'Сводка'!$R$3:$R$397,0)</x:f>
        <x:v>109</x:v>
      </x:c>
      <x:c r="W99" s="4" t="n">
        <x:f>MATCH(T99,$J$388:$J$400,0)</x:f>
        <x:v>4</x:v>
      </x:c>
      <x:c r="X99" s="3"/>
      <x:c r="Y99" s="3"/>
      <x:c r="Z99" s="3"/>
    </x:row>
    <x:row r="100" ht="15" customHeight="1">
      <x:c r="A100" s="7" t="str">
        <x:f>IF(82&lt;='Сводка'!$B$3,'Сводка'!$B$4+82,"")</x:f>
      </x:c>
      <x:c r="B100" s="20" t="str">
        <x:f>IF($A100="","",(A100-$T$405+1)/1000)</x:f>
      </x:c>
      <x:c r="C100" s="20" t="str">
        <x:f>IF($A100="","",2*(A100-$T$405)/$T$406-1)</x:f>
      </x:c>
      <x:c r="D100" s="3" t="str">
        <x:f>IF($A100="","",$B$4+$B$5*C100^1+$B$6*C100^2+$B$7*C100^3+INDEX($E$4:$E$15,MONTH(A100)))</x:f>
      </x:c>
      <x:c r="E100" s="3" t="str">
        <x:f>IF($A100="","",SQRT($T$403^2+H100^2))</x:f>
      </x:c>
      <x:c r="F100" s="3" t="str">
        <x:f>IF($A100="","",D100-$T$404*E100)</x:f>
      </x:c>
      <x:c r="G100" s="3" t="str">
        <x:f>IF($A100="","",D100+$T$404*E100)</x:f>
      </x:c>
      <x:c r="H100" s="3" t="str">
        <x:f>IF($A100="","",SQRT(MAX(0,(1)*$S$409*(1)+(1)*$T$409*(C100^1)+(1)*$U$409*(C100^2)+(1)*$V$409*(C100^3)+(C100^1)*$S$410*(1)+(C100^1)*$T$410*(C100^1)+(C100^1)*$U$410*(C100^2)+(C100^1)*$V$410*(C100^3)+(C100^2)*$S$411*(1)+(C100^2)*$T$411*(C100^1)+(C100^2)*$U$411*(C100^2)+(C100^2)*$V$411*(C100^3)+(C100^3)*$S$412*(1)+(C100^3)*$T$412*(C100^1)+(C100^3)*$U$412*(C100^2)+(C100^3)*$V$412*(C100^3)+2*((1)*INDEX($S$416:$V$427,MONTH(A100),1)+(C100^1)*INDEX($S$416:$V$427,MONTH(A100),2)+(C100^2)*INDEX($S$416:$V$427,MONTH(A100),3)+(C100^3)*INDEX($S$416:$V$427,MONTH(A100),4))+INDEX($W$416:$W$427,MONTH(A100)))))</x:f>
      </x:c>
      <x:c r="I100" s="3"/>
      <x:c r="J100" s="10" t="n">
        <x:v>45951</x:v>
      </x:c>
      <x:c r="K100" s="8" t="n">
        <x:f>INDEX('Сводка'!$S$3:$S$397,U100)</x:f>
        <x:v>36</x:v>
      </x:c>
      <x:c r="L100" s="8" t="n">
        <x:f>INDEX('Сводка'!$S$3:$S$397,V100)</x:f>
        <x:v>46</x:v>
      </x:c>
      <x:c r="M100" s="8" t="n">
        <x:f>INDEX($K$388:$N$400,W100,1)+INDEX($K$388:$N$400,W100,2)*(2*(J100-$T$405)/(T100-$T$405)-1)^1+INDEX($K$388:$N$400,W100,3)*(2*(J100-$T$405)/(T100-$T$405)-1)^2+INDEX($K$388:$N$400,W100,4)*(2*(J100-$T$405)/(T100-$T$405)-1)^3+INDEX($O$388:$Z$400,W100,MONTH(J100))</x:f>
        <x:v>128.9847386819167</x:v>
      </x:c>
      <x:c r="N100" s="8" t="n">
        <x:f>K100-M100</x:f>
        <x:v>-92.9847386819167</x:v>
      </x:c>
      <x:c r="O100" s="8" t="n">
        <x:f>ABS(N100)</x:f>
        <x:v>92.9847386819167</x:v>
      </x:c>
      <x:c r="P100" s="8" t="n">
        <x:f>N100^2</x:f>
        <x:v>8646.161627744335</x:v>
      </x:c>
      <x:c r="Q100" s="8" t="n">
        <x:f>K100-L100</x:f>
        <x:v>-10</x:v>
      </x:c>
      <x:c r="R100" s="9" t="n">
        <x:f>IF(AND(INDEX('Сводка'!$T$3:$T$397,U100)=0,INDEX('Сводка'!$T$3:$T$397,V100)=0),1,0)</x:f>
        <x:v>1</x:v>
      </x:c>
      <x:c r="S100" s="9" t="n">
        <x:f>IF(AND(R100=1,O100&lt;=$G$13),1,0)</x:f>
        <x:v>0</x:v>
      </x:c>
      <x:c r="T100" s="10" t="n">
        <x:f>EOMONTH(J100-'Сводка'!$B$11,-1)</x:f>
        <x:v>45930</x:v>
      </x:c>
      <x:c r="U100" s="4" t="n">
        <x:f>MATCH(J100,'Сводка'!$R$3:$R$397,0)</x:f>
        <x:v>111</x:v>
      </x:c>
      <x:c r="V100" s="4" t="n">
        <x:f>MATCH(J100-'Сводка'!$B$11,'Сводка'!$R$3:$R$397,0)</x:f>
        <x:v>110</x:v>
      </x:c>
      <x:c r="W100" s="4" t="n">
        <x:f>MATCH(T100,$J$388:$J$400,0)</x:f>
        <x:v>4</x:v>
      </x:c>
      <x:c r="X100" s="3"/>
      <x:c r="Y100" s="3"/>
      <x:c r="Z100" s="3"/>
    </x:row>
    <x:row r="101" ht="15" customHeight="1">
      <x:c r="A101" s="7" t="str">
        <x:f>IF(83&lt;='Сводка'!$B$3,'Сводка'!$B$4+83,"")</x:f>
      </x:c>
      <x:c r="B101" s="20" t="str">
        <x:f>IF($A101="","",(A101-$T$405+1)/1000)</x:f>
      </x:c>
      <x:c r="C101" s="20" t="str">
        <x:f>IF($A101="","",2*(A101-$T$405)/$T$406-1)</x:f>
      </x:c>
      <x:c r="D101" s="3" t="str">
        <x:f>IF($A101="","",$B$4+$B$5*C101^1+$B$6*C101^2+$B$7*C101^3+INDEX($E$4:$E$15,MONTH(A101)))</x:f>
      </x:c>
      <x:c r="E101" s="3" t="str">
        <x:f>IF($A101="","",SQRT($T$403^2+H101^2))</x:f>
      </x:c>
      <x:c r="F101" s="3" t="str">
        <x:f>IF($A101="","",D101-$T$404*E101)</x:f>
      </x:c>
      <x:c r="G101" s="3" t="str">
        <x:f>IF($A101="","",D101+$T$404*E101)</x:f>
      </x:c>
      <x:c r="H101" s="3" t="str">
        <x:f>IF($A101="","",SQRT(MAX(0,(1)*$S$409*(1)+(1)*$T$409*(C101^1)+(1)*$U$409*(C101^2)+(1)*$V$409*(C101^3)+(C101^1)*$S$410*(1)+(C101^1)*$T$410*(C101^1)+(C101^1)*$U$410*(C101^2)+(C101^1)*$V$410*(C101^3)+(C101^2)*$S$411*(1)+(C101^2)*$T$411*(C101^1)+(C101^2)*$U$411*(C101^2)+(C101^2)*$V$411*(C101^3)+(C101^3)*$S$412*(1)+(C101^3)*$T$412*(C101^1)+(C101^3)*$U$412*(C101^2)+(C101^3)*$V$412*(C101^3)+2*((1)*INDEX($S$416:$V$427,MONTH(A101),1)+(C101^1)*INDEX($S$416:$V$427,MONTH(A101),2)+(C101^2)*INDEX($S$416:$V$427,MONTH(A101),3)+(C101^3)*INDEX($S$416:$V$427,MONTH(A101),4))+INDEX($W$416:$W$427,MONTH(A101)))))</x:f>
      </x:c>
      <x:c r="I101" s="3"/>
      <x:c r="J101" s="10" t="n">
        <x:v>45952</x:v>
      </x:c>
      <x:c r="K101" s="8" t="n">
        <x:f>INDEX('Сводка'!$S$3:$S$397,U101)</x:f>
        <x:v>30</x:v>
      </x:c>
      <x:c r="L101" s="8" t="n">
        <x:f>INDEX('Сводка'!$S$3:$S$397,V101)</x:f>
        <x:v>36</x:v>
      </x:c>
      <x:c r="M101" s="8" t="n">
        <x:f>INDEX($K$388:$N$400,W101,1)+INDEX($K$388:$N$400,W101,2)*(2*(J101-$T$405)/(T101-$T$405)-1)^1+INDEX($K$388:$N$400,W101,3)*(2*(J101-$T$405)/(T101-$T$405)-1)^2+INDEX($K$388:$N$400,W101,4)*(2*(J101-$T$405)/(T101-$T$405)-1)^3+INDEX($O$388:$Z$400,W101,MONTH(J101))</x:f>
        <x:v>128.96781011882715</x:v>
      </x:c>
      <x:c r="N101" s="8" t="n">
        <x:f>K101-M101</x:f>
        <x:v>-98.96781011882715</x:v>
      </x:c>
      <x:c r="O101" s="8" t="n">
        <x:f>ABS(N101)</x:f>
        <x:v>98.96781011882715</x:v>
      </x:c>
      <x:c r="P101" s="8" t="n">
        <x:f>N101^2</x:f>
        <x:v>9794.627439716225</x:v>
      </x:c>
      <x:c r="Q101" s="8" t="n">
        <x:f>K101-L101</x:f>
        <x:v>-6</x:v>
      </x:c>
      <x:c r="R101" s="9" t="n">
        <x:f>IF(AND(INDEX('Сводка'!$T$3:$T$397,U101)=0,INDEX('Сводка'!$T$3:$T$397,V101)=0),1,0)</x:f>
        <x:v>1</x:v>
      </x:c>
      <x:c r="S101" s="9" t="n">
        <x:f>IF(AND(R101=1,O101&lt;=$G$13),1,0)</x:f>
        <x:v>0</x:v>
      </x:c>
      <x:c r="T101" s="10" t="n">
        <x:f>EOMONTH(J101-'Сводка'!$B$11,-1)</x:f>
        <x:v>45930</x:v>
      </x:c>
      <x:c r="U101" s="4" t="n">
        <x:f>MATCH(J101,'Сводка'!$R$3:$R$397,0)</x:f>
        <x:v>112</x:v>
      </x:c>
      <x:c r="V101" s="4" t="n">
        <x:f>MATCH(J101-'Сводка'!$B$11,'Сводка'!$R$3:$R$397,0)</x:f>
        <x:v>111</x:v>
      </x:c>
      <x:c r="W101" s="4" t="n">
        <x:f>MATCH(T101,$J$388:$J$400,0)</x:f>
        <x:v>4</x:v>
      </x:c>
      <x:c r="X101" s="3"/>
      <x:c r="Y101" s="3"/>
      <x:c r="Z101" s="3"/>
    </x:row>
    <x:row r="102" ht="15" customHeight="1">
      <x:c r="A102" s="7" t="str">
        <x:f>IF(84&lt;='Сводка'!$B$3,'Сводка'!$B$4+84,"")</x:f>
      </x:c>
      <x:c r="B102" s="20" t="str">
        <x:f>IF($A102="","",(A102-$T$405+1)/1000)</x:f>
      </x:c>
      <x:c r="C102" s="20" t="str">
        <x:f>IF($A102="","",2*(A102-$T$405)/$T$406-1)</x:f>
      </x:c>
      <x:c r="D102" s="3" t="str">
        <x:f>IF($A102="","",$B$4+$B$5*C102^1+$B$6*C102^2+$B$7*C102^3+INDEX($E$4:$E$15,MONTH(A102)))</x:f>
      </x:c>
      <x:c r="E102" s="3" t="str">
        <x:f>IF($A102="","",SQRT($T$403^2+H102^2))</x:f>
      </x:c>
      <x:c r="F102" s="3" t="str">
        <x:f>IF($A102="","",D102-$T$404*E102)</x:f>
      </x:c>
      <x:c r="G102" s="3" t="str">
        <x:f>IF($A102="","",D102+$T$404*E102)</x:f>
      </x:c>
      <x:c r="H102" s="3" t="str">
        <x:f>IF($A102="","",SQRT(MAX(0,(1)*$S$409*(1)+(1)*$T$409*(C102^1)+(1)*$U$409*(C102^2)+(1)*$V$409*(C102^3)+(C102^1)*$S$410*(1)+(C102^1)*$T$410*(C102^1)+(C102^1)*$U$410*(C102^2)+(C102^1)*$V$410*(C102^3)+(C102^2)*$S$411*(1)+(C102^2)*$T$411*(C102^1)+(C102^2)*$U$411*(C102^2)+(C102^2)*$V$411*(C102^3)+(C102^3)*$S$412*(1)+(C102^3)*$T$412*(C102^1)+(C102^3)*$U$412*(C102^2)+(C102^3)*$V$412*(C102^3)+2*((1)*INDEX($S$416:$V$427,MONTH(A102),1)+(C102^1)*INDEX($S$416:$V$427,MONTH(A102),2)+(C102^2)*INDEX($S$416:$V$427,MONTH(A102),3)+(C102^3)*INDEX($S$416:$V$427,MONTH(A102),4))+INDEX($W$416:$W$427,MONTH(A102)))))</x:f>
      </x:c>
      <x:c r="I102" s="3"/>
      <x:c r="J102" s="10" t="n">
        <x:v>45953</x:v>
      </x:c>
      <x:c r="K102" s="8" t="n">
        <x:f>INDEX('Сводка'!$S$3:$S$397,U102)</x:f>
        <x:v>19</x:v>
      </x:c>
      <x:c r="L102" s="8" t="n">
        <x:f>INDEX('Сводка'!$S$3:$S$397,V102)</x:f>
        <x:v>30</x:v>
      </x:c>
      <x:c r="M102" s="8" t="n">
        <x:f>INDEX($K$388:$N$400,W102,1)+INDEX($K$388:$N$400,W102,2)*(2*(J102-$T$405)/(T102-$T$405)-1)^1+INDEX($K$388:$N$400,W102,3)*(2*(J102-$T$405)/(T102-$T$405)-1)^2+INDEX($K$388:$N$400,W102,4)*(2*(J102-$T$405)/(T102-$T$405)-1)^3+INDEX($O$388:$Z$400,W102,MONTH(J102))</x:f>
        <x:v>128.9508686033194</x:v>
      </x:c>
      <x:c r="N102" s="8" t="n">
        <x:f>K102-M102</x:f>
        <x:v>-109.9508686033194</x:v>
      </x:c>
      <x:c r="O102" s="8" t="n">
        <x:f>ABS(N102)</x:f>
        <x:v>109.9508686033194</x:v>
      </x:c>
      <x:c r="P102" s="8" t="n">
        <x:f>N102^2</x:f>
        <x:v>12089.19350662441</x:v>
      </x:c>
      <x:c r="Q102" s="8" t="n">
        <x:f>K102-L102</x:f>
        <x:v>-11</x:v>
      </x:c>
      <x:c r="R102" s="9" t="n">
        <x:f>IF(AND(INDEX('Сводка'!$T$3:$T$397,U102)=0,INDEX('Сводка'!$T$3:$T$397,V102)=0),1,0)</x:f>
        <x:v>1</x:v>
      </x:c>
      <x:c r="S102" s="9" t="n">
        <x:f>IF(AND(R102=1,O102&lt;=$G$13),1,0)</x:f>
        <x:v>0</x:v>
      </x:c>
      <x:c r="T102" s="10" t="n">
        <x:f>EOMONTH(J102-'Сводка'!$B$11,-1)</x:f>
        <x:v>45930</x:v>
      </x:c>
      <x:c r="U102" s="4" t="n">
        <x:f>MATCH(J102,'Сводка'!$R$3:$R$397,0)</x:f>
        <x:v>113</x:v>
      </x:c>
      <x:c r="V102" s="4" t="n">
        <x:f>MATCH(J102-'Сводка'!$B$11,'Сводка'!$R$3:$R$397,0)</x:f>
        <x:v>112</x:v>
      </x:c>
      <x:c r="W102" s="4" t="n">
        <x:f>MATCH(T102,$J$388:$J$400,0)</x:f>
        <x:v>4</x:v>
      </x:c>
      <x:c r="X102" s="3"/>
      <x:c r="Y102" s="3"/>
      <x:c r="Z102" s="3"/>
    </x:row>
    <x:row r="103" ht="15" customHeight="1">
      <x:c r="A103" s="7" t="str">
        <x:f>IF(85&lt;='Сводка'!$B$3,'Сводка'!$B$4+85,"")</x:f>
      </x:c>
      <x:c r="B103" s="20" t="str">
        <x:f>IF($A103="","",(A103-$T$405+1)/1000)</x:f>
      </x:c>
      <x:c r="C103" s="20" t="str">
        <x:f>IF($A103="","",2*(A103-$T$405)/$T$406-1)</x:f>
      </x:c>
      <x:c r="D103" s="3" t="str">
        <x:f>IF($A103="","",$B$4+$B$5*C103^1+$B$6*C103^2+$B$7*C103^3+INDEX($E$4:$E$15,MONTH(A103)))</x:f>
      </x:c>
      <x:c r="E103" s="3" t="str">
        <x:f>IF($A103="","",SQRT($T$403^2+H103^2))</x:f>
      </x:c>
      <x:c r="F103" s="3" t="str">
        <x:f>IF($A103="","",D103-$T$404*E103)</x:f>
      </x:c>
      <x:c r="G103" s="3" t="str">
        <x:f>IF($A103="","",D103+$T$404*E103)</x:f>
      </x:c>
      <x:c r="H103" s="3" t="str">
        <x:f>IF($A103="","",SQRT(MAX(0,(1)*$S$409*(1)+(1)*$T$409*(C103^1)+(1)*$U$409*(C103^2)+(1)*$V$409*(C103^3)+(C103^1)*$S$410*(1)+(C103^1)*$T$410*(C103^1)+(C103^1)*$U$410*(C103^2)+(C103^1)*$V$410*(C103^3)+(C103^2)*$S$411*(1)+(C103^2)*$T$411*(C103^1)+(C103^2)*$U$411*(C103^2)+(C103^2)*$V$411*(C103^3)+(C103^3)*$S$412*(1)+(C103^3)*$T$412*(C103^1)+(C103^3)*$U$412*(C103^2)+(C103^3)*$V$412*(C103^3)+2*((1)*INDEX($S$416:$V$427,MONTH(A103),1)+(C103^1)*INDEX($S$416:$V$427,MONTH(A103),2)+(C103^2)*INDEX($S$416:$V$427,MONTH(A103),3)+(C103^3)*INDEX($S$416:$V$427,MONTH(A103),4))+INDEX($W$416:$W$427,MONTH(A103)))))</x:f>
      </x:c>
      <x:c r="I103" s="3"/>
      <x:c r="J103" s="10" t="n">
        <x:v>45954</x:v>
      </x:c>
      <x:c r="K103" s="8" t="n">
        <x:f>INDEX('Сводка'!$S$3:$S$397,U103)</x:f>
        <x:v>12</x:v>
      </x:c>
      <x:c r="L103" s="8" t="n">
        <x:f>INDEX('Сводка'!$S$3:$S$397,V103)</x:f>
        <x:v>19</x:v>
      </x:c>
      <x:c r="M103" s="8" t="n">
        <x:f>INDEX($K$388:$N$400,W103,1)+INDEX($K$388:$N$400,W103,2)*(2*(J103-$T$405)/(T103-$T$405)-1)^1+INDEX($K$388:$N$400,W103,3)*(2*(J103-$T$405)/(T103-$T$405)-1)^2+INDEX($K$388:$N$400,W103,4)*(2*(J103-$T$405)/(T103-$T$405)-1)^3+INDEX($O$388:$Z$400,W103,MONTH(J103))</x:f>
        <x:v>128.93391413375292</x:v>
      </x:c>
      <x:c r="N103" s="8" t="n">
        <x:f>K103-M103</x:f>
        <x:v>-116.93391413375292</x:v>
      </x:c>
      <x:c r="O103" s="8" t="n">
        <x:f>ABS(N103)</x:f>
        <x:v>116.93391413375292</x:v>
      </x:c>
      <x:c r="P103" s="8" t="n">
        <x:f>N103^2</x:f>
        <x:v>13673.540274639901</x:v>
      </x:c>
      <x:c r="Q103" s="8" t="n">
        <x:f>K103-L103</x:f>
        <x:v>-7</x:v>
      </x:c>
      <x:c r="R103" s="9" t="n">
        <x:f>IF(AND(INDEX('Сводка'!$T$3:$T$397,U103)=0,INDEX('Сводка'!$T$3:$T$397,V103)=0),1,0)</x:f>
        <x:v>1</x:v>
      </x:c>
      <x:c r="S103" s="9" t="n">
        <x:f>IF(AND(R103=1,O103&lt;=$G$13),1,0)</x:f>
        <x:v>0</x:v>
      </x:c>
      <x:c r="T103" s="10" t="n">
        <x:f>EOMONTH(J103-'Сводка'!$B$11,-1)</x:f>
        <x:v>45930</x:v>
      </x:c>
      <x:c r="U103" s="4" t="n">
        <x:f>MATCH(J103,'Сводка'!$R$3:$R$397,0)</x:f>
        <x:v>114</x:v>
      </x:c>
      <x:c r="V103" s="4" t="n">
        <x:f>MATCH(J103-'Сводка'!$B$11,'Сводка'!$R$3:$R$397,0)</x:f>
        <x:v>113</x:v>
      </x:c>
      <x:c r="W103" s="4" t="n">
        <x:f>MATCH(T103,$J$388:$J$400,0)</x:f>
        <x:v>4</x:v>
      </x:c>
      <x:c r="X103" s="3"/>
      <x:c r="Y103" s="3"/>
      <x:c r="Z103" s="3"/>
    </x:row>
    <x:row r="104" ht="15" customHeight="1">
      <x:c r="A104" s="7" t="str">
        <x:f>IF(86&lt;='Сводка'!$B$3,'Сводка'!$B$4+86,"")</x:f>
      </x:c>
      <x:c r="B104" s="20" t="str">
        <x:f>IF($A104="","",(A104-$T$405+1)/1000)</x:f>
      </x:c>
      <x:c r="C104" s="20" t="str">
        <x:f>IF($A104="","",2*(A104-$T$405)/$T$406-1)</x:f>
      </x:c>
      <x:c r="D104" s="3" t="str">
        <x:f>IF($A104="","",$B$4+$B$5*C104^1+$B$6*C104^2+$B$7*C104^3+INDEX($E$4:$E$15,MONTH(A104)))</x:f>
      </x:c>
      <x:c r="E104" s="3" t="str">
        <x:f>IF($A104="","",SQRT($T$403^2+H104^2))</x:f>
      </x:c>
      <x:c r="F104" s="3" t="str">
        <x:f>IF($A104="","",D104-$T$404*E104)</x:f>
      </x:c>
      <x:c r="G104" s="3" t="str">
        <x:f>IF($A104="","",D104+$T$404*E104)</x:f>
      </x:c>
      <x:c r="H104" s="3" t="str">
        <x:f>IF($A104="","",SQRT(MAX(0,(1)*$S$409*(1)+(1)*$T$409*(C104^1)+(1)*$U$409*(C104^2)+(1)*$V$409*(C104^3)+(C104^1)*$S$410*(1)+(C104^1)*$T$410*(C104^1)+(C104^1)*$U$410*(C104^2)+(C104^1)*$V$410*(C104^3)+(C104^2)*$S$411*(1)+(C104^2)*$T$411*(C104^1)+(C104^2)*$U$411*(C104^2)+(C104^2)*$V$411*(C104^3)+(C104^3)*$S$412*(1)+(C104^3)*$T$412*(C104^1)+(C104^3)*$U$412*(C104^2)+(C104^3)*$V$412*(C104^3)+2*((1)*INDEX($S$416:$V$427,MONTH(A104),1)+(C104^1)*INDEX($S$416:$V$427,MONTH(A104),2)+(C104^2)*INDEX($S$416:$V$427,MONTH(A104),3)+(C104^3)*INDEX($S$416:$V$427,MONTH(A104),4))+INDEX($W$416:$W$427,MONTH(A104)))))</x:f>
      </x:c>
      <x:c r="I104" s="3"/>
      <x:c r="J104" s="10" t="n">
        <x:v>45955</x:v>
      </x:c>
      <x:c r="K104" s="8" t="n">
        <x:f>INDEX('Сводка'!$S$3:$S$397,U104)</x:f>
        <x:v>5</x:v>
      </x:c>
      <x:c r="L104" s="8" t="n">
        <x:f>INDEX('Сводка'!$S$3:$S$397,V104)</x:f>
        <x:v>12</x:v>
      </x:c>
      <x:c r="M104" s="8" t="n">
        <x:f>INDEX($K$388:$N$400,W104,1)+INDEX($K$388:$N$400,W104,2)*(2*(J104-$T$405)/(T104-$T$405)-1)^1+INDEX($K$388:$N$400,W104,3)*(2*(J104-$T$405)/(T104-$T$405)-1)^2+INDEX($K$388:$N$400,W104,4)*(2*(J104-$T$405)/(T104-$T$405)-1)^3+INDEX($O$388:$Z$400,W104,MONTH(J104))</x:f>
        <x:v>128.916946708487</x:v>
      </x:c>
      <x:c r="N104" s="8" t="n">
        <x:f>K104-M104</x:f>
        <x:v>-123.91694670848699</x:v>
      </x:c>
      <x:c r="O104" s="8" t="n">
        <x:f>ABS(N104)</x:f>
        <x:v>123.91694670848699</x:v>
      </x:c>
      <x:c r="P104" s="8" t="n">
        <x:f>N104^2</x:f>
        <x:v>15355.409681554005</x:v>
      </x:c>
      <x:c r="Q104" s="8" t="n">
        <x:f>K104-L104</x:f>
        <x:v>-7</x:v>
      </x:c>
      <x:c r="R104" s="9" t="n">
        <x:f>IF(AND(INDEX('Сводка'!$T$3:$T$397,U104)=0,INDEX('Сводка'!$T$3:$T$397,V104)=0),1,0)</x:f>
        <x:v>1</x:v>
      </x:c>
      <x:c r="S104" s="9" t="n">
        <x:f>IF(AND(R104=1,O104&lt;=$G$13),1,0)</x:f>
        <x:v>0</x:v>
      </x:c>
      <x:c r="T104" s="10" t="n">
        <x:f>EOMONTH(J104-'Сводка'!$B$11,-1)</x:f>
        <x:v>45930</x:v>
      </x:c>
      <x:c r="U104" s="4" t="n">
        <x:f>MATCH(J104,'Сводка'!$R$3:$R$397,0)</x:f>
        <x:v>115</x:v>
      </x:c>
      <x:c r="V104" s="4" t="n">
        <x:f>MATCH(J104-'Сводка'!$B$11,'Сводка'!$R$3:$R$397,0)</x:f>
        <x:v>114</x:v>
      </x:c>
      <x:c r="W104" s="4" t="n">
        <x:f>MATCH(T104,$J$388:$J$400,0)</x:f>
        <x:v>4</x:v>
      </x:c>
      <x:c r="X104" s="3"/>
      <x:c r="Y104" s="3"/>
      <x:c r="Z104" s="3"/>
    </x:row>
    <x:row r="105" ht="15" customHeight="1">
      <x:c r="A105" s="7" t="str">
        <x:f>IF(87&lt;='Сводка'!$B$3,'Сводка'!$B$4+87,"")</x:f>
      </x:c>
      <x:c r="B105" s="20" t="str">
        <x:f>IF($A105="","",(A105-$T$405+1)/1000)</x:f>
      </x:c>
      <x:c r="C105" s="20" t="str">
        <x:f>IF($A105="","",2*(A105-$T$405)/$T$406-1)</x:f>
      </x:c>
      <x:c r="D105" s="3" t="str">
        <x:f>IF($A105="","",$B$4+$B$5*C105^1+$B$6*C105^2+$B$7*C105^3+INDEX($E$4:$E$15,MONTH(A105)))</x:f>
      </x:c>
      <x:c r="E105" s="3" t="str">
        <x:f>IF($A105="","",SQRT($T$403^2+H105^2))</x:f>
      </x:c>
      <x:c r="F105" s="3" t="str">
        <x:f>IF($A105="","",D105-$T$404*E105)</x:f>
      </x:c>
      <x:c r="G105" s="3" t="str">
        <x:f>IF($A105="","",D105+$T$404*E105)</x:f>
      </x:c>
      <x:c r="H105" s="3" t="str">
        <x:f>IF($A105="","",SQRT(MAX(0,(1)*$S$409*(1)+(1)*$T$409*(C105^1)+(1)*$U$409*(C105^2)+(1)*$V$409*(C105^3)+(C105^1)*$S$410*(1)+(C105^1)*$T$410*(C105^1)+(C105^1)*$U$410*(C105^2)+(C105^1)*$V$410*(C105^3)+(C105^2)*$S$411*(1)+(C105^2)*$T$411*(C105^1)+(C105^2)*$U$411*(C105^2)+(C105^2)*$V$411*(C105^3)+(C105^3)*$S$412*(1)+(C105^3)*$T$412*(C105^1)+(C105^3)*$U$412*(C105^2)+(C105^3)*$V$412*(C105^3)+2*((1)*INDEX($S$416:$V$427,MONTH(A105),1)+(C105^1)*INDEX($S$416:$V$427,MONTH(A105),2)+(C105^2)*INDEX($S$416:$V$427,MONTH(A105),3)+(C105^3)*INDEX($S$416:$V$427,MONTH(A105),4))+INDEX($W$416:$W$427,MONTH(A105)))))</x:f>
      </x:c>
      <x:c r="I105" s="3"/>
      <x:c r="J105" s="10" t="n">
        <x:v>45956</x:v>
      </x:c>
      <x:c r="K105" s="8" t="n">
        <x:f>INDEX('Сводка'!$S$3:$S$397,U105)</x:f>
        <x:v>-1</x:v>
      </x:c>
      <x:c r="L105" s="8" t="n">
        <x:f>INDEX('Сводка'!$S$3:$S$397,V105)</x:f>
        <x:v>5</x:v>
      </x:c>
      <x:c r="M105" s="8" t="n">
        <x:f>INDEX($K$388:$N$400,W105,1)+INDEX($K$388:$N$400,W105,2)*(2*(J105-$T$405)/(T105-$T$405)-1)^1+INDEX($K$388:$N$400,W105,3)*(2*(J105-$T$405)/(T105-$T$405)-1)^2+INDEX($K$388:$N$400,W105,4)*(2*(J105-$T$405)/(T105-$T$405)-1)^3+INDEX($O$388:$Z$400,W105,MONTH(J105))</x:f>
        <x:v>128.89996632588088</x:v>
      </x:c>
      <x:c r="N105" s="8" t="n">
        <x:f>K105-M105</x:f>
        <x:v>-129.89996632588088</x:v>
      </x:c>
      <x:c r="O105" s="8" t="n">
        <x:f>ABS(N105)</x:f>
        <x:v>129.89996632588088</x:v>
      </x:c>
      <x:c r="P105" s="8" t="n">
        <x:f>N105^2</x:f>
        <x:v>16874.001251464986</x:v>
      </x:c>
      <x:c r="Q105" s="8" t="n">
        <x:f>K105-L105</x:f>
        <x:v>-6</x:v>
      </x:c>
      <x:c r="R105" s="9" t="n">
        <x:f>IF(AND(INDEX('Сводка'!$T$3:$T$397,U105)=0,INDEX('Сводка'!$T$3:$T$397,V105)=0),1,0)</x:f>
        <x:v>1</x:v>
      </x:c>
      <x:c r="S105" s="9" t="n">
        <x:f>IF(AND(R105=1,O105&lt;=$G$13),1,0)</x:f>
        <x:v>0</x:v>
      </x:c>
      <x:c r="T105" s="10" t="n">
        <x:f>EOMONTH(J105-'Сводка'!$B$11,-1)</x:f>
        <x:v>45930</x:v>
      </x:c>
      <x:c r="U105" s="4" t="n">
        <x:f>MATCH(J105,'Сводка'!$R$3:$R$397,0)</x:f>
        <x:v>116</x:v>
      </x:c>
      <x:c r="V105" s="4" t="n">
        <x:f>MATCH(J105-'Сводка'!$B$11,'Сводка'!$R$3:$R$397,0)</x:f>
        <x:v>115</x:v>
      </x:c>
      <x:c r="W105" s="4" t="n">
        <x:f>MATCH(T105,$J$388:$J$400,0)</x:f>
        <x:v>4</x:v>
      </x:c>
      <x:c r="X105" s="3"/>
      <x:c r="Y105" s="3"/>
      <x:c r="Z105" s="3"/>
    </x:row>
    <x:row r="106" ht="15" customHeight="1">
      <x:c r="A106" s="7" t="str">
        <x:f>IF(88&lt;='Сводка'!$B$3,'Сводка'!$B$4+88,"")</x:f>
      </x:c>
      <x:c r="B106" s="20" t="str">
        <x:f>IF($A106="","",(A106-$T$405+1)/1000)</x:f>
      </x:c>
      <x:c r="C106" s="20" t="str">
        <x:f>IF($A106="","",2*(A106-$T$405)/$T$406-1)</x:f>
      </x:c>
      <x:c r="D106" s="3" t="str">
        <x:f>IF($A106="","",$B$4+$B$5*C106^1+$B$6*C106^2+$B$7*C106^3+INDEX($E$4:$E$15,MONTH(A106)))</x:f>
      </x:c>
      <x:c r="E106" s="3" t="str">
        <x:f>IF($A106="","",SQRT($T$403^2+H106^2))</x:f>
      </x:c>
      <x:c r="F106" s="3" t="str">
        <x:f>IF($A106="","",D106-$T$404*E106)</x:f>
      </x:c>
      <x:c r="G106" s="3" t="str">
        <x:f>IF($A106="","",D106+$T$404*E106)</x:f>
      </x:c>
      <x:c r="H106" s="3" t="str">
        <x:f>IF($A106="","",SQRT(MAX(0,(1)*$S$409*(1)+(1)*$T$409*(C106^1)+(1)*$U$409*(C106^2)+(1)*$V$409*(C106^3)+(C106^1)*$S$410*(1)+(C106^1)*$T$410*(C106^1)+(C106^1)*$U$410*(C106^2)+(C106^1)*$V$410*(C106^3)+(C106^2)*$S$411*(1)+(C106^2)*$T$411*(C106^1)+(C106^2)*$U$411*(C106^2)+(C106^2)*$V$411*(C106^3)+(C106^3)*$S$412*(1)+(C106^3)*$T$412*(C106^1)+(C106^3)*$U$412*(C106^2)+(C106^3)*$V$412*(C106^3)+2*((1)*INDEX($S$416:$V$427,MONTH(A106),1)+(C106^1)*INDEX($S$416:$V$427,MONTH(A106),2)+(C106^2)*INDEX($S$416:$V$427,MONTH(A106),3)+(C106^3)*INDEX($S$416:$V$427,MONTH(A106),4))+INDEX($W$416:$W$427,MONTH(A106)))))</x:f>
      </x:c>
      <x:c r="I106" s="3"/>
      <x:c r="J106" s="10" t="n">
        <x:v>45957</x:v>
      </x:c>
      <x:c r="K106" s="8" t="n">
        <x:f>INDEX('Сводка'!$S$3:$S$397,U106)</x:f>
        <x:v>-11</x:v>
      </x:c>
      <x:c r="L106" s="8" t="n">
        <x:f>INDEX('Сводка'!$S$3:$S$397,V106)</x:f>
        <x:v>-1</x:v>
      </x:c>
      <x:c r="M106" s="8" t="n">
        <x:f>INDEX($K$388:$N$400,W106,1)+INDEX($K$388:$N$400,W106,2)*(2*(J106-$T$405)/(T106-$T$405)-1)^1+INDEX($K$388:$N$400,W106,3)*(2*(J106-$T$405)/(T106-$T$405)-1)^2+INDEX($K$388:$N$400,W106,4)*(2*(J106-$T$405)/(T106-$T$405)-1)^3+INDEX($O$388:$Z$400,W106,MONTH(J106))</x:f>
        <x:v>128.88297298429393</x:v>
      </x:c>
      <x:c r="N106" s="8" t="n">
        <x:f>K106-M106</x:f>
        <x:v>-139.88297298429393</x:v>
      </x:c>
      <x:c r="O106" s="8" t="n">
        <x:f>ABS(N106)</x:f>
        <x:v>139.88297298429393</x:v>
      </x:c>
      <x:c r="P106" s="8" t="n">
        <x:f>N106^2</x:f>
        <x:v>19567.246130924705</x:v>
      </x:c>
      <x:c r="Q106" s="8" t="n">
        <x:f>K106-L106</x:f>
        <x:v>-10</x:v>
      </x:c>
      <x:c r="R106" s="9" t="n">
        <x:f>IF(AND(INDEX('Сводка'!$T$3:$T$397,U106)=0,INDEX('Сводка'!$T$3:$T$397,V106)=0),1,0)</x:f>
        <x:v>1</x:v>
      </x:c>
      <x:c r="S106" s="9" t="n">
        <x:f>IF(AND(R106=1,O106&lt;=$G$13),1,0)</x:f>
        <x:v>0</x:v>
      </x:c>
      <x:c r="T106" s="10" t="n">
        <x:f>EOMONTH(J106-'Сводка'!$B$11,-1)</x:f>
        <x:v>45930</x:v>
      </x:c>
      <x:c r="U106" s="4" t="n">
        <x:f>MATCH(J106,'Сводка'!$R$3:$R$397,0)</x:f>
        <x:v>117</x:v>
      </x:c>
      <x:c r="V106" s="4" t="n">
        <x:f>MATCH(J106-'Сводка'!$B$11,'Сводка'!$R$3:$R$397,0)</x:f>
        <x:v>116</x:v>
      </x:c>
      <x:c r="W106" s="4" t="n">
        <x:f>MATCH(T106,$J$388:$J$400,0)</x:f>
        <x:v>4</x:v>
      </x:c>
      <x:c r="X106" s="3"/>
      <x:c r="Y106" s="3"/>
      <x:c r="Z106" s="3"/>
    </x:row>
    <x:row r="107" ht="15" customHeight="1">
      <x:c r="A107" s="7" t="str">
        <x:f>IF(89&lt;='Сводка'!$B$3,'Сводка'!$B$4+89,"")</x:f>
      </x:c>
      <x:c r="B107" s="20" t="str">
        <x:f>IF($A107="","",(A107-$T$405+1)/1000)</x:f>
      </x:c>
      <x:c r="C107" s="20" t="str">
        <x:f>IF($A107="","",2*(A107-$T$405)/$T$406-1)</x:f>
      </x:c>
      <x:c r="D107" s="3" t="str">
        <x:f>IF($A107="","",$B$4+$B$5*C107^1+$B$6*C107^2+$B$7*C107^3+INDEX($E$4:$E$15,MONTH(A107)))</x:f>
      </x:c>
      <x:c r="E107" s="3" t="str">
        <x:f>IF($A107="","",SQRT($T$403^2+H107^2))</x:f>
      </x:c>
      <x:c r="F107" s="3" t="str">
        <x:f>IF($A107="","",D107-$T$404*E107)</x:f>
      </x:c>
      <x:c r="G107" s="3" t="str">
        <x:f>IF($A107="","",D107+$T$404*E107)</x:f>
      </x:c>
      <x:c r="H107" s="3" t="str">
        <x:f>IF($A107="","",SQRT(MAX(0,(1)*$S$409*(1)+(1)*$T$409*(C107^1)+(1)*$U$409*(C107^2)+(1)*$V$409*(C107^3)+(C107^1)*$S$410*(1)+(C107^1)*$T$410*(C107^1)+(C107^1)*$U$410*(C107^2)+(C107^1)*$V$410*(C107^3)+(C107^2)*$S$411*(1)+(C107^2)*$T$411*(C107^1)+(C107^2)*$U$411*(C107^2)+(C107^2)*$V$411*(C107^3)+(C107^3)*$S$412*(1)+(C107^3)*$T$412*(C107^1)+(C107^3)*$U$412*(C107^2)+(C107^3)*$V$412*(C107^3)+2*((1)*INDEX($S$416:$V$427,MONTH(A107),1)+(C107^1)*INDEX($S$416:$V$427,MONTH(A107),2)+(C107^2)*INDEX($S$416:$V$427,MONTH(A107),3)+(C107^3)*INDEX($S$416:$V$427,MONTH(A107),4))+INDEX($W$416:$W$427,MONTH(A107)))))</x:f>
      </x:c>
      <x:c r="I107" s="3"/>
      <x:c r="J107" s="10" t="n">
        <x:v>45958</x:v>
      </x:c>
      <x:c r="K107" s="8" t="n">
        <x:f>INDEX('Сводка'!$S$3:$S$397,U107)</x:f>
        <x:v>-20</x:v>
      </x:c>
      <x:c r="L107" s="8" t="n">
        <x:f>INDEX('Сводка'!$S$3:$S$397,V107)</x:f>
        <x:v>-11</x:v>
      </x:c>
      <x:c r="M107" s="8" t="n">
        <x:f>INDEX($K$388:$N$400,W107,1)+INDEX($K$388:$N$400,W107,2)*(2*(J107-$T$405)/(T107-$T$405)-1)^1+INDEX($K$388:$N$400,W107,3)*(2*(J107-$T$405)/(T107-$T$405)-1)^2+INDEX($K$388:$N$400,W107,4)*(2*(J107-$T$405)/(T107-$T$405)-1)^3+INDEX($O$388:$Z$400,W107,MONTH(J107))</x:f>
        <x:v>128.86596668208543</x:v>
      </x:c>
      <x:c r="N107" s="8" t="n">
        <x:f>K107-M107</x:f>
        <x:v>-148.86596668208543</x:v>
      </x:c>
      <x:c r="O107" s="8" t="n">
        <x:f>ABS(N107)</x:f>
        <x:v>148.86596668208543</x:v>
      </x:c>
      <x:c r="P107" s="8" t="n">
        <x:f>N107^2</x:f>
        <x:v>22161.076036191767</x:v>
      </x:c>
      <x:c r="Q107" s="8" t="n">
        <x:f>K107-L107</x:f>
        <x:v>-9</x:v>
      </x:c>
      <x:c r="R107" s="9" t="n">
        <x:f>IF(AND(INDEX('Сводка'!$T$3:$T$397,U107)=0,INDEX('Сводка'!$T$3:$T$397,V107)=0),1,0)</x:f>
        <x:v>1</x:v>
      </x:c>
      <x:c r="S107" s="9" t="n">
        <x:f>IF(AND(R107=1,O107&lt;=$G$13),1,0)</x:f>
        <x:v>0</x:v>
      </x:c>
      <x:c r="T107" s="10" t="n">
        <x:f>EOMONTH(J107-'Сводка'!$B$11,-1)</x:f>
        <x:v>45930</x:v>
      </x:c>
      <x:c r="U107" s="4" t="n">
        <x:f>MATCH(J107,'Сводка'!$R$3:$R$397,0)</x:f>
        <x:v>118</x:v>
      </x:c>
      <x:c r="V107" s="4" t="n">
        <x:f>MATCH(J107-'Сводка'!$B$11,'Сводка'!$R$3:$R$397,0)</x:f>
        <x:v>117</x:v>
      </x:c>
      <x:c r="W107" s="4" t="n">
        <x:f>MATCH(T107,$J$388:$J$400,0)</x:f>
        <x:v>4</x:v>
      </x:c>
      <x:c r="X107" s="3"/>
      <x:c r="Y107" s="3"/>
      <x:c r="Z107" s="3"/>
    </x:row>
    <x:row r="108" ht="15" customHeight="1">
      <x:c r="A108" s="7" t="str">
        <x:f>IF(90&lt;='Сводка'!$B$3,'Сводка'!$B$4+90,"")</x:f>
      </x:c>
      <x:c r="B108" s="20" t="str">
        <x:f>IF($A108="","",(A108-$T$405+1)/1000)</x:f>
      </x:c>
      <x:c r="C108" s="20" t="str">
        <x:f>IF($A108="","",2*(A108-$T$405)/$T$406-1)</x:f>
      </x:c>
      <x:c r="D108" s="3" t="str">
        <x:f>IF($A108="","",$B$4+$B$5*C108^1+$B$6*C108^2+$B$7*C108^3+INDEX($E$4:$E$15,MONTH(A108)))</x:f>
      </x:c>
      <x:c r="E108" s="3" t="str">
        <x:f>IF($A108="","",SQRT($T$403^2+H108^2))</x:f>
      </x:c>
      <x:c r="F108" s="3" t="str">
        <x:f>IF($A108="","",D108-$T$404*E108)</x:f>
      </x:c>
      <x:c r="G108" s="3" t="str">
        <x:f>IF($A108="","",D108+$T$404*E108)</x:f>
      </x:c>
      <x:c r="H108" s="3" t="str">
        <x:f>IF($A108="","",SQRT(MAX(0,(1)*$S$409*(1)+(1)*$T$409*(C108^1)+(1)*$U$409*(C108^2)+(1)*$V$409*(C108^3)+(C108^1)*$S$410*(1)+(C108^1)*$T$410*(C108^1)+(C108^1)*$U$410*(C108^2)+(C108^1)*$V$410*(C108^3)+(C108^2)*$S$411*(1)+(C108^2)*$T$411*(C108^1)+(C108^2)*$U$411*(C108^2)+(C108^2)*$V$411*(C108^3)+(C108^3)*$S$412*(1)+(C108^3)*$T$412*(C108^1)+(C108^3)*$U$412*(C108^2)+(C108^3)*$V$412*(C108^3)+2*((1)*INDEX($S$416:$V$427,MONTH(A108),1)+(C108^1)*INDEX($S$416:$V$427,MONTH(A108),2)+(C108^2)*INDEX($S$416:$V$427,MONTH(A108),3)+(C108^3)*INDEX($S$416:$V$427,MONTH(A108),4))+INDEX($W$416:$W$427,MONTH(A108)))))</x:f>
      </x:c>
      <x:c r="I108" s="3"/>
      <x:c r="J108" s="10" t="n">
        <x:v>45959</x:v>
      </x:c>
      <x:c r="K108" s="8" t="n">
        <x:f>INDEX('Сводка'!$S$3:$S$397,U108)</x:f>
        <x:v>-27</x:v>
      </x:c>
      <x:c r="L108" s="8" t="n">
        <x:f>INDEX('Сводка'!$S$3:$S$397,V108)</x:f>
        <x:v>-20</x:v>
      </x:c>
      <x:c r="M108" s="8" t="n">
        <x:f>INDEX($K$388:$N$400,W108,1)+INDEX($K$388:$N$400,W108,2)*(2*(J108-$T$405)/(T108-$T$405)-1)^1+INDEX($K$388:$N$400,W108,3)*(2*(J108-$T$405)/(T108-$T$405)-1)^2+INDEX($K$388:$N$400,W108,4)*(2*(J108-$T$405)/(T108-$T$405)-1)^3+INDEX($O$388:$Z$400,W108,MONTH(J108))</x:f>
        <x:v>128.84894741761468</x:v>
      </x:c>
      <x:c r="N108" s="8" t="n">
        <x:f>K108-M108</x:f>
        <x:v>-155.84894741761468</x:v>
      </x:c>
      <x:c r="O108" s="8" t="n">
        <x:f>ABS(N108)</x:f>
        <x:v>155.84894741761468</x:v>
      </x:c>
      <x:c r="P108" s="8" t="n">
        <x:f>N108^2</x:f>
        <x:v>24288.894411178426</x:v>
      </x:c>
      <x:c r="Q108" s="8" t="n">
        <x:f>K108-L108</x:f>
        <x:v>-7</x:v>
      </x:c>
      <x:c r="R108" s="9" t="n">
        <x:f>IF(AND(INDEX('Сводка'!$T$3:$T$397,U108)=0,INDEX('Сводка'!$T$3:$T$397,V108)=0),1,0)</x:f>
        <x:v>1</x:v>
      </x:c>
      <x:c r="S108" s="9" t="n">
        <x:f>IF(AND(R108=1,O108&lt;=$G$13),1,0)</x:f>
        <x:v>0</x:v>
      </x:c>
      <x:c r="T108" s="10" t="n">
        <x:f>EOMONTH(J108-'Сводка'!$B$11,-1)</x:f>
        <x:v>45930</x:v>
      </x:c>
      <x:c r="U108" s="4" t="n">
        <x:f>MATCH(J108,'Сводка'!$R$3:$R$397,0)</x:f>
        <x:v>119</x:v>
      </x:c>
      <x:c r="V108" s="4" t="n">
        <x:f>MATCH(J108-'Сводка'!$B$11,'Сводка'!$R$3:$R$397,0)</x:f>
        <x:v>118</x:v>
      </x:c>
      <x:c r="W108" s="4" t="n">
        <x:f>MATCH(T108,$J$388:$J$400,0)</x:f>
        <x:v>4</x:v>
      </x:c>
      <x:c r="X108" s="3"/>
      <x:c r="Y108" s="3"/>
      <x:c r="Z108" s="3"/>
    </x:row>
    <x:row r="109" ht="15" customHeight="1">
      <x:c r="A109" s="3"/>
      <x:c r="B109" s="3"/>
      <x:c r="C109" s="3"/>
      <x:c r="D109" s="3"/>
      <x:c r="E109" s="3"/>
      <x:c r="F109" s="3"/>
      <x:c r="G109" s="3"/>
      <x:c r="H109" s="3"/>
      <x:c r="I109" s="3"/>
      <x:c r="J109" s="10" t="n">
        <x:v>45960</x:v>
      </x:c>
      <x:c r="K109" s="8" t="n">
        <x:f>INDEX('Сводка'!$S$3:$S$397,U109)</x:f>
        <x:v>-33</x:v>
      </x:c>
      <x:c r="L109" s="8" t="n">
        <x:f>INDEX('Сводка'!$S$3:$S$397,V109)</x:f>
        <x:v>-27</x:v>
      </x:c>
      <x:c r="M109" s="8" t="n">
        <x:f>INDEX($K$388:$N$400,W109,1)+INDEX($K$388:$N$400,W109,2)*(2*(J109-$T$405)/(T109-$T$405)-1)^1+INDEX($K$388:$N$400,W109,3)*(2*(J109-$T$405)/(T109-$T$405)-1)^2+INDEX($K$388:$N$400,W109,4)*(2*(J109-$T$405)/(T109-$T$405)-1)^3+INDEX($O$388:$Z$400,W109,MONTH(J109))</x:f>
        <x:v>128.83191518924102</x:v>
      </x:c>
      <x:c r="N109" s="8" t="n">
        <x:f>K109-M109</x:f>
        <x:v>-161.83191518924102</x:v>
      </x:c>
      <x:c r="O109" s="8" t="n">
        <x:f>ABS(N109)</x:f>
        <x:v>161.83191518924102</x:v>
      </x:c>
      <x:c r="P109" s="8" t="n">
        <x:f>N109^2</x:f>
        <x:v>26189.568773817697</x:v>
      </x:c>
      <x:c r="Q109" s="8" t="n">
        <x:f>K109-L109</x:f>
        <x:v>-6</x:v>
      </x:c>
      <x:c r="R109" s="9" t="n">
        <x:f>IF(AND(INDEX('Сводка'!$T$3:$T$397,U109)=0,INDEX('Сводка'!$T$3:$T$397,V109)=0),1,0)</x:f>
        <x:v>1</x:v>
      </x:c>
      <x:c r="S109" s="9" t="n">
        <x:f>IF(AND(R109=1,O109&lt;=$G$13),1,0)</x:f>
        <x:v>0</x:v>
      </x:c>
      <x:c r="T109" s="10" t="n">
        <x:f>EOMONTH(J109-'Сводка'!$B$11,-1)</x:f>
        <x:v>45930</x:v>
      </x:c>
      <x:c r="U109" s="4" t="n">
        <x:f>MATCH(J109,'Сводка'!$R$3:$R$397,0)</x:f>
        <x:v>120</x:v>
      </x:c>
      <x:c r="V109" s="4" t="n">
        <x:f>MATCH(J109-'Сводка'!$B$11,'Сводка'!$R$3:$R$397,0)</x:f>
        <x:v>119</x:v>
      </x:c>
      <x:c r="W109" s="4" t="n">
        <x:f>MATCH(T109,$J$388:$J$400,0)</x:f>
        <x:v>4</x:v>
      </x:c>
      <x:c r="X109" s="3"/>
      <x:c r="Y109" s="3"/>
      <x:c r="Z109" s="3"/>
    </x:row>
    <x:row r="110" ht="15" customHeight="1">
      <x:c r="A110" s="3"/>
      <x:c r="B110" s="3"/>
      <x:c r="C110" s="3"/>
      <x:c r="D110" s="3"/>
      <x:c r="E110" s="3"/>
      <x:c r="F110" s="3"/>
      <x:c r="G110" s="3"/>
      <x:c r="H110" s="3"/>
      <x:c r="I110" s="3"/>
      <x:c r="J110" s="10" t="n">
        <x:v>45961</x:v>
      </x:c>
      <x:c r="K110" s="8" t="n">
        <x:f>INDEX('Сводка'!$S$3:$S$397,U110)</x:f>
        <x:v>-36</x:v>
      </x:c>
      <x:c r="L110" s="8" t="n">
        <x:f>INDEX('Сводка'!$S$3:$S$397,V110)</x:f>
        <x:v>-33</x:v>
      </x:c>
      <x:c r="M110" s="8" t="n">
        <x:f>INDEX($K$388:$N$400,W110,1)+INDEX($K$388:$N$400,W110,2)*(2*(J110-$T$405)/(T110-$T$405)-1)^1+INDEX($K$388:$N$400,W110,3)*(2*(J110-$T$405)/(T110-$T$405)-1)^2+INDEX($K$388:$N$400,W110,4)*(2*(J110-$T$405)/(T110-$T$405)-1)^3+INDEX($O$388:$Z$400,W110,MONTH(J110))</x:f>
        <x:v>128.81486999532373</x:v>
      </x:c>
      <x:c r="N110" s="8" t="n">
        <x:f>K110-M110</x:f>
        <x:v>-164.81486999532373</x:v>
      </x:c>
      <x:c r="O110" s="8" t="n">
        <x:f>ABS(N110)</x:f>
        <x:v>164.81486999532373</x:v>
      </x:c>
      <x:c r="P110" s="8" t="n">
        <x:f>N110^2</x:f>
        <x:v>27163.941371575464</x:v>
      </x:c>
      <x:c r="Q110" s="8" t="n">
        <x:f>K110-L110</x:f>
        <x:v>-3</x:v>
      </x:c>
      <x:c r="R110" s="9" t="n">
        <x:f>IF(AND(INDEX('Сводка'!$T$3:$T$397,U110)=0,INDEX('Сводка'!$T$3:$T$397,V110)=0),1,0)</x:f>
        <x:v>1</x:v>
      </x:c>
      <x:c r="S110" s="9" t="n">
        <x:f>IF(AND(R110=1,O110&lt;=$G$13),1,0)</x:f>
        <x:v>0</x:v>
      </x:c>
      <x:c r="T110" s="10" t="n">
        <x:f>EOMONTH(J110-'Сводка'!$B$11,-1)</x:f>
        <x:v>45930</x:v>
      </x:c>
      <x:c r="U110" s="4" t="n">
        <x:f>MATCH(J110,'Сводка'!$R$3:$R$397,0)</x:f>
        <x:v>121</x:v>
      </x:c>
      <x:c r="V110" s="4" t="n">
        <x:f>MATCH(J110-'Сводка'!$B$11,'Сводка'!$R$3:$R$397,0)</x:f>
        <x:v>120</x:v>
      </x:c>
      <x:c r="W110" s="4" t="n">
        <x:f>MATCH(T110,$J$388:$J$400,0)</x:f>
        <x:v>4</x:v>
      </x:c>
      <x:c r="X110" s="3"/>
      <x:c r="Y110" s="3"/>
      <x:c r="Z110" s="3"/>
    </x:row>
    <x:row r="111" ht="15" customHeight="1">
      <x:c r="A111" s="3"/>
      <x:c r="B111" s="3"/>
      <x:c r="C111" s="3"/>
      <x:c r="D111" s="3"/>
      <x:c r="E111" s="3"/>
      <x:c r="F111" s="3"/>
      <x:c r="G111" s="3"/>
      <x:c r="H111" s="3"/>
      <x:c r="I111" s="3"/>
      <x:c r="J111" s="10" t="n">
        <x:v>45962</x:v>
      </x:c>
      <x:c r="K111" s="8" t="n">
        <x:f>INDEX('Сводка'!$S$3:$S$397,U111)</x:f>
        <x:v>-37</x:v>
      </x:c>
      <x:c r="L111" s="8" t="n">
        <x:f>INDEX('Сводка'!$S$3:$S$397,V111)</x:f>
        <x:v>-36</x:v>
      </x:c>
      <x:c r="M111" s="8" t="n">
        <x:f>INDEX($K$388:$N$400,W111,1)+INDEX($K$388:$N$400,W111,2)*(2*(J111-$T$405)/(T111-$T$405)-1)^1+INDEX($K$388:$N$400,W111,3)*(2*(J111-$T$405)/(T111-$T$405)-1)^2+INDEX($K$388:$N$400,W111,4)*(2*(J111-$T$405)/(T111-$T$405)-1)^3+INDEX($O$388:$Z$400,W111,MONTH(J111))</x:f>
        <x:v>-9.615717166536015</x:v>
      </x:c>
      <x:c r="N111" s="8" t="n">
        <x:f>K111-M111</x:f>
        <x:v>-27.384282833463985</x:v>
      </x:c>
      <x:c r="O111" s="8" t="n">
        <x:f>ABS(N111)</x:f>
        <x:v>27.384282833463985</x:v>
      </x:c>
      <x:c r="P111" s="8" t="n">
        <x:f>N111^2</x:f>
        <x:v>749.8989463031503</x:v>
      </x:c>
      <x:c r="Q111" s="8" t="n">
        <x:f>K111-L111</x:f>
        <x:v>-1</x:v>
      </x:c>
      <x:c r="R111" s="9" t="n">
        <x:f>IF(AND(INDEX('Сводка'!$T$3:$T$397,U111)=0,INDEX('Сводка'!$T$3:$T$397,V111)=0),1,0)</x:f>
        <x:v>1</x:v>
      </x:c>
      <x:c r="S111" s="9" t="n">
        <x:f>IF(AND(R111=1,O111&lt;=$G$13),1,0)</x:f>
        <x:v>0</x:v>
      </x:c>
      <x:c r="T111" s="10" t="n">
        <x:f>EOMONTH(J111-'Сводка'!$B$11,-1)</x:f>
        <x:v>45930</x:v>
      </x:c>
      <x:c r="U111" s="4" t="n">
        <x:f>MATCH(J111,'Сводка'!$R$3:$R$397,0)</x:f>
        <x:v>122</x:v>
      </x:c>
      <x:c r="V111" s="4" t="n">
        <x:f>MATCH(J111-'Сводка'!$B$11,'Сводка'!$R$3:$R$397,0)</x:f>
        <x:v>121</x:v>
      </x:c>
      <x:c r="W111" s="4" t="n">
        <x:f>MATCH(T111,$J$388:$J$400,0)</x:f>
        <x:v>4</x:v>
      </x:c>
      <x:c r="X111" s="3"/>
      <x:c r="Y111" s="3"/>
      <x:c r="Z111" s="3"/>
    </x:row>
    <x:row r="112" ht="15" customHeight="1">
      <x:c r="A112" s="3"/>
      <x:c r="B112" s="3"/>
      <x:c r="C112" s="3"/>
      <x:c r="D112" s="3"/>
      <x:c r="E112" s="3"/>
      <x:c r="F112" s="3"/>
      <x:c r="G112" s="3"/>
      <x:c r="H112" s="3"/>
      <x:c r="I112" s="3"/>
      <x:c r="J112" s="10" t="n">
        <x:v>45963</x:v>
      </x:c>
      <x:c r="K112" s="8" t="n">
        <x:f>INDEX('Сводка'!$S$3:$S$397,U112)</x:f>
        <x:v>-40</x:v>
      </x:c>
      <x:c r="L112" s="8" t="n">
        <x:f>INDEX('Сводка'!$S$3:$S$397,V112)</x:f>
        <x:v>-37</x:v>
      </x:c>
      <x:c r="M112" s="8" t="n">
        <x:f>INDEX($K$388:$N$400,W112,1)+INDEX($K$388:$N$400,W112,2)*(2*(J112-$T$405)/(T112-$T$405)-1)^1+INDEX($K$388:$N$400,W112,3)*(2*(J112-$T$405)/(T112-$T$405)-1)^2+INDEX($K$388:$N$400,W112,4)*(2*(J112-$T$405)/(T112-$T$405)-1)^3+INDEX($O$388:$Z$400,W112,MONTH(J112))</x:f>
        <x:v>-11.03429634993131</x:v>
      </x:c>
      <x:c r="N112" s="8" t="n">
        <x:f>K112-M112</x:f>
        <x:v>-28.96570365006869</x:v>
      </x:c>
      <x:c r="O112" s="8" t="n">
        <x:f>ABS(N112)</x:f>
        <x:v>28.96570365006869</x:v>
      </x:c>
      <x:c r="P112" s="8" t="n">
        <x:f>N112^2</x:f>
        <x:v>839.0119879436027</x:v>
      </x:c>
      <x:c r="Q112" s="8" t="n">
        <x:f>K112-L112</x:f>
        <x:v>-3</x:v>
      </x:c>
      <x:c r="R112" s="9" t="n">
        <x:f>IF(AND(INDEX('Сводка'!$T$3:$T$397,U112)=0,INDEX('Сводка'!$T$3:$T$397,V112)=0),1,0)</x:f>
        <x:v>1</x:v>
      </x:c>
      <x:c r="S112" s="9" t="n">
        <x:f>IF(AND(R112=1,O112&lt;=$G$13),1,0)</x:f>
        <x:v>0</x:v>
      </x:c>
      <x:c r="T112" s="10" t="n">
        <x:f>EOMONTH(J112-'Сводка'!$B$11,-1)</x:f>
        <x:v>45961</x:v>
      </x:c>
      <x:c r="U112" s="4" t="n">
        <x:f>MATCH(J112,'Сводка'!$R$3:$R$397,0)</x:f>
        <x:v>123</x:v>
      </x:c>
      <x:c r="V112" s="4" t="n">
        <x:f>MATCH(J112-'Сводка'!$B$11,'Сводка'!$R$3:$R$397,0)</x:f>
        <x:v>122</x:v>
      </x:c>
      <x:c r="W112" s="4" t="n">
        <x:f>MATCH(T112,$J$388:$J$400,0)</x:f>
        <x:v>5</x:v>
      </x:c>
      <x:c r="X112" s="3"/>
      <x:c r="Y112" s="3"/>
      <x:c r="Z112" s="3"/>
    </x:row>
    <x:row r="113" ht="15" customHeight="1">
      <x:c r="A113" s="3"/>
      <x:c r="B113" s="3"/>
      <x:c r="C113" s="3"/>
      <x:c r="D113" s="3"/>
      <x:c r="E113" s="3"/>
      <x:c r="F113" s="3"/>
      <x:c r="G113" s="3"/>
      <x:c r="H113" s="3"/>
      <x:c r="I113" s="3"/>
      <x:c r="J113" s="10" t="n">
        <x:v>45964</x:v>
      </x:c>
      <x:c r="K113" s="8" t="n">
        <x:f>INDEX('Сводка'!$S$3:$S$397,U113)</x:f>
        <x:v>-46</x:v>
      </x:c>
      <x:c r="L113" s="8" t="n">
        <x:f>INDEX('Сводка'!$S$3:$S$397,V113)</x:f>
        <x:v>-40</x:v>
      </x:c>
      <x:c r="M113" s="8" t="n">
        <x:f>INDEX($K$388:$N$400,W113,1)+INDEX($K$388:$N$400,W113,2)*(2*(J113-$T$405)/(T113-$T$405)-1)^1+INDEX($K$388:$N$400,W113,3)*(2*(J113-$T$405)/(T113-$T$405)-1)^2+INDEX($K$388:$N$400,W113,4)*(2*(J113-$T$405)/(T113-$T$405)-1)^3+INDEX($O$388:$Z$400,W113,MONTH(J113))</x:f>
        <x:v>-11.052635503963359</x:v>
      </x:c>
      <x:c r="N113" s="8" t="n">
        <x:f>K113-M113</x:f>
        <x:v>-34.94736449603664</x:v>
      </x:c>
      <x:c r="O113" s="8" t="n">
        <x:f>ABS(N113)</x:f>
        <x:v>34.94736449603664</x:v>
      </x:c>
      <x:c r="P113" s="8" t="n">
        <x:f>N113^2</x:f>
        <x:v>1221.3182852188424</x:v>
      </x:c>
      <x:c r="Q113" s="8" t="n">
        <x:f>K113-L113</x:f>
        <x:v>-6</x:v>
      </x:c>
      <x:c r="R113" s="9" t="n">
        <x:f>IF(AND(INDEX('Сводка'!$T$3:$T$397,U113)=0,INDEX('Сводка'!$T$3:$T$397,V113)=0),1,0)</x:f>
        <x:v>1</x:v>
      </x:c>
      <x:c r="S113" s="9" t="n">
        <x:f>IF(AND(R113=1,O113&lt;=$G$13),1,0)</x:f>
        <x:v>0</x:v>
      </x:c>
      <x:c r="T113" s="10" t="n">
        <x:f>EOMONTH(J113-'Сводка'!$B$11,-1)</x:f>
        <x:v>45961</x:v>
      </x:c>
      <x:c r="U113" s="4" t="n">
        <x:f>MATCH(J113,'Сводка'!$R$3:$R$397,0)</x:f>
        <x:v>124</x:v>
      </x:c>
      <x:c r="V113" s="4" t="n">
        <x:f>MATCH(J113-'Сводка'!$B$11,'Сводка'!$R$3:$R$397,0)</x:f>
        <x:v>123</x:v>
      </x:c>
      <x:c r="W113" s="4" t="n">
        <x:f>MATCH(T113,$J$388:$J$400,0)</x:f>
        <x:v>5</x:v>
      </x:c>
      <x:c r="X113" s="3"/>
      <x:c r="Y113" s="3"/>
      <x:c r="Z113" s="3"/>
    </x:row>
    <x:row r="114" ht="15" customHeight="1">
      <x:c r="A114" s="3"/>
      <x:c r="B114" s="3"/>
      <x:c r="C114" s="3"/>
      <x:c r="D114" s="3"/>
      <x:c r="E114" s="3"/>
      <x:c r="F114" s="3"/>
      <x:c r="G114" s="3"/>
      <x:c r="H114" s="3"/>
      <x:c r="I114" s="3"/>
      <x:c r="J114" s="10" t="n">
        <x:v>45965</x:v>
      </x:c>
      <x:c r="K114" s="8" t="n">
        <x:f>INDEX('Сводка'!$S$3:$S$397,U114)</x:f>
        <x:v>-49</x:v>
      </x:c>
      <x:c r="L114" s="8" t="n">
        <x:f>INDEX('Сводка'!$S$3:$S$397,V114)</x:f>
        <x:v>-46</x:v>
      </x:c>
      <x:c r="M114" s="8" t="n">
        <x:f>INDEX($K$388:$N$400,W114,1)+INDEX($K$388:$N$400,W114,2)*(2*(J114-$T$405)/(T114-$T$405)-1)^1+INDEX($K$388:$N$400,W114,3)*(2*(J114-$T$405)/(T114-$T$405)-1)^2+INDEX($K$388:$N$400,W114,4)*(2*(J114-$T$405)/(T114-$T$405)-1)^3+INDEX($O$388:$Z$400,W114,MONTH(J114))</x:f>
        <x:v>-11.070988202290792</x:v>
      </x:c>
      <x:c r="N114" s="8" t="n">
        <x:f>K114-M114</x:f>
        <x:v>-37.92901179770921</x:v>
      </x:c>
      <x:c r="O114" s="8" t="n">
        <x:f>ABS(N114)</x:f>
        <x:v>37.92901179770921</x:v>
      </x:c>
      <x:c r="P114" s="8" t="n">
        <x:f>N114^2</x:f>
        <x:v>1438.6099359507643</x:v>
      </x:c>
      <x:c r="Q114" s="8" t="n">
        <x:f>K114-L114</x:f>
        <x:v>-3</x:v>
      </x:c>
      <x:c r="R114" s="9" t="n">
        <x:f>IF(AND(INDEX('Сводка'!$T$3:$T$397,U114)=0,INDEX('Сводка'!$T$3:$T$397,V114)=0),1,0)</x:f>
        <x:v>1</x:v>
      </x:c>
      <x:c r="S114" s="9" t="n">
        <x:f>IF(AND(R114=1,O114&lt;=$G$13),1,0)</x:f>
        <x:v>0</x:v>
      </x:c>
      <x:c r="T114" s="10" t="n">
        <x:f>EOMONTH(J114-'Сводка'!$B$11,-1)</x:f>
        <x:v>45961</x:v>
      </x:c>
      <x:c r="U114" s="4" t="n">
        <x:f>MATCH(J114,'Сводка'!$R$3:$R$397,0)</x:f>
        <x:v>125</x:v>
      </x:c>
      <x:c r="V114" s="4" t="n">
        <x:f>MATCH(J114-'Сводка'!$B$11,'Сводка'!$R$3:$R$397,0)</x:f>
        <x:v>124</x:v>
      </x:c>
      <x:c r="W114" s="4" t="n">
        <x:f>MATCH(T114,$J$388:$J$400,0)</x:f>
        <x:v>5</x:v>
      </x:c>
      <x:c r="X114" s="3"/>
      <x:c r="Y114" s="3"/>
      <x:c r="Z114" s="3"/>
    </x:row>
    <x:row r="115" ht="15" customHeight="1">
      <x:c r="A115" s="3"/>
      <x:c r="B115" s="3"/>
      <x:c r="C115" s="3"/>
      <x:c r="D115" s="3"/>
      <x:c r="E115" s="3"/>
      <x:c r="F115" s="3"/>
      <x:c r="G115" s="3"/>
      <x:c r="H115" s="3"/>
      <x:c r="I115" s="3"/>
      <x:c r="J115" s="10" t="n">
        <x:v>45966</x:v>
      </x:c>
      <x:c r="K115" s="8" t="n">
        <x:f>INDEX('Сводка'!$S$3:$S$397,U115)</x:f>
        <x:v>-56</x:v>
      </x:c>
      <x:c r="L115" s="8" t="n">
        <x:f>INDEX('Сводка'!$S$3:$S$397,V115)</x:f>
        <x:v>-49</x:v>
      </x:c>
      <x:c r="M115" s="8" t="n">
        <x:f>INDEX($K$388:$N$400,W115,1)+INDEX($K$388:$N$400,W115,2)*(2*(J115-$T$405)/(T115-$T$405)-1)^1+INDEX($K$388:$N$400,W115,3)*(2*(J115-$T$405)/(T115-$T$405)-1)^2+INDEX($K$388:$N$400,W115,4)*(2*(J115-$T$405)/(T115-$T$405)-1)^3+INDEX($O$388:$Z$400,W115,MONTH(J115))</x:f>
        <x:v>-11.08935444666865</x:v>
      </x:c>
      <x:c r="N115" s="8" t="n">
        <x:f>K115-M115</x:f>
        <x:v>-44.91064555333135</x:v>
      </x:c>
      <x:c r="O115" s="8" t="n">
        <x:f>ABS(N115)</x:f>
        <x:v>44.91064555333135</x:v>
      </x:c>
      <x:c r="P115" s="8" t="n">
        <x:f>N115^2</x:f>
        <x:v>2016.9660840169608</x:v>
      </x:c>
      <x:c r="Q115" s="8" t="n">
        <x:f>K115-L115</x:f>
        <x:v>-7</x:v>
      </x:c>
      <x:c r="R115" s="9" t="n">
        <x:f>IF(AND(INDEX('Сводка'!$T$3:$T$397,U115)=0,INDEX('Сводка'!$T$3:$T$397,V115)=0),1,0)</x:f>
        <x:v>1</x:v>
      </x:c>
      <x:c r="S115" s="9" t="n">
        <x:f>IF(AND(R115=1,O115&lt;=$G$13),1,0)</x:f>
        <x:v>0</x:v>
      </x:c>
      <x:c r="T115" s="10" t="n">
        <x:f>EOMONTH(J115-'Сводка'!$B$11,-1)</x:f>
        <x:v>45961</x:v>
      </x:c>
      <x:c r="U115" s="4" t="n">
        <x:f>MATCH(J115,'Сводка'!$R$3:$R$397,0)</x:f>
        <x:v>126</x:v>
      </x:c>
      <x:c r="V115" s="4" t="n">
        <x:f>MATCH(J115-'Сводка'!$B$11,'Сводка'!$R$3:$R$397,0)</x:f>
        <x:v>125</x:v>
      </x:c>
      <x:c r="W115" s="4" t="n">
        <x:f>MATCH(T115,$J$388:$J$400,0)</x:f>
        <x:v>5</x:v>
      </x:c>
      <x:c r="X115" s="3"/>
      <x:c r="Y115" s="3"/>
      <x:c r="Z115" s="3"/>
    </x:row>
    <x:row r="116" ht="15" customHeight="1">
      <x:c r="A116" s="3"/>
      <x:c r="B116" s="3"/>
      <x:c r="C116" s="3"/>
      <x:c r="D116" s="3"/>
      <x:c r="E116" s="3"/>
      <x:c r="F116" s="3"/>
      <x:c r="G116" s="3"/>
      <x:c r="H116" s="3"/>
      <x:c r="I116" s="3"/>
      <x:c r="J116" s="10" t="n">
        <x:v>45967</x:v>
      </x:c>
      <x:c r="K116" s="8" t="n">
        <x:f>INDEX('Сводка'!$S$3:$S$397,U116)</x:f>
        <x:v>-61</x:v>
      </x:c>
      <x:c r="L116" s="8" t="n">
        <x:f>INDEX('Сводка'!$S$3:$S$397,V116)</x:f>
        <x:v>-56</x:v>
      </x:c>
      <x:c r="M116" s="8" t="n">
        <x:f>INDEX($K$388:$N$400,W116,1)+INDEX($K$388:$N$400,W116,2)*(2*(J116-$T$405)/(T116-$T$405)-1)^1+INDEX($K$388:$N$400,W116,3)*(2*(J116-$T$405)/(T116-$T$405)-1)^2+INDEX($K$388:$N$400,W116,4)*(2*(J116-$T$405)/(T116-$T$405)-1)^3+INDEX($O$388:$Z$400,W116,MONTH(J116))</x:f>
        <x:v>-11.107734238852132</x:v>
      </x:c>
      <x:c r="N116" s="8" t="n">
        <x:f>K116-M116</x:f>
        <x:v>-49.89226576114787</x:v>
      </x:c>
      <x:c r="O116" s="8" t="n">
        <x:f>ABS(N116)</x:f>
        <x:v>49.89226576114787</x:v>
      </x:c>
      <x:c r="P116" s="8" t="n">
        <x:f>N116^2</x:f>
        <x:v>2489.2381827810077</x:v>
      </x:c>
      <x:c r="Q116" s="8" t="n">
        <x:f>K116-L116</x:f>
        <x:v>-5</x:v>
      </x:c>
      <x:c r="R116" s="9" t="n">
        <x:f>IF(AND(INDEX('Сводка'!$T$3:$T$397,U116)=0,INDEX('Сводка'!$T$3:$T$397,V116)=0),1,0)</x:f>
        <x:v>1</x:v>
      </x:c>
      <x:c r="S116" s="9" t="n">
        <x:f>IF(AND(R116=1,O116&lt;=$G$13),1,0)</x:f>
        <x:v>0</x:v>
      </x:c>
      <x:c r="T116" s="10" t="n">
        <x:f>EOMONTH(J116-'Сводка'!$B$11,-1)</x:f>
        <x:v>45961</x:v>
      </x:c>
      <x:c r="U116" s="4" t="n">
        <x:f>MATCH(J116,'Сводка'!$R$3:$R$397,0)</x:f>
        <x:v>127</x:v>
      </x:c>
      <x:c r="V116" s="4" t="n">
        <x:f>MATCH(J116-'Сводка'!$B$11,'Сводка'!$R$3:$R$397,0)</x:f>
        <x:v>126</x:v>
      </x:c>
      <x:c r="W116" s="4" t="n">
        <x:f>MATCH(T116,$J$388:$J$400,0)</x:f>
        <x:v>5</x:v>
      </x:c>
      <x:c r="X116" s="3"/>
      <x:c r="Y116" s="3"/>
      <x:c r="Z116" s="3"/>
    </x:row>
    <x:row r="117" ht="15" customHeight="1">
      <x:c r="A117" s="3"/>
      <x:c r="B117" s="3"/>
      <x:c r="C117" s="3"/>
      <x:c r="D117" s="3"/>
      <x:c r="E117" s="3"/>
      <x:c r="F117" s="3"/>
      <x:c r="G117" s="3"/>
      <x:c r="H117" s="3"/>
      <x:c r="I117" s="3"/>
      <x:c r="J117" s="10" t="n">
        <x:v>45968</x:v>
      </x:c>
      <x:c r="K117" s="8" t="n">
        <x:f>INDEX('Сводка'!$S$3:$S$397,U117)</x:f>
        <x:v>-69</x:v>
      </x:c>
      <x:c r="L117" s="8" t="n">
        <x:f>INDEX('Сводка'!$S$3:$S$397,V117)</x:f>
        <x:v>-61</x:v>
      </x:c>
      <x:c r="M117" s="8" t="n">
        <x:f>INDEX($K$388:$N$400,W117,1)+INDEX($K$388:$N$400,W117,2)*(2*(J117-$T$405)/(T117-$T$405)-1)^1+INDEX($K$388:$N$400,W117,3)*(2*(J117-$T$405)/(T117-$T$405)-1)^2+INDEX($K$388:$N$400,W117,4)*(2*(J117-$T$405)/(T117-$T$405)-1)^3+INDEX($O$388:$Z$400,W117,MONTH(J117))</x:f>
        <x:v>-11.126127580596332</x:v>
      </x:c>
      <x:c r="N117" s="8" t="n">
        <x:f>K117-M117</x:f>
        <x:v>-57.87387241940367</x:v>
      </x:c>
      <x:c r="O117" s="8" t="n">
        <x:f>ABS(N117)</x:f>
        <x:v>57.87387241940367</x:v>
      </x:c>
      <x:c r="P117" s="8" t="n">
        <x:f>N117^2</x:f>
        <x:v>3349.3851088174124</x:v>
      </x:c>
      <x:c r="Q117" s="8" t="n">
        <x:f>K117-L117</x:f>
        <x:v>-8</x:v>
      </x:c>
      <x:c r="R117" s="9" t="n">
        <x:f>IF(AND(INDEX('Сводка'!$T$3:$T$397,U117)=0,INDEX('Сводка'!$T$3:$T$397,V117)=0),1,0)</x:f>
        <x:v>1</x:v>
      </x:c>
      <x:c r="S117" s="9" t="n">
        <x:f>IF(AND(R117=1,O117&lt;=$G$13),1,0)</x:f>
        <x:v>0</x:v>
      </x:c>
      <x:c r="T117" s="10" t="n">
        <x:f>EOMONTH(J117-'Сводка'!$B$11,-1)</x:f>
        <x:v>45961</x:v>
      </x:c>
      <x:c r="U117" s="4" t="n">
        <x:f>MATCH(J117,'Сводка'!$R$3:$R$397,0)</x:f>
        <x:v>128</x:v>
      </x:c>
      <x:c r="V117" s="4" t="n">
        <x:f>MATCH(J117-'Сводка'!$B$11,'Сводка'!$R$3:$R$397,0)</x:f>
        <x:v>127</x:v>
      </x:c>
      <x:c r="W117" s="4" t="n">
        <x:f>MATCH(T117,$J$388:$J$400,0)</x:f>
        <x:v>5</x:v>
      </x:c>
      <x:c r="X117" s="3"/>
      <x:c r="Y117" s="3"/>
      <x:c r="Z117" s="3"/>
    </x:row>
    <x:row r="118" ht="15" customHeight="1">
      <x:c r="A118" s="3"/>
      <x:c r="B118" s="3"/>
      <x:c r="C118" s="3"/>
      <x:c r="D118" s="3"/>
      <x:c r="E118" s="3"/>
      <x:c r="F118" s="3"/>
      <x:c r="G118" s="3"/>
      <x:c r="H118" s="3"/>
      <x:c r="I118" s="3"/>
      <x:c r="J118" s="10" t="n">
        <x:v>45969</x:v>
      </x:c>
      <x:c r="K118" s="8" t="n">
        <x:f>INDEX('Сводка'!$S$3:$S$397,U118)</x:f>
        <x:v>-74</x:v>
      </x:c>
      <x:c r="L118" s="8" t="n">
        <x:f>INDEX('Сводка'!$S$3:$S$397,V118)</x:f>
        <x:v>-69</x:v>
      </x:c>
      <x:c r="M118" s="8" t="n">
        <x:f>INDEX($K$388:$N$400,W118,1)+INDEX($K$388:$N$400,W118,2)*(2*(J118-$T$405)/(T118-$T$405)-1)^1+INDEX($K$388:$N$400,W118,3)*(2*(J118-$T$405)/(T118-$T$405)-1)^2+INDEX($K$388:$N$400,W118,4)*(2*(J118-$T$405)/(T118-$T$405)-1)^3+INDEX($O$388:$Z$400,W118,MONTH(J118))</x:f>
        <x:v>-11.144534473656464</x:v>
      </x:c>
      <x:c r="N118" s="8" t="n">
        <x:f>K118-M118</x:f>
        <x:v>-62.85546552634354</x:v>
      </x:c>
      <x:c r="O118" s="8" t="n">
        <x:f>ABS(N118)</x:f>
        <x:v>62.85546552634354</x:v>
      </x:c>
      <x:c r="P118" s="8" t="n">
        <x:f>N118^2</x:f>
        <x:v>3950.809546533361</x:v>
      </x:c>
      <x:c r="Q118" s="8" t="n">
        <x:f>K118-L118</x:f>
        <x:v>-5</x:v>
      </x:c>
      <x:c r="R118" s="9" t="n">
        <x:f>IF(AND(INDEX('Сводка'!$T$3:$T$397,U118)=0,INDEX('Сводка'!$T$3:$T$397,V118)=0),1,0)</x:f>
        <x:v>1</x:v>
      </x:c>
      <x:c r="S118" s="9" t="n">
        <x:f>IF(AND(R118=1,O118&lt;=$G$13),1,0)</x:f>
        <x:v>0</x:v>
      </x:c>
      <x:c r="T118" s="10" t="n">
        <x:f>EOMONTH(J118-'Сводка'!$B$11,-1)</x:f>
        <x:v>45961</x:v>
      </x:c>
      <x:c r="U118" s="4" t="n">
        <x:f>MATCH(J118,'Сводка'!$R$3:$R$397,0)</x:f>
        <x:v>129</x:v>
      </x:c>
      <x:c r="V118" s="4" t="n">
        <x:f>MATCH(J118-'Сводка'!$B$11,'Сводка'!$R$3:$R$397,0)</x:f>
        <x:v>128</x:v>
      </x:c>
      <x:c r="W118" s="4" t="n">
        <x:f>MATCH(T118,$J$388:$J$400,0)</x:f>
        <x:v>5</x:v>
      </x:c>
      <x:c r="X118" s="3"/>
      <x:c r="Y118" s="3"/>
      <x:c r="Z118" s="3"/>
    </x:row>
    <x:row r="119" ht="15" customHeight="1">
      <x:c r="A119" s="3"/>
      <x:c r="B119" s="3"/>
      <x:c r="C119" s="3"/>
      <x:c r="D119" s="3"/>
      <x:c r="E119" s="3"/>
      <x:c r="F119" s="3"/>
      <x:c r="G119" s="3"/>
      <x:c r="H119" s="3"/>
      <x:c r="I119" s="3"/>
      <x:c r="J119" s="10" t="n">
        <x:v>45970</x:v>
      </x:c>
      <x:c r="K119" s="8" t="n">
        <x:f>INDEX('Сводка'!$S$3:$S$397,U119)</x:f>
        <x:v>-80</x:v>
      </x:c>
      <x:c r="L119" s="8" t="n">
        <x:f>INDEX('Сводка'!$S$3:$S$397,V119)</x:f>
        <x:v>-74</x:v>
      </x:c>
      <x:c r="M119" s="8" t="n">
        <x:f>INDEX($K$388:$N$400,W119,1)+INDEX($K$388:$N$400,W119,2)*(2*(J119-$T$405)/(T119-$T$405)-1)^1+INDEX($K$388:$N$400,W119,3)*(2*(J119-$T$405)/(T119-$T$405)-1)^2+INDEX($K$388:$N$400,W119,4)*(2*(J119-$T$405)/(T119-$T$405)-1)^3+INDEX($O$388:$Z$400,W119,MONTH(J119))</x:f>
        <x:v>-11.162954919787595</x:v>
      </x:c>
      <x:c r="N119" s="8" t="n">
        <x:f>K119-M119</x:f>
        <x:v>-68.8370450802124</x:v>
      </x:c>
      <x:c r="O119" s="8" t="n">
        <x:f>ABS(N119)</x:f>
        <x:v>68.8370450802124</x:v>
      </x:c>
      <x:c r="P119" s="8" t="n">
        <x:f>N119^2</x:f>
        <x:v>4738.538775375195</x:v>
      </x:c>
      <x:c r="Q119" s="8" t="n">
        <x:f>K119-L119</x:f>
        <x:v>-6</x:v>
      </x:c>
      <x:c r="R119" s="9" t="n">
        <x:f>IF(AND(INDEX('Сводка'!$T$3:$T$397,U119)=0,INDEX('Сводка'!$T$3:$T$397,V119)=0),1,0)</x:f>
        <x:v>1</x:v>
      </x:c>
      <x:c r="S119" s="9" t="n">
        <x:f>IF(AND(R119=1,O119&lt;=$G$13),1,0)</x:f>
        <x:v>0</x:v>
      </x:c>
      <x:c r="T119" s="10" t="n">
        <x:f>EOMONTH(J119-'Сводка'!$B$11,-1)</x:f>
        <x:v>45961</x:v>
      </x:c>
      <x:c r="U119" s="4" t="n">
        <x:f>MATCH(J119,'Сводка'!$R$3:$R$397,0)</x:f>
        <x:v>130</x:v>
      </x:c>
      <x:c r="V119" s="4" t="n">
        <x:f>MATCH(J119-'Сводка'!$B$11,'Сводка'!$R$3:$R$397,0)</x:f>
        <x:v>129</x:v>
      </x:c>
      <x:c r="W119" s="4" t="n">
        <x:f>MATCH(T119,$J$388:$J$400,0)</x:f>
        <x:v>5</x:v>
      </x:c>
      <x:c r="X119" s="3"/>
      <x:c r="Y119" s="3"/>
      <x:c r="Z119" s="3"/>
    </x:row>
    <x:row r="120" ht="15" customHeight="1">
      <x:c r="A120" s="3"/>
      <x:c r="B120" s="3"/>
      <x:c r="C120" s="3"/>
      <x:c r="D120" s="3"/>
      <x:c r="E120" s="3"/>
      <x:c r="F120" s="3"/>
      <x:c r="G120" s="3"/>
      <x:c r="H120" s="3"/>
      <x:c r="I120" s="3"/>
      <x:c r="J120" s="10" t="n">
        <x:v>45971</x:v>
      </x:c>
      <x:c r="K120" s="8" t="n">
        <x:f>INDEX('Сводка'!$S$3:$S$397,U120)</x:f>
        <x:v>-83</x:v>
      </x:c>
      <x:c r="L120" s="8" t="n">
        <x:f>INDEX('Сводка'!$S$3:$S$397,V120)</x:f>
        <x:v>-80</x:v>
      </x:c>
      <x:c r="M120" s="8" t="n">
        <x:f>INDEX($K$388:$N$400,W120,1)+INDEX($K$388:$N$400,W120,2)*(2*(J120-$T$405)/(T120-$T$405)-1)^1+INDEX($K$388:$N$400,W120,3)*(2*(J120-$T$405)/(T120-$T$405)-1)^2+INDEX($K$388:$N$400,W120,4)*(2*(J120-$T$405)/(T120-$T$405)-1)^3+INDEX($O$388:$Z$400,W120,MONTH(J120))</x:f>
        <x:v>-11.18138892074488</x:v>
      </x:c>
      <x:c r="N120" s="8" t="n">
        <x:f>K120-M120</x:f>
        <x:v>-71.81861107925512</x:v>
      </x:c>
      <x:c r="O120" s="8" t="n">
        <x:f>ABS(N120)</x:f>
        <x:v>71.81861107925512</x:v>
      </x:c>
      <x:c r="P120" s="8" t="n">
        <x:f>N120^2</x:f>
        <x:v>5157.912897353306</x:v>
      </x:c>
      <x:c r="Q120" s="8" t="n">
        <x:f>K120-L120</x:f>
        <x:v>-3</x:v>
      </x:c>
      <x:c r="R120" s="9" t="n">
        <x:f>IF(AND(INDEX('Сводка'!$T$3:$T$397,U120)=0,INDEX('Сводка'!$T$3:$T$397,V120)=0),1,0)</x:f>
        <x:v>1</x:v>
      </x:c>
      <x:c r="S120" s="9" t="n">
        <x:f>IF(AND(R120=1,O120&lt;=$G$13),1,0)</x:f>
        <x:v>0</x:v>
      </x:c>
      <x:c r="T120" s="10" t="n">
        <x:f>EOMONTH(J120-'Сводка'!$B$11,-1)</x:f>
        <x:v>45961</x:v>
      </x:c>
      <x:c r="U120" s="4" t="n">
        <x:f>MATCH(J120,'Сводка'!$R$3:$R$397,0)</x:f>
        <x:v>131</x:v>
      </x:c>
      <x:c r="V120" s="4" t="n">
        <x:f>MATCH(J120-'Сводка'!$B$11,'Сводка'!$R$3:$R$397,0)</x:f>
        <x:v>130</x:v>
      </x:c>
      <x:c r="W120" s="4" t="n">
        <x:f>MATCH(T120,$J$388:$J$400,0)</x:f>
        <x:v>5</x:v>
      </x:c>
      <x:c r="X120" s="3"/>
      <x:c r="Y120" s="3"/>
      <x:c r="Z120" s="3"/>
    </x:row>
    <x:row r="121" ht="15" customHeight="1">
      <x:c r="A121" s="3"/>
      <x:c r="B121" s="3"/>
      <x:c r="C121" s="3"/>
      <x:c r="D121" s="3"/>
      <x:c r="E121" s="3"/>
      <x:c r="F121" s="3"/>
      <x:c r="G121" s="3"/>
      <x:c r="H121" s="3"/>
      <x:c r="I121" s="3"/>
      <x:c r="J121" s="10" t="n">
        <x:v>45972</x:v>
      </x:c>
      <x:c r="K121" s="8" t="n">
        <x:f>INDEX('Сводка'!$S$3:$S$397,U121)</x:f>
        <x:v>-89</x:v>
      </x:c>
      <x:c r="L121" s="8" t="n">
        <x:f>INDEX('Сводка'!$S$3:$S$397,V121)</x:f>
        <x:v>-83</x:v>
      </x:c>
      <x:c r="M121" s="8" t="n">
        <x:f>INDEX($K$388:$N$400,W121,1)+INDEX($K$388:$N$400,W121,2)*(2*(J121-$T$405)/(T121-$T$405)-1)^1+INDEX($K$388:$N$400,W121,3)*(2*(J121-$T$405)/(T121-$T$405)-1)^2+INDEX($K$388:$N$400,W121,4)*(2*(J121-$T$405)/(T121-$T$405)-1)^3+INDEX($O$388:$Z$400,W121,MONTH(J121))</x:f>
        <x:v>-11.199836478283487</x:v>
      </x:c>
      <x:c r="N121" s="8" t="n">
        <x:f>K121-M121</x:f>
        <x:v>-77.80016352171651</x:v>
      </x:c>
      <x:c r="O121" s="8" t="n">
        <x:f>ABS(N121)</x:f>
        <x:v>77.80016352171651</x:v>
      </x:c>
      <x:c r="P121" s="8" t="n">
        <x:f>N121^2</x:f>
        <x:v>6052.865444005829</x:v>
      </x:c>
      <x:c r="Q121" s="8" t="n">
        <x:f>K121-L121</x:f>
        <x:v>-6</x:v>
      </x:c>
      <x:c r="R121" s="9" t="n">
        <x:f>IF(AND(INDEX('Сводка'!$T$3:$T$397,U121)=0,INDEX('Сводка'!$T$3:$T$397,V121)=0),1,0)</x:f>
        <x:v>1</x:v>
      </x:c>
      <x:c r="S121" s="9" t="n">
        <x:f>IF(AND(R121=1,O121&lt;=$G$13),1,0)</x:f>
        <x:v>0</x:v>
      </x:c>
      <x:c r="T121" s="10" t="n">
        <x:f>EOMONTH(J121-'Сводка'!$B$11,-1)</x:f>
        <x:v>45961</x:v>
      </x:c>
      <x:c r="U121" s="4" t="n">
        <x:f>MATCH(J121,'Сводка'!$R$3:$R$397,0)</x:f>
        <x:v>132</x:v>
      </x:c>
      <x:c r="V121" s="4" t="n">
        <x:f>MATCH(J121-'Сводка'!$B$11,'Сводка'!$R$3:$R$397,0)</x:f>
        <x:v>131</x:v>
      </x:c>
      <x:c r="W121" s="4" t="n">
        <x:f>MATCH(T121,$J$388:$J$400,0)</x:f>
        <x:v>5</x:v>
      </x:c>
      <x:c r="X121" s="3"/>
      <x:c r="Y121" s="3"/>
      <x:c r="Z121" s="3"/>
    </x:row>
    <x:row r="122" ht="15" customHeight="1">
      <x:c r="A122" s="3"/>
      <x:c r="B122" s="3"/>
      <x:c r="C122" s="3"/>
      <x:c r="D122" s="3"/>
      <x:c r="E122" s="3"/>
      <x:c r="F122" s="3"/>
      <x:c r="G122" s="3"/>
      <x:c r="H122" s="3"/>
      <x:c r="I122" s="3"/>
      <x:c r="J122" s="10" t="n">
        <x:v>45973</x:v>
      </x:c>
      <x:c r="K122" s="8" t="n">
        <x:f>INDEX('Сводка'!$S$3:$S$397,U122)</x:f>
        <x:v>-88</x:v>
      </x:c>
      <x:c r="L122" s="8" t="n">
        <x:f>INDEX('Сводка'!$S$3:$S$397,V122)</x:f>
        <x:v>-89</x:v>
      </x:c>
      <x:c r="M122" s="8" t="n">
        <x:f>INDEX($K$388:$N$400,W122,1)+INDEX($K$388:$N$400,W122,2)*(2*(J122-$T$405)/(T122-$T$405)-1)^1+INDEX($K$388:$N$400,W122,3)*(2*(J122-$T$405)/(T122-$T$405)-1)^2+INDEX($K$388:$N$400,W122,4)*(2*(J122-$T$405)/(T122-$T$405)-1)^3+INDEX($O$388:$Z$400,W122,MONTH(J122))</x:f>
        <x:v>-11.2182975941585</x:v>
      </x:c>
      <x:c r="N122" s="8" t="n">
        <x:f>K122-M122</x:f>
        <x:v>-76.7817024058415</x:v>
      </x:c>
      <x:c r="O122" s="8" t="n">
        <x:f>ABS(N122)</x:f>
        <x:v>76.7817024058415</x:v>
      </x:c>
      <x:c r="P122" s="8" t="n">
        <x:f>N122^2</x:f>
        <x:v>5895.429824339207</x:v>
      </x:c>
      <x:c r="Q122" s="8" t="n">
        <x:f>K122-L122</x:f>
        <x:v>1</x:v>
      </x:c>
      <x:c r="R122" s="9" t="n">
        <x:f>IF(AND(INDEX('Сводка'!$T$3:$T$397,U122)=0,INDEX('Сводка'!$T$3:$T$397,V122)=0),1,0)</x:f>
        <x:v>1</x:v>
      </x:c>
      <x:c r="S122" s="9" t="n">
        <x:f>IF(AND(R122=1,O122&lt;=$G$13),1,0)</x:f>
        <x:v>0</x:v>
      </x:c>
      <x:c r="T122" s="10" t="n">
        <x:f>EOMONTH(J122-'Сводка'!$B$11,-1)</x:f>
        <x:v>45961</x:v>
      </x:c>
      <x:c r="U122" s="4" t="n">
        <x:f>MATCH(J122,'Сводка'!$R$3:$R$397,0)</x:f>
        <x:v>133</x:v>
      </x:c>
      <x:c r="V122" s="4" t="n">
        <x:f>MATCH(J122-'Сводка'!$B$11,'Сводка'!$R$3:$R$397,0)</x:f>
        <x:v>132</x:v>
      </x:c>
      <x:c r="W122" s="4" t="n">
        <x:f>MATCH(T122,$J$388:$J$400,0)</x:f>
        <x:v>5</x:v>
      </x:c>
      <x:c r="X122" s="3"/>
      <x:c r="Y122" s="3"/>
      <x:c r="Z122" s="3"/>
    </x:row>
    <x:row r="123" ht="15" customHeight="1">
      <x:c r="A123" s="3"/>
      <x:c r="B123" s="3"/>
      <x:c r="C123" s="3"/>
      <x:c r="D123" s="3"/>
      <x:c r="E123" s="3"/>
      <x:c r="F123" s="3"/>
      <x:c r="G123" s="3"/>
      <x:c r="H123" s="3"/>
      <x:c r="I123" s="3"/>
      <x:c r="J123" s="10" t="n">
        <x:v>45974</x:v>
      </x:c>
      <x:c r="K123" s="8" t="n">
        <x:f>INDEX('Сводка'!$S$3:$S$397,U123)</x:f>
        <x:v>-89</x:v>
      </x:c>
      <x:c r="L123" s="8" t="n">
        <x:f>INDEX('Сводка'!$S$3:$S$397,V123)</x:f>
        <x:v>-88</x:v>
      </x:c>
      <x:c r="M123" s="8" t="n">
        <x:f>INDEX($K$388:$N$400,W123,1)+INDEX($K$388:$N$400,W123,2)*(2*(J123-$T$405)/(T123-$T$405)-1)^1+INDEX($K$388:$N$400,W123,3)*(2*(J123-$T$405)/(T123-$T$405)-1)^2+INDEX($K$388:$N$400,W123,4)*(2*(J123-$T$405)/(T123-$T$405)-1)^3+INDEX($O$388:$Z$400,W123,MONTH(J123))</x:f>
        <x:v>-11.236772270125101</x:v>
      </x:c>
      <x:c r="N123" s="8" t="n">
        <x:f>K123-M123</x:f>
        <x:v>-77.7632277298749</x:v>
      </x:c>
      <x:c r="O123" s="8" t="n">
        <x:f>ABS(N123)</x:f>
        <x:v>77.7632277298749</x:v>
      </x:c>
      <x:c r="P123" s="8" t="n">
        <x:f>N123^2</x:f>
        <x:v>6047.119586968384</x:v>
      </x:c>
      <x:c r="Q123" s="8" t="n">
        <x:f>K123-L123</x:f>
        <x:v>-1</x:v>
      </x:c>
      <x:c r="R123" s="9" t="n">
        <x:f>IF(AND(INDEX('Сводка'!$T$3:$T$397,U123)=0,INDEX('Сводка'!$T$3:$T$397,V123)=0),1,0)</x:f>
        <x:v>1</x:v>
      </x:c>
      <x:c r="S123" s="9" t="n">
        <x:f>IF(AND(R123=1,O123&lt;=$G$13),1,0)</x:f>
        <x:v>0</x:v>
      </x:c>
      <x:c r="T123" s="10" t="n">
        <x:f>EOMONTH(J123-'Сводка'!$B$11,-1)</x:f>
        <x:v>45961</x:v>
      </x:c>
      <x:c r="U123" s="4" t="n">
        <x:f>MATCH(J123,'Сводка'!$R$3:$R$397,0)</x:f>
        <x:v>134</x:v>
      </x:c>
      <x:c r="V123" s="4" t="n">
        <x:f>MATCH(J123-'Сводка'!$B$11,'Сводка'!$R$3:$R$397,0)</x:f>
        <x:v>133</x:v>
      </x:c>
      <x:c r="W123" s="4" t="n">
        <x:f>MATCH(T123,$J$388:$J$400,0)</x:f>
        <x:v>5</x:v>
      </x:c>
      <x:c r="X123" s="3"/>
      <x:c r="Y123" s="3"/>
      <x:c r="Z123" s="3"/>
    </x:row>
    <x:row r="124" ht="15" customHeight="1">
      <x:c r="A124" s="3"/>
      <x:c r="B124" s="3"/>
      <x:c r="C124" s="3"/>
      <x:c r="D124" s="3"/>
      <x:c r="E124" s="3"/>
      <x:c r="F124" s="3"/>
      <x:c r="G124" s="3"/>
      <x:c r="H124" s="3"/>
      <x:c r="I124" s="3"/>
      <x:c r="J124" s="10" t="n">
        <x:v>45975</x:v>
      </x:c>
      <x:c r="K124" s="8" t="n">
        <x:f>INDEX('Сводка'!$S$3:$S$397,U124)</x:f>
        <x:v>-95</x:v>
      </x:c>
      <x:c r="L124" s="8" t="n">
        <x:f>INDEX('Сводка'!$S$3:$S$397,V124)</x:f>
        <x:v>-89</x:v>
      </x:c>
      <x:c r="M124" s="8" t="n">
        <x:f>INDEX($K$388:$N$400,W124,1)+INDEX($K$388:$N$400,W124,2)*(2*(J124-$T$405)/(T124-$T$405)-1)^1+INDEX($K$388:$N$400,W124,3)*(2*(J124-$T$405)/(T124-$T$405)-1)^2+INDEX($K$388:$N$400,W124,4)*(2*(J124-$T$405)/(T124-$T$405)-1)^3+INDEX($O$388:$Z$400,W124,MONTH(J124))</x:f>
        <x:v>-11.255260507938445</x:v>
      </x:c>
      <x:c r="N124" s="8" t="n">
        <x:f>K124-M124</x:f>
        <x:v>-83.74473949206156</x:v>
      </x:c>
      <x:c r="O124" s="8" t="n">
        <x:f>ABS(N124)</x:f>
        <x:v>83.74473949206156</x:v>
      </x:c>
      <x:c r="P124" s="8" t="n">
        <x:f>N124^2</x:f>
        <x:v>7013.181392593254</x:v>
      </x:c>
      <x:c r="Q124" s="8" t="n">
        <x:f>K124-L124</x:f>
        <x:v>-6</x:v>
      </x:c>
      <x:c r="R124" s="9" t="n">
        <x:f>IF(AND(INDEX('Сводка'!$T$3:$T$397,U124)=0,INDEX('Сводка'!$T$3:$T$397,V124)=0),1,0)</x:f>
        <x:v>1</x:v>
      </x:c>
      <x:c r="S124" s="9" t="n">
        <x:f>IF(AND(R124=1,O124&lt;=$G$13),1,0)</x:f>
        <x:v>0</x:v>
      </x:c>
      <x:c r="T124" s="10" t="n">
        <x:f>EOMONTH(J124-'Сводка'!$B$11,-1)</x:f>
        <x:v>45961</x:v>
      </x:c>
      <x:c r="U124" s="4" t="n">
        <x:f>MATCH(J124,'Сводка'!$R$3:$R$397,0)</x:f>
        <x:v>135</x:v>
      </x:c>
      <x:c r="V124" s="4" t="n">
        <x:f>MATCH(J124-'Сводка'!$B$11,'Сводка'!$R$3:$R$397,0)</x:f>
        <x:v>134</x:v>
      </x:c>
      <x:c r="W124" s="4" t="n">
        <x:f>MATCH(T124,$J$388:$J$400,0)</x:f>
        <x:v>5</x:v>
      </x:c>
      <x:c r="X124" s="3"/>
      <x:c r="Y124" s="3"/>
      <x:c r="Z124" s="3"/>
    </x:row>
    <x:row r="125" ht="15" customHeight="1">
      <x:c r="A125" s="3"/>
      <x:c r="B125" s="3"/>
      <x:c r="C125" s="3"/>
      <x:c r="D125" s="3"/>
      <x:c r="E125" s="3"/>
      <x:c r="F125" s="3"/>
      <x:c r="G125" s="3"/>
      <x:c r="H125" s="3"/>
      <x:c r="I125" s="3"/>
      <x:c r="J125" s="10" t="n">
        <x:v>45976</x:v>
      </x:c>
      <x:c r="K125" s="8" t="n">
        <x:f>INDEX('Сводка'!$S$3:$S$397,U125)</x:f>
        <x:v>-90</x:v>
      </x:c>
      <x:c r="L125" s="8" t="n">
        <x:f>INDEX('Сводка'!$S$3:$S$397,V125)</x:f>
        <x:v>-95</x:v>
      </x:c>
      <x:c r="M125" s="8" t="n">
        <x:f>INDEX($K$388:$N$400,W125,1)+INDEX($K$388:$N$400,W125,2)*(2*(J125-$T$405)/(T125-$T$405)-1)^1+INDEX($K$388:$N$400,W125,3)*(2*(J125-$T$405)/(T125-$T$405)-1)^2+INDEX($K$388:$N$400,W125,4)*(2*(J125-$T$405)/(T125-$T$405)-1)^3+INDEX($O$388:$Z$400,W125,MONTH(J125))</x:f>
        <x:v>-11.273762309353614</x:v>
      </x:c>
      <x:c r="N125" s="8" t="n">
        <x:f>K125-M125</x:f>
        <x:v>-78.72623769064639</x:v>
      </x:c>
      <x:c r="O125" s="8" t="n">
        <x:f>ABS(N125)</x:f>
        <x:v>78.72623769064639</x:v>
      </x:c>
      <x:c r="P125" s="8" t="n">
        <x:f>N125^2</x:f>
        <x:v>6197.820500924152</x:v>
      </x:c>
      <x:c r="Q125" s="8" t="n">
        <x:f>K125-L125</x:f>
        <x:v>5</x:v>
      </x:c>
      <x:c r="R125" s="9" t="n">
        <x:f>IF(AND(INDEX('Сводка'!$T$3:$T$397,U125)=0,INDEX('Сводка'!$T$3:$T$397,V125)=0),1,0)</x:f>
        <x:v>1</x:v>
      </x:c>
      <x:c r="S125" s="9" t="n">
        <x:f>IF(AND(R125=1,O125&lt;=$G$13),1,0)</x:f>
        <x:v>0</x:v>
      </x:c>
      <x:c r="T125" s="10" t="n">
        <x:f>EOMONTH(J125-'Сводка'!$B$11,-1)</x:f>
        <x:v>45961</x:v>
      </x:c>
      <x:c r="U125" s="4" t="n">
        <x:f>MATCH(J125,'Сводка'!$R$3:$R$397,0)</x:f>
        <x:v>136</x:v>
      </x:c>
      <x:c r="V125" s="4" t="n">
        <x:f>MATCH(J125-'Сводка'!$B$11,'Сводка'!$R$3:$R$397,0)</x:f>
        <x:v>135</x:v>
      </x:c>
      <x:c r="W125" s="4" t="n">
        <x:f>MATCH(T125,$J$388:$J$400,0)</x:f>
        <x:v>5</x:v>
      </x:c>
      <x:c r="X125" s="3"/>
      <x:c r="Y125" s="3"/>
      <x:c r="Z125" s="3"/>
    </x:row>
    <x:row r="126" ht="15" customHeight="1">
      <x:c r="A126" s="3"/>
      <x:c r="B126" s="3"/>
      <x:c r="C126" s="3"/>
      <x:c r="D126" s="3"/>
      <x:c r="E126" s="3"/>
      <x:c r="F126" s="3"/>
      <x:c r="G126" s="3"/>
      <x:c r="H126" s="3"/>
      <x:c r="I126" s="3"/>
      <x:c r="J126" s="10" t="n">
        <x:v>45977</x:v>
      </x:c>
      <x:c r="K126" s="8" t="n">
        <x:f>INDEX('Сводка'!$S$3:$S$397,U126)</x:f>
        <x:v>-81</x:v>
      </x:c>
      <x:c r="L126" s="8" t="n">
        <x:f>INDEX('Сводка'!$S$3:$S$397,V126)</x:f>
        <x:v>-90</x:v>
      </x:c>
      <x:c r="M126" s="8" t="n">
        <x:f>INDEX($K$388:$N$400,W126,1)+INDEX($K$388:$N$400,W126,2)*(2*(J126-$T$405)/(T126-$T$405)-1)^1+INDEX($K$388:$N$400,W126,3)*(2*(J126-$T$405)/(T126-$T$405)-1)^2+INDEX($K$388:$N$400,W126,4)*(2*(J126-$T$405)/(T126-$T$405)-1)^3+INDEX($O$388:$Z$400,W126,MONTH(J126))</x:f>
        <x:v>-11.292277676125835</x:v>
      </x:c>
      <x:c r="N126" s="8" t="n">
        <x:f>K126-M126</x:f>
        <x:v>-69.70772232387417</x:v>
      </x:c>
      <x:c r="O126" s="8" t="n">
        <x:f>ABS(N126)</x:f>
        <x:v>69.70772232387417</x:v>
      </x:c>
      <x:c r="P126" s="8" t="n">
        <x:f>N126^2</x:f>
        <x:v>4859.166551582344</x:v>
      </x:c>
      <x:c r="Q126" s="8" t="n">
        <x:f>K126-L126</x:f>
        <x:v>9</x:v>
      </x:c>
      <x:c r="R126" s="9" t="n">
        <x:f>IF(AND(INDEX('Сводка'!$T$3:$T$397,U126)=0,INDEX('Сводка'!$T$3:$T$397,V126)=0),1,0)</x:f>
        <x:v>1</x:v>
      </x:c>
      <x:c r="S126" s="9" t="n">
        <x:f>IF(AND(R126=1,O126&lt;=$G$13),1,0)</x:f>
        <x:v>0</x:v>
      </x:c>
      <x:c r="T126" s="10" t="n">
        <x:f>EOMONTH(J126-'Сводка'!$B$11,-1)</x:f>
        <x:v>45961</x:v>
      </x:c>
      <x:c r="U126" s="4" t="n">
        <x:f>MATCH(J126,'Сводка'!$R$3:$R$397,0)</x:f>
        <x:v>137</x:v>
      </x:c>
      <x:c r="V126" s="4" t="n">
        <x:f>MATCH(J126-'Сводка'!$B$11,'Сводка'!$R$3:$R$397,0)</x:f>
        <x:v>136</x:v>
      </x:c>
      <x:c r="W126" s="4" t="n">
        <x:f>MATCH(T126,$J$388:$J$400,0)</x:f>
        <x:v>5</x:v>
      </x:c>
      <x:c r="X126" s="3"/>
      <x:c r="Y126" s="3"/>
      <x:c r="Z126" s="3"/>
    </x:row>
    <x:row r="127" ht="15" customHeight="1">
      <x:c r="A127" s="3"/>
      <x:c r="B127" s="3"/>
      <x:c r="C127" s="3"/>
      <x:c r="D127" s="3"/>
      <x:c r="E127" s="3"/>
      <x:c r="F127" s="3"/>
      <x:c r="G127" s="3"/>
      <x:c r="H127" s="3"/>
      <x:c r="I127" s="3"/>
      <x:c r="J127" s="10" t="n">
        <x:v>45978</x:v>
      </x:c>
      <x:c r="K127" s="8" t="n">
        <x:f>INDEX('Сводка'!$S$3:$S$397,U127)</x:f>
        <x:v>-83</x:v>
      </x:c>
      <x:c r="L127" s="8" t="n">
        <x:f>INDEX('Сводка'!$S$3:$S$397,V127)</x:f>
        <x:v>-81</x:v>
      </x:c>
      <x:c r="M127" s="8" t="n">
        <x:f>INDEX($K$388:$N$400,W127,1)+INDEX($K$388:$N$400,W127,2)*(2*(J127-$T$405)/(T127-$T$405)-1)^1+INDEX($K$388:$N$400,W127,3)*(2*(J127-$T$405)/(T127-$T$405)-1)^2+INDEX($K$388:$N$400,W127,4)*(2*(J127-$T$405)/(T127-$T$405)-1)^3+INDEX($O$388:$Z$400,W127,MONTH(J127))</x:f>
        <x:v>-11.310806610010118</x:v>
      </x:c>
      <x:c r="N127" s="8" t="n">
        <x:f>K127-M127</x:f>
        <x:v>-71.68919338998988</x:v>
      </x:c>
      <x:c r="O127" s="8" t="n">
        <x:f>ABS(N127)</x:f>
        <x:v>71.68919338998988</x:v>
      </x:c>
      <x:c r="P127" s="8" t="n">
        <x:f>N127^2</x:f>
        <x:v>5139.340448907369</x:v>
      </x:c>
      <x:c r="Q127" s="8" t="n">
        <x:f>K127-L127</x:f>
        <x:v>-2</x:v>
      </x:c>
      <x:c r="R127" s="9" t="n">
        <x:f>IF(AND(INDEX('Сводка'!$T$3:$T$397,U127)=0,INDEX('Сводка'!$T$3:$T$397,V127)=0),1,0)</x:f>
        <x:v>1</x:v>
      </x:c>
      <x:c r="S127" s="9" t="n">
        <x:f>IF(AND(R127=1,O127&lt;=$G$13),1,0)</x:f>
        <x:v>0</x:v>
      </x:c>
      <x:c r="T127" s="10" t="n">
        <x:f>EOMONTH(J127-'Сводка'!$B$11,-1)</x:f>
        <x:v>45961</x:v>
      </x:c>
      <x:c r="U127" s="4" t="n">
        <x:f>MATCH(J127,'Сводка'!$R$3:$R$397,0)</x:f>
        <x:v>138</x:v>
      </x:c>
      <x:c r="V127" s="4" t="n">
        <x:f>MATCH(J127-'Сводка'!$B$11,'Сводка'!$R$3:$R$397,0)</x:f>
        <x:v>137</x:v>
      </x:c>
      <x:c r="W127" s="4" t="n">
        <x:f>MATCH(T127,$J$388:$J$400,0)</x:f>
        <x:v>5</x:v>
      </x:c>
      <x:c r="X127" s="3"/>
      <x:c r="Y127" s="3"/>
      <x:c r="Z127" s="3"/>
    </x:row>
    <x:row r="128" ht="15" customHeight="1">
      <x:c r="A128" s="3"/>
      <x:c r="B128" s="3"/>
      <x:c r="C128" s="3"/>
      <x:c r="D128" s="3"/>
      <x:c r="E128" s="3"/>
      <x:c r="F128" s="3"/>
      <x:c r="G128" s="3"/>
      <x:c r="H128" s="3"/>
      <x:c r="I128" s="3"/>
      <x:c r="J128" s="10" t="n">
        <x:v>45979</x:v>
      </x:c>
      <x:c r="K128" s="8" t="n">
        <x:f>INDEX('Сводка'!$S$3:$S$397,U128)</x:f>
        <x:v>-72</x:v>
      </x:c>
      <x:c r="L128" s="8" t="n">
        <x:f>INDEX('Сводка'!$S$3:$S$397,V128)</x:f>
        <x:v>-83</x:v>
      </x:c>
      <x:c r="M128" s="8" t="n">
        <x:f>INDEX($K$388:$N$400,W128,1)+INDEX($K$388:$N$400,W128,2)*(2*(J128-$T$405)/(T128-$T$405)-1)^1+INDEX($K$388:$N$400,W128,3)*(2*(J128-$T$405)/(T128-$T$405)-1)^2+INDEX($K$388:$N$400,W128,4)*(2*(J128-$T$405)/(T128-$T$405)-1)^3+INDEX($O$388:$Z$400,W128,MONTH(J128))</x:f>
        <x:v>-11.329349112761719</x:v>
      </x:c>
      <x:c r="N128" s="8" t="n">
        <x:f>K128-M128</x:f>
        <x:v>-60.67065088723828</x:v>
      </x:c>
      <x:c r="O128" s="8" t="n">
        <x:f>ABS(N128)</x:f>
        <x:v>60.67065088723828</x:v>
      </x:c>
      <x:c r="P128" s="8" t="n">
        <x:f>N128^2</x:f>
        <x:v>3680.9278790811472</x:v>
      </x:c>
      <x:c r="Q128" s="8" t="n">
        <x:f>K128-L128</x:f>
        <x:v>11</x:v>
      </x:c>
      <x:c r="R128" s="9" t="n">
        <x:f>IF(AND(INDEX('Сводка'!$T$3:$T$397,U128)=0,INDEX('Сводка'!$T$3:$T$397,V128)=0),1,0)</x:f>
        <x:v>1</x:v>
      </x:c>
      <x:c r="S128" s="9" t="n">
        <x:f>IF(AND(R128=1,O128&lt;=$G$13),1,0)</x:f>
        <x:v>0</x:v>
      </x:c>
      <x:c r="T128" s="10" t="n">
        <x:f>EOMONTH(J128-'Сводка'!$B$11,-1)</x:f>
        <x:v>45961</x:v>
      </x:c>
      <x:c r="U128" s="4" t="n">
        <x:f>MATCH(J128,'Сводка'!$R$3:$R$397,0)</x:f>
        <x:v>139</x:v>
      </x:c>
      <x:c r="V128" s="4" t="n">
        <x:f>MATCH(J128-'Сводка'!$B$11,'Сводка'!$R$3:$R$397,0)</x:f>
        <x:v>138</x:v>
      </x:c>
      <x:c r="W128" s="4" t="n">
        <x:f>MATCH(T128,$J$388:$J$400,0)</x:f>
        <x:v>5</x:v>
      </x:c>
      <x:c r="X128" s="3"/>
      <x:c r="Y128" s="3"/>
      <x:c r="Z128" s="3"/>
    </x:row>
    <x:row r="129" ht="15" customHeight="1">
      <x:c r="A129" s="3"/>
      <x:c r="B129" s="3"/>
      <x:c r="C129" s="3"/>
      <x:c r="D129" s="3"/>
      <x:c r="E129" s="3"/>
      <x:c r="F129" s="3"/>
      <x:c r="G129" s="3"/>
      <x:c r="H129" s="3"/>
      <x:c r="I129" s="3"/>
      <x:c r="J129" s="10" t="n">
        <x:v>45980</x:v>
      </x:c>
      <x:c r="K129" s="8" t="n">
        <x:f>INDEX('Сводка'!$S$3:$S$397,U129)</x:f>
        <x:v>-74</x:v>
      </x:c>
      <x:c r="L129" s="8" t="n">
        <x:f>INDEX('Сводка'!$S$3:$S$397,V129)</x:f>
        <x:v>-72</x:v>
      </x:c>
      <x:c r="M129" s="8" t="n">
        <x:f>INDEX($K$388:$N$400,W129,1)+INDEX($K$388:$N$400,W129,2)*(2*(J129-$T$405)/(T129-$T$405)-1)^1+INDEX($K$388:$N$400,W129,3)*(2*(J129-$T$405)/(T129-$T$405)-1)^2+INDEX($K$388:$N$400,W129,4)*(2*(J129-$T$405)/(T129-$T$405)-1)^3+INDEX($O$388:$Z$400,W129,MONTH(J129))</x:f>
        <x:v>-11.347905186135733</x:v>
      </x:c>
      <x:c r="N129" s="8" t="n">
        <x:f>K129-M129</x:f>
        <x:v>-62.65209481386427</x:v>
      </x:c>
      <x:c r="O129" s="8" t="n">
        <x:f>ABS(N129)</x:f>
        <x:v>62.65209481386427</x:v>
      </x:c>
      <x:c r="P129" s="8" t="n">
        <x:f>N129^2</x:f>
        <x:v>3925.2849845654378</x:v>
      </x:c>
      <x:c r="Q129" s="8" t="n">
        <x:f>K129-L129</x:f>
        <x:v>-2</x:v>
      </x:c>
      <x:c r="R129" s="9" t="n">
        <x:f>IF(AND(INDEX('Сводка'!$T$3:$T$397,U129)=0,INDEX('Сводка'!$T$3:$T$397,V129)=0),1,0)</x:f>
        <x:v>1</x:v>
      </x:c>
      <x:c r="S129" s="9" t="n">
        <x:f>IF(AND(R129=1,O129&lt;=$G$13),1,0)</x:f>
        <x:v>0</x:v>
      </x:c>
      <x:c r="T129" s="10" t="n">
        <x:f>EOMONTH(J129-'Сводка'!$B$11,-1)</x:f>
        <x:v>45961</x:v>
      </x:c>
      <x:c r="U129" s="4" t="n">
        <x:f>MATCH(J129,'Сводка'!$R$3:$R$397,0)</x:f>
        <x:v>140</x:v>
      </x:c>
      <x:c r="V129" s="4" t="n">
        <x:f>MATCH(J129-'Сводка'!$B$11,'Сводка'!$R$3:$R$397,0)</x:f>
        <x:v>139</x:v>
      </x:c>
      <x:c r="W129" s="4" t="n">
        <x:f>MATCH(T129,$J$388:$J$400,0)</x:f>
        <x:v>5</x:v>
      </x:c>
      <x:c r="X129" s="3"/>
      <x:c r="Y129" s="3"/>
      <x:c r="Z129" s="3"/>
    </x:row>
    <x:row r="130" ht="15" customHeight="1">
      <x:c r="A130" s="3"/>
      <x:c r="B130" s="3"/>
      <x:c r="C130" s="3"/>
      <x:c r="D130" s="3"/>
      <x:c r="E130" s="3"/>
      <x:c r="F130" s="3"/>
      <x:c r="G130" s="3"/>
      <x:c r="H130" s="3"/>
      <x:c r="I130" s="3"/>
      <x:c r="J130" s="10" t="n">
        <x:v>45981</x:v>
      </x:c>
      <x:c r="K130" s="8" t="n">
        <x:f>INDEX('Сводка'!$S$3:$S$397,U130)</x:f>
        <x:v>-71</x:v>
      </x:c>
      <x:c r="L130" s="8" t="n">
        <x:f>INDEX('Сводка'!$S$3:$S$397,V130)</x:f>
        <x:v>-74</x:v>
      </x:c>
      <x:c r="M130" s="8" t="n">
        <x:f>INDEX($K$388:$N$400,W130,1)+INDEX($K$388:$N$400,W130,2)*(2*(J130-$T$405)/(T130-$T$405)-1)^1+INDEX($K$388:$N$400,W130,3)*(2*(J130-$T$405)/(T130-$T$405)-1)^2+INDEX($K$388:$N$400,W130,4)*(2*(J130-$T$405)/(T130-$T$405)-1)^3+INDEX($O$388:$Z$400,W130,MONTH(J130))</x:f>
        <x:v>-11.366474831887274</x:v>
      </x:c>
      <x:c r="N130" s="8" t="n">
        <x:f>K130-M130</x:f>
        <x:v>-59.633525168112726</x:v>
      </x:c>
      <x:c r="O130" s="8" t="n">
        <x:f>ABS(N130)</x:f>
        <x:v>59.633525168112726</x:v>
      </x:c>
      <x:c r="P130" s="8" t="n">
        <x:f>N130^2</x:f>
        <x:v>3556.157323975934</x:v>
      </x:c>
      <x:c r="Q130" s="8" t="n">
        <x:f>K130-L130</x:f>
        <x:v>3</x:v>
      </x:c>
      <x:c r="R130" s="9" t="n">
        <x:f>IF(AND(INDEX('Сводка'!$T$3:$T$397,U130)=0,INDEX('Сводка'!$T$3:$T$397,V130)=0),1,0)</x:f>
        <x:v>1</x:v>
      </x:c>
      <x:c r="S130" s="9" t="n">
        <x:f>IF(AND(R130=1,O130&lt;=$G$13),1,0)</x:f>
        <x:v>0</x:v>
      </x:c>
      <x:c r="T130" s="10" t="n">
        <x:f>EOMONTH(J130-'Сводка'!$B$11,-1)</x:f>
        <x:v>45961</x:v>
      </x:c>
      <x:c r="U130" s="4" t="n">
        <x:f>MATCH(J130,'Сводка'!$R$3:$R$397,0)</x:f>
        <x:v>141</x:v>
      </x:c>
      <x:c r="V130" s="4" t="n">
        <x:f>MATCH(J130-'Сводка'!$B$11,'Сводка'!$R$3:$R$397,0)</x:f>
        <x:v>140</x:v>
      </x:c>
      <x:c r="W130" s="4" t="n">
        <x:f>MATCH(T130,$J$388:$J$400,0)</x:f>
        <x:v>5</x:v>
      </x:c>
      <x:c r="X130" s="3"/>
      <x:c r="Y130" s="3"/>
      <x:c r="Z130" s="3"/>
    </x:row>
    <x:row r="131" ht="15" customHeight="1">
      <x:c r="A131" s="3"/>
      <x:c r="B131" s="3"/>
      <x:c r="C131" s="3"/>
      <x:c r="D131" s="3"/>
      <x:c r="E131" s="3"/>
      <x:c r="F131" s="3"/>
      <x:c r="G131" s="3"/>
      <x:c r="H131" s="3"/>
      <x:c r="I131" s="3"/>
      <x:c r="J131" s="10" t="n">
        <x:v>45982</x:v>
      </x:c>
      <x:c r="K131" s="8" t="n">
        <x:f>INDEX('Сводка'!$S$3:$S$397,U131)</x:f>
        <x:v>-85</x:v>
      </x:c>
      <x:c r="L131" s="8" t="n">
        <x:f>INDEX('Сводка'!$S$3:$S$397,V131)</x:f>
        <x:v>-71</x:v>
      </x:c>
      <x:c r="M131" s="8" t="n">
        <x:f>INDEX($K$388:$N$400,W131,1)+INDEX($K$388:$N$400,W131,2)*(2*(J131-$T$405)/(T131-$T$405)-1)^1+INDEX($K$388:$N$400,W131,3)*(2*(J131-$T$405)/(T131-$T$405)-1)^2+INDEX($K$388:$N$400,W131,4)*(2*(J131-$T$405)/(T131-$T$405)-1)^3+INDEX($O$388:$Z$400,W131,MONTH(J131))</x:f>
        <x:v>-11.385058051771566</x:v>
      </x:c>
      <x:c r="N131" s="8" t="n">
        <x:f>K131-M131</x:f>
        <x:v>-73.61494194822843</x:v>
      </x:c>
      <x:c r="O131" s="8" t="n">
        <x:f>ABS(N131)</x:f>
        <x:v>73.61494194822843</x:v>
      </x:c>
      <x:c r="P131" s="8" t="n">
        <x:f>N131^2</x:f>
        <x:v>5419.159678041043</x:v>
      </x:c>
      <x:c r="Q131" s="8" t="n">
        <x:f>K131-L131</x:f>
        <x:v>-14</x:v>
      </x:c>
      <x:c r="R131" s="9" t="n">
        <x:f>IF(AND(INDEX('Сводка'!$T$3:$T$397,U131)=0,INDEX('Сводка'!$T$3:$T$397,V131)=0),1,0)</x:f>
        <x:v>1</x:v>
      </x:c>
      <x:c r="S131" s="9" t="n">
        <x:f>IF(AND(R131=1,O131&lt;=$G$13),1,0)</x:f>
        <x:v>0</x:v>
      </x:c>
      <x:c r="T131" s="10" t="n">
        <x:f>EOMONTH(J131-'Сводка'!$B$11,-1)</x:f>
        <x:v>45961</x:v>
      </x:c>
      <x:c r="U131" s="4" t="n">
        <x:f>MATCH(J131,'Сводка'!$R$3:$R$397,0)</x:f>
        <x:v>142</x:v>
      </x:c>
      <x:c r="V131" s="4" t="n">
        <x:f>MATCH(J131-'Сводка'!$B$11,'Сводка'!$R$3:$R$397,0)</x:f>
        <x:v>141</x:v>
      </x:c>
      <x:c r="W131" s="4" t="n">
        <x:f>MATCH(T131,$J$388:$J$400,0)</x:f>
        <x:v>5</x:v>
      </x:c>
      <x:c r="X131" s="3"/>
      <x:c r="Y131" s="3"/>
      <x:c r="Z131" s="3"/>
    </x:row>
    <x:row r="132" ht="15" customHeight="1">
      <x:c r="A132" s="3"/>
      <x:c r="B132" s="3"/>
      <x:c r="C132" s="3"/>
      <x:c r="D132" s="3"/>
      <x:c r="E132" s="3"/>
      <x:c r="F132" s="3"/>
      <x:c r="G132" s="3"/>
      <x:c r="H132" s="3"/>
      <x:c r="I132" s="3"/>
      <x:c r="J132" s="10" t="n">
        <x:v>45983</x:v>
      </x:c>
      <x:c r="K132" s="8" t="n">
        <x:f>INDEX('Сводка'!$S$3:$S$397,U132)</x:f>
        <x:v>-98</x:v>
      </x:c>
      <x:c r="L132" s="8" t="n">
        <x:f>INDEX('Сводка'!$S$3:$S$397,V132)</x:f>
        <x:v>-85</x:v>
      </x:c>
      <x:c r="M132" s="8" t="n">
        <x:f>INDEX($K$388:$N$400,W132,1)+INDEX($K$388:$N$400,W132,2)*(2*(J132-$T$405)/(T132-$T$405)-1)^1+INDEX($K$388:$N$400,W132,3)*(2*(J132-$T$405)/(T132-$T$405)-1)^2+INDEX($K$388:$N$400,W132,4)*(2*(J132-$T$405)/(T132-$T$405)-1)^3+INDEX($O$388:$Z$400,W132,MONTH(J132))</x:f>
        <x:v>-11.403654847543649</x:v>
      </x:c>
      <x:c r="N132" s="8" t="n">
        <x:f>K132-M132</x:f>
        <x:v>-86.59634515245635</x:v>
      </x:c>
      <x:c r="O132" s="8" t="n">
        <x:f>ABS(N132)</x:f>
        <x:v>86.59634515245635</x:v>
      </x:c>
      <x:c r="P132" s="8" t="n">
        <x:f>N132^2</x:f>
        <x:v>7498.926993763351</x:v>
      </x:c>
      <x:c r="Q132" s="8" t="n">
        <x:f>K132-L132</x:f>
        <x:v>-13</x:v>
      </x:c>
      <x:c r="R132" s="9" t="n">
        <x:f>IF(AND(INDEX('Сводка'!$T$3:$T$397,U132)=0,INDEX('Сводка'!$T$3:$T$397,V132)=0),1,0)</x:f>
        <x:v>1</x:v>
      </x:c>
      <x:c r="S132" s="9" t="n">
        <x:f>IF(AND(R132=1,O132&lt;=$G$13),1,0)</x:f>
        <x:v>0</x:v>
      </x:c>
      <x:c r="T132" s="10" t="n">
        <x:f>EOMONTH(J132-'Сводка'!$B$11,-1)</x:f>
        <x:v>45961</x:v>
      </x:c>
      <x:c r="U132" s="4" t="n">
        <x:f>MATCH(J132,'Сводка'!$R$3:$R$397,0)</x:f>
        <x:v>143</x:v>
      </x:c>
      <x:c r="V132" s="4" t="n">
        <x:f>MATCH(J132-'Сводка'!$B$11,'Сводка'!$R$3:$R$397,0)</x:f>
        <x:v>142</x:v>
      </x:c>
      <x:c r="W132" s="4" t="n">
        <x:f>MATCH(T132,$J$388:$J$400,0)</x:f>
        <x:v>5</x:v>
      </x:c>
      <x:c r="X132" s="3"/>
      <x:c r="Y132" s="3"/>
      <x:c r="Z132" s="3"/>
    </x:row>
    <x:row r="133" ht="15" customHeight="1">
      <x:c r="A133" s="3"/>
      <x:c r="B133" s="3"/>
      <x:c r="C133" s="3"/>
      <x:c r="D133" s="3"/>
      <x:c r="E133" s="3"/>
      <x:c r="F133" s="3"/>
      <x:c r="G133" s="3"/>
      <x:c r="H133" s="3"/>
      <x:c r="I133" s="3"/>
      <x:c r="J133" s="10" t="n">
        <x:v>45984</x:v>
      </x:c>
      <x:c r="K133" s="8" t="n">
        <x:f>INDEX('Сводка'!$S$3:$S$397,U133)</x:f>
        <x:v>-118</x:v>
      </x:c>
      <x:c r="L133" s="8" t="n">
        <x:f>INDEX('Сводка'!$S$3:$S$397,V133)</x:f>
        <x:v>-98</x:v>
      </x:c>
      <x:c r="M133" s="8" t="n">
        <x:f>INDEX($K$388:$N$400,W133,1)+INDEX($K$388:$N$400,W133,2)*(2*(J133-$T$405)/(T133-$T$405)-1)^1+INDEX($K$388:$N$400,W133,3)*(2*(J133-$T$405)/(T133-$T$405)-1)^2+INDEX($K$388:$N$400,W133,4)*(2*(J133-$T$405)/(T133-$T$405)-1)^3+INDEX($O$388:$Z$400,W133,MONTH(J133))</x:f>
        <x:v>-11.422265220958721</x:v>
      </x:c>
      <x:c r="N133" s="8" t="n">
        <x:f>K133-M133</x:f>
        <x:v>-106.57773477904128</x:v>
      </x:c>
      <x:c r="O133" s="8" t="n">
        <x:f>ABS(N133)</x:f>
        <x:v>106.57773477904128</x:v>
      </x:c>
      <x:c r="P133" s="8" t="n">
        <x:f>N133^2</x:f>
        <x:v>11358.813550631665</x:v>
      </x:c>
      <x:c r="Q133" s="8" t="n">
        <x:f>K133-L133</x:f>
        <x:v>-20</x:v>
      </x:c>
      <x:c r="R133" s="9" t="n">
        <x:f>IF(AND(INDEX('Сводка'!$T$3:$T$397,U133)=0,INDEX('Сводка'!$T$3:$T$397,V133)=0),1,0)</x:f>
        <x:v>1</x:v>
      </x:c>
      <x:c r="S133" s="9" t="n">
        <x:f>IF(AND(R133=1,O133&lt;=$G$13),1,0)</x:f>
        <x:v>0</x:v>
      </x:c>
      <x:c r="T133" s="10" t="n">
        <x:f>EOMONTH(J133-'Сводка'!$B$11,-1)</x:f>
        <x:v>45961</x:v>
      </x:c>
      <x:c r="U133" s="4" t="n">
        <x:f>MATCH(J133,'Сводка'!$R$3:$R$397,0)</x:f>
        <x:v>144</x:v>
      </x:c>
      <x:c r="V133" s="4" t="n">
        <x:f>MATCH(J133-'Сводка'!$B$11,'Сводка'!$R$3:$R$397,0)</x:f>
        <x:v>143</x:v>
      </x:c>
      <x:c r="W133" s="4" t="n">
        <x:f>MATCH(T133,$J$388:$J$400,0)</x:f>
        <x:v>5</x:v>
      </x:c>
      <x:c r="X133" s="3"/>
      <x:c r="Y133" s="3"/>
      <x:c r="Z133" s="3"/>
    </x:row>
    <x:row r="134" ht="15" customHeight="1">
      <x:c r="A134" s="3"/>
      <x:c r="B134" s="3"/>
      <x:c r="C134" s="3"/>
      <x:c r="D134" s="3"/>
      <x:c r="E134" s="3"/>
      <x:c r="F134" s="3"/>
      <x:c r="G134" s="3"/>
      <x:c r="H134" s="3"/>
      <x:c r="I134" s="3"/>
      <x:c r="J134" s="10" t="n">
        <x:v>45985</x:v>
      </x:c>
      <x:c r="K134" s="8" t="n">
        <x:f>INDEX('Сводка'!$S$3:$S$397,U134)</x:f>
        <x:v>-123</x:v>
      </x:c>
      <x:c r="L134" s="8" t="n">
        <x:f>INDEX('Сводка'!$S$3:$S$397,V134)</x:f>
        <x:v>-118</x:v>
      </x:c>
      <x:c r="M134" s="8" t="n">
        <x:f>INDEX($K$388:$N$400,W134,1)+INDEX($K$388:$N$400,W134,2)*(2*(J134-$T$405)/(T134-$T$405)-1)^1+INDEX($K$388:$N$400,W134,3)*(2*(J134-$T$405)/(T134-$T$405)-1)^2+INDEX($K$388:$N$400,W134,4)*(2*(J134-$T$405)/(T134-$T$405)-1)^3+INDEX($O$388:$Z$400,W134,MONTH(J134))</x:f>
        <x:v>-11.440889173771865</x:v>
      </x:c>
      <x:c r="N134" s="8" t="n">
        <x:f>K134-M134</x:f>
        <x:v>-111.55911082622814</x:v>
      </x:c>
      <x:c r="O134" s="8" t="n">
        <x:f>ABS(N134)</x:f>
        <x:v>111.55911082622814</x:v>
      </x:c>
      <x:c r="P134" s="8" t="n">
        <x:f>N134^2</x:f>
        <x:v>12445.435208338651</x:v>
      </x:c>
      <x:c r="Q134" s="8" t="n">
        <x:f>K134-L134</x:f>
        <x:v>-5</x:v>
      </x:c>
      <x:c r="R134" s="9" t="n">
        <x:f>IF(AND(INDEX('Сводка'!$T$3:$T$397,U134)=0,INDEX('Сводка'!$T$3:$T$397,V134)=0),1,0)</x:f>
        <x:v>1</x:v>
      </x:c>
      <x:c r="S134" s="9" t="n">
        <x:f>IF(AND(R134=1,O134&lt;=$G$13),1,0)</x:f>
        <x:v>0</x:v>
      </x:c>
      <x:c r="T134" s="10" t="n">
        <x:f>EOMONTH(J134-'Сводка'!$B$11,-1)</x:f>
        <x:v>45961</x:v>
      </x:c>
      <x:c r="U134" s="4" t="n">
        <x:f>MATCH(J134,'Сводка'!$R$3:$R$397,0)</x:f>
        <x:v>145</x:v>
      </x:c>
      <x:c r="V134" s="4" t="n">
        <x:f>MATCH(J134-'Сводка'!$B$11,'Сводка'!$R$3:$R$397,0)</x:f>
        <x:v>144</x:v>
      </x:c>
      <x:c r="W134" s="4" t="n">
        <x:f>MATCH(T134,$J$388:$J$400,0)</x:f>
        <x:v>5</x:v>
      </x:c>
      <x:c r="X134" s="3"/>
      <x:c r="Y134" s="3"/>
      <x:c r="Z134" s="3"/>
    </x:row>
    <x:row r="135" ht="15" customHeight="1">
      <x:c r="A135" s="3"/>
      <x:c r="B135" s="3"/>
      <x:c r="C135" s="3"/>
      <x:c r="D135" s="3"/>
      <x:c r="E135" s="3"/>
      <x:c r="F135" s="3"/>
      <x:c r="G135" s="3"/>
      <x:c r="H135" s="3"/>
      <x:c r="I135" s="3"/>
      <x:c r="J135" s="10" t="n">
        <x:v>45986</x:v>
      </x:c>
      <x:c r="K135" s="8" t="n">
        <x:f>INDEX('Сводка'!$S$3:$S$397,U135)</x:f>
        <x:v>-116</x:v>
      </x:c>
      <x:c r="L135" s="8" t="n">
        <x:f>INDEX('Сводка'!$S$3:$S$397,V135)</x:f>
        <x:v>-123</x:v>
      </x:c>
      <x:c r="M135" s="8" t="n">
        <x:f>INDEX($K$388:$N$400,W135,1)+INDEX($K$388:$N$400,W135,2)*(2*(J135-$T$405)/(T135-$T$405)-1)^1+INDEX($K$388:$N$400,W135,3)*(2*(J135-$T$405)/(T135-$T$405)-1)^2+INDEX($K$388:$N$400,W135,4)*(2*(J135-$T$405)/(T135-$T$405)-1)^3+INDEX($O$388:$Z$400,W135,MONTH(J135))</x:f>
        <x:v>-11.459526707738334</x:v>
      </x:c>
      <x:c r="N135" s="8" t="n">
        <x:f>K135-M135</x:f>
        <x:v>-104.54047329226167</x:v>
      </x:c>
      <x:c r="O135" s="8" t="n">
        <x:f>ABS(N135)</x:f>
        <x:v>104.54047329226167</x:v>
      </x:c>
      <x:c r="P135" s="8" t="n">
        <x:f>N135^2</x:f>
        <x:v>10928.710556170076</x:v>
      </x:c>
      <x:c r="Q135" s="8" t="n">
        <x:f>K135-L135</x:f>
        <x:v>7</x:v>
      </x:c>
      <x:c r="R135" s="9" t="n">
        <x:f>IF(AND(INDEX('Сводка'!$T$3:$T$397,U135)=0,INDEX('Сводка'!$T$3:$T$397,V135)=0),1,0)</x:f>
        <x:v>1</x:v>
      </x:c>
      <x:c r="S135" s="9" t="n">
        <x:f>IF(AND(R135=1,O135&lt;=$G$13),1,0)</x:f>
        <x:v>0</x:v>
      </x:c>
      <x:c r="T135" s="10" t="n">
        <x:f>EOMONTH(J135-'Сводка'!$B$11,-1)</x:f>
        <x:v>45961</x:v>
      </x:c>
      <x:c r="U135" s="4" t="n">
        <x:f>MATCH(J135,'Сводка'!$R$3:$R$397,0)</x:f>
        <x:v>146</x:v>
      </x:c>
      <x:c r="V135" s="4" t="n">
        <x:f>MATCH(J135-'Сводка'!$B$11,'Сводка'!$R$3:$R$397,0)</x:f>
        <x:v>145</x:v>
      </x:c>
      <x:c r="W135" s="4" t="n">
        <x:f>MATCH(T135,$J$388:$J$400,0)</x:f>
        <x:v>5</x:v>
      </x:c>
      <x:c r="X135" s="3"/>
      <x:c r="Y135" s="3"/>
      <x:c r="Z135" s="3"/>
    </x:row>
    <x:row r="136" ht="15" customHeight="1">
      <x:c r="A136" s="3"/>
      <x:c r="B136" s="3"/>
      <x:c r="C136" s="3"/>
      <x:c r="D136" s="3"/>
      <x:c r="E136" s="3"/>
      <x:c r="F136" s="3"/>
      <x:c r="G136" s="3"/>
      <x:c r="H136" s="3"/>
      <x:c r="I136" s="3"/>
      <x:c r="J136" s="10" t="n">
        <x:v>45987</x:v>
      </x:c>
      <x:c r="K136" s="8" t="n">
        <x:f>INDEX('Сводка'!$S$3:$S$397,U136)</x:f>
        <x:v>-119</x:v>
      </x:c>
      <x:c r="L136" s="8" t="n">
        <x:f>INDEX('Сводка'!$S$3:$S$397,V136)</x:f>
        <x:v>-116</x:v>
      </x:c>
      <x:c r="M136" s="8" t="n">
        <x:f>INDEX($K$388:$N$400,W136,1)+INDEX($K$388:$N$400,W136,2)*(2*(J136-$T$405)/(T136-$T$405)-1)^1+INDEX($K$388:$N$400,W136,3)*(2*(J136-$T$405)/(T136-$T$405)-1)^2+INDEX($K$388:$N$400,W136,4)*(2*(J136-$T$405)/(T136-$T$405)-1)^3+INDEX($O$388:$Z$400,W136,MONTH(J136))</x:f>
        <x:v>-11.478177824613098</x:v>
      </x:c>
      <x:c r="N136" s="8" t="n">
        <x:f>K136-M136</x:f>
        <x:v>-107.5218221753869</x:v>
      </x:c>
      <x:c r="O136" s="8" t="n">
        <x:f>ABS(N136)</x:f>
        <x:v>107.5218221753869</x:v>
      </x:c>
      <x:c r="P136" s="8" t="n">
        <x:f>N136^2</x:f>
        <x:v>11560.942243915522</x:v>
      </x:c>
      <x:c r="Q136" s="8" t="n">
        <x:f>K136-L136</x:f>
        <x:v>-3</x:v>
      </x:c>
      <x:c r="R136" s="9" t="n">
        <x:f>IF(AND(INDEX('Сводка'!$T$3:$T$397,U136)=0,INDEX('Сводка'!$T$3:$T$397,V136)=0),1,0)</x:f>
        <x:v>1</x:v>
      </x:c>
      <x:c r="S136" s="9" t="n">
        <x:f>IF(AND(R136=1,O136&lt;=$G$13),1,0)</x:f>
        <x:v>0</x:v>
      </x:c>
      <x:c r="T136" s="10" t="n">
        <x:f>EOMONTH(J136-'Сводка'!$B$11,-1)</x:f>
        <x:v>45961</x:v>
      </x:c>
      <x:c r="U136" s="4" t="n">
        <x:f>MATCH(J136,'Сводка'!$R$3:$R$397,0)</x:f>
        <x:v>147</x:v>
      </x:c>
      <x:c r="V136" s="4" t="n">
        <x:f>MATCH(J136-'Сводка'!$B$11,'Сводка'!$R$3:$R$397,0)</x:f>
        <x:v>146</x:v>
      </x:c>
      <x:c r="W136" s="4" t="n">
        <x:f>MATCH(T136,$J$388:$J$400,0)</x:f>
        <x:v>5</x:v>
      </x:c>
      <x:c r="X136" s="3"/>
      <x:c r="Y136" s="3"/>
      <x:c r="Z136" s="3"/>
    </x:row>
    <x:row r="137" ht="15" customHeight="1">
      <x:c r="A137" s="3"/>
      <x:c r="B137" s="3"/>
      <x:c r="C137" s="3"/>
      <x:c r="D137" s="3"/>
      <x:c r="E137" s="3"/>
      <x:c r="F137" s="3"/>
      <x:c r="G137" s="3"/>
      <x:c r="H137" s="3"/>
      <x:c r="I137" s="3"/>
      <x:c r="J137" s="10" t="n">
        <x:v>45988</x:v>
      </x:c>
      <x:c r="K137" s="8" t="n">
        <x:f>INDEX('Сводка'!$S$3:$S$397,U137)</x:f>
        <x:v>-114</x:v>
      </x:c>
      <x:c r="L137" s="8" t="n">
        <x:f>INDEX('Сводка'!$S$3:$S$397,V137)</x:f>
        <x:v>-119</x:v>
      </x:c>
      <x:c r="M137" s="8" t="n">
        <x:f>INDEX($K$388:$N$400,W137,1)+INDEX($K$388:$N$400,W137,2)*(2*(J137-$T$405)/(T137-$T$405)-1)^1+INDEX($K$388:$N$400,W137,3)*(2*(J137-$T$405)/(T137-$T$405)-1)^2+INDEX($K$388:$N$400,W137,4)*(2*(J137-$T$405)/(T137-$T$405)-1)^3+INDEX($O$388:$Z$400,W137,MONTH(J137))</x:f>
        <x:v>-11.49684252615144</x:v>
      </x:c>
      <x:c r="N137" s="8" t="n">
        <x:f>K137-M137</x:f>
        <x:v>-102.50315747384856</x:v>
      </x:c>
      <x:c r="O137" s="8" t="n">
        <x:f>ABS(N137)</x:f>
        <x:v>102.50315747384856</x:v>
      </x:c>
      <x:c r="P137" s="8" t="n">
        <x:f>N137^2</x:f>
        <x:v>10506.897292108595</x:v>
      </x:c>
      <x:c r="Q137" s="8" t="n">
        <x:f>K137-L137</x:f>
        <x:v>5</x:v>
      </x:c>
      <x:c r="R137" s="9" t="n">
        <x:f>IF(AND(INDEX('Сводка'!$T$3:$T$397,U137)=0,INDEX('Сводка'!$T$3:$T$397,V137)=0),1,0)</x:f>
        <x:v>1</x:v>
      </x:c>
      <x:c r="S137" s="9" t="n">
        <x:f>IF(AND(R137=1,O137&lt;=$G$13),1,0)</x:f>
        <x:v>0</x:v>
      </x:c>
      <x:c r="T137" s="10" t="n">
        <x:f>EOMONTH(J137-'Сводка'!$B$11,-1)</x:f>
        <x:v>45961</x:v>
      </x:c>
      <x:c r="U137" s="4" t="n">
        <x:f>MATCH(J137,'Сводка'!$R$3:$R$397,0)</x:f>
        <x:v>148</x:v>
      </x:c>
      <x:c r="V137" s="4" t="n">
        <x:f>MATCH(J137-'Сводка'!$B$11,'Сводка'!$R$3:$R$397,0)</x:f>
        <x:v>147</x:v>
      </x:c>
      <x:c r="W137" s="4" t="n">
        <x:f>MATCH(T137,$J$388:$J$400,0)</x:f>
        <x:v>5</x:v>
      </x:c>
      <x:c r="X137" s="3"/>
      <x:c r="Y137" s="3"/>
      <x:c r="Z137" s="3"/>
    </x:row>
    <x:row r="138" ht="15" customHeight="1">
      <x:c r="A138" s="3"/>
      <x:c r="B138" s="3"/>
      <x:c r="C138" s="3"/>
      <x:c r="D138" s="3"/>
      <x:c r="E138" s="3"/>
      <x:c r="F138" s="3"/>
      <x:c r="G138" s="3"/>
      <x:c r="H138" s="3"/>
      <x:c r="I138" s="3"/>
      <x:c r="J138" s="10" t="n">
        <x:v>45989</x:v>
      </x:c>
      <x:c r="K138" s="8" t="n">
        <x:f>INDEX('Сводка'!$S$3:$S$397,U138)</x:f>
        <x:v>-86</x:v>
      </x:c>
      <x:c r="L138" s="8" t="n">
        <x:f>INDEX('Сводка'!$S$3:$S$397,V138)</x:f>
        <x:v>-114</x:v>
      </x:c>
      <x:c r="M138" s="8" t="n">
        <x:f>INDEX($K$388:$N$400,W138,1)+INDEX($K$388:$N$400,W138,2)*(2*(J138-$T$405)/(T138-$T$405)-1)^1+INDEX($K$388:$N$400,W138,3)*(2*(J138-$T$405)/(T138-$T$405)-1)^2+INDEX($K$388:$N$400,W138,4)*(2*(J138-$T$405)/(T138-$T$405)-1)^3+INDEX($O$388:$Z$400,W138,MONTH(J138))</x:f>
        <x:v>-11.515520814108427</x:v>
      </x:c>
      <x:c r="N138" s="8" t="n">
        <x:f>K138-M138</x:f>
        <x:v>-74.48447918589157</x:v>
      </x:c>
      <x:c r="O138" s="8" t="n">
        <x:f>ABS(N138)</x:f>
        <x:v>74.48447918589157</x:v>
      </x:c>
      <x:c r="P138" s="8" t="n">
        <x:f>N138^2</x:f>
        <x:v>5547.937639593515</x:v>
      </x:c>
      <x:c r="Q138" s="8" t="n">
        <x:f>K138-L138</x:f>
        <x:v>28</x:v>
      </x:c>
      <x:c r="R138" s="9" t="n">
        <x:f>IF(AND(INDEX('Сводка'!$T$3:$T$397,U138)=0,INDEX('Сводка'!$T$3:$T$397,V138)=0),1,0)</x:f>
        <x:v>0</x:v>
      </x:c>
      <x:c r="S138" s="9" t="n">
        <x:f>IF(AND(R138=1,O138&lt;=$G$13),1,0)</x:f>
        <x:v>0</x:v>
      </x:c>
      <x:c r="T138" s="10" t="n">
        <x:f>EOMONTH(J138-'Сводка'!$B$11,-1)</x:f>
        <x:v>45961</x:v>
      </x:c>
      <x:c r="U138" s="4" t="n">
        <x:f>MATCH(J138,'Сводка'!$R$3:$R$397,0)</x:f>
        <x:v>149</x:v>
      </x:c>
      <x:c r="V138" s="4" t="n">
        <x:f>MATCH(J138-'Сводка'!$B$11,'Сводка'!$R$3:$R$397,0)</x:f>
        <x:v>148</x:v>
      </x:c>
      <x:c r="W138" s="4" t="n">
        <x:f>MATCH(T138,$J$388:$J$400,0)</x:f>
        <x:v>5</x:v>
      </x:c>
      <x:c r="X138" s="3"/>
      <x:c r="Y138" s="3"/>
      <x:c r="Z138" s="3"/>
    </x:row>
    <x:row r="139" ht="15" customHeight="1">
      <x:c r="A139" s="3"/>
      <x:c r="B139" s="3"/>
      <x:c r="C139" s="3"/>
      <x:c r="D139" s="3"/>
      <x:c r="E139" s="3"/>
      <x:c r="F139" s="3"/>
      <x:c r="G139" s="3"/>
      <x:c r="H139" s="3"/>
      <x:c r="I139" s="3"/>
      <x:c r="J139" s="10" t="n">
        <x:v>45990</x:v>
      </x:c>
      <x:c r="K139" s="8" t="n">
        <x:f>INDEX('Сводка'!$S$3:$S$397,U139)</x:f>
        <x:v>-58</x:v>
      </x:c>
      <x:c r="L139" s="8" t="n">
        <x:f>INDEX('Сводка'!$S$3:$S$397,V139)</x:f>
        <x:v>-86</x:v>
      </x:c>
      <x:c r="M139" s="8" t="n">
        <x:f>INDEX($K$388:$N$400,W139,1)+INDEX($K$388:$N$400,W139,2)*(2*(J139-$T$405)/(T139-$T$405)-1)^1+INDEX($K$388:$N$400,W139,3)*(2*(J139-$T$405)/(T139-$T$405)-1)^2+INDEX($K$388:$N$400,W139,4)*(2*(J139-$T$405)/(T139-$T$405)-1)^3+INDEX($O$388:$Z$400,W139,MONTH(J139))</x:f>
        <x:v>-11.534212690239244</x:v>
      </x:c>
      <x:c r="N139" s="8" t="n">
        <x:f>K139-M139</x:f>
        <x:v>-46.465787309760756</x:v>
      </x:c>
      <x:c r="O139" s="8" t="n">
        <x:f>ABS(N139)</x:f>
        <x:v>46.465787309760756</x:v>
      </x:c>
      <x:c r="P139" s="8" t="n">
        <x:f>N139^2</x:f>
        <x:v>2159.0693903159236</x:v>
      </x:c>
      <x:c r="Q139" s="8" t="n">
        <x:f>K139-L139</x:f>
        <x:v>28</x:v>
      </x:c>
      <x:c r="R139" s="9" t="n">
        <x:f>IF(AND(INDEX('Сводка'!$T$3:$T$397,U139)=0,INDEX('Сводка'!$T$3:$T$397,V139)=0),1,0)</x:f>
        <x:v>0</x:v>
      </x:c>
      <x:c r="S139" s="9" t="n">
        <x:f>IF(AND(R139=1,O139&lt;=$G$13),1,0)</x:f>
        <x:v>0</x:v>
      </x:c>
      <x:c r="T139" s="10" t="n">
        <x:f>EOMONTH(J139-'Сводка'!$B$11,-1)</x:f>
        <x:v>45961</x:v>
      </x:c>
      <x:c r="U139" s="4" t="n">
        <x:f>MATCH(J139,'Сводка'!$R$3:$R$397,0)</x:f>
        <x:v>150</x:v>
      </x:c>
      <x:c r="V139" s="4" t="n">
        <x:f>MATCH(J139-'Сводка'!$B$11,'Сводка'!$R$3:$R$397,0)</x:f>
        <x:v>149</x:v>
      </x:c>
      <x:c r="W139" s="4" t="n">
        <x:f>MATCH(T139,$J$388:$J$400,0)</x:f>
        <x:v>5</x:v>
      </x:c>
      <x:c r="X139" s="3"/>
      <x:c r="Y139" s="3"/>
      <x:c r="Z139" s="3"/>
    </x:row>
    <x:row r="140" ht="15" customHeight="1">
      <x:c r="A140" s="3"/>
      <x:c r="B140" s="3"/>
      <x:c r="C140" s="3"/>
      <x:c r="D140" s="3"/>
      <x:c r="E140" s="3"/>
      <x:c r="F140" s="3"/>
      <x:c r="G140" s="3"/>
      <x:c r="H140" s="3"/>
      <x:c r="I140" s="3"/>
      <x:c r="J140" s="10" t="n">
        <x:v>45991</x:v>
      </x:c>
      <x:c r="K140" s="8" t="n">
        <x:f>INDEX('Сводка'!$S$3:$S$397,U140)</x:f>
        <x:v>-53</x:v>
      </x:c>
      <x:c r="L140" s="8" t="n">
        <x:f>INDEX('Сводка'!$S$3:$S$397,V140)</x:f>
        <x:v>-58</x:v>
      </x:c>
      <x:c r="M140" s="8" t="n">
        <x:f>INDEX($K$388:$N$400,W140,1)+INDEX($K$388:$N$400,W140,2)*(2*(J140-$T$405)/(T140-$T$405)-1)^1+INDEX($K$388:$N$400,W140,3)*(2*(J140-$T$405)/(T140-$T$405)-1)^2+INDEX($K$388:$N$400,W140,4)*(2*(J140-$T$405)/(T140-$T$405)-1)^3+INDEX($O$388:$Z$400,W140,MONTH(J140))</x:f>
        <x:v>-11.552918156298986</x:v>
      </x:c>
      <x:c r="N140" s="8" t="n">
        <x:f>K140-M140</x:f>
        <x:v>-41.447081843701014</x:v>
      </x:c>
      <x:c r="O140" s="8" t="n">
        <x:f>ABS(N140)</x:f>
        <x:v>41.447081843701014</x:v>
      </x:c>
      <x:c r="P140" s="8" t="n">
        <x:f>N140^2</x:f>
        <x:v>1717.8605933584502</x:v>
      </x:c>
      <x:c r="Q140" s="8" t="n">
        <x:f>K140-L140</x:f>
        <x:v>5</x:v>
      </x:c>
      <x:c r="R140" s="9" t="n">
        <x:f>IF(AND(INDEX('Сводка'!$T$3:$T$397,U140)=0,INDEX('Сводка'!$T$3:$T$397,V140)=0),1,0)</x:f>
        <x:v>1</x:v>
      </x:c>
      <x:c r="S140" s="9" t="n">
        <x:f>IF(AND(R140=1,O140&lt;=$G$13),1,0)</x:f>
        <x:v>0</x:v>
      </x:c>
      <x:c r="T140" s="10" t="n">
        <x:f>EOMONTH(J140-'Сводка'!$B$11,-1)</x:f>
        <x:v>45961</x:v>
      </x:c>
      <x:c r="U140" s="4" t="n">
        <x:f>MATCH(J140,'Сводка'!$R$3:$R$397,0)</x:f>
        <x:v>151</x:v>
      </x:c>
      <x:c r="V140" s="4" t="n">
        <x:f>MATCH(J140-'Сводка'!$B$11,'Сводка'!$R$3:$R$397,0)</x:f>
        <x:v>150</x:v>
      </x:c>
      <x:c r="W140" s="4" t="n">
        <x:f>MATCH(T140,$J$388:$J$400,0)</x:f>
        <x:v>5</x:v>
      </x:c>
      <x:c r="X140" s="3"/>
      <x:c r="Y140" s="3"/>
      <x:c r="Z140" s="3"/>
    </x:row>
    <x:row r="141" ht="15" customHeight="1">
      <x:c r="A141" s="3"/>
      <x:c r="B141" s="3"/>
      <x:c r="C141" s="3"/>
      <x:c r="D141" s="3"/>
      <x:c r="E141" s="3"/>
      <x:c r="F141" s="3"/>
      <x:c r="G141" s="3"/>
      <x:c r="H141" s="3"/>
      <x:c r="I141" s="3"/>
      <x:c r="J141" s="10" t="n">
        <x:v>45992</x:v>
      </x:c>
      <x:c r="K141" s="8" t="n">
        <x:f>INDEX('Сводка'!$S$3:$S$397,U141)</x:f>
        <x:v>-56</x:v>
      </x:c>
      <x:c r="L141" s="8" t="n">
        <x:f>INDEX('Сводка'!$S$3:$S$397,V141)</x:f>
        <x:v>-53</x:v>
      </x:c>
      <x:c r="M141" s="8" t="n">
        <x:f>INDEX($K$388:$N$400,W141,1)+INDEX($K$388:$N$400,W141,2)*(2*(J141-$T$405)/(T141-$T$405)-1)^1+INDEX($K$388:$N$400,W141,3)*(2*(J141-$T$405)/(T141-$T$405)-1)^2+INDEX($K$388:$N$400,W141,4)*(2*(J141-$T$405)/(T141-$T$405)-1)^3+INDEX($O$388:$Z$400,W141,MONTH(J141))</x:f>
        <x:v>24.251658935886155</x:v>
      </x:c>
      <x:c r="N141" s="8" t="n">
        <x:f>K141-M141</x:f>
        <x:v>-80.25165893588616</x:v>
      </x:c>
      <x:c r="O141" s="8" t="n">
        <x:f>ABS(N141)</x:f>
        <x:v>80.25165893588616</x:v>
      </x:c>
      <x:c r="P141" s="8" t="n">
        <x:f>N141^2</x:f>
        <x:v>6440.328761961796</x:v>
      </x:c>
      <x:c r="Q141" s="8" t="n">
        <x:f>K141-L141</x:f>
        <x:v>-3</x:v>
      </x:c>
      <x:c r="R141" s="9" t="n">
        <x:f>IF(AND(INDEX('Сводка'!$T$3:$T$397,U141)=0,INDEX('Сводка'!$T$3:$T$397,V141)=0),1,0)</x:f>
        <x:v>1</x:v>
      </x:c>
      <x:c r="S141" s="9" t="n">
        <x:f>IF(AND(R141=1,O141&lt;=$G$13),1,0)</x:f>
        <x:v>0</x:v>
      </x:c>
      <x:c r="T141" s="10" t="n">
        <x:f>EOMONTH(J141-'Сводка'!$B$11,-1)</x:f>
        <x:v>45961</x:v>
      </x:c>
      <x:c r="U141" s="4" t="n">
        <x:f>MATCH(J141,'Сводка'!$R$3:$R$397,0)</x:f>
        <x:v>152</x:v>
      </x:c>
      <x:c r="V141" s="4" t="n">
        <x:f>MATCH(J141-'Сводка'!$B$11,'Сводка'!$R$3:$R$397,0)</x:f>
        <x:v>151</x:v>
      </x:c>
      <x:c r="W141" s="4" t="n">
        <x:f>MATCH(T141,$J$388:$J$400,0)</x:f>
        <x:v>5</x:v>
      </x:c>
      <x:c r="X141" s="3"/>
      <x:c r="Y141" s="3"/>
      <x:c r="Z141" s="3"/>
    </x:row>
    <x:row r="142" ht="15" customHeight="1">
      <x:c r="A142" s="3"/>
      <x:c r="B142" s="3"/>
      <x:c r="C142" s="3"/>
      <x:c r="D142" s="3"/>
      <x:c r="E142" s="3"/>
      <x:c r="F142" s="3"/>
      <x:c r="G142" s="3"/>
      <x:c r="H142" s="3"/>
      <x:c r="I142" s="3"/>
      <x:c r="J142" s="10" t="n">
        <x:v>45993</x:v>
      </x:c>
      <x:c r="K142" s="8" t="n">
        <x:f>INDEX('Сводка'!$S$3:$S$397,U142)</x:f>
        <x:v>-46</x:v>
      </x:c>
      <x:c r="L142" s="8" t="n">
        <x:f>INDEX('Сводка'!$S$3:$S$397,V142)</x:f>
        <x:v>-56</x:v>
      </x:c>
      <x:c r="M142" s="8" t="n">
        <x:f>INDEX($K$388:$N$400,W142,1)+INDEX($K$388:$N$400,W142,2)*(2*(J142-$T$405)/(T142-$T$405)-1)^1+INDEX($K$388:$N$400,W142,3)*(2*(J142-$T$405)/(T142-$T$405)-1)^2+INDEX($K$388:$N$400,W142,4)*(2*(J142-$T$405)/(T142-$T$405)-1)^3+INDEX($O$388:$Z$400,W142,MONTH(J142))</x:f>
        <x:v>20.57346613199435</x:v>
      </x:c>
      <x:c r="N142" s="8" t="n">
        <x:f>K142-M142</x:f>
        <x:v>-66.57346613199435</x:v>
      </x:c>
      <x:c r="O142" s="8" t="n">
        <x:f>ABS(N142)</x:f>
        <x:v>66.57346613199435</x:v>
      </x:c>
      <x:c r="P142" s="8" t="n">
        <x:f>N142^2</x:f>
        <x:v>4432.026392827799</x:v>
      </x:c>
      <x:c r="Q142" s="8" t="n">
        <x:f>K142-L142</x:f>
        <x:v>10</x:v>
      </x:c>
      <x:c r="R142" s="9" t="n">
        <x:f>IF(AND(INDEX('Сводка'!$T$3:$T$397,U142)=0,INDEX('Сводка'!$T$3:$T$397,V142)=0),1,0)</x:f>
        <x:v>1</x:v>
      </x:c>
      <x:c r="S142" s="9" t="n">
        <x:f>IF(AND(R142=1,O142&lt;=$G$13),1,0)</x:f>
        <x:v>0</x:v>
      </x:c>
      <x:c r="T142" s="10" t="n">
        <x:f>EOMONTH(J142-'Сводка'!$B$11,-1)</x:f>
        <x:v>45991</x:v>
      </x:c>
      <x:c r="U142" s="4" t="n">
        <x:f>MATCH(J142,'Сводка'!$R$3:$R$397,0)</x:f>
        <x:v>153</x:v>
      </x:c>
      <x:c r="V142" s="4" t="n">
        <x:f>MATCH(J142-'Сводка'!$B$11,'Сводка'!$R$3:$R$397,0)</x:f>
        <x:v>152</x:v>
      </x:c>
      <x:c r="W142" s="4" t="n">
        <x:f>MATCH(T142,$J$388:$J$400,0)</x:f>
        <x:v>6</x:v>
      </x:c>
      <x:c r="X142" s="3"/>
      <x:c r="Y142" s="3"/>
      <x:c r="Z142" s="3"/>
    </x:row>
    <x:row r="143" ht="15" customHeight="1">
      <x:c r="A143" s="3"/>
      <x:c r="B143" s="3"/>
      <x:c r="C143" s="3"/>
      <x:c r="D143" s="3"/>
      <x:c r="E143" s="3"/>
      <x:c r="F143" s="3"/>
      <x:c r="G143" s="3"/>
      <x:c r="H143" s="3"/>
      <x:c r="I143" s="3"/>
      <x:c r="J143" s="10" t="n">
        <x:v>45994</x:v>
      </x:c>
      <x:c r="K143" s="8" t="n">
        <x:f>INDEX('Сводка'!$S$3:$S$397,U143)</x:f>
        <x:v>-30</x:v>
      </x:c>
      <x:c r="L143" s="8" t="n">
        <x:f>INDEX('Сводка'!$S$3:$S$397,V143)</x:f>
        <x:v>-46</x:v>
      </x:c>
      <x:c r="M143" s="8" t="n">
        <x:f>INDEX($K$388:$N$400,W143,1)+INDEX($K$388:$N$400,W143,2)*(2*(J143-$T$405)/(T143-$T$405)-1)^1+INDEX($K$388:$N$400,W143,3)*(2*(J143-$T$405)/(T143-$T$405)-1)^2+INDEX($K$388:$N$400,W143,4)*(2*(J143-$T$405)/(T143-$T$405)-1)^3+INDEX($O$388:$Z$400,W143,MONTH(J143))</x:f>
        <x:v>20.551545389757436</x:v>
      </x:c>
      <x:c r="N143" s="8" t="n">
        <x:f>K143-M143</x:f>
        <x:v>-50.551545389757436</x:v>
      </x:c>
      <x:c r="O143" s="8" t="n">
        <x:f>ABS(N143)</x:f>
        <x:v>50.551545389757436</x:v>
      </x:c>
      <x:c r="P143" s="8" t="n">
        <x:f>N143^2</x:f>
        <x:v>2555.4587412927062</x:v>
      </x:c>
      <x:c r="Q143" s="8" t="n">
        <x:f>K143-L143</x:f>
        <x:v>16</x:v>
      </x:c>
      <x:c r="R143" s="9" t="n">
        <x:f>IF(AND(INDEX('Сводка'!$T$3:$T$397,U143)=0,INDEX('Сводка'!$T$3:$T$397,V143)=0),1,0)</x:f>
        <x:v>1</x:v>
      </x:c>
      <x:c r="S143" s="9" t="n">
        <x:f>IF(AND(R143=1,O143&lt;=$G$13),1,0)</x:f>
        <x:v>0</x:v>
      </x:c>
      <x:c r="T143" s="10" t="n">
        <x:f>EOMONTH(J143-'Сводка'!$B$11,-1)</x:f>
        <x:v>45991</x:v>
      </x:c>
      <x:c r="U143" s="4" t="n">
        <x:f>MATCH(J143,'Сводка'!$R$3:$R$397,0)</x:f>
        <x:v>154</x:v>
      </x:c>
      <x:c r="V143" s="4" t="n">
        <x:f>MATCH(J143-'Сводка'!$B$11,'Сводка'!$R$3:$R$397,0)</x:f>
        <x:v>153</x:v>
      </x:c>
      <x:c r="W143" s="4" t="n">
        <x:f>MATCH(T143,$J$388:$J$400,0)</x:f>
        <x:v>6</x:v>
      </x:c>
      <x:c r="X143" s="3"/>
      <x:c r="Y143" s="3"/>
      <x:c r="Z143" s="3"/>
    </x:row>
    <x:row r="144" ht="15" customHeight="1">
      <x:c r="A144" s="3"/>
      <x:c r="B144" s="3"/>
      <x:c r="C144" s="3"/>
      <x:c r="D144" s="3"/>
      <x:c r="E144" s="3"/>
      <x:c r="F144" s="3"/>
      <x:c r="G144" s="3"/>
      <x:c r="H144" s="3"/>
      <x:c r="I144" s="3"/>
      <x:c r="J144" s="10" t="n">
        <x:v>45995</x:v>
      </x:c>
      <x:c r="K144" s="8" t="n">
        <x:f>INDEX('Сводка'!$S$3:$S$397,U144)</x:f>
        <x:v>-20</x:v>
      </x:c>
      <x:c r="L144" s="8" t="n">
        <x:f>INDEX('Сводка'!$S$3:$S$397,V144)</x:f>
        <x:v>-30</x:v>
      </x:c>
      <x:c r="M144" s="8" t="n">
        <x:f>INDEX($K$388:$N$400,W144,1)+INDEX($K$388:$N$400,W144,2)*(2*(J144-$T$405)/(T144-$T$405)-1)^1+INDEX($K$388:$N$400,W144,3)*(2*(J144-$T$405)/(T144-$T$405)-1)^2+INDEX($K$388:$N$400,W144,4)*(2*(J144-$T$405)/(T144-$T$405)-1)^3+INDEX($O$388:$Z$400,W144,MONTH(J144))</x:f>
        <x:v>20.52960961657365</x:v>
      </x:c>
      <x:c r="N144" s="8" t="n">
        <x:f>K144-M144</x:f>
        <x:v>-40.52960961657365</x:v>
      </x:c>
      <x:c r="O144" s="8" t="n">
        <x:f>ABS(N144)</x:f>
        <x:v>40.52960961657365</x:v>
      </x:c>
      <x:c r="P144" s="8" t="n">
        <x:f>N144^2</x:f>
        <x:v>1642.6492556718595</x:v>
      </x:c>
      <x:c r="Q144" s="8" t="n">
        <x:f>K144-L144</x:f>
        <x:v>10</x:v>
      </x:c>
      <x:c r="R144" s="9" t="n">
        <x:f>IF(AND(INDEX('Сводка'!$T$3:$T$397,U144)=0,INDEX('Сводка'!$T$3:$T$397,V144)=0),1,0)</x:f>
        <x:v>1</x:v>
      </x:c>
      <x:c r="S144" s="9" t="n">
        <x:f>IF(AND(R144=1,O144&lt;=$G$13),1,0)</x:f>
        <x:v>0</x:v>
      </x:c>
      <x:c r="T144" s="10" t="n">
        <x:f>EOMONTH(J144-'Сводка'!$B$11,-1)</x:f>
        <x:v>45991</x:v>
      </x:c>
      <x:c r="U144" s="4" t="n">
        <x:f>MATCH(J144,'Сводка'!$R$3:$R$397,0)</x:f>
        <x:v>155</x:v>
      </x:c>
      <x:c r="V144" s="4" t="n">
        <x:f>MATCH(J144-'Сводка'!$B$11,'Сводка'!$R$3:$R$397,0)</x:f>
        <x:v>154</x:v>
      </x:c>
      <x:c r="W144" s="4" t="n">
        <x:f>MATCH(T144,$J$388:$J$400,0)</x:f>
        <x:v>6</x:v>
      </x:c>
      <x:c r="X144" s="3"/>
      <x:c r="Y144" s="3"/>
      <x:c r="Z144" s="3"/>
    </x:row>
    <x:row r="145" ht="15" customHeight="1">
      <x:c r="A145" s="3"/>
      <x:c r="B145" s="3"/>
      <x:c r="C145" s="3"/>
      <x:c r="D145" s="3"/>
      <x:c r="E145" s="3"/>
      <x:c r="F145" s="3"/>
      <x:c r="G145" s="3"/>
      <x:c r="H145" s="3"/>
      <x:c r="I145" s="3"/>
      <x:c r="J145" s="10" t="n">
        <x:v>45996</x:v>
      </x:c>
      <x:c r="K145" s="8" t="n">
        <x:f>INDEX('Сводка'!$S$3:$S$397,U145)</x:f>
        <x:v>-16</x:v>
      </x:c>
      <x:c r="L145" s="8" t="n">
        <x:f>INDEX('Сводка'!$S$3:$S$397,V145)</x:f>
        <x:v>-20</x:v>
      </x:c>
      <x:c r="M145" s="8" t="n">
        <x:f>INDEX($K$388:$N$400,W145,1)+INDEX($K$388:$N$400,W145,2)*(2*(J145-$T$405)/(T145-$T$405)-1)^1+INDEX($K$388:$N$400,W145,3)*(2*(J145-$T$405)/(T145-$T$405)-1)^2+INDEX($K$388:$N$400,W145,4)*(2*(J145-$T$405)/(T145-$T$405)-1)^3+INDEX($O$388:$Z$400,W145,MONTH(J145))</x:f>
        <x:v>20.507658810403015</x:v>
      </x:c>
      <x:c r="N145" s="8" t="n">
        <x:f>K145-M145</x:f>
        <x:v>-36.507658810403015</x:v>
      </x:c>
      <x:c r="O145" s="8" t="n">
        <x:f>ABS(N145)</x:f>
        <x:v>36.507658810403015</x:v>
      </x:c>
      <x:c r="P145" s="8" t="n">
        <x:f>N145^2</x:f>
        <x:v>1332.8091518167969</x:v>
      </x:c>
      <x:c r="Q145" s="8" t="n">
        <x:f>K145-L145</x:f>
        <x:v>4</x:v>
      </x:c>
      <x:c r="R145" s="9" t="n">
        <x:f>IF(AND(INDEX('Сводка'!$T$3:$T$397,U145)=0,INDEX('Сводка'!$T$3:$T$397,V145)=0),1,0)</x:f>
        <x:v>0</x:v>
      </x:c>
      <x:c r="S145" s="9" t="n">
        <x:f>IF(AND(R145=1,O145&lt;=$G$13),1,0)</x:f>
        <x:v>0</x:v>
      </x:c>
      <x:c r="T145" s="10" t="n">
        <x:f>EOMONTH(J145-'Сводка'!$B$11,-1)</x:f>
        <x:v>45991</x:v>
      </x:c>
      <x:c r="U145" s="4" t="n">
        <x:f>MATCH(J145,'Сводка'!$R$3:$R$397,0)</x:f>
        <x:v>156</x:v>
      </x:c>
      <x:c r="V145" s="4" t="n">
        <x:f>MATCH(J145-'Сводка'!$B$11,'Сводка'!$R$3:$R$397,0)</x:f>
        <x:v>155</x:v>
      </x:c>
      <x:c r="W145" s="4" t="n">
        <x:f>MATCH(T145,$J$388:$J$400,0)</x:f>
        <x:v>6</x:v>
      </x:c>
      <x:c r="X145" s="3"/>
      <x:c r="Y145" s="3"/>
      <x:c r="Z145" s="3"/>
    </x:row>
    <x:row r="146" ht="15" customHeight="1">
      <x:c r="A146" s="3"/>
      <x:c r="B146" s="3"/>
      <x:c r="C146" s="3"/>
      <x:c r="D146" s="3"/>
      <x:c r="E146" s="3"/>
      <x:c r="F146" s="3"/>
      <x:c r="G146" s="3"/>
      <x:c r="H146" s="3"/>
      <x:c r="I146" s="3"/>
      <x:c r="J146" s="10" t="n">
        <x:v>45997</x:v>
      </x:c>
      <x:c r="K146" s="8" t="n">
        <x:f>INDEX('Сводка'!$S$3:$S$397,U146)</x:f>
        <x:v>-12</x:v>
      </x:c>
      <x:c r="L146" s="8" t="n">
        <x:f>INDEX('Сводка'!$S$3:$S$397,V146)</x:f>
        <x:v>-16</x:v>
      </x:c>
      <x:c r="M146" s="8" t="n">
        <x:f>INDEX($K$388:$N$400,W146,1)+INDEX($K$388:$N$400,W146,2)*(2*(J146-$T$405)/(T146-$T$405)-1)^1+INDEX($K$388:$N$400,W146,3)*(2*(J146-$T$405)/(T146-$T$405)-1)^2+INDEX($K$388:$N$400,W146,4)*(2*(J146-$T$405)/(T146-$T$405)-1)^3+INDEX($O$388:$Z$400,W146,MONTH(J146))</x:f>
        <x:v>20.48569296920573</x:v>
      </x:c>
      <x:c r="N146" s="8" t="n">
        <x:f>K146-M146</x:f>
        <x:v>-32.48569296920573</x:v>
      </x:c>
      <x:c r="O146" s="8" t="n">
        <x:f>ABS(N146)</x:f>
        <x:v>32.48569296920573</x:v>
      </x:c>
      <x:c r="P146" s="8" t="n">
        <x:f>N146^2</x:f>
        <x:v>1055.3202476895026</x:v>
      </x:c>
      <x:c r="Q146" s="8" t="n">
        <x:f>K146-L146</x:f>
        <x:v>4</x:v>
      </x:c>
      <x:c r="R146" s="9" t="n">
        <x:f>IF(AND(INDEX('Сводка'!$T$3:$T$397,U146)=0,INDEX('Сводка'!$T$3:$T$397,V146)=0),1,0)</x:f>
        <x:v>0</x:v>
      </x:c>
      <x:c r="S146" s="9" t="n">
        <x:f>IF(AND(R146=1,O146&lt;=$G$13),1,0)</x:f>
        <x:v>0</x:v>
      </x:c>
      <x:c r="T146" s="10" t="n">
        <x:f>EOMONTH(J146-'Сводка'!$B$11,-1)</x:f>
        <x:v>45991</x:v>
      </x:c>
      <x:c r="U146" s="4" t="n">
        <x:f>MATCH(J146,'Сводка'!$R$3:$R$397,0)</x:f>
        <x:v>157</x:v>
      </x:c>
      <x:c r="V146" s="4" t="n">
        <x:f>MATCH(J146-'Сводка'!$B$11,'Сводка'!$R$3:$R$397,0)</x:f>
        <x:v>156</x:v>
      </x:c>
      <x:c r="W146" s="4" t="n">
        <x:f>MATCH(T146,$J$388:$J$400,0)</x:f>
        <x:v>6</x:v>
      </x:c>
      <x:c r="X146" s="3"/>
      <x:c r="Y146" s="3"/>
      <x:c r="Z146" s="3"/>
    </x:row>
    <x:row r="147" ht="15" customHeight="1">
      <x:c r="A147" s="3"/>
      <x:c r="B147" s="3"/>
      <x:c r="C147" s="3"/>
      <x:c r="D147" s="3"/>
      <x:c r="E147" s="3"/>
      <x:c r="F147" s="3"/>
      <x:c r="G147" s="3"/>
      <x:c r="H147" s="3"/>
      <x:c r="I147" s="3"/>
      <x:c r="J147" s="10" t="n">
        <x:v>45998</x:v>
      </x:c>
      <x:c r="K147" s="8" t="n">
        <x:f>INDEX('Сводка'!$S$3:$S$397,U147)</x:f>
        <x:v>-8</x:v>
      </x:c>
      <x:c r="L147" s="8" t="n">
        <x:f>INDEX('Сводка'!$S$3:$S$397,V147)</x:f>
        <x:v>-12</x:v>
      </x:c>
      <x:c r="M147" s="8" t="n">
        <x:f>INDEX($K$388:$N$400,W147,1)+INDEX($K$388:$N$400,W147,2)*(2*(J147-$T$405)/(T147-$T$405)-1)^1+INDEX($K$388:$N$400,W147,3)*(2*(J147-$T$405)/(T147-$T$405)-1)^2+INDEX($K$388:$N$400,W147,4)*(2*(J147-$T$405)/(T147-$T$405)-1)^3+INDEX($O$388:$Z$400,W147,MONTH(J147))</x:f>
        <x:v>20.463712090941854</x:v>
      </x:c>
      <x:c r="N147" s="8" t="n">
        <x:f>K147-M147</x:f>
        <x:v>-28.463712090941854</x:v>
      </x:c>
      <x:c r="O147" s="8" t="n">
        <x:f>ABS(N147)</x:f>
        <x:v>28.463712090941854</x:v>
      </x:c>
      <x:c r="P147" s="8" t="n">
        <x:f>N147^2</x:f>
        <x:v>810.1829059960295</x:v>
      </x:c>
      <x:c r="Q147" s="8" t="n">
        <x:f>K147-L147</x:f>
        <x:v>4</x:v>
      </x:c>
      <x:c r="R147" s="9" t="n">
        <x:f>IF(AND(INDEX('Сводка'!$T$3:$T$397,U147)=0,INDEX('Сводка'!$T$3:$T$397,V147)=0),1,0)</x:f>
        <x:v>0</x:v>
      </x:c>
      <x:c r="S147" s="9" t="n">
        <x:f>IF(AND(R147=1,O147&lt;=$G$13),1,0)</x:f>
        <x:v>0</x:v>
      </x:c>
      <x:c r="T147" s="10" t="n">
        <x:f>EOMONTH(J147-'Сводка'!$B$11,-1)</x:f>
        <x:v>45991</x:v>
      </x:c>
      <x:c r="U147" s="4" t="n">
        <x:f>MATCH(J147,'Сводка'!$R$3:$R$397,0)</x:f>
        <x:v>158</x:v>
      </x:c>
      <x:c r="V147" s="4" t="n">
        <x:f>MATCH(J147-'Сводка'!$B$11,'Сводка'!$R$3:$R$397,0)</x:f>
        <x:v>157</x:v>
      </x:c>
      <x:c r="W147" s="4" t="n">
        <x:f>MATCH(T147,$J$388:$J$400,0)</x:f>
        <x:v>6</x:v>
      </x:c>
      <x:c r="X147" s="3"/>
      <x:c r="Y147" s="3"/>
      <x:c r="Z147" s="3"/>
    </x:row>
    <x:row r="148" ht="15" customHeight="1">
      <x:c r="A148" s="3"/>
      <x:c r="B148" s="3"/>
      <x:c r="C148" s="3"/>
      <x:c r="D148" s="3"/>
      <x:c r="E148" s="3"/>
      <x:c r="F148" s="3"/>
      <x:c r="G148" s="3"/>
      <x:c r="H148" s="3"/>
      <x:c r="I148" s="3"/>
      <x:c r="J148" s="10" t="n">
        <x:v>45999</x:v>
      </x:c>
      <x:c r="K148" s="8" t="n">
        <x:f>INDEX('Сводка'!$S$3:$S$397,U148)</x:f>
        <x:v>-13</x:v>
      </x:c>
      <x:c r="L148" s="8" t="n">
        <x:f>INDEX('Сводка'!$S$3:$S$397,V148)</x:f>
        <x:v>-8</x:v>
      </x:c>
      <x:c r="M148" s="8" t="n">
        <x:f>INDEX($K$388:$N$400,W148,1)+INDEX($K$388:$N$400,W148,2)*(2*(J148-$T$405)/(T148-$T$405)-1)^1+INDEX($K$388:$N$400,W148,3)*(2*(J148-$T$405)/(T148-$T$405)-1)^2+INDEX($K$388:$N$400,W148,4)*(2*(J148-$T$405)/(T148-$T$405)-1)^3+INDEX($O$388:$Z$400,W148,MONTH(J148))</x:f>
        <x:v>20.441716173571535</x:v>
      </x:c>
      <x:c r="N148" s="8" t="n">
        <x:f>K148-M148</x:f>
        <x:v>-33.441716173571535</x:v>
      </x:c>
      <x:c r="O148" s="8" t="n">
        <x:f>ABS(N148)</x:f>
        <x:v>33.441716173571535</x:v>
      </x:c>
      <x:c r="P148" s="8" t="n">
        <x:f>N148^2</x:f>
        <x:v>1118.348380633716</x:v>
      </x:c>
      <x:c r="Q148" s="8" t="n">
        <x:f>K148-L148</x:f>
        <x:v>-5</x:v>
      </x:c>
      <x:c r="R148" s="9" t="n">
        <x:f>IF(AND(INDEX('Сводка'!$T$3:$T$397,U148)=0,INDEX('Сводка'!$T$3:$T$397,V148)=0),1,0)</x:f>
        <x:v>1</x:v>
      </x:c>
      <x:c r="S148" s="9" t="n">
        <x:f>IF(AND(R148=1,O148&lt;=$G$13),1,0)</x:f>
        <x:v>0</x:v>
      </x:c>
      <x:c r="T148" s="10" t="n">
        <x:f>EOMONTH(J148-'Сводка'!$B$11,-1)</x:f>
        <x:v>45991</x:v>
      </x:c>
      <x:c r="U148" s="4" t="n">
        <x:f>MATCH(J148,'Сводка'!$R$3:$R$397,0)</x:f>
        <x:v>159</x:v>
      </x:c>
      <x:c r="V148" s="4" t="n">
        <x:f>MATCH(J148-'Сводка'!$B$11,'Сводка'!$R$3:$R$397,0)</x:f>
        <x:v>158</x:v>
      </x:c>
      <x:c r="W148" s="4" t="n">
        <x:f>MATCH(T148,$J$388:$J$400,0)</x:f>
        <x:v>6</x:v>
      </x:c>
      <x:c r="X148" s="3"/>
      <x:c r="Y148" s="3"/>
      <x:c r="Z148" s="3"/>
    </x:row>
    <x:row r="149" ht="15" customHeight="1">
      <x:c r="A149" s="3"/>
      <x:c r="B149" s="3"/>
      <x:c r="C149" s="3"/>
      <x:c r="D149" s="3"/>
      <x:c r="E149" s="3"/>
      <x:c r="F149" s="3"/>
      <x:c r="G149" s="3"/>
      <x:c r="H149" s="3"/>
      <x:c r="I149" s="3"/>
      <x:c r="J149" s="10" t="n">
        <x:v>46000</x:v>
      </x:c>
      <x:c r="K149" s="8" t="n">
        <x:f>INDEX('Сводка'!$S$3:$S$397,U149)</x:f>
        <x:v>-20</x:v>
      </x:c>
      <x:c r="L149" s="8" t="n">
        <x:f>INDEX('Сводка'!$S$3:$S$397,V149)</x:f>
        <x:v>-13</x:v>
      </x:c>
      <x:c r="M149" s="8" t="n">
        <x:f>INDEX($K$388:$N$400,W149,1)+INDEX($K$388:$N$400,W149,2)*(2*(J149-$T$405)/(T149-$T$405)-1)^1+INDEX($K$388:$N$400,W149,3)*(2*(J149-$T$405)/(T149-$T$405)-1)^2+INDEX($K$388:$N$400,W149,4)*(2*(J149-$T$405)/(T149-$T$405)-1)^3+INDEX($O$388:$Z$400,W149,MONTH(J149))</x:f>
        <x:v>20.41970521505492</x:v>
      </x:c>
      <x:c r="N149" s="8" t="n">
        <x:f>K149-M149</x:f>
        <x:v>-40.41970521505492</x:v>
      </x:c>
      <x:c r="O149" s="8" t="n">
        <x:f>ABS(N149)</x:f>
        <x:v>40.41970521505492</x:v>
      </x:c>
      <x:c r="P149" s="8" t="n">
        <x:f>N149^2</x:f>
        <x:v>1633.7525696719379</x:v>
      </x:c>
      <x:c r="Q149" s="8" t="n">
        <x:f>K149-L149</x:f>
        <x:v>-7</x:v>
      </x:c>
      <x:c r="R149" s="9" t="n">
        <x:f>IF(AND(INDEX('Сводка'!$T$3:$T$397,U149)=0,INDEX('Сводка'!$T$3:$T$397,V149)=0),1,0)</x:f>
        <x:v>1</x:v>
      </x:c>
      <x:c r="S149" s="9" t="n">
        <x:f>IF(AND(R149=1,O149&lt;=$G$13),1,0)</x:f>
        <x:v>0</x:v>
      </x:c>
      <x:c r="T149" s="10" t="n">
        <x:f>EOMONTH(J149-'Сводка'!$B$11,-1)</x:f>
        <x:v>45991</x:v>
      </x:c>
      <x:c r="U149" s="4" t="n">
        <x:f>MATCH(J149,'Сводка'!$R$3:$R$397,0)</x:f>
        <x:v>160</x:v>
      </x:c>
      <x:c r="V149" s="4" t="n">
        <x:f>MATCH(J149-'Сводка'!$B$11,'Сводка'!$R$3:$R$397,0)</x:f>
        <x:v>159</x:v>
      </x:c>
      <x:c r="W149" s="4" t="n">
        <x:f>MATCH(T149,$J$388:$J$400,0)</x:f>
        <x:v>6</x:v>
      </x:c>
      <x:c r="X149" s="3"/>
      <x:c r="Y149" s="3"/>
      <x:c r="Z149" s="3"/>
    </x:row>
    <x:row r="150" ht="15" customHeight="1">
      <x:c r="A150" s="3"/>
      <x:c r="B150" s="3"/>
      <x:c r="C150" s="3"/>
      <x:c r="D150" s="3"/>
      <x:c r="E150" s="3"/>
      <x:c r="F150" s="3"/>
      <x:c r="G150" s="3"/>
      <x:c r="H150" s="3"/>
      <x:c r="I150" s="3"/>
      <x:c r="J150" s="10" t="n">
        <x:v>46001</x:v>
      </x:c>
      <x:c r="K150" s="8" t="n">
        <x:f>INDEX('Сводка'!$S$3:$S$397,U150)</x:f>
        <x:v>-28</x:v>
      </x:c>
      <x:c r="L150" s="8" t="n">
        <x:f>INDEX('Сводка'!$S$3:$S$397,V150)</x:f>
        <x:v>-20</x:v>
      </x:c>
      <x:c r="M150" s="8" t="n">
        <x:f>INDEX($K$388:$N$400,W150,1)+INDEX($K$388:$N$400,W150,2)*(2*(J150-$T$405)/(T150-$T$405)-1)^1+INDEX($K$388:$N$400,W150,3)*(2*(J150-$T$405)/(T150-$T$405)-1)^2+INDEX($K$388:$N$400,W150,4)*(2*(J150-$T$405)/(T150-$T$405)-1)^3+INDEX($O$388:$Z$400,W150,MONTH(J150))</x:f>
        <x:v>20.397679213352006</x:v>
      </x:c>
      <x:c r="N150" s="8" t="n">
        <x:f>K150-M150</x:f>
        <x:v>-48.397679213352006</x:v>
      </x:c>
      <x:c r="O150" s="8" t="n">
        <x:f>ABS(N150)</x:f>
        <x:v>48.397679213352006</x:v>
      </x:c>
      <x:c r="P150" s="8" t="n">
        <x:f>N150^2</x:f>
        <x:v>2342.335353238525</x:v>
      </x:c>
      <x:c r="Q150" s="8" t="n">
        <x:f>K150-L150</x:f>
        <x:v>-8</x:v>
      </x:c>
      <x:c r="R150" s="9" t="n">
        <x:f>IF(AND(INDEX('Сводка'!$T$3:$T$397,U150)=0,INDEX('Сводка'!$T$3:$T$397,V150)=0),1,0)</x:f>
        <x:v>1</x:v>
      </x:c>
      <x:c r="S150" s="9" t="n">
        <x:f>IF(AND(R150=1,O150&lt;=$G$13),1,0)</x:f>
        <x:v>0</x:v>
      </x:c>
      <x:c r="T150" s="10" t="n">
        <x:f>EOMONTH(J150-'Сводка'!$B$11,-1)</x:f>
        <x:v>45991</x:v>
      </x:c>
      <x:c r="U150" s="4" t="n">
        <x:f>MATCH(J150,'Сводка'!$R$3:$R$397,0)</x:f>
        <x:v>161</x:v>
      </x:c>
      <x:c r="V150" s="4" t="n">
        <x:f>MATCH(J150-'Сводка'!$B$11,'Сводка'!$R$3:$R$397,0)</x:f>
        <x:v>160</x:v>
      </x:c>
      <x:c r="W150" s="4" t="n">
        <x:f>MATCH(T150,$J$388:$J$400,0)</x:f>
        <x:v>6</x:v>
      </x:c>
      <x:c r="X150" s="3"/>
      <x:c r="Y150" s="3"/>
      <x:c r="Z150" s="3"/>
    </x:row>
    <x:row r="151" ht="15" customHeight="1">
      <x:c r="A151" s="3"/>
      <x:c r="B151" s="3"/>
      <x:c r="C151" s="3"/>
      <x:c r="D151" s="3"/>
      <x:c r="E151" s="3"/>
      <x:c r="F151" s="3"/>
      <x:c r="G151" s="3"/>
      <x:c r="H151" s="3"/>
      <x:c r="I151" s="3"/>
      <x:c r="J151" s="10" t="n">
        <x:v>46002</x:v>
      </x:c>
      <x:c r="K151" s="8" t="n">
        <x:f>INDEX('Сводка'!$S$3:$S$397,U151)</x:f>
        <x:v>-38</x:v>
      </x:c>
      <x:c r="L151" s="8" t="n">
        <x:f>INDEX('Сводка'!$S$3:$S$397,V151)</x:f>
        <x:v>-28</x:v>
      </x:c>
      <x:c r="M151" s="8" t="n">
        <x:f>INDEX($K$388:$N$400,W151,1)+INDEX($K$388:$N$400,W151,2)*(2*(J151-$T$405)/(T151-$T$405)-1)^1+INDEX($K$388:$N$400,W151,3)*(2*(J151-$T$405)/(T151-$T$405)-1)^2+INDEX($K$388:$N$400,W151,4)*(2*(J151-$T$405)/(T151-$T$405)-1)^3+INDEX($O$388:$Z$400,W151,MONTH(J151))</x:f>
        <x:v>20.37563816642313</x:v>
      </x:c>
      <x:c r="N151" s="8" t="n">
        <x:f>K151-M151</x:f>
        <x:v>-58.37563816642313</x:v>
      </x:c>
      <x:c r="O151" s="8" t="n">
        <x:f>ABS(N151)</x:f>
        <x:v>58.37563816642313</x:v>
      </x:c>
      <x:c r="P151" s="8" t="n">
        <x:f>N151^2</x:f>
        <x:v>3407.715131337157</x:v>
      </x:c>
      <x:c r="Q151" s="8" t="n">
        <x:f>K151-L151</x:f>
        <x:v>-10</x:v>
      </x:c>
      <x:c r="R151" s="9" t="n">
        <x:f>IF(AND(INDEX('Сводка'!$T$3:$T$397,U151)=0,INDEX('Сводка'!$T$3:$T$397,V151)=0),1,0)</x:f>
        <x:v>1</x:v>
      </x:c>
      <x:c r="S151" s="9" t="n">
        <x:f>IF(AND(R151=1,O151&lt;=$G$13),1,0)</x:f>
        <x:v>0</x:v>
      </x:c>
      <x:c r="T151" s="10" t="n">
        <x:f>EOMONTH(J151-'Сводка'!$B$11,-1)</x:f>
        <x:v>45991</x:v>
      </x:c>
      <x:c r="U151" s="4" t="n">
        <x:f>MATCH(J151,'Сводка'!$R$3:$R$397,0)</x:f>
        <x:v>162</x:v>
      </x:c>
      <x:c r="V151" s="4" t="n">
        <x:f>MATCH(J151-'Сводка'!$B$11,'Сводка'!$R$3:$R$397,0)</x:f>
        <x:v>161</x:v>
      </x:c>
      <x:c r="W151" s="4" t="n">
        <x:f>MATCH(T151,$J$388:$J$400,0)</x:f>
        <x:v>6</x:v>
      </x:c>
      <x:c r="X151" s="3"/>
      <x:c r="Y151" s="3"/>
      <x:c r="Z151" s="3"/>
    </x:row>
    <x:row r="152" ht="15" customHeight="1">
      <x:c r="A152" s="3"/>
      <x:c r="B152" s="3"/>
      <x:c r="C152" s="3"/>
      <x:c r="D152" s="3"/>
      <x:c r="E152" s="3"/>
      <x:c r="F152" s="3"/>
      <x:c r="G152" s="3"/>
      <x:c r="H152" s="3"/>
      <x:c r="I152" s="3"/>
      <x:c r="J152" s="10" t="n">
        <x:v>46003</x:v>
      </x:c>
      <x:c r="K152" s="8" t="n">
        <x:f>INDEX('Сводка'!$S$3:$S$397,U152)</x:f>
        <x:v>-37.7</x:v>
      </x:c>
      <x:c r="L152" s="8" t="n">
        <x:f>INDEX('Сводка'!$S$3:$S$397,V152)</x:f>
        <x:v>-38</x:v>
      </x:c>
      <x:c r="M152" s="8" t="n">
        <x:f>INDEX($K$388:$N$400,W152,1)+INDEX($K$388:$N$400,W152,2)*(2*(J152-$T$405)/(T152-$T$405)-1)^1+INDEX($K$388:$N$400,W152,3)*(2*(J152-$T$405)/(T152-$T$405)-1)^2+INDEX($K$388:$N$400,W152,4)*(2*(J152-$T$405)/(T152-$T$405)-1)^3+INDEX($O$388:$Z$400,W152,MONTH(J152))</x:f>
        <x:v>20.353582072228136</x:v>
      </x:c>
      <x:c r="N152" s="8" t="n">
        <x:f>K152-M152</x:f>
        <x:v>-58.05358207222814</x:v>
      </x:c>
      <x:c r="O152" s="8" t="n">
        <x:f>ABS(N152)</x:f>
        <x:v>58.05358207222814</x:v>
      </x:c>
      <x:c r="P152" s="8" t="n">
        <x:f>N152^2</x:f>
        <x:v>3370.218391416928</x:v>
      </x:c>
      <x:c r="Q152" s="8" t="n">
        <x:f>K152-L152</x:f>
        <x:v>0.29999999999999716</x:v>
      </x:c>
      <x:c r="R152" s="9" t="n">
        <x:f>IF(AND(INDEX('Сводка'!$T$3:$T$397,U152)=0,INDEX('Сводка'!$T$3:$T$397,V152)=0),1,0)</x:f>
        <x:v>0</x:v>
      </x:c>
      <x:c r="S152" s="9" t="n">
        <x:f>IF(AND(R152=1,O152&lt;=$G$13),1,0)</x:f>
        <x:v>0</x:v>
      </x:c>
      <x:c r="T152" s="10" t="n">
        <x:f>EOMONTH(J152-'Сводка'!$B$11,-1)</x:f>
        <x:v>45991</x:v>
      </x:c>
      <x:c r="U152" s="4" t="n">
        <x:f>MATCH(J152,'Сводка'!$R$3:$R$397,0)</x:f>
        <x:v>163</x:v>
      </x:c>
      <x:c r="V152" s="4" t="n">
        <x:f>MATCH(J152-'Сводка'!$B$11,'Сводка'!$R$3:$R$397,0)</x:f>
        <x:v>162</x:v>
      </x:c>
      <x:c r="W152" s="4" t="n">
        <x:f>MATCH(T152,$J$388:$J$400,0)</x:f>
        <x:v>6</x:v>
      </x:c>
      <x:c r="X152" s="3"/>
      <x:c r="Y152" s="3"/>
      <x:c r="Z152" s="3"/>
    </x:row>
    <x:row r="153" ht="15" customHeight="1">
      <x:c r="A153" s="3"/>
      <x:c r="B153" s="3"/>
      <x:c r="C153" s="3"/>
      <x:c r="D153" s="3"/>
      <x:c r="E153" s="3"/>
      <x:c r="F153" s="3"/>
      <x:c r="G153" s="3"/>
      <x:c r="H153" s="3"/>
      <x:c r="I153" s="3"/>
      <x:c r="J153" s="10" t="n">
        <x:v>46004</x:v>
      </x:c>
      <x:c r="K153" s="8" t="n">
        <x:f>INDEX('Сводка'!$S$3:$S$397,U153)</x:f>
        <x:v>-37.3</x:v>
      </x:c>
      <x:c r="L153" s="8" t="n">
        <x:f>INDEX('Сводка'!$S$3:$S$397,V153)</x:f>
        <x:v>-37.7</x:v>
      </x:c>
      <x:c r="M153" s="8" t="n">
        <x:f>INDEX($K$388:$N$400,W153,1)+INDEX($K$388:$N$400,W153,2)*(2*(J153-$T$405)/(T153-$T$405)-1)^1+INDEX($K$388:$N$400,W153,3)*(2*(J153-$T$405)/(T153-$T$405)-1)^2+INDEX($K$388:$N$400,W153,4)*(2*(J153-$T$405)/(T153-$T$405)-1)^3+INDEX($O$388:$Z$400,W153,MONTH(J153))</x:f>
        <x:v>20.33151092872737</x:v>
      </x:c>
      <x:c r="N153" s="8" t="n">
        <x:f>K153-M153</x:f>
        <x:v>-57.631510928727366</x:v>
      </x:c>
      <x:c r="O153" s="8" t="n">
        <x:f>ABS(N153)</x:f>
        <x:v>57.631510928727366</x:v>
      </x:c>
      <x:c r="P153" s="8" t="n">
        <x:f>N153^2</x:f>
        <x:v>3321.3910519280216</x:v>
      </x:c>
      <x:c r="Q153" s="8" t="n">
        <x:f>K153-L153</x:f>
        <x:v>0.4000000000000057</x:v>
      </x:c>
      <x:c r="R153" s="9" t="n">
        <x:f>IF(AND(INDEX('Сводка'!$T$3:$T$397,U153)=0,INDEX('Сводка'!$T$3:$T$397,V153)=0),1,0)</x:f>
        <x:v>0</x:v>
      </x:c>
      <x:c r="S153" s="9" t="n">
        <x:f>IF(AND(R153=1,O153&lt;=$G$13),1,0)</x:f>
        <x:v>0</x:v>
      </x:c>
      <x:c r="T153" s="10" t="n">
        <x:f>EOMONTH(J153-'Сводка'!$B$11,-1)</x:f>
        <x:v>45991</x:v>
      </x:c>
      <x:c r="U153" s="4" t="n">
        <x:f>MATCH(J153,'Сводка'!$R$3:$R$397,0)</x:f>
        <x:v>164</x:v>
      </x:c>
      <x:c r="V153" s="4" t="n">
        <x:f>MATCH(J153-'Сводка'!$B$11,'Сводка'!$R$3:$R$397,0)</x:f>
        <x:v>163</x:v>
      </x:c>
      <x:c r="W153" s="4" t="n">
        <x:f>MATCH(T153,$J$388:$J$400,0)</x:f>
        <x:v>6</x:v>
      </x:c>
      <x:c r="X153" s="3"/>
      <x:c r="Y153" s="3"/>
      <x:c r="Z153" s="3"/>
    </x:row>
    <x:row r="154" ht="15" customHeight="1">
      <x:c r="A154" s="3"/>
      <x:c r="B154" s="3"/>
      <x:c r="C154" s="3"/>
      <x:c r="D154" s="3"/>
      <x:c r="E154" s="3"/>
      <x:c r="F154" s="3"/>
      <x:c r="G154" s="3"/>
      <x:c r="H154" s="3"/>
      <x:c r="I154" s="3"/>
      <x:c r="J154" s="10" t="n">
        <x:v>46005</x:v>
      </x:c>
      <x:c r="K154" s="8" t="n">
        <x:f>INDEX('Сводка'!$S$3:$S$397,U154)</x:f>
        <x:v>-37</x:v>
      </x:c>
      <x:c r="L154" s="8" t="n">
        <x:f>INDEX('Сводка'!$S$3:$S$397,V154)</x:f>
        <x:v>-37.3</x:v>
      </x:c>
      <x:c r="M154" s="8" t="n">
        <x:f>INDEX($K$388:$N$400,W154,1)+INDEX($K$388:$N$400,W154,2)*(2*(J154-$T$405)/(T154-$T$405)-1)^1+INDEX($K$388:$N$400,W154,3)*(2*(J154-$T$405)/(T154-$T$405)-1)^2+INDEX($K$388:$N$400,W154,4)*(2*(J154-$T$405)/(T154-$T$405)-1)^3+INDEX($O$388:$Z$400,W154,MONTH(J154))</x:f>
        <x:v>20.309424733880803</x:v>
      </x:c>
      <x:c r="N154" s="8" t="n">
        <x:f>K154-M154</x:f>
        <x:v>-57.3094247338808</x:v>
      </x:c>
      <x:c r="O154" s="8" t="n">
        <x:f>ABS(N154)</x:f>
        <x:v>57.3094247338808</x:v>
      </x:c>
      <x:c r="P154" s="8" t="n">
        <x:f>N154^2</x:f>
        <x:v>3284.3701633283486</x:v>
      </x:c>
      <x:c r="Q154" s="8" t="n">
        <x:f>K154-L154</x:f>
        <x:v>0.29999999999999716</x:v>
      </x:c>
      <x:c r="R154" s="9" t="n">
        <x:f>IF(AND(INDEX('Сводка'!$T$3:$T$397,U154)=0,INDEX('Сводка'!$T$3:$T$397,V154)=0),1,0)</x:f>
        <x:v>0</x:v>
      </x:c>
      <x:c r="S154" s="9" t="n">
        <x:f>IF(AND(R154=1,O154&lt;=$G$13),1,0)</x:f>
        <x:v>0</x:v>
      </x:c>
      <x:c r="T154" s="10" t="n">
        <x:f>EOMONTH(J154-'Сводка'!$B$11,-1)</x:f>
        <x:v>45991</x:v>
      </x:c>
      <x:c r="U154" s="4" t="n">
        <x:f>MATCH(J154,'Сводка'!$R$3:$R$397,0)</x:f>
        <x:v>165</x:v>
      </x:c>
      <x:c r="V154" s="4" t="n">
        <x:f>MATCH(J154-'Сводка'!$B$11,'Сводка'!$R$3:$R$397,0)</x:f>
        <x:v>164</x:v>
      </x:c>
      <x:c r="W154" s="4" t="n">
        <x:f>MATCH(T154,$J$388:$J$400,0)</x:f>
        <x:v>6</x:v>
      </x:c>
      <x:c r="X154" s="3"/>
      <x:c r="Y154" s="3"/>
      <x:c r="Z154" s="3"/>
    </x:row>
    <x:row r="155" ht="15" customHeight="1">
      <x:c r="A155" s="3"/>
      <x:c r="B155" s="3"/>
      <x:c r="C155" s="3"/>
      <x:c r="D155" s="3"/>
      <x:c r="E155" s="3"/>
      <x:c r="F155" s="3"/>
      <x:c r="G155" s="3"/>
      <x:c r="H155" s="3"/>
      <x:c r="I155" s="3"/>
      <x:c r="J155" s="10" t="n">
        <x:v>46006</x:v>
      </x:c>
      <x:c r="K155" s="8" t="n">
        <x:f>INDEX('Сводка'!$S$3:$S$397,U155)</x:f>
        <x:v>-37</x:v>
      </x:c>
      <x:c r="L155" s="8" t="n">
        <x:f>INDEX('Сводка'!$S$3:$S$397,V155)</x:f>
        <x:v>-37</x:v>
      </x:c>
      <x:c r="M155" s="8" t="n">
        <x:f>INDEX($K$388:$N$400,W155,1)+INDEX($K$388:$N$400,W155,2)*(2*(J155-$T$405)/(T155-$T$405)-1)^1+INDEX($K$388:$N$400,W155,3)*(2*(J155-$T$405)/(T155-$T$405)-1)^2+INDEX($K$388:$N$400,W155,4)*(2*(J155-$T$405)/(T155-$T$405)-1)^3+INDEX($O$388:$Z$400,W155,MONTH(J155))</x:f>
        <x:v>20.287323485648585</x:v>
      </x:c>
      <x:c r="N155" s="8" t="n">
        <x:f>K155-M155</x:f>
        <x:v>-57.287323485648585</x:v>
      </x:c>
      <x:c r="O155" s="8" t="n">
        <x:f>ABS(N155)</x:f>
        <x:v>57.287323485648585</x:v>
      </x:c>
      <x:c r="P155" s="8" t="n">
        <x:f>N155^2</x:f>
        <x:v>3281.837432149344</x:v>
      </x:c>
      <x:c r="Q155" s="8" t="n">
        <x:f>K155-L155</x:f>
        <x:v>0</x:v>
      </x:c>
      <x:c r="R155" s="9" t="n">
        <x:f>IF(AND(INDEX('Сводка'!$T$3:$T$397,U155)=0,INDEX('Сводка'!$T$3:$T$397,V155)=0),1,0)</x:f>
        <x:v>1</x:v>
      </x:c>
      <x:c r="S155" s="9" t="n">
        <x:f>IF(AND(R155=1,O155&lt;=$G$13),1,0)</x:f>
        <x:v>0</x:v>
      </x:c>
      <x:c r="T155" s="10" t="n">
        <x:f>EOMONTH(J155-'Сводка'!$B$11,-1)</x:f>
        <x:v>45991</x:v>
      </x:c>
      <x:c r="U155" s="4" t="n">
        <x:f>MATCH(J155,'Сводка'!$R$3:$R$397,0)</x:f>
        <x:v>166</x:v>
      </x:c>
      <x:c r="V155" s="4" t="n">
        <x:f>MATCH(J155-'Сводка'!$B$11,'Сводка'!$R$3:$R$397,0)</x:f>
        <x:v>165</x:v>
      </x:c>
      <x:c r="W155" s="4" t="n">
        <x:f>MATCH(T155,$J$388:$J$400,0)</x:f>
        <x:v>6</x:v>
      </x:c>
      <x:c r="X155" s="3"/>
      <x:c r="Y155" s="3"/>
      <x:c r="Z155" s="3"/>
    </x:row>
    <x:row r="156" ht="15" customHeight="1">
      <x:c r="A156" s="3"/>
      <x:c r="B156" s="3"/>
      <x:c r="C156" s="3"/>
      <x:c r="D156" s="3"/>
      <x:c r="E156" s="3"/>
      <x:c r="F156" s="3"/>
      <x:c r="G156" s="3"/>
      <x:c r="H156" s="3"/>
      <x:c r="I156" s="3"/>
      <x:c r="J156" s="10" t="n">
        <x:v>46007</x:v>
      </x:c>
      <x:c r="K156" s="8" t="n">
        <x:f>INDEX('Сводка'!$S$3:$S$397,U156)</x:f>
        <x:v>-41</x:v>
      </x:c>
      <x:c r="L156" s="8" t="n">
        <x:f>INDEX('Сводка'!$S$3:$S$397,V156)</x:f>
        <x:v>-37</x:v>
      </x:c>
      <x:c r="M156" s="8" t="n">
        <x:f>INDEX($K$388:$N$400,W156,1)+INDEX($K$388:$N$400,W156,2)*(2*(J156-$T$405)/(T156-$T$405)-1)^1+INDEX($K$388:$N$400,W156,3)*(2*(J156-$T$405)/(T156-$T$405)-1)^2+INDEX($K$388:$N$400,W156,4)*(2*(J156-$T$405)/(T156-$T$405)-1)^3+INDEX($O$388:$Z$400,W156,MONTH(J156))</x:f>
        <x:v>20.26520718199089</x:v>
      </x:c>
      <x:c r="N156" s="8" t="n">
        <x:f>K156-M156</x:f>
        <x:v>-61.26520718199089</x:v>
      </x:c>
      <x:c r="O156" s="8" t="n">
        <x:f>ABS(N156)</x:f>
        <x:v>61.26520718199089</x:v>
      </x:c>
      <x:c r="P156" s="8" t="n">
        <x:f>N156^2</x:f>
        <x:v>3753.425611052268</x:v>
      </x:c>
      <x:c r="Q156" s="8" t="n">
        <x:f>K156-L156</x:f>
        <x:v>-4</x:v>
      </x:c>
      <x:c r="R156" s="9" t="n">
        <x:f>IF(AND(INDEX('Сводка'!$T$3:$T$397,U156)=0,INDEX('Сводка'!$T$3:$T$397,V156)=0),1,0)</x:f>
        <x:v>1</x:v>
      </x:c>
      <x:c r="S156" s="9" t="n">
        <x:f>IF(AND(R156=1,O156&lt;=$G$13),1,0)</x:f>
        <x:v>0</x:v>
      </x:c>
      <x:c r="T156" s="10" t="n">
        <x:f>EOMONTH(J156-'Сводка'!$B$11,-1)</x:f>
        <x:v>45991</x:v>
      </x:c>
      <x:c r="U156" s="4" t="n">
        <x:f>MATCH(J156,'Сводка'!$R$3:$R$397,0)</x:f>
        <x:v>167</x:v>
      </x:c>
      <x:c r="V156" s="4" t="n">
        <x:f>MATCH(J156-'Сводка'!$B$11,'Сводка'!$R$3:$R$397,0)</x:f>
        <x:v>166</x:v>
      </x:c>
      <x:c r="W156" s="4" t="n">
        <x:f>MATCH(T156,$J$388:$J$400,0)</x:f>
        <x:v>6</x:v>
      </x:c>
      <x:c r="X156" s="3"/>
      <x:c r="Y156" s="3"/>
      <x:c r="Z156" s="3"/>
    </x:row>
    <x:row r="157" ht="15" customHeight="1">
      <x:c r="A157" s="3"/>
      <x:c r="B157" s="3"/>
      <x:c r="C157" s="3"/>
      <x:c r="D157" s="3"/>
      <x:c r="E157" s="3"/>
      <x:c r="F157" s="3"/>
      <x:c r="G157" s="3"/>
      <x:c r="H157" s="3"/>
      <x:c r="I157" s="3"/>
      <x:c r="J157" s="10" t="n">
        <x:v>46008</x:v>
      </x:c>
      <x:c r="K157" s="8" t="n">
        <x:f>INDEX('Сводка'!$S$3:$S$397,U157)</x:f>
        <x:v>-35</x:v>
      </x:c>
      <x:c r="L157" s="8" t="n">
        <x:f>INDEX('Сводка'!$S$3:$S$397,V157)</x:f>
        <x:v>-41</x:v>
      </x:c>
      <x:c r="M157" s="8" t="n">
        <x:f>INDEX($K$388:$N$400,W157,1)+INDEX($K$388:$N$400,W157,2)*(2*(J157-$T$405)/(T157-$T$405)-1)^1+INDEX($K$388:$N$400,W157,3)*(2*(J157-$T$405)/(T157-$T$405)-1)^2+INDEX($K$388:$N$400,W157,4)*(2*(J157-$T$405)/(T157-$T$405)-1)^3+INDEX($O$388:$Z$400,W157,MONTH(J157))</x:f>
        <x:v>20.243075820867745</x:v>
      </x:c>
      <x:c r="N157" s="8" t="n">
        <x:f>K157-M157</x:f>
        <x:v>-55.243075820867745</x:v>
      </x:c>
      <x:c r="O157" s="8" t="n">
        <x:f>ABS(N157)</x:f>
        <x:v>55.243075820867745</x:v>
      </x:c>
      <x:c r="P157" s="8" t="n">
        <x:f>N157^2</x:f>
        <x:v>3051.7974261501427</x:v>
      </x:c>
      <x:c r="Q157" s="8" t="n">
        <x:f>K157-L157</x:f>
        <x:v>6</x:v>
      </x:c>
      <x:c r="R157" s="9" t="n">
        <x:f>IF(AND(INDEX('Сводка'!$T$3:$T$397,U157)=0,INDEX('Сводка'!$T$3:$T$397,V157)=0),1,0)</x:f>
        <x:v>1</x:v>
      </x:c>
      <x:c r="S157" s="9" t="n">
        <x:f>IF(AND(R157=1,O157&lt;=$G$13),1,0)</x:f>
        <x:v>0</x:v>
      </x:c>
      <x:c r="T157" s="10" t="n">
        <x:f>EOMONTH(J157-'Сводка'!$B$11,-1)</x:f>
        <x:v>45991</x:v>
      </x:c>
      <x:c r="U157" s="4" t="n">
        <x:f>MATCH(J157,'Сводка'!$R$3:$R$397,0)</x:f>
        <x:v>168</x:v>
      </x:c>
      <x:c r="V157" s="4" t="n">
        <x:f>MATCH(J157-'Сводка'!$B$11,'Сводка'!$R$3:$R$397,0)</x:f>
        <x:v>167</x:v>
      </x:c>
      <x:c r="W157" s="4" t="n">
        <x:f>MATCH(T157,$J$388:$J$400,0)</x:f>
        <x:v>6</x:v>
      </x:c>
      <x:c r="X157" s="3"/>
      <x:c r="Y157" s="3"/>
      <x:c r="Z157" s="3"/>
    </x:row>
    <x:row r="158" ht="15" customHeight="1">
      <x:c r="A158" s="3"/>
      <x:c r="B158" s="3"/>
      <x:c r="C158" s="3"/>
      <x:c r="D158" s="3"/>
      <x:c r="E158" s="3"/>
      <x:c r="F158" s="3"/>
      <x:c r="G158" s="3"/>
      <x:c r="H158" s="3"/>
      <x:c r="I158" s="3"/>
      <x:c r="J158" s="10" t="n">
        <x:v>46009</x:v>
      </x:c>
      <x:c r="K158" s="8" t="n">
        <x:f>INDEX('Сводка'!$S$3:$S$397,U158)</x:f>
        <x:v>-33</x:v>
      </x:c>
      <x:c r="L158" s="8" t="n">
        <x:f>INDEX('Сводка'!$S$3:$S$397,V158)</x:f>
        <x:v>-35</x:v>
      </x:c>
      <x:c r="M158" s="8" t="n">
        <x:f>INDEX($K$388:$N$400,W158,1)+INDEX($K$388:$N$400,W158,2)*(2*(J158-$T$405)/(T158-$T$405)-1)^1+INDEX($K$388:$N$400,W158,3)*(2*(J158-$T$405)/(T158-$T$405)-1)^2+INDEX($K$388:$N$400,W158,4)*(2*(J158-$T$405)/(T158-$T$405)-1)^3+INDEX($O$388:$Z$400,W158,MONTH(J158))</x:f>
        <x:v>20.220929400239342</x:v>
      </x:c>
      <x:c r="N158" s="8" t="n">
        <x:f>K158-M158</x:f>
        <x:v>-53.22092940023934</x:v>
      </x:c>
      <x:c r="O158" s="8" t="n">
        <x:f>ABS(N158)</x:f>
        <x:v>53.22092940023934</x:v>
      </x:c>
      <x:c r="P158" s="8" t="n">
        <x:f>N158^2</x:f>
        <x:v>2832.4673262252604</x:v>
      </x:c>
      <x:c r="Q158" s="8" t="n">
        <x:f>K158-L158</x:f>
        <x:v>2</x:v>
      </x:c>
      <x:c r="R158" s="9" t="n">
        <x:f>IF(AND(INDEX('Сводка'!$T$3:$T$397,U158)=0,INDEX('Сводка'!$T$3:$T$397,V158)=0),1,0)</x:f>
        <x:v>1</x:v>
      </x:c>
      <x:c r="S158" s="9" t="n">
        <x:f>IF(AND(R158=1,O158&lt;=$G$13),1,0)</x:f>
        <x:v>0</x:v>
      </x:c>
      <x:c r="T158" s="10" t="n">
        <x:f>EOMONTH(J158-'Сводка'!$B$11,-1)</x:f>
        <x:v>45991</x:v>
      </x:c>
      <x:c r="U158" s="4" t="n">
        <x:f>MATCH(J158,'Сводка'!$R$3:$R$397,0)</x:f>
        <x:v>169</x:v>
      </x:c>
      <x:c r="V158" s="4" t="n">
        <x:f>MATCH(J158-'Сводка'!$B$11,'Сводка'!$R$3:$R$397,0)</x:f>
        <x:v>168</x:v>
      </x:c>
      <x:c r="W158" s="4" t="n">
        <x:f>MATCH(T158,$J$388:$J$400,0)</x:f>
        <x:v>6</x:v>
      </x:c>
      <x:c r="X158" s="3"/>
      <x:c r="Y158" s="3"/>
      <x:c r="Z158" s="3"/>
    </x:row>
    <x:row r="159" ht="15" customHeight="1">
      <x:c r="A159" s="3"/>
      <x:c r="B159" s="3"/>
      <x:c r="C159" s="3"/>
      <x:c r="D159" s="3"/>
      <x:c r="E159" s="3"/>
      <x:c r="F159" s="3"/>
      <x:c r="G159" s="3"/>
      <x:c r="H159" s="3"/>
      <x:c r="I159" s="3"/>
      <x:c r="J159" s="10" t="n">
        <x:v>46010</x:v>
      </x:c>
      <x:c r="K159" s="8" t="n">
        <x:f>INDEX('Сводка'!$S$3:$S$397,U159)</x:f>
        <x:v>-31</x:v>
      </x:c>
      <x:c r="L159" s="8" t="n">
        <x:f>INDEX('Сводка'!$S$3:$S$397,V159)</x:f>
        <x:v>-33</x:v>
      </x:c>
      <x:c r="M159" s="8" t="n">
        <x:f>INDEX($K$388:$N$400,W159,1)+INDEX($K$388:$N$400,W159,2)*(2*(J159-$T$405)/(T159-$T$405)-1)^1+INDEX($K$388:$N$400,W159,3)*(2*(J159-$T$405)/(T159-$T$405)-1)^2+INDEX($K$388:$N$400,W159,4)*(2*(J159-$T$405)/(T159-$T$405)-1)^3+INDEX($O$388:$Z$400,W159,MONTH(J159))</x:f>
        <x:v>20.198767918065784</x:v>
      </x:c>
      <x:c r="N159" s="8" t="n">
        <x:f>K159-M159</x:f>
        <x:v>-51.19876791806578</x:v>
      </x:c>
      <x:c r="O159" s="8" t="n">
        <x:f>ABS(N159)</x:f>
        <x:v>51.19876791806578</x:v>
      </x:c>
      <x:c r="P159" s="8" t="n">
        <x:f>N159^2</x:f>
        <x:v>2621.3138363279622</x:v>
      </x:c>
      <x:c r="Q159" s="8" t="n">
        <x:f>K159-L159</x:f>
        <x:v>2</x:v>
      </x:c>
      <x:c r="R159" s="9" t="n">
        <x:f>IF(AND(INDEX('Сводка'!$T$3:$T$397,U159)=0,INDEX('Сводка'!$T$3:$T$397,V159)=0),1,0)</x:f>
        <x:v>1</x:v>
      </x:c>
      <x:c r="S159" s="9" t="n">
        <x:f>IF(AND(R159=1,O159&lt;=$G$13),1,0)</x:f>
        <x:v>0</x:v>
      </x:c>
      <x:c r="T159" s="10" t="n">
        <x:f>EOMONTH(J159-'Сводка'!$B$11,-1)</x:f>
        <x:v>45991</x:v>
      </x:c>
      <x:c r="U159" s="4" t="n">
        <x:f>MATCH(J159,'Сводка'!$R$3:$R$397,0)</x:f>
        <x:v>170</x:v>
      </x:c>
      <x:c r="V159" s="4" t="n">
        <x:f>MATCH(J159-'Сводка'!$B$11,'Сводка'!$R$3:$R$397,0)</x:f>
        <x:v>169</x:v>
      </x:c>
      <x:c r="W159" s="4" t="n">
        <x:f>MATCH(T159,$J$388:$J$400,0)</x:f>
        <x:v>6</x:v>
      </x:c>
      <x:c r="X159" s="3"/>
      <x:c r="Y159" s="3"/>
      <x:c r="Z159" s="3"/>
    </x:row>
    <x:row r="160" ht="15" customHeight="1">
      <x:c r="A160" s="3"/>
      <x:c r="B160" s="3"/>
      <x:c r="C160" s="3"/>
      <x:c r="D160" s="3"/>
      <x:c r="E160" s="3"/>
      <x:c r="F160" s="3"/>
      <x:c r="G160" s="3"/>
      <x:c r="H160" s="3"/>
      <x:c r="I160" s="3"/>
      <x:c r="J160" s="10" t="n">
        <x:v>46011</x:v>
      </x:c>
      <x:c r="K160" s="8" t="n">
        <x:f>INDEX('Сводка'!$S$3:$S$397,U160)</x:f>
        <x:v>-31</x:v>
      </x:c>
      <x:c r="L160" s="8" t="n">
        <x:f>INDEX('Сводка'!$S$3:$S$397,V160)</x:f>
        <x:v>-31</x:v>
      </x:c>
      <x:c r="M160" s="8" t="n">
        <x:f>INDEX($K$388:$N$400,W160,1)+INDEX($K$388:$N$400,W160,2)*(2*(J160-$T$405)/(T160-$T$405)-1)^1+INDEX($K$388:$N$400,W160,3)*(2*(J160-$T$405)/(T160-$T$405)-1)^2+INDEX($K$388:$N$400,W160,4)*(2*(J160-$T$405)/(T160-$T$405)-1)^3+INDEX($O$388:$Z$400,W160,MONTH(J160))</x:f>
        <x:v>20.176591372307115</x:v>
      </x:c>
      <x:c r="N160" s="8" t="n">
        <x:f>K160-M160</x:f>
        <x:v>-51.176591372307115</x:v>
      </x:c>
      <x:c r="O160" s="8" t="n">
        <x:f>ABS(N160)</x:f>
        <x:v>51.176591372307115</x:v>
      </x:c>
      <x:c r="P160" s="8" t="n">
        <x:f>N160^2</x:f>
        <x:v>2619.043504488099</x:v>
      </x:c>
      <x:c r="Q160" s="8" t="n">
        <x:f>K160-L160</x:f>
        <x:v>0</x:v>
      </x:c>
      <x:c r="R160" s="9" t="n">
        <x:f>IF(AND(INDEX('Сводка'!$T$3:$T$397,U160)=0,INDEX('Сводка'!$T$3:$T$397,V160)=0),1,0)</x:f>
        <x:v>1</x:v>
      </x:c>
      <x:c r="S160" s="9" t="n">
        <x:f>IF(AND(R160=1,O160&lt;=$G$13),1,0)</x:f>
        <x:v>0</x:v>
      </x:c>
      <x:c r="T160" s="10" t="n">
        <x:f>EOMONTH(J160-'Сводка'!$B$11,-1)</x:f>
        <x:v>45991</x:v>
      </x:c>
      <x:c r="U160" s="4" t="n">
        <x:f>MATCH(J160,'Сводка'!$R$3:$R$397,0)</x:f>
        <x:v>171</x:v>
      </x:c>
      <x:c r="V160" s="4" t="n">
        <x:f>MATCH(J160-'Сводка'!$B$11,'Сводка'!$R$3:$R$397,0)</x:f>
        <x:v>170</x:v>
      </x:c>
      <x:c r="W160" s="4" t="n">
        <x:f>MATCH(T160,$J$388:$J$400,0)</x:f>
        <x:v>6</x:v>
      </x:c>
      <x:c r="X160" s="3"/>
      <x:c r="Y160" s="3"/>
      <x:c r="Z160" s="3"/>
    </x:row>
    <x:row r="161" ht="15" customHeight="1">
      <x:c r="A161" s="3"/>
      <x:c r="B161" s="3"/>
      <x:c r="C161" s="3"/>
      <x:c r="D161" s="3"/>
      <x:c r="E161" s="3"/>
      <x:c r="F161" s="3"/>
      <x:c r="G161" s="3"/>
      <x:c r="H161" s="3"/>
      <x:c r="I161" s="3"/>
      <x:c r="J161" s="10" t="n">
        <x:v>46012</x:v>
      </x:c>
      <x:c r="K161" s="8" t="n">
        <x:f>INDEX('Сводка'!$S$3:$S$397,U161)</x:f>
        <x:v>-30</x:v>
      </x:c>
      <x:c r="L161" s="8" t="n">
        <x:f>INDEX('Сводка'!$S$3:$S$397,V161)</x:f>
        <x:v>-31</x:v>
      </x:c>
      <x:c r="M161" s="8" t="n">
        <x:f>INDEX($K$388:$N$400,W161,1)+INDEX($K$388:$N$400,W161,2)*(2*(J161-$T$405)/(T161-$T$405)-1)^1+INDEX($K$388:$N$400,W161,3)*(2*(J161-$T$405)/(T161-$T$405)-1)^2+INDEX($K$388:$N$400,W161,4)*(2*(J161-$T$405)/(T161-$T$405)-1)^3+INDEX($O$388:$Z$400,W161,MONTH(J161))</x:f>
        <x:v>20.154399760923525</x:v>
      </x:c>
      <x:c r="N161" s="8" t="n">
        <x:f>K161-M161</x:f>
        <x:v>-50.154399760923525</x:v>
      </x:c>
      <x:c r="O161" s="8" t="n">
        <x:f>ABS(N161)</x:f>
        <x:v>50.154399760923525</x:v>
      </x:c>
      <x:c r="P161" s="8" t="n">
        <x:f>N161^2</x:f>
        <x:v>2515.463815378526</x:v>
      </x:c>
      <x:c r="Q161" s="8" t="n">
        <x:f>K161-L161</x:f>
        <x:v>1</x:v>
      </x:c>
      <x:c r="R161" s="9" t="n">
        <x:f>IF(AND(INDEX('Сводка'!$T$3:$T$397,U161)=0,INDEX('Сводка'!$T$3:$T$397,V161)=0),1,0)</x:f>
        <x:v>1</x:v>
      </x:c>
      <x:c r="S161" s="9" t="n">
        <x:f>IF(AND(R161=1,O161&lt;=$G$13),1,0)</x:f>
        <x:v>0</x:v>
      </x:c>
      <x:c r="T161" s="10" t="n">
        <x:f>EOMONTH(J161-'Сводка'!$B$11,-1)</x:f>
        <x:v>45991</x:v>
      </x:c>
      <x:c r="U161" s="4" t="n">
        <x:f>MATCH(J161,'Сводка'!$R$3:$R$397,0)</x:f>
        <x:v>172</x:v>
      </x:c>
      <x:c r="V161" s="4" t="n">
        <x:f>MATCH(J161-'Сводка'!$B$11,'Сводка'!$R$3:$R$397,0)</x:f>
        <x:v>171</x:v>
      </x:c>
      <x:c r="W161" s="4" t="n">
        <x:f>MATCH(T161,$J$388:$J$400,0)</x:f>
        <x:v>6</x:v>
      </x:c>
      <x:c r="X161" s="3"/>
      <x:c r="Y161" s="3"/>
      <x:c r="Z161" s="3"/>
    </x:row>
    <x:row r="162" ht="15" customHeight="1">
      <x:c r="A162" s="3"/>
      <x:c r="B162" s="3"/>
      <x:c r="C162" s="3"/>
      <x:c r="D162" s="3"/>
      <x:c r="E162" s="3"/>
      <x:c r="F162" s="3"/>
      <x:c r="G162" s="3"/>
      <x:c r="H162" s="3"/>
      <x:c r="I162" s="3"/>
      <x:c r="J162" s="10" t="n">
        <x:v>46013</x:v>
      </x:c>
      <x:c r="K162" s="8" t="n">
        <x:f>INDEX('Сводка'!$S$3:$S$397,U162)</x:f>
        <x:v>-27</x:v>
      </x:c>
      <x:c r="L162" s="8" t="n">
        <x:f>INDEX('Сводка'!$S$3:$S$397,V162)</x:f>
        <x:v>-30</x:v>
      </x:c>
      <x:c r="M162" s="8" t="n">
        <x:f>INDEX($K$388:$N$400,W162,1)+INDEX($K$388:$N$400,W162,2)*(2*(J162-$T$405)/(T162-$T$405)-1)^1+INDEX($K$388:$N$400,W162,3)*(2*(J162-$T$405)/(T162-$T$405)-1)^2+INDEX($K$388:$N$400,W162,4)*(2*(J162-$T$405)/(T162-$T$405)-1)^3+INDEX($O$388:$Z$400,W162,MONTH(J162))</x:f>
        <x:v>20.1321930818751</x:v>
      </x:c>
      <x:c r="N162" s="8" t="n">
        <x:f>K162-M162</x:f>
        <x:v>-47.1321930818751</x:v>
      </x:c>
      <x:c r="O162" s="8" t="n">
        <x:f>ABS(N162)</x:f>
        <x:v>47.1321930818751</x:v>
      </x:c>
      <x:c r="P162" s="8" t="n">
        <x:f>N162^2</x:f>
        <x:v>2221.4436247071553</x:v>
      </x:c>
      <x:c r="Q162" s="8" t="n">
        <x:f>K162-L162</x:f>
        <x:v>3</x:v>
      </x:c>
      <x:c r="R162" s="9" t="n">
        <x:f>IF(AND(INDEX('Сводка'!$T$3:$T$397,U162)=0,INDEX('Сводка'!$T$3:$T$397,V162)=0),1,0)</x:f>
        <x:v>1</x:v>
      </x:c>
      <x:c r="S162" s="9" t="n">
        <x:f>IF(AND(R162=1,O162&lt;=$G$13),1,0)</x:f>
        <x:v>0</x:v>
      </x:c>
      <x:c r="T162" s="10" t="n">
        <x:f>EOMONTH(J162-'Сводка'!$B$11,-1)</x:f>
        <x:v>45991</x:v>
      </x:c>
      <x:c r="U162" s="4" t="n">
        <x:f>MATCH(J162,'Сводка'!$R$3:$R$397,0)</x:f>
        <x:v>173</x:v>
      </x:c>
      <x:c r="V162" s="4" t="n">
        <x:f>MATCH(J162-'Сводка'!$B$11,'Сводка'!$R$3:$R$397,0)</x:f>
        <x:v>172</x:v>
      </x:c>
      <x:c r="W162" s="4" t="n">
        <x:f>MATCH(T162,$J$388:$J$400,0)</x:f>
        <x:v>6</x:v>
      </x:c>
      <x:c r="X162" s="3"/>
      <x:c r="Y162" s="3"/>
      <x:c r="Z162" s="3"/>
    </x:row>
    <x:row r="163" ht="15" customHeight="1">
      <x:c r="A163" s="3"/>
      <x:c r="B163" s="3"/>
      <x:c r="C163" s="3"/>
      <x:c r="D163" s="3"/>
      <x:c r="E163" s="3"/>
      <x:c r="F163" s="3"/>
      <x:c r="G163" s="3"/>
      <x:c r="H163" s="3"/>
      <x:c r="I163" s="3"/>
      <x:c r="J163" s="10" t="n">
        <x:v>46014</x:v>
      </x:c>
      <x:c r="K163" s="8" t="n">
        <x:f>INDEX('Сводка'!$S$3:$S$397,U163)</x:f>
        <x:v>-23</x:v>
      </x:c>
      <x:c r="L163" s="8" t="n">
        <x:f>INDEX('Сводка'!$S$3:$S$397,V163)</x:f>
        <x:v>-27</x:v>
      </x:c>
      <x:c r="M163" s="8" t="n">
        <x:f>INDEX($K$388:$N$400,W163,1)+INDEX($K$388:$N$400,W163,2)*(2*(J163-$T$405)/(T163-$T$405)-1)^1+INDEX($K$388:$N$400,W163,3)*(2*(J163-$T$405)/(T163-$T$405)-1)^2+INDEX($K$388:$N$400,W163,4)*(2*(J163-$T$405)/(T163-$T$405)-1)^3+INDEX($O$388:$Z$400,W163,MONTH(J163))</x:f>
        <x:v>20.109971333122004</x:v>
      </x:c>
      <x:c r="N163" s="8" t="n">
        <x:f>K163-M163</x:f>
        <x:v>-43.109971333122004</x:v>
      </x:c>
      <x:c r="O163" s="8" t="n">
        <x:f>ABS(N163)</x:f>
        <x:v>43.109971333122004</x:v>
      </x:c>
      <x:c r="P163" s="8" t="n">
        <x:f>N163^2</x:f>
        <x:v>1858.469628342601</x:v>
      </x:c>
      <x:c r="Q163" s="8" t="n">
        <x:f>K163-L163</x:f>
        <x:v>4</x:v>
      </x:c>
      <x:c r="R163" s="9" t="n">
        <x:f>IF(AND(INDEX('Сводка'!$T$3:$T$397,U163)=0,INDEX('Сводка'!$T$3:$T$397,V163)=0),1,0)</x:f>
        <x:v>1</x:v>
      </x:c>
      <x:c r="S163" s="9" t="n">
        <x:f>IF(AND(R163=1,O163&lt;=$G$13),1,0)</x:f>
        <x:v>0</x:v>
      </x:c>
      <x:c r="T163" s="10" t="n">
        <x:f>EOMONTH(J163-'Сводка'!$B$11,-1)</x:f>
        <x:v>45991</x:v>
      </x:c>
      <x:c r="U163" s="4" t="n">
        <x:f>MATCH(J163,'Сводка'!$R$3:$R$397,0)</x:f>
        <x:v>174</x:v>
      </x:c>
      <x:c r="V163" s="4" t="n">
        <x:f>MATCH(J163-'Сводка'!$B$11,'Сводка'!$R$3:$R$397,0)</x:f>
        <x:v>173</x:v>
      </x:c>
      <x:c r="W163" s="4" t="n">
        <x:f>MATCH(T163,$J$388:$J$400,0)</x:f>
        <x:v>6</x:v>
      </x:c>
      <x:c r="X163" s="3"/>
      <x:c r="Y163" s="3"/>
      <x:c r="Z163" s="3"/>
    </x:row>
    <x:row r="164" ht="15" customHeight="1">
      <x:c r="A164" s="3"/>
      <x:c r="B164" s="3"/>
      <x:c r="C164" s="3"/>
      <x:c r="D164" s="3"/>
      <x:c r="E164" s="3"/>
      <x:c r="F164" s="3"/>
      <x:c r="G164" s="3"/>
      <x:c r="H164" s="3"/>
      <x:c r="I164" s="3"/>
      <x:c r="J164" s="10" t="n">
        <x:v>46015</x:v>
      </x:c>
      <x:c r="K164" s="8" t="n">
        <x:f>INDEX('Сводка'!$S$3:$S$397,U164)</x:f>
        <x:v>-21</x:v>
      </x:c>
      <x:c r="L164" s="8" t="n">
        <x:f>INDEX('Сводка'!$S$3:$S$397,V164)</x:f>
        <x:v>-23</x:v>
      </x:c>
      <x:c r="M164" s="8" t="n">
        <x:f>INDEX($K$388:$N$400,W164,1)+INDEX($K$388:$N$400,W164,2)*(2*(J164-$T$405)/(T164-$T$405)-1)^1+INDEX($K$388:$N$400,W164,3)*(2*(J164-$T$405)/(T164-$T$405)-1)^2+INDEX($K$388:$N$400,W164,4)*(2*(J164-$T$405)/(T164-$T$405)-1)^3+INDEX($O$388:$Z$400,W164,MONTH(J164))</x:f>
        <x:v>20.087734512624294</x:v>
      </x:c>
      <x:c r="N164" s="8" t="n">
        <x:f>K164-M164</x:f>
        <x:v>-41.087734512624294</x:v>
      </x:c>
      <x:c r="O164" s="8" t="n">
        <x:f>ABS(N164)</x:f>
        <x:v>41.087734512624294</x:v>
      </x:c>
      <x:c r="P164" s="8" t="n">
        <x:f>N164^2</x:f>
        <x:v>1688.2019273798976</x:v>
      </x:c>
      <x:c r="Q164" s="8" t="n">
        <x:f>K164-L164</x:f>
        <x:v>2</x:v>
      </x:c>
      <x:c r="R164" s="9" t="n">
        <x:f>IF(AND(INDEX('Сводка'!$T$3:$T$397,U164)=0,INDEX('Сводка'!$T$3:$T$397,V164)=0),1,0)</x:f>
        <x:v>1</x:v>
      </x:c>
      <x:c r="S164" s="9" t="n">
        <x:f>IF(AND(R164=1,O164&lt;=$G$13),1,0)</x:f>
        <x:v>0</x:v>
      </x:c>
      <x:c r="T164" s="10" t="n">
        <x:f>EOMONTH(J164-'Сводка'!$B$11,-1)</x:f>
        <x:v>45991</x:v>
      </x:c>
      <x:c r="U164" s="4" t="n">
        <x:f>MATCH(J164,'Сводка'!$R$3:$R$397,0)</x:f>
        <x:v>175</x:v>
      </x:c>
      <x:c r="V164" s="4" t="n">
        <x:f>MATCH(J164-'Сводка'!$B$11,'Сводка'!$R$3:$R$397,0)</x:f>
        <x:v>174</x:v>
      </x:c>
      <x:c r="W164" s="4" t="n">
        <x:f>MATCH(T164,$J$388:$J$400,0)</x:f>
        <x:v>6</x:v>
      </x:c>
      <x:c r="X164" s="3"/>
      <x:c r="Y164" s="3"/>
      <x:c r="Z164" s="3"/>
    </x:row>
    <x:row r="165" ht="15" customHeight="1">
      <x:c r="A165" s="3"/>
      <x:c r="B165" s="3"/>
      <x:c r="C165" s="3"/>
      <x:c r="D165" s="3"/>
      <x:c r="E165" s="3"/>
      <x:c r="F165" s="3"/>
      <x:c r="G165" s="3"/>
      <x:c r="H165" s="3"/>
      <x:c r="I165" s="3"/>
      <x:c r="J165" s="10" t="n">
        <x:v>46016</x:v>
      </x:c>
      <x:c r="K165" s="8" t="n">
        <x:f>INDEX('Сводка'!$S$3:$S$397,U165)</x:f>
        <x:v>-19</x:v>
      </x:c>
      <x:c r="L165" s="8" t="n">
        <x:f>INDEX('Сводка'!$S$3:$S$397,V165)</x:f>
        <x:v>-21</x:v>
      </x:c>
      <x:c r="M165" s="8" t="n">
        <x:f>INDEX($K$388:$N$400,W165,1)+INDEX($K$388:$N$400,W165,2)*(2*(J165-$T$405)/(T165-$T$405)-1)^1+INDEX($K$388:$N$400,W165,3)*(2*(J165-$T$405)/(T165-$T$405)-1)^2+INDEX($K$388:$N$400,W165,4)*(2*(J165-$T$405)/(T165-$T$405)-1)^3+INDEX($O$388:$Z$400,W165,MONTH(J165))</x:f>
        <x:v>20.065482618342088</x:v>
      </x:c>
      <x:c r="N165" s="8" t="n">
        <x:f>K165-M165</x:f>
        <x:v>-39.06548261834209</x:v>
      </x:c>
      <x:c r="O165" s="8" t="n">
        <x:f>ABS(N165)</x:f>
        <x:v>39.06548261834209</x:v>
      </x:c>
      <x:c r="P165" s="8" t="n">
        <x:f>N165^2</x:f>
        <x:v>1526.1119322039879</x:v>
      </x:c>
      <x:c r="Q165" s="8" t="n">
        <x:f>K165-L165</x:f>
        <x:v>2</x:v>
      </x:c>
      <x:c r="R165" s="9" t="n">
        <x:f>IF(AND(INDEX('Сводка'!$T$3:$T$397,U165)=0,INDEX('Сводка'!$T$3:$T$397,V165)=0),1,0)</x:f>
        <x:v>1</x:v>
      </x:c>
      <x:c r="S165" s="9" t="n">
        <x:f>IF(AND(R165=1,O165&lt;=$G$13),1,0)</x:f>
        <x:v>0</x:v>
      </x:c>
      <x:c r="T165" s="10" t="n">
        <x:f>EOMONTH(J165-'Сводка'!$B$11,-1)</x:f>
        <x:v>45991</x:v>
      </x:c>
      <x:c r="U165" s="4" t="n">
        <x:f>MATCH(J165,'Сводка'!$R$3:$R$397,0)</x:f>
        <x:v>176</x:v>
      </x:c>
      <x:c r="V165" s="4" t="n">
        <x:f>MATCH(J165-'Сводка'!$B$11,'Сводка'!$R$3:$R$397,0)</x:f>
        <x:v>175</x:v>
      </x:c>
      <x:c r="W165" s="4" t="n">
        <x:f>MATCH(T165,$J$388:$J$400,0)</x:f>
        <x:v>6</x:v>
      </x:c>
      <x:c r="X165" s="3"/>
      <x:c r="Y165" s="3"/>
      <x:c r="Z165" s="3"/>
    </x:row>
    <x:row r="166" ht="15" customHeight="1">
      <x:c r="A166" s="3"/>
      <x:c r="B166" s="3"/>
      <x:c r="C166" s="3"/>
      <x:c r="D166" s="3"/>
      <x:c r="E166" s="3"/>
      <x:c r="F166" s="3"/>
      <x:c r="G166" s="3"/>
      <x:c r="H166" s="3"/>
      <x:c r="I166" s="3"/>
      <x:c r="J166" s="10" t="n">
        <x:v>46017</x:v>
      </x:c>
      <x:c r="K166" s="8" t="n">
        <x:f>INDEX('Сводка'!$S$3:$S$397,U166)</x:f>
        <x:v>-17</x:v>
      </x:c>
      <x:c r="L166" s="8" t="n">
        <x:f>INDEX('Сводка'!$S$3:$S$397,V166)</x:f>
        <x:v>-19</x:v>
      </x:c>
      <x:c r="M166" s="8" t="n">
        <x:f>INDEX($K$388:$N$400,W166,1)+INDEX($K$388:$N$400,W166,2)*(2*(J166-$T$405)/(T166-$T$405)-1)^1+INDEX($K$388:$N$400,W166,3)*(2*(J166-$T$405)/(T166-$T$405)-1)^2+INDEX($K$388:$N$400,W166,4)*(2*(J166-$T$405)/(T166-$T$405)-1)^3+INDEX($O$388:$Z$400,W166,MONTH(J166))</x:f>
        <x:v>20.043215648235517</x:v>
      </x:c>
      <x:c r="N166" s="8" t="n">
        <x:f>K166-M166</x:f>
        <x:v>-37.04321564823552</x:v>
      </x:c>
      <x:c r="O166" s="8" t="n">
        <x:f>ABS(N166)</x:f>
        <x:v>37.04321564823552</x:v>
      </x:c>
      <x:c r="P166" s="8" t="n">
        <x:f>N166^2</x:f>
        <x:v>1372.1998255616807</x:v>
      </x:c>
      <x:c r="Q166" s="8" t="n">
        <x:f>K166-L166</x:f>
        <x:v>2</x:v>
      </x:c>
      <x:c r="R166" s="9" t="n">
        <x:f>IF(AND(INDEX('Сводка'!$T$3:$T$397,U166)=0,INDEX('Сводка'!$T$3:$T$397,V166)=0),1,0)</x:f>
        <x:v>1</x:v>
      </x:c>
      <x:c r="S166" s="9" t="n">
        <x:f>IF(AND(R166=1,O166&lt;=$G$13),1,0)</x:f>
        <x:v>0</x:v>
      </x:c>
      <x:c r="T166" s="10" t="n">
        <x:f>EOMONTH(J166-'Сводка'!$B$11,-1)</x:f>
        <x:v>45991</x:v>
      </x:c>
      <x:c r="U166" s="4" t="n">
        <x:f>MATCH(J166,'Сводка'!$R$3:$R$397,0)</x:f>
        <x:v>177</x:v>
      </x:c>
      <x:c r="V166" s="4" t="n">
        <x:f>MATCH(J166-'Сводка'!$B$11,'Сводка'!$R$3:$R$397,0)</x:f>
        <x:v>176</x:v>
      </x:c>
      <x:c r="W166" s="4" t="n">
        <x:f>MATCH(T166,$J$388:$J$400,0)</x:f>
        <x:v>6</x:v>
      </x:c>
      <x:c r="X166" s="3"/>
      <x:c r="Y166" s="3"/>
      <x:c r="Z166" s="3"/>
    </x:row>
    <x:row r="167" ht="15" customHeight="1">
      <x:c r="A167" s="3"/>
      <x:c r="B167" s="3"/>
      <x:c r="C167" s="3"/>
      <x:c r="D167" s="3"/>
      <x:c r="E167" s="3"/>
      <x:c r="F167" s="3"/>
      <x:c r="G167" s="3"/>
      <x:c r="H167" s="3"/>
      <x:c r="I167" s="3"/>
      <x:c r="J167" s="10" t="n">
        <x:v>46018</x:v>
      </x:c>
      <x:c r="K167" s="8" t="n">
        <x:f>INDEX('Сводка'!$S$3:$S$397,U167)</x:f>
        <x:v>-15</x:v>
      </x:c>
      <x:c r="L167" s="8" t="n">
        <x:f>INDEX('Сводка'!$S$3:$S$397,V167)</x:f>
        <x:v>-17</x:v>
      </x:c>
      <x:c r="M167" s="8" t="n">
        <x:f>INDEX($K$388:$N$400,W167,1)+INDEX($K$388:$N$400,W167,2)*(2*(J167-$T$405)/(T167-$T$405)-1)^1+INDEX($K$388:$N$400,W167,3)*(2*(J167-$T$405)/(T167-$T$405)-1)^2+INDEX($K$388:$N$400,W167,4)*(2*(J167-$T$405)/(T167-$T$405)-1)^3+INDEX($O$388:$Z$400,W167,MONTH(J167))</x:f>
        <x:v>20.020933600264726</x:v>
      </x:c>
      <x:c r="N167" s="8" t="n">
        <x:f>K167-M167</x:f>
        <x:v>-35.020933600264726</x:v>
      </x:c>
      <x:c r="O167" s="8" t="n">
        <x:f>ABS(N167)</x:f>
        <x:v>35.020933600264726</x:v>
      </x:c>
      <x:c r="P167" s="8" t="n">
        <x:f>N167^2</x:f>
        <x:v>1226.465790234151</x:v>
      </x:c>
      <x:c r="Q167" s="8" t="n">
        <x:f>K167-L167</x:f>
        <x:v>2</x:v>
      </x:c>
      <x:c r="R167" s="9" t="n">
        <x:f>IF(AND(INDEX('Сводка'!$T$3:$T$397,U167)=0,INDEX('Сводка'!$T$3:$T$397,V167)=0),1,0)</x:f>
        <x:v>1</x:v>
      </x:c>
      <x:c r="S167" s="9" t="n">
        <x:f>IF(AND(R167=1,O167&lt;=$G$13),1,0)</x:f>
        <x:v>0</x:v>
      </x:c>
      <x:c r="T167" s="10" t="n">
        <x:f>EOMONTH(J167-'Сводка'!$B$11,-1)</x:f>
        <x:v>45991</x:v>
      </x:c>
      <x:c r="U167" s="4" t="n">
        <x:f>MATCH(J167,'Сводка'!$R$3:$R$397,0)</x:f>
        <x:v>178</x:v>
      </x:c>
      <x:c r="V167" s="4" t="n">
        <x:f>MATCH(J167-'Сводка'!$B$11,'Сводка'!$R$3:$R$397,0)</x:f>
        <x:v>177</x:v>
      </x:c>
      <x:c r="W167" s="4" t="n">
        <x:f>MATCH(T167,$J$388:$J$400,0)</x:f>
        <x:v>6</x:v>
      </x:c>
      <x:c r="X167" s="3"/>
      <x:c r="Y167" s="3"/>
      <x:c r="Z167" s="3"/>
    </x:row>
    <x:row r="168" ht="15" customHeight="1">
      <x:c r="A168" s="3"/>
      <x:c r="B168" s="3"/>
      <x:c r="C168" s="3"/>
      <x:c r="D168" s="3"/>
      <x:c r="E168" s="3"/>
      <x:c r="F168" s="3"/>
      <x:c r="G168" s="3"/>
      <x:c r="H168" s="3"/>
      <x:c r="I168" s="3"/>
      <x:c r="J168" s="10" t="n">
        <x:v>46019</x:v>
      </x:c>
      <x:c r="K168" s="8" t="n">
        <x:f>INDEX('Сводка'!$S$3:$S$397,U168)</x:f>
        <x:v>-12</x:v>
      </x:c>
      <x:c r="L168" s="8" t="n">
        <x:f>INDEX('Сводка'!$S$3:$S$397,V168)</x:f>
        <x:v>-15</x:v>
      </x:c>
      <x:c r="M168" s="8" t="n">
        <x:f>INDEX($K$388:$N$400,W168,1)+INDEX($K$388:$N$400,W168,2)*(2*(J168-$T$405)/(T168-$T$405)-1)^1+INDEX($K$388:$N$400,W168,3)*(2*(J168-$T$405)/(T168-$T$405)-1)^2+INDEX($K$388:$N$400,W168,4)*(2*(J168-$T$405)/(T168-$T$405)-1)^3+INDEX($O$388:$Z$400,W168,MONTH(J168))</x:f>
        <x:v>19.998636472389762</x:v>
      </x:c>
      <x:c r="N168" s="8" t="n">
        <x:f>K168-M168</x:f>
        <x:v>-31.998636472389762</x:v>
      </x:c>
      <x:c r="O168" s="8" t="n">
        <x:f>ABS(N168)</x:f>
        <x:v>31.998636472389762</x:v>
      </x:c>
      <x:c r="P168" s="8" t="n">
        <x:f>N168^2</x:f>
        <x:v>1023.9127360921524</x:v>
      </x:c>
      <x:c r="Q168" s="8" t="n">
        <x:f>K168-L168</x:f>
        <x:v>3</x:v>
      </x:c>
      <x:c r="R168" s="9" t="n">
        <x:f>IF(AND(INDEX('Сводка'!$T$3:$T$397,U168)=0,INDEX('Сводка'!$T$3:$T$397,V168)=0),1,0)</x:f>
        <x:v>1</x:v>
      </x:c>
      <x:c r="S168" s="9" t="n">
        <x:f>IF(AND(R168=1,O168&lt;=$G$13),1,0)</x:f>
        <x:v>0</x:v>
      </x:c>
      <x:c r="T168" s="10" t="n">
        <x:f>EOMONTH(J168-'Сводка'!$B$11,-1)</x:f>
        <x:v>45991</x:v>
      </x:c>
      <x:c r="U168" s="4" t="n">
        <x:f>MATCH(J168,'Сводка'!$R$3:$R$397,0)</x:f>
        <x:v>179</x:v>
      </x:c>
      <x:c r="V168" s="4" t="n">
        <x:f>MATCH(J168-'Сводка'!$B$11,'Сводка'!$R$3:$R$397,0)</x:f>
        <x:v>178</x:v>
      </x:c>
      <x:c r="W168" s="4" t="n">
        <x:f>MATCH(T168,$J$388:$J$400,0)</x:f>
        <x:v>6</x:v>
      </x:c>
      <x:c r="X168" s="3"/>
      <x:c r="Y168" s="3"/>
      <x:c r="Z168" s="3"/>
    </x:row>
    <x:row r="169" ht="15" customHeight="1">
      <x:c r="A169" s="3"/>
      <x:c r="B169" s="3"/>
      <x:c r="C169" s="3"/>
      <x:c r="D169" s="3"/>
      <x:c r="E169" s="3"/>
      <x:c r="F169" s="3"/>
      <x:c r="G169" s="3"/>
      <x:c r="H169" s="3"/>
      <x:c r="I169" s="3"/>
      <x:c r="J169" s="10" t="n">
        <x:v>46020</x:v>
      </x:c>
      <x:c r="K169" s="8" t="n">
        <x:f>INDEX('Сводка'!$S$3:$S$397,U169)</x:f>
        <x:v>-6</x:v>
      </x:c>
      <x:c r="L169" s="8" t="n">
        <x:f>INDEX('Сводка'!$S$3:$S$397,V169)</x:f>
        <x:v>-12</x:v>
      </x:c>
      <x:c r="M169" s="8" t="n">
        <x:f>INDEX($K$388:$N$400,W169,1)+INDEX($K$388:$N$400,W169,2)*(2*(J169-$T$405)/(T169-$T$405)-1)^1+INDEX($K$388:$N$400,W169,3)*(2*(J169-$T$405)/(T169-$T$405)-1)^2+INDEX($K$388:$N$400,W169,4)*(2*(J169-$T$405)/(T169-$T$405)-1)^3+INDEX($O$388:$Z$400,W169,MONTH(J169))</x:f>
        <x:v>19.976324262570813</x:v>
      </x:c>
      <x:c r="N169" s="8" t="n">
        <x:f>K169-M169</x:f>
        <x:v>-25.976324262570813</x:v>
      </x:c>
      <x:c r="O169" s="8" t="n">
        <x:f>ABS(N169)</x:f>
        <x:v>25.976324262570813</x:v>
      </x:c>
      <x:c r="P169" s="8" t="n">
        <x:f>N169^2</x:f>
        <x:v>674.7694221942251</x:v>
      </x:c>
      <x:c r="Q169" s="8" t="n">
        <x:f>K169-L169</x:f>
        <x:v>6</x:v>
      </x:c>
      <x:c r="R169" s="9" t="n">
        <x:f>IF(AND(INDEX('Сводка'!$T$3:$T$397,U169)=0,INDEX('Сводка'!$T$3:$T$397,V169)=0),1,0)</x:f>
        <x:v>1</x:v>
      </x:c>
      <x:c r="S169" s="9" t="n">
        <x:f>IF(AND(R169=1,O169&lt;=$G$13),1,0)</x:f>
        <x:v>0</x:v>
      </x:c>
      <x:c r="T169" s="10" t="n">
        <x:f>EOMONTH(J169-'Сводка'!$B$11,-1)</x:f>
        <x:v>45991</x:v>
      </x:c>
      <x:c r="U169" s="4" t="n">
        <x:f>MATCH(J169,'Сводка'!$R$3:$R$397,0)</x:f>
        <x:v>180</x:v>
      </x:c>
      <x:c r="V169" s="4" t="n">
        <x:f>MATCH(J169-'Сводка'!$B$11,'Сводка'!$R$3:$R$397,0)</x:f>
        <x:v>179</x:v>
      </x:c>
      <x:c r="W169" s="4" t="n">
        <x:f>MATCH(T169,$J$388:$J$400,0)</x:f>
        <x:v>6</x:v>
      </x:c>
      <x:c r="X169" s="3"/>
      <x:c r="Y169" s="3"/>
      <x:c r="Z169" s="3"/>
    </x:row>
    <x:row r="170" ht="15" customHeight="1">
      <x:c r="A170" s="3"/>
      <x:c r="B170" s="3"/>
      <x:c r="C170" s="3"/>
      <x:c r="D170" s="3"/>
      <x:c r="E170" s="3"/>
      <x:c r="F170" s="3"/>
      <x:c r="G170" s="3"/>
      <x:c r="H170" s="3"/>
      <x:c r="I170" s="3"/>
      <x:c r="J170" s="10" t="n">
        <x:v>46021</x:v>
      </x:c>
      <x:c r="K170" s="8" t="n">
        <x:f>INDEX('Сводка'!$S$3:$S$397,U170)</x:f>
        <x:v>-3</x:v>
      </x:c>
      <x:c r="L170" s="8" t="n">
        <x:f>INDEX('Сводка'!$S$3:$S$397,V170)</x:f>
        <x:v>-6</x:v>
      </x:c>
      <x:c r="M170" s="8" t="n">
        <x:f>INDEX($K$388:$N$400,W170,1)+INDEX($K$388:$N$400,W170,2)*(2*(J170-$T$405)/(T170-$T$405)-1)^1+INDEX($K$388:$N$400,W170,3)*(2*(J170-$T$405)/(T170-$T$405)-1)^2+INDEX($K$388:$N$400,W170,4)*(2*(J170-$T$405)/(T170-$T$405)-1)^3+INDEX($O$388:$Z$400,W170,MONTH(J170))</x:f>
        <x:v>19.95399696876798</x:v>
      </x:c>
      <x:c r="N170" s="8" t="n">
        <x:f>K170-M170</x:f>
        <x:v>-22.95399696876798</x:v>
      </x:c>
      <x:c r="O170" s="8" t="n">
        <x:f>ABS(N170)</x:f>
        <x:v>22.95399696876798</x:v>
      </x:c>
      <x:c r="P170" s="8" t="n">
        <x:f>N170^2</x:f>
        <x:v>526.8859768422096</x:v>
      </x:c>
      <x:c r="Q170" s="8" t="n">
        <x:f>K170-L170</x:f>
        <x:v>3</x:v>
      </x:c>
      <x:c r="R170" s="9" t="n">
        <x:f>IF(AND(INDEX('Сводка'!$T$3:$T$397,U170)=0,INDEX('Сводка'!$T$3:$T$397,V170)=0),1,0)</x:f>
        <x:v>1</x:v>
      </x:c>
      <x:c r="S170" s="9" t="n">
        <x:f>IF(AND(R170=1,O170&lt;=$G$13),1,0)</x:f>
        <x:v>0</x:v>
      </x:c>
      <x:c r="T170" s="10" t="n">
        <x:f>EOMONTH(J170-'Сводка'!$B$11,-1)</x:f>
        <x:v>45991</x:v>
      </x:c>
      <x:c r="U170" s="4" t="n">
        <x:f>MATCH(J170,'Сводка'!$R$3:$R$397,0)</x:f>
        <x:v>181</x:v>
      </x:c>
      <x:c r="V170" s="4" t="n">
        <x:f>MATCH(J170-'Сводка'!$B$11,'Сводка'!$R$3:$R$397,0)</x:f>
        <x:v>180</x:v>
      </x:c>
      <x:c r="W170" s="4" t="n">
        <x:f>MATCH(T170,$J$388:$J$400,0)</x:f>
        <x:v>6</x:v>
      </x:c>
      <x:c r="X170" s="3"/>
      <x:c r="Y170" s="3"/>
      <x:c r="Z170" s="3"/>
    </x:row>
    <x:row r="171" ht="15" customHeight="1">
      <x:c r="A171" s="3"/>
      <x:c r="B171" s="3"/>
      <x:c r="C171" s="3"/>
      <x:c r="D171" s="3"/>
      <x:c r="E171" s="3"/>
      <x:c r="F171" s="3"/>
      <x:c r="G171" s="3"/>
      <x:c r="H171" s="3"/>
      <x:c r="I171" s="3"/>
      <x:c r="J171" s="10" t="n">
        <x:v>46022</x:v>
      </x:c>
      <x:c r="K171" s="8" t="n">
        <x:f>INDEX('Сводка'!$S$3:$S$397,U171)</x:f>
        <x:v>0</x:v>
      </x:c>
      <x:c r="L171" s="8" t="n">
        <x:f>INDEX('Сводка'!$S$3:$S$397,V171)</x:f>
        <x:v>-3</x:v>
      </x:c>
      <x:c r="M171" s="8" t="n">
        <x:f>INDEX($K$388:$N$400,W171,1)+INDEX($K$388:$N$400,W171,2)*(2*(J171-$T$405)/(T171-$T$405)-1)^1+INDEX($K$388:$N$400,W171,3)*(2*(J171-$T$405)/(T171-$T$405)-1)^2+INDEX($K$388:$N$400,W171,4)*(2*(J171-$T$405)/(T171-$T$405)-1)^3+INDEX($O$388:$Z$400,W171,MONTH(J171))</x:f>
        <x:v>19.931654588941328</x:v>
      </x:c>
      <x:c r="N171" s="8" t="n">
        <x:f>K171-M171</x:f>
        <x:v>-19.931654588941328</x:v>
      </x:c>
      <x:c r="O171" s="8" t="n">
        <x:f>ABS(N171)</x:f>
        <x:v>19.931654588941328</x:v>
      </x:c>
      <x:c r="P171" s="8" t="n">
        <x:f>N171^2</x:f>
        <x:v>397.27085465286586</x:v>
      </x:c>
      <x:c r="Q171" s="8" t="n">
        <x:f>K171-L171</x:f>
        <x:v>3</x:v>
      </x:c>
      <x:c r="R171" s="9" t="n">
        <x:f>IF(AND(INDEX('Сводка'!$T$3:$T$397,U171)=0,INDEX('Сводка'!$T$3:$T$397,V171)=0),1,0)</x:f>
        <x:v>0</x:v>
      </x:c>
      <x:c r="S171" s="9" t="n">
        <x:f>IF(AND(R171=1,O171&lt;=$G$13),1,0)</x:f>
        <x:v>0</x:v>
      </x:c>
      <x:c r="T171" s="10" t="n">
        <x:f>EOMONTH(J171-'Сводка'!$B$11,-1)</x:f>
        <x:v>45991</x:v>
      </x:c>
      <x:c r="U171" s="4" t="n">
        <x:f>MATCH(J171,'Сводка'!$R$3:$R$397,0)</x:f>
        <x:v>182</x:v>
      </x:c>
      <x:c r="V171" s="4" t="n">
        <x:f>MATCH(J171-'Сводка'!$B$11,'Сводка'!$R$3:$R$397,0)</x:f>
        <x:v>181</x:v>
      </x:c>
      <x:c r="W171" s="4" t="n">
        <x:f>MATCH(T171,$J$388:$J$400,0)</x:f>
        <x:v>6</x:v>
      </x:c>
      <x:c r="X171" s="3"/>
      <x:c r="Y171" s="3"/>
      <x:c r="Z171" s="3"/>
    </x:row>
    <x:row r="172" ht="15" customHeight="1">
      <x:c r="A172" s="3"/>
      <x:c r="B172" s="3"/>
      <x:c r="C172" s="3"/>
      <x:c r="D172" s="3"/>
      <x:c r="E172" s="3"/>
      <x:c r="F172" s="3"/>
      <x:c r="G172" s="3"/>
      <x:c r="H172" s="3"/>
      <x:c r="I172" s="3"/>
      <x:c r="J172" s="10" t="n">
        <x:v>46023</x:v>
      </x:c>
      <x:c r="K172" s="8" t="n">
        <x:f>INDEX('Сводка'!$S$3:$S$397,U172)</x:f>
        <x:v>3</x:v>
      </x:c>
      <x:c r="L172" s="8" t="n">
        <x:f>INDEX('Сводка'!$S$3:$S$397,V172)</x:f>
        <x:v>0</x:v>
      </x:c>
      <x:c r="M172" s="8" t="n">
        <x:f>INDEX($K$388:$N$400,W172,1)+INDEX($K$388:$N$400,W172,2)*(2*(J172-$T$405)/(T172-$T$405)-1)^1+INDEX($K$388:$N$400,W172,3)*(2*(J172-$T$405)/(T172-$T$405)-1)^2+INDEX($K$388:$N$400,W172,4)*(2*(J172-$T$405)/(T172-$T$405)-1)^3+INDEX($O$388:$Z$400,W172,MONTH(J172))</x:f>
        <x:v>9.401422062168606</x:v>
      </x:c>
      <x:c r="N172" s="8" t="n">
        <x:f>K172-M172</x:f>
        <x:v>-6.401422062168606</x:v>
      </x:c>
      <x:c r="O172" s="8" t="n">
        <x:f>ABS(N172)</x:f>
        <x:v>6.401422062168606</x:v>
      </x:c>
      <x:c r="P172" s="8" t="n">
        <x:f>N172^2</x:f>
        <x:v>40.978204418018976</x:v>
      </x:c>
      <x:c r="Q172" s="8" t="n">
        <x:f>K172-L172</x:f>
        <x:v>3</x:v>
      </x:c>
      <x:c r="R172" s="9" t="n">
        <x:f>IF(AND(INDEX('Сводка'!$T$3:$T$397,U172)=0,INDEX('Сводка'!$T$3:$T$397,V172)=0),1,0)</x:f>
        <x:v>0</x:v>
      </x:c>
      <x:c r="S172" s="9" t="n">
        <x:f>IF(AND(R172=1,O172&lt;=$G$13),1,0)</x:f>
        <x:v>0</x:v>
      </x:c>
      <x:c r="T172" s="10" t="n">
        <x:f>EOMONTH(J172-'Сводка'!$B$11,-1)</x:f>
        <x:v>45991</x:v>
      </x:c>
      <x:c r="U172" s="4" t="n">
        <x:f>MATCH(J172,'Сводка'!$R$3:$R$397,0)</x:f>
        <x:v>183</x:v>
      </x:c>
      <x:c r="V172" s="4" t="n">
        <x:f>MATCH(J172-'Сводка'!$B$11,'Сводка'!$R$3:$R$397,0)</x:f>
        <x:v>182</x:v>
      </x:c>
      <x:c r="W172" s="4" t="n">
        <x:f>MATCH(T172,$J$388:$J$400,0)</x:f>
        <x:v>6</x:v>
      </x:c>
      <x:c r="X172" s="3"/>
      <x:c r="Y172" s="3"/>
      <x:c r="Z172" s="3"/>
    </x:row>
    <x:row r="173" ht="15" customHeight="1">
      <x:c r="A173" s="3"/>
      <x:c r="B173" s="3"/>
      <x:c r="C173" s="3"/>
      <x:c r="D173" s="3"/>
      <x:c r="E173" s="3"/>
      <x:c r="F173" s="3"/>
      <x:c r="G173" s="3"/>
      <x:c r="H173" s="3"/>
      <x:c r="I173" s="3"/>
      <x:c r="J173" s="10" t="n">
        <x:v>46024</x:v>
      </x:c>
      <x:c r="K173" s="8" t="n">
        <x:f>INDEX('Сводка'!$S$3:$S$397,U173)</x:f>
        <x:v>6</x:v>
      </x:c>
      <x:c r="L173" s="8" t="n">
        <x:f>INDEX('Сводка'!$S$3:$S$397,V173)</x:f>
        <x:v>3</x:v>
      </x:c>
      <x:c r="M173" s="8" t="n">
        <x:f>INDEX($K$388:$N$400,W173,1)+INDEX($K$388:$N$400,W173,2)*(2*(J173-$T$405)/(T173-$T$405)-1)^1+INDEX($K$388:$N$400,W173,3)*(2*(J173-$T$405)/(T173-$T$405)-1)^2+INDEX($K$388:$N$400,W173,4)*(2*(J173-$T$405)/(T173-$T$405)-1)^3+INDEX($O$388:$Z$400,W173,MONTH(J173))</x:f>
        <x:v>7.075638746468286</x:v>
      </x:c>
      <x:c r="N173" s="8" t="n">
        <x:f>K173-M173</x:f>
        <x:v>-1.075638746468286</x:v>
      </x:c>
      <x:c r="O173" s="8" t="n">
        <x:f>ABS(N173)</x:f>
        <x:v>1.075638746468286</x:v>
      </x:c>
      <x:c r="P173" s="8" t="n">
        <x:f>N173^2</x:f>
        <x:v>1.1569987129038655</x:v>
      </x:c>
      <x:c r="Q173" s="8" t="n">
        <x:f>K173-L173</x:f>
        <x:v>3</x:v>
      </x:c>
      <x:c r="R173" s="9" t="n">
        <x:f>IF(AND(INDEX('Сводка'!$T$3:$T$397,U173)=0,INDEX('Сводка'!$T$3:$T$397,V173)=0),1,0)</x:f>
        <x:v>1</x:v>
      </x:c>
      <x:c r="S173" s="9" t="n">
        <x:f>IF(AND(R173=1,O173&lt;=$G$13),1,0)</x:f>
        <x:v>1</x:v>
      </x:c>
      <x:c r="T173" s="10" t="n">
        <x:f>EOMONTH(J173-'Сводка'!$B$11,-1)</x:f>
        <x:v>46022</x:v>
      </x:c>
      <x:c r="U173" s="4" t="n">
        <x:f>MATCH(J173,'Сводка'!$R$3:$R$397,0)</x:f>
        <x:v>184</x:v>
      </x:c>
      <x:c r="V173" s="4" t="n">
        <x:f>MATCH(J173-'Сводка'!$B$11,'Сводка'!$R$3:$R$397,0)</x:f>
        <x:v>183</x:v>
      </x:c>
      <x:c r="W173" s="4" t="n">
        <x:f>MATCH(T173,$J$388:$J$400,0)</x:f>
        <x:v>7</x:v>
      </x:c>
      <x:c r="X173" s="3"/>
      <x:c r="Y173" s="3"/>
      <x:c r="Z173" s="3"/>
    </x:row>
    <x:row r="174" ht="15" customHeight="1">
      <x:c r="A174" s="3"/>
      <x:c r="B174" s="3"/>
      <x:c r="C174" s="3"/>
      <x:c r="D174" s="3"/>
      <x:c r="E174" s="3"/>
      <x:c r="F174" s="3"/>
      <x:c r="G174" s="3"/>
      <x:c r="H174" s="3"/>
      <x:c r="I174" s="3"/>
      <x:c r="J174" s="10" t="n">
        <x:v>46025</x:v>
      </x:c>
      <x:c r="K174" s="8" t="n">
        <x:f>INDEX('Сводка'!$S$3:$S$397,U174)</x:f>
        <x:v>6</x:v>
      </x:c>
      <x:c r="L174" s="8" t="n">
        <x:f>INDEX('Сводка'!$S$3:$S$397,V174)</x:f>
        <x:v>6</x:v>
      </x:c>
      <x:c r="M174" s="8" t="n">
        <x:f>INDEX($K$388:$N$400,W174,1)+INDEX($K$388:$N$400,W174,2)*(2*(J174-$T$405)/(T174-$T$405)-1)^1+INDEX($K$388:$N$400,W174,3)*(2*(J174-$T$405)/(T174-$T$405)-1)^2+INDEX($K$388:$N$400,W174,4)*(2*(J174-$T$405)/(T174-$T$405)-1)^3+INDEX($O$388:$Z$400,W174,MONTH(J174))</x:f>
        <x:v>7.051321828305092</x:v>
      </x:c>
      <x:c r="N174" s="8" t="n">
        <x:f>K174-M174</x:f>
        <x:v>-1.0513218283050918</x:v>
      </x:c>
      <x:c r="O174" s="8" t="n">
        <x:f>ABS(N174)</x:f>
        <x:v>1.0513218283050918</x:v>
      </x:c>
      <x:c r="P174" s="8" t="n">
        <x:f>N174^2</x:f>
        <x:v>1.105277586670761</x:v>
      </x:c>
      <x:c r="Q174" s="8" t="n">
        <x:f>K174-L174</x:f>
        <x:v>0</x:v>
      </x:c>
      <x:c r="R174" s="9" t="n">
        <x:f>IF(AND(INDEX('Сводка'!$T$3:$T$397,U174)=0,INDEX('Сводка'!$T$3:$T$397,V174)=0),1,0)</x:f>
        <x:v>1</x:v>
      </x:c>
      <x:c r="S174" s="9" t="n">
        <x:f>IF(AND(R174=1,O174&lt;=$G$13),1,0)</x:f>
        <x:v>1</x:v>
      </x:c>
      <x:c r="T174" s="10" t="n">
        <x:f>EOMONTH(J174-'Сводка'!$B$11,-1)</x:f>
        <x:v>46022</x:v>
      </x:c>
      <x:c r="U174" s="4" t="n">
        <x:f>MATCH(J174,'Сводка'!$R$3:$R$397,0)</x:f>
        <x:v>185</x:v>
      </x:c>
      <x:c r="V174" s="4" t="n">
        <x:f>MATCH(J174-'Сводка'!$B$11,'Сводка'!$R$3:$R$397,0)</x:f>
        <x:v>184</x:v>
      </x:c>
      <x:c r="W174" s="4" t="n">
        <x:f>MATCH(T174,$J$388:$J$400,0)</x:f>
        <x:v>7</x:v>
      </x:c>
      <x:c r="X174" s="3"/>
      <x:c r="Y174" s="3"/>
      <x:c r="Z174" s="3"/>
    </x:row>
    <x:row r="175" ht="15" customHeight="1">
      <x:c r="A175" s="3"/>
      <x:c r="B175" s="3"/>
      <x:c r="C175" s="3"/>
      <x:c r="D175" s="3"/>
      <x:c r="E175" s="3"/>
      <x:c r="F175" s="3"/>
      <x:c r="G175" s="3"/>
      <x:c r="H175" s="3"/>
      <x:c r="I175" s="3"/>
      <x:c r="J175" s="10" t="n">
        <x:v>46026</x:v>
      </x:c>
      <x:c r="K175" s="8" t="n">
        <x:f>INDEX('Сводка'!$S$3:$S$397,U175)</x:f>
        <x:v>6</x:v>
      </x:c>
      <x:c r="L175" s="8" t="n">
        <x:f>INDEX('Сводка'!$S$3:$S$397,V175)</x:f>
        <x:v>6</x:v>
      </x:c>
      <x:c r="M175" s="8" t="n">
        <x:f>INDEX($K$388:$N$400,W175,1)+INDEX($K$388:$N$400,W175,2)*(2*(J175-$T$405)/(T175-$T$405)-1)^1+INDEX($K$388:$N$400,W175,3)*(2*(J175-$T$405)/(T175-$T$405)-1)^2+INDEX($K$388:$N$400,W175,4)*(2*(J175-$T$405)/(T175-$T$405)-1)^3+INDEX($O$388:$Z$400,W175,MONTH(J175))</x:f>
        <x:v>7.0269889543289</x:v>
      </x:c>
      <x:c r="N175" s="8" t="n">
        <x:f>K175-M175</x:f>
        <x:v>-1.0269889543288997</x:v>
      </x:c>
      <x:c r="O175" s="8" t="n">
        <x:f>ABS(N175)</x:f>
        <x:v>1.0269889543288997</x:v>
      </x:c>
      <x:c r="P175" s="8" t="n">
        <x:f>N175^2</x:f>
        <x:v>1.054706312313567</x:v>
      </x:c>
      <x:c r="Q175" s="8" t="n">
        <x:f>K175-L175</x:f>
        <x:v>0</x:v>
      </x:c>
      <x:c r="R175" s="9" t="n">
        <x:f>IF(AND(INDEX('Сводка'!$T$3:$T$397,U175)=0,INDEX('Сводка'!$T$3:$T$397,V175)=0),1,0)</x:f>
        <x:v>1</x:v>
      </x:c>
      <x:c r="S175" s="9" t="n">
        <x:f>IF(AND(R175=1,O175&lt;=$G$13),1,0)</x:f>
        <x:v>1</x:v>
      </x:c>
      <x:c r="T175" s="10" t="n">
        <x:f>EOMONTH(J175-'Сводка'!$B$11,-1)</x:f>
        <x:v>46022</x:v>
      </x:c>
      <x:c r="U175" s="4" t="n">
        <x:f>MATCH(J175,'Сводка'!$R$3:$R$397,0)</x:f>
        <x:v>186</x:v>
      </x:c>
      <x:c r="V175" s="4" t="n">
        <x:f>MATCH(J175-'Сводка'!$B$11,'Сводка'!$R$3:$R$397,0)</x:f>
        <x:v>185</x:v>
      </x:c>
      <x:c r="W175" s="4" t="n">
        <x:f>MATCH(T175,$J$388:$J$400,0)</x:f>
        <x:v>7</x:v>
      </x:c>
      <x:c r="X175" s="3"/>
      <x:c r="Y175" s="3"/>
      <x:c r="Z175" s="3"/>
    </x:row>
    <x:row r="176" ht="15" customHeight="1">
      <x:c r="A176" s="3"/>
      <x:c r="B176" s="3"/>
      <x:c r="C176" s="3"/>
      <x:c r="D176" s="3"/>
      <x:c r="E176" s="3"/>
      <x:c r="F176" s="3"/>
      <x:c r="G176" s="3"/>
      <x:c r="H176" s="3"/>
      <x:c r="I176" s="3"/>
      <x:c r="J176" s="10" t="n">
        <x:v>46027</x:v>
      </x:c>
      <x:c r="K176" s="8" t="n">
        <x:f>INDEX('Сводка'!$S$3:$S$397,U176)</x:f>
        <x:v>6</x:v>
      </x:c>
      <x:c r="L176" s="8" t="n">
        <x:f>INDEX('Сводка'!$S$3:$S$397,V176)</x:f>
        <x:v>6</x:v>
      </x:c>
      <x:c r="M176" s="8" t="n">
        <x:f>INDEX($K$388:$N$400,W176,1)+INDEX($K$388:$N$400,W176,2)*(2*(J176-$T$405)/(T176-$T$405)-1)^1+INDEX($K$388:$N$400,W176,3)*(2*(J176-$T$405)/(T176-$T$405)-1)^2+INDEX($K$388:$N$400,W176,4)*(2*(J176-$T$405)/(T176-$T$405)-1)^3+INDEX($O$388:$Z$400,W176,MONTH(J176))</x:f>
        <x:v>7.002640122330249</x:v>
      </x:c>
      <x:c r="N176" s="8" t="n">
        <x:f>K176-M176</x:f>
        <x:v>-1.0026401223302486</x:v>
      </x:c>
      <x:c r="O176" s="8" t="n">
        <x:f>ABS(N176)</x:f>
        <x:v>1.0026401223302486</x:v>
      </x:c>
      <x:c r="P176" s="8" t="n">
        <x:f>N176^2</x:f>
        <x:v>1.0052872149064158</x:v>
      </x:c>
      <x:c r="Q176" s="8" t="n">
        <x:f>K176-L176</x:f>
        <x:v>0</x:v>
      </x:c>
      <x:c r="R176" s="9" t="n">
        <x:f>IF(AND(INDEX('Сводка'!$T$3:$T$397,U176)=0,INDEX('Сводка'!$T$3:$T$397,V176)=0),1,0)</x:f>
        <x:v>1</x:v>
      </x:c>
      <x:c r="S176" s="9" t="n">
        <x:f>IF(AND(R176=1,O176&lt;=$G$13),1,0)</x:f>
        <x:v>1</x:v>
      </x:c>
      <x:c r="T176" s="10" t="n">
        <x:f>EOMONTH(J176-'Сводка'!$B$11,-1)</x:f>
        <x:v>46022</x:v>
      </x:c>
      <x:c r="U176" s="4" t="n">
        <x:f>MATCH(J176,'Сводка'!$R$3:$R$397,0)</x:f>
        <x:v>187</x:v>
      </x:c>
      <x:c r="V176" s="4" t="n">
        <x:f>MATCH(J176-'Сводка'!$B$11,'Сводка'!$R$3:$R$397,0)</x:f>
        <x:v>186</x:v>
      </x:c>
      <x:c r="W176" s="4" t="n">
        <x:f>MATCH(T176,$J$388:$J$400,0)</x:f>
        <x:v>7</x:v>
      </x:c>
      <x:c r="X176" s="3"/>
      <x:c r="Y176" s="3"/>
      <x:c r="Z176" s="3"/>
    </x:row>
    <x:row r="177" ht="15" customHeight="1">
      <x:c r="A177" s="3"/>
      <x:c r="B177" s="3"/>
      <x:c r="C177" s="3"/>
      <x:c r="D177" s="3"/>
      <x:c r="E177" s="3"/>
      <x:c r="F177" s="3"/>
      <x:c r="G177" s="3"/>
      <x:c r="H177" s="3"/>
      <x:c r="I177" s="3"/>
      <x:c r="J177" s="10" t="n">
        <x:v>46028</x:v>
      </x:c>
      <x:c r="K177" s="8" t="n">
        <x:f>INDEX('Сводка'!$S$3:$S$397,U177)</x:f>
        <x:v>2</x:v>
      </x:c>
      <x:c r="L177" s="8" t="n">
        <x:f>INDEX('Сводка'!$S$3:$S$397,V177)</x:f>
        <x:v>6</x:v>
      </x:c>
      <x:c r="M177" s="8" t="n">
        <x:f>INDEX($K$388:$N$400,W177,1)+INDEX($K$388:$N$400,W177,2)*(2*(J177-$T$405)/(T177-$T$405)-1)^1+INDEX($K$388:$N$400,W177,3)*(2*(J177-$T$405)/(T177-$T$405)-1)^2+INDEX($K$388:$N$400,W177,4)*(2*(J177-$T$405)/(T177-$T$405)-1)^3+INDEX($O$388:$Z$400,W177,MONTH(J177))</x:f>
        <x:v>6.978275330099592</x:v>
      </x:c>
      <x:c r="N177" s="8" t="n">
        <x:f>K177-M177</x:f>
        <x:v>-4.978275330099592</x:v>
      </x:c>
      <x:c r="O177" s="8" t="n">
        <x:f>ABS(N177)</x:f>
        <x:v>4.978275330099592</x:v>
      </x:c>
      <x:c r="P177" s="8" t="n">
        <x:f>N177^2</x:f>
        <x:v>24.783225262278204</x:v>
      </x:c>
      <x:c r="Q177" s="8" t="n">
        <x:f>K177-L177</x:f>
        <x:v>-4</x:v>
      </x:c>
      <x:c r="R177" s="9" t="n">
        <x:f>IF(AND(INDEX('Сводка'!$T$3:$T$397,U177)=0,INDEX('Сводка'!$T$3:$T$397,V177)=0),1,0)</x:f>
        <x:v>1</x:v>
      </x:c>
      <x:c r="S177" s="9" t="n">
        <x:f>IF(AND(R177=1,O177&lt;=$G$13),1,0)</x:f>
        <x:v>1</x:v>
      </x:c>
      <x:c r="T177" s="10" t="n">
        <x:f>EOMONTH(J177-'Сводка'!$B$11,-1)</x:f>
        <x:v>46022</x:v>
      </x:c>
      <x:c r="U177" s="4" t="n">
        <x:f>MATCH(J177,'Сводка'!$R$3:$R$397,0)</x:f>
        <x:v>188</x:v>
      </x:c>
      <x:c r="V177" s="4" t="n">
        <x:f>MATCH(J177-'Сводка'!$B$11,'Сводка'!$R$3:$R$397,0)</x:f>
        <x:v>187</x:v>
      </x:c>
      <x:c r="W177" s="4" t="n">
        <x:f>MATCH(T177,$J$388:$J$400,0)</x:f>
        <x:v>7</x:v>
      </x:c>
      <x:c r="X177" s="3"/>
      <x:c r="Y177" s="3"/>
      <x:c r="Z177" s="3"/>
    </x:row>
    <x:row r="178" ht="15" customHeight="1">
      <x:c r="A178" s="3"/>
      <x:c r="B178" s="3"/>
      <x:c r="C178" s="3"/>
      <x:c r="D178" s="3"/>
      <x:c r="E178" s="3"/>
      <x:c r="F178" s="3"/>
      <x:c r="G178" s="3"/>
      <x:c r="H178" s="3"/>
      <x:c r="I178" s="3"/>
      <x:c r="J178" s="10" t="n">
        <x:v>46029</x:v>
      </x:c>
      <x:c r="K178" s="8" t="n">
        <x:f>INDEX('Сводка'!$S$3:$S$397,U178)</x:f>
        <x:v>-2</x:v>
      </x:c>
      <x:c r="L178" s="8" t="n">
        <x:f>INDEX('Сводка'!$S$3:$S$397,V178)</x:f>
        <x:v>2</x:v>
      </x:c>
      <x:c r="M178" s="8" t="n">
        <x:f>INDEX($K$388:$N$400,W178,1)+INDEX($K$388:$N$400,W178,2)*(2*(J178-$T$405)/(T178-$T$405)-1)^1+INDEX($K$388:$N$400,W178,3)*(2*(J178-$T$405)/(T178-$T$405)-1)^2+INDEX($K$388:$N$400,W178,4)*(2*(J178-$T$405)/(T178-$T$405)-1)^3+INDEX($O$388:$Z$400,W178,MONTH(J178))</x:f>
        <x:v>6.95389457542737</x:v>
      </x:c>
      <x:c r="N178" s="8" t="n">
        <x:f>K178-M178</x:f>
        <x:v>-8.95389457542737</x:v>
      </x:c>
      <x:c r="O178" s="8" t="n">
        <x:f>ABS(N178)</x:f>
        <x:v>8.95389457542737</x:v>
      </x:c>
      <x:c r="P178" s="8" t="n">
        <x:f>N178^2</x:f>
        <x:v>80.17222806786768</x:v>
      </x:c>
      <x:c r="Q178" s="8" t="n">
        <x:f>K178-L178</x:f>
        <x:v>-4</x:v>
      </x:c>
      <x:c r="R178" s="9" t="n">
        <x:f>IF(AND(INDEX('Сводка'!$T$3:$T$397,U178)=0,INDEX('Сводка'!$T$3:$T$397,V178)=0),1,0)</x:f>
        <x:v>1</x:v>
      </x:c>
      <x:c r="S178" s="9" t="n">
        <x:f>IF(AND(R178=1,O178&lt;=$G$13),1,0)</x:f>
        <x:v>0</x:v>
      </x:c>
      <x:c r="T178" s="10" t="n">
        <x:f>EOMONTH(J178-'Сводка'!$B$11,-1)</x:f>
        <x:v>46022</x:v>
      </x:c>
      <x:c r="U178" s="4" t="n">
        <x:f>MATCH(J178,'Сводка'!$R$3:$R$397,0)</x:f>
        <x:v>189</x:v>
      </x:c>
      <x:c r="V178" s="4" t="n">
        <x:f>MATCH(J178-'Сводка'!$B$11,'Сводка'!$R$3:$R$397,0)</x:f>
        <x:v>188</x:v>
      </x:c>
      <x:c r="W178" s="4" t="n">
        <x:f>MATCH(T178,$J$388:$J$400,0)</x:f>
        <x:v>7</x:v>
      </x:c>
      <x:c r="X178" s="3"/>
      <x:c r="Y178" s="3"/>
      <x:c r="Z178" s="3"/>
    </x:row>
    <x:row r="179" ht="15" customHeight="1">
      <x:c r="A179" s="3"/>
      <x:c r="B179" s="3"/>
      <x:c r="C179" s="3"/>
      <x:c r="D179" s="3"/>
      <x:c r="E179" s="3"/>
      <x:c r="F179" s="3"/>
      <x:c r="G179" s="3"/>
      <x:c r="H179" s="3"/>
      <x:c r="I179" s="3"/>
      <x:c r="J179" s="10" t="n">
        <x:v>46030</x:v>
      </x:c>
      <x:c r="K179" s="8" t="n">
        <x:f>INDEX('Сводка'!$S$3:$S$397,U179)</x:f>
        <x:v>-7</x:v>
      </x:c>
      <x:c r="L179" s="8" t="n">
        <x:f>INDEX('Сводка'!$S$3:$S$397,V179)</x:f>
        <x:v>-2</x:v>
      </x:c>
      <x:c r="M179" s="8" t="n">
        <x:f>INDEX($K$388:$N$400,W179,1)+INDEX($K$388:$N$400,W179,2)*(2*(J179-$T$405)/(T179-$T$405)-1)^1+INDEX($K$388:$N$400,W179,3)*(2*(J179-$T$405)/(T179-$T$405)-1)^2+INDEX($K$388:$N$400,W179,4)*(2*(J179-$T$405)/(T179-$T$405)-1)^3+INDEX($O$388:$Z$400,W179,MONTH(J179))</x:f>
        <x:v>6.9294978561041205</x:v>
      </x:c>
      <x:c r="N179" s="8" t="n">
        <x:f>K179-M179</x:f>
        <x:v>-13.92949785610412</x:v>
      </x:c>
      <x:c r="O179" s="8" t="n">
        <x:f>ABS(N179)</x:f>
        <x:v>13.92949785610412</x:v>
      </x:c>
      <x:c r="P179" s="8" t="n">
        <x:f>N179^2</x:f>
        <x:v>194.0309105232093</x:v>
      </x:c>
      <x:c r="Q179" s="8" t="n">
        <x:f>K179-L179</x:f>
        <x:v>-5</x:v>
      </x:c>
      <x:c r="R179" s="9" t="n">
        <x:f>IF(AND(INDEX('Сводка'!$T$3:$T$397,U179)=0,INDEX('Сводка'!$T$3:$T$397,V179)=0),1,0)</x:f>
        <x:v>1</x:v>
      </x:c>
      <x:c r="S179" s="9" t="n">
        <x:f>IF(AND(R179=1,O179&lt;=$G$13),1,0)</x:f>
        <x:v>0</x:v>
      </x:c>
      <x:c r="T179" s="10" t="n">
        <x:f>EOMONTH(J179-'Сводка'!$B$11,-1)</x:f>
        <x:v>46022</x:v>
      </x:c>
      <x:c r="U179" s="4" t="n">
        <x:f>MATCH(J179,'Сводка'!$R$3:$R$397,0)</x:f>
        <x:v>190</x:v>
      </x:c>
      <x:c r="V179" s="4" t="n">
        <x:f>MATCH(J179-'Сводка'!$B$11,'Сводка'!$R$3:$R$397,0)</x:f>
        <x:v>189</x:v>
      </x:c>
      <x:c r="W179" s="4" t="n">
        <x:f>MATCH(T179,$J$388:$J$400,0)</x:f>
        <x:v>7</x:v>
      </x:c>
      <x:c r="X179" s="3"/>
      <x:c r="Y179" s="3"/>
      <x:c r="Z179" s="3"/>
    </x:row>
    <x:row r="180" ht="15" customHeight="1">
      <x:c r="A180" s="3"/>
      <x:c r="B180" s="3"/>
      <x:c r="C180" s="3"/>
      <x:c r="D180" s="3"/>
      <x:c r="E180" s="3"/>
      <x:c r="F180" s="3"/>
      <x:c r="G180" s="3"/>
      <x:c r="H180" s="3"/>
      <x:c r="I180" s="3"/>
      <x:c r="J180" s="10" t="n">
        <x:v>46031</x:v>
      </x:c>
      <x:c r="K180" s="8" t="n">
        <x:f>INDEX('Сводка'!$S$3:$S$397,U180)</x:f>
        <x:v>-10</x:v>
      </x:c>
      <x:c r="L180" s="8" t="n">
        <x:f>INDEX('Сводка'!$S$3:$S$397,V180)</x:f>
        <x:v>-7</x:v>
      </x:c>
      <x:c r="M180" s="8" t="n">
        <x:f>INDEX($K$388:$N$400,W180,1)+INDEX($K$388:$N$400,W180,2)*(2*(J180-$T$405)/(T180-$T$405)-1)^1+INDEX($K$388:$N$400,W180,3)*(2*(J180-$T$405)/(T180-$T$405)-1)^2+INDEX($K$388:$N$400,W180,4)*(2*(J180-$T$405)/(T180-$T$405)-1)^3+INDEX($O$388:$Z$400,W180,MONTH(J180))</x:f>
        <x:v>6.90508516992017</x:v>
      </x:c>
      <x:c r="N180" s="8" t="n">
        <x:f>K180-M180</x:f>
        <x:v>-16.90508516992017</x:v>
      </x:c>
      <x:c r="O180" s="8" t="n">
        <x:f>ABS(N180)</x:f>
        <x:v>16.90508516992017</x:v>
      </x:c>
      <x:c r="P180" s="8" t="n">
        <x:f>N180^2</x:f>
        <x:v>285.7819046022549</x:v>
      </x:c>
      <x:c r="Q180" s="8" t="n">
        <x:f>K180-L180</x:f>
        <x:v>-3</x:v>
      </x:c>
      <x:c r="R180" s="9" t="n">
        <x:f>IF(AND(INDEX('Сводка'!$T$3:$T$397,U180)=0,INDEX('Сводка'!$T$3:$T$397,V180)=0),1,0)</x:f>
        <x:v>1</x:v>
      </x:c>
      <x:c r="S180" s="9" t="n">
        <x:f>IF(AND(R180=1,O180&lt;=$G$13),1,0)</x:f>
        <x:v>0</x:v>
      </x:c>
      <x:c r="T180" s="10" t="n">
        <x:f>EOMONTH(J180-'Сводка'!$B$11,-1)</x:f>
        <x:v>46022</x:v>
      </x:c>
      <x:c r="U180" s="4" t="n">
        <x:f>MATCH(J180,'Сводка'!$R$3:$R$397,0)</x:f>
        <x:v>191</x:v>
      </x:c>
      <x:c r="V180" s="4" t="n">
        <x:f>MATCH(J180-'Сводка'!$B$11,'Сводка'!$R$3:$R$397,0)</x:f>
        <x:v>190</x:v>
      </x:c>
      <x:c r="W180" s="4" t="n">
        <x:f>MATCH(T180,$J$388:$J$400,0)</x:f>
        <x:v>7</x:v>
      </x:c>
      <x:c r="X180" s="3"/>
      <x:c r="Y180" s="3"/>
      <x:c r="Z180" s="3"/>
    </x:row>
    <x:row r="181" ht="15" customHeight="1">
      <x:c r="A181" s="3"/>
      <x:c r="B181" s="3"/>
      <x:c r="C181" s="3"/>
      <x:c r="D181" s="3"/>
      <x:c r="E181" s="3"/>
      <x:c r="F181" s="3"/>
      <x:c r="G181" s="3"/>
      <x:c r="H181" s="3"/>
      <x:c r="I181" s="3"/>
      <x:c r="J181" s="10" t="n">
        <x:v>46032</x:v>
      </x:c>
      <x:c r="K181" s="8" t="n">
        <x:f>INDEX('Сводка'!$S$3:$S$397,U181)</x:f>
        <x:v>-13</x:v>
      </x:c>
      <x:c r="L181" s="8" t="n">
        <x:f>INDEX('Сводка'!$S$3:$S$397,V181)</x:f>
        <x:v>-10</x:v>
      </x:c>
      <x:c r="M181" s="8" t="n">
        <x:f>INDEX($K$388:$N$400,W181,1)+INDEX($K$388:$N$400,W181,2)*(2*(J181-$T$405)/(T181-$T$405)-1)^1+INDEX($K$388:$N$400,W181,3)*(2*(J181-$T$405)/(T181-$T$405)-1)^2+INDEX($K$388:$N$400,W181,4)*(2*(J181-$T$405)/(T181-$T$405)-1)^3+INDEX($O$388:$Z$400,W181,MONTH(J181))</x:f>
        <x:v>6.8806565146661995</x:v>
      </x:c>
      <x:c r="N181" s="8" t="n">
        <x:f>K181-M181</x:f>
        <x:v>-19.8806565146662</x:v>
      </x:c>
      <x:c r="O181" s="8" t="n">
        <x:f>ABS(N181)</x:f>
        <x:v>19.8806565146662</x:v>
      </x:c>
      <x:c r="P181" s="8" t="n">
        <x:f>N181^2</x:f>
        <x:v>395.2405034541396</x:v>
      </x:c>
      <x:c r="Q181" s="8" t="n">
        <x:f>K181-L181</x:f>
        <x:v>-3</x:v>
      </x:c>
      <x:c r="R181" s="9" t="n">
        <x:f>IF(AND(INDEX('Сводка'!$T$3:$T$397,U181)=0,INDEX('Сводка'!$T$3:$T$397,V181)=0),1,0)</x:f>
        <x:v>1</x:v>
      </x:c>
      <x:c r="S181" s="9" t="n">
        <x:f>IF(AND(R181=1,O181&lt;=$G$13),1,0)</x:f>
        <x:v>0</x:v>
      </x:c>
      <x:c r="T181" s="10" t="n">
        <x:f>EOMONTH(J181-'Сводка'!$B$11,-1)</x:f>
        <x:v>46022</x:v>
      </x:c>
      <x:c r="U181" s="4" t="n">
        <x:f>MATCH(J181,'Сводка'!$R$3:$R$397,0)</x:f>
        <x:v>192</x:v>
      </x:c>
      <x:c r="V181" s="4" t="n">
        <x:f>MATCH(J181-'Сводка'!$B$11,'Сводка'!$R$3:$R$397,0)</x:f>
        <x:v>191</x:v>
      </x:c>
      <x:c r="W181" s="4" t="n">
        <x:f>MATCH(T181,$J$388:$J$400,0)</x:f>
        <x:v>7</x:v>
      </x:c>
      <x:c r="X181" s="3"/>
      <x:c r="Y181" s="3"/>
      <x:c r="Z181" s="3"/>
    </x:row>
    <x:row r="182" ht="15" customHeight="1">
      <x:c r="A182" s="3"/>
      <x:c r="B182" s="3"/>
      <x:c r="C182" s="3"/>
      <x:c r="D182" s="3"/>
      <x:c r="E182" s="3"/>
      <x:c r="F182" s="3"/>
      <x:c r="G182" s="3"/>
      <x:c r="H182" s="3"/>
      <x:c r="I182" s="3"/>
      <x:c r="J182" s="10" t="n">
        <x:v>46033</x:v>
      </x:c>
      <x:c r="K182" s="8" t="n">
        <x:f>INDEX('Сводка'!$S$3:$S$397,U182)</x:f>
        <x:v>-17</x:v>
      </x:c>
      <x:c r="L182" s="8" t="n">
        <x:f>INDEX('Сводка'!$S$3:$S$397,V182)</x:f>
        <x:v>-13</x:v>
      </x:c>
      <x:c r="M182" s="8" t="n">
        <x:f>INDEX($K$388:$N$400,W182,1)+INDEX($K$388:$N$400,W182,2)*(2*(J182-$T$405)/(T182-$T$405)-1)^1+INDEX($K$388:$N$400,W182,3)*(2*(J182-$T$405)/(T182-$T$405)-1)^2+INDEX($K$388:$N$400,W182,4)*(2*(J182-$T$405)/(T182-$T$405)-1)^3+INDEX($O$388:$Z$400,W182,MONTH(J182))</x:f>
        <x:v>6.856211888132506</x:v>
      </x:c>
      <x:c r="N182" s="8" t="n">
        <x:f>K182-M182</x:f>
        <x:v>-23.856211888132506</x:v>
      </x:c>
      <x:c r="O182" s="8" t="n">
        <x:f>ABS(N182)</x:f>
        <x:v>23.856211888132506</x:v>
      </x:c>
      <x:c r="P182" s="8" t="n">
        <x:f>N182^2</x:f>
        <x:v>569.1188456514748</x:v>
      </x:c>
      <x:c r="Q182" s="8" t="n">
        <x:f>K182-L182</x:f>
        <x:v>-4</x:v>
      </x:c>
      <x:c r="R182" s="9" t="n">
        <x:f>IF(AND(INDEX('Сводка'!$T$3:$T$397,U182)=0,INDEX('Сводка'!$T$3:$T$397,V182)=0),1,0)</x:f>
        <x:v>1</x:v>
      </x:c>
      <x:c r="S182" s="9" t="n">
        <x:f>IF(AND(R182=1,O182&lt;=$G$13),1,0)</x:f>
        <x:v>0</x:v>
      </x:c>
      <x:c r="T182" s="10" t="n">
        <x:f>EOMONTH(J182-'Сводка'!$B$11,-1)</x:f>
        <x:v>46022</x:v>
      </x:c>
      <x:c r="U182" s="4" t="n">
        <x:f>MATCH(J182,'Сводка'!$R$3:$R$397,0)</x:f>
        <x:v>193</x:v>
      </x:c>
      <x:c r="V182" s="4" t="n">
        <x:f>MATCH(J182-'Сводка'!$B$11,'Сводка'!$R$3:$R$397,0)</x:f>
        <x:v>192</x:v>
      </x:c>
      <x:c r="W182" s="4" t="n">
        <x:f>MATCH(T182,$J$388:$J$400,0)</x:f>
        <x:v>7</x:v>
      </x:c>
      <x:c r="X182" s="3"/>
      <x:c r="Y182" s="3"/>
      <x:c r="Z182" s="3"/>
    </x:row>
    <x:row r="183" ht="15" customHeight="1">
      <x:c r="A183" s="3"/>
      <x:c r="B183" s="3"/>
      <x:c r="C183" s="3"/>
      <x:c r="D183" s="3"/>
      <x:c r="E183" s="3"/>
      <x:c r="F183" s="3"/>
      <x:c r="G183" s="3"/>
      <x:c r="H183" s="3"/>
      <x:c r="I183" s="3"/>
      <x:c r="J183" s="10" t="n">
        <x:v>46034</x:v>
      </x:c>
      <x:c r="K183" s="8" t="n">
        <x:f>INDEX('Сводка'!$S$3:$S$397,U183)</x:f>
        <x:v>-19</x:v>
      </x:c>
      <x:c r="L183" s="8" t="n">
        <x:f>INDEX('Сводка'!$S$3:$S$397,V183)</x:f>
        <x:v>-17</x:v>
      </x:c>
      <x:c r="M183" s="8" t="n">
        <x:f>INDEX($K$388:$N$400,W183,1)+INDEX($K$388:$N$400,W183,2)*(2*(J183-$T$405)/(T183-$T$405)-1)^1+INDEX($K$388:$N$400,W183,3)*(2*(J183-$T$405)/(T183-$T$405)-1)^2+INDEX($K$388:$N$400,W183,4)*(2*(J183-$T$405)/(T183-$T$405)-1)^3+INDEX($O$388:$Z$400,W183,MONTH(J183))</x:f>
        <x:v>6.831751288109714</x:v>
      </x:c>
      <x:c r="N183" s="8" t="n">
        <x:f>K183-M183</x:f>
        <x:v>-25.831751288109714</x:v>
      </x:c>
      <x:c r="O183" s="8" t="n">
        <x:f>ABS(N183)</x:f>
        <x:v>25.831751288109714</x:v>
      </x:c>
      <x:c r="P183" s="8" t="n">
        <x:f>N183^2</x:f>
        <x:v>667.2793746107579</x:v>
      </x:c>
      <x:c r="Q183" s="8" t="n">
        <x:f>K183-L183</x:f>
        <x:v>-2</x:v>
      </x:c>
      <x:c r="R183" s="9" t="n">
        <x:f>IF(AND(INDEX('Сводка'!$T$3:$T$397,U183)=0,INDEX('Сводка'!$T$3:$T$397,V183)=0),1,0)</x:f>
        <x:v>1</x:v>
      </x:c>
      <x:c r="S183" s="9" t="n">
        <x:f>IF(AND(R183=1,O183&lt;=$G$13),1,0)</x:f>
        <x:v>0</x:v>
      </x:c>
      <x:c r="T183" s="10" t="n">
        <x:f>EOMONTH(J183-'Сводка'!$B$11,-1)</x:f>
        <x:v>46022</x:v>
      </x:c>
      <x:c r="U183" s="4" t="n">
        <x:f>MATCH(J183,'Сводка'!$R$3:$R$397,0)</x:f>
        <x:v>194</x:v>
      </x:c>
      <x:c r="V183" s="4" t="n">
        <x:f>MATCH(J183-'Сводка'!$B$11,'Сводка'!$R$3:$R$397,0)</x:f>
        <x:v>193</x:v>
      </x:c>
      <x:c r="W183" s="4" t="n">
        <x:f>MATCH(T183,$J$388:$J$400,0)</x:f>
        <x:v>7</x:v>
      </x:c>
      <x:c r="X183" s="3"/>
      <x:c r="Y183" s="3"/>
      <x:c r="Z183" s="3"/>
    </x:row>
    <x:row r="184" ht="15" customHeight="1">
      <x:c r="A184" s="3"/>
      <x:c r="B184" s="3"/>
      <x:c r="C184" s="3"/>
      <x:c r="D184" s="3"/>
      <x:c r="E184" s="3"/>
      <x:c r="F184" s="3"/>
      <x:c r="G184" s="3"/>
      <x:c r="H184" s="3"/>
      <x:c r="I184" s="3"/>
      <x:c r="J184" s="10" t="n">
        <x:v>46035</x:v>
      </x:c>
      <x:c r="K184" s="8" t="n">
        <x:f>INDEX('Сводка'!$S$3:$S$397,U184)</x:f>
        <x:v>-22</x:v>
      </x:c>
      <x:c r="L184" s="8" t="n">
        <x:f>INDEX('Сводка'!$S$3:$S$397,V184)</x:f>
        <x:v>-19</x:v>
      </x:c>
      <x:c r="M184" s="8" t="n">
        <x:f>INDEX($K$388:$N$400,W184,1)+INDEX($K$388:$N$400,W184,2)*(2*(J184-$T$405)/(T184-$T$405)-1)^1+INDEX($K$388:$N$400,W184,3)*(2*(J184-$T$405)/(T184-$T$405)-1)^2+INDEX($K$388:$N$400,W184,4)*(2*(J184-$T$405)/(T184-$T$405)-1)^3+INDEX($O$388:$Z$400,W184,MONTH(J184))</x:f>
        <x:v>6.807274712388164</x:v>
      </x:c>
      <x:c r="N184" s="8" t="n">
        <x:f>K184-M184</x:f>
        <x:v>-28.807274712388164</x:v>
      </x:c>
      <x:c r="O184" s="8" t="n">
        <x:f>ABS(N184)</x:f>
        <x:v>28.807274712388164</x:v>
      </x:c>
      <x:c r="P184" s="8" t="n">
        <x:f>N184^2</x:f>
        <x:v>829.8590763549986</x:v>
      </x:c>
      <x:c r="Q184" s="8" t="n">
        <x:f>K184-L184</x:f>
        <x:v>-3</x:v>
      </x:c>
      <x:c r="R184" s="9" t="n">
        <x:f>IF(AND(INDEX('Сводка'!$T$3:$T$397,U184)=0,INDEX('Сводка'!$T$3:$T$397,V184)=0),1,0)</x:f>
        <x:v>1</x:v>
      </x:c>
      <x:c r="S184" s="9" t="n">
        <x:f>IF(AND(R184=1,O184&lt;=$G$13),1,0)</x:f>
        <x:v>0</x:v>
      </x:c>
      <x:c r="T184" s="10" t="n">
        <x:f>EOMONTH(J184-'Сводка'!$B$11,-1)</x:f>
        <x:v>46022</x:v>
      </x:c>
      <x:c r="U184" s="4" t="n">
        <x:f>MATCH(J184,'Сводка'!$R$3:$R$397,0)</x:f>
        <x:v>195</x:v>
      </x:c>
      <x:c r="V184" s="4" t="n">
        <x:f>MATCH(J184-'Сводка'!$B$11,'Сводка'!$R$3:$R$397,0)</x:f>
        <x:v>194</x:v>
      </x:c>
      <x:c r="W184" s="4" t="n">
        <x:f>MATCH(T184,$J$388:$J$400,0)</x:f>
        <x:v>7</x:v>
      </x:c>
      <x:c r="X184" s="3"/>
      <x:c r="Y184" s="3"/>
      <x:c r="Z184" s="3"/>
    </x:row>
    <x:row r="185" ht="15" customHeight="1">
      <x:c r="A185" s="3"/>
      <x:c r="B185" s="3"/>
      <x:c r="C185" s="3"/>
      <x:c r="D185" s="3"/>
      <x:c r="E185" s="3"/>
      <x:c r="F185" s="3"/>
      <x:c r="G185" s="3"/>
      <x:c r="H185" s="3"/>
      <x:c r="I185" s="3"/>
      <x:c r="J185" s="10" t="n">
        <x:v>46036</x:v>
      </x:c>
      <x:c r="K185" s="8" t="n">
        <x:f>INDEX('Сводка'!$S$3:$S$397,U185)</x:f>
        <x:v>-25</x:v>
      </x:c>
      <x:c r="L185" s="8" t="n">
        <x:f>INDEX('Сводка'!$S$3:$S$397,V185)</x:f>
        <x:v>-22</x:v>
      </x:c>
      <x:c r="M185" s="8" t="n">
        <x:f>INDEX($K$388:$N$400,W185,1)+INDEX($K$388:$N$400,W185,2)*(2*(J185-$T$405)/(T185-$T$405)-1)^1+INDEX($K$388:$N$400,W185,3)*(2*(J185-$T$405)/(T185-$T$405)-1)^2+INDEX($K$388:$N$400,W185,4)*(2*(J185-$T$405)/(T185-$T$405)-1)^3+INDEX($O$388:$Z$400,W185,MONTH(J185))</x:f>
        <x:v>6.782782158758337</x:v>
      </x:c>
      <x:c r="N185" s="8" t="n">
        <x:f>K185-M185</x:f>
        <x:v>-31.782782158758337</x:v>
      </x:c>
      <x:c r="O185" s="8" t="n">
        <x:f>ABS(N185)</x:f>
        <x:v>31.782782158758337</x:v>
      </x:c>
      <x:c r="P185" s="8" t="n">
        <x:f>N185^2</x:f>
        <x:v>1010.1452417510873</x:v>
      </x:c>
      <x:c r="Q185" s="8" t="n">
        <x:f>K185-L185</x:f>
        <x:v>-3</x:v>
      </x:c>
      <x:c r="R185" s="9" t="n">
        <x:f>IF(AND(INDEX('Сводка'!$T$3:$T$397,U185)=0,INDEX('Сводка'!$T$3:$T$397,V185)=0),1,0)</x:f>
        <x:v>1</x:v>
      </x:c>
      <x:c r="S185" s="9" t="n">
        <x:f>IF(AND(R185=1,O185&lt;=$G$13),1,0)</x:f>
        <x:v>0</x:v>
      </x:c>
      <x:c r="T185" s="10" t="n">
        <x:f>EOMONTH(J185-'Сводка'!$B$11,-1)</x:f>
        <x:v>46022</x:v>
      </x:c>
      <x:c r="U185" s="4" t="n">
        <x:f>MATCH(J185,'Сводка'!$R$3:$R$397,0)</x:f>
        <x:v>196</x:v>
      </x:c>
      <x:c r="V185" s="4" t="n">
        <x:f>MATCH(J185-'Сводка'!$B$11,'Сводка'!$R$3:$R$397,0)</x:f>
        <x:v>195</x:v>
      </x:c>
      <x:c r="W185" s="4" t="n">
        <x:f>MATCH(T185,$J$388:$J$400,0)</x:f>
        <x:v>7</x:v>
      </x:c>
      <x:c r="X185" s="3"/>
      <x:c r="Y185" s="3"/>
      <x:c r="Z185" s="3"/>
    </x:row>
    <x:row r="186" ht="15" customHeight="1">
      <x:c r="A186" s="3"/>
      <x:c r="B186" s="3"/>
      <x:c r="C186" s="3"/>
      <x:c r="D186" s="3"/>
      <x:c r="E186" s="3"/>
      <x:c r="F186" s="3"/>
      <x:c r="G186" s="3"/>
      <x:c r="H186" s="3"/>
      <x:c r="I186" s="3"/>
      <x:c r="J186" s="10" t="n">
        <x:v>46037</x:v>
      </x:c>
      <x:c r="K186" s="8" t="n">
        <x:f>INDEX('Сводка'!$S$3:$S$397,U186)</x:f>
        <x:v>-26</x:v>
      </x:c>
      <x:c r="L186" s="8" t="n">
        <x:f>INDEX('Сводка'!$S$3:$S$397,V186)</x:f>
        <x:v>-25</x:v>
      </x:c>
      <x:c r="M186" s="8" t="n">
        <x:f>INDEX($K$388:$N$400,W186,1)+INDEX($K$388:$N$400,W186,2)*(2*(J186-$T$405)/(T186-$T$405)-1)^1+INDEX($K$388:$N$400,W186,3)*(2*(J186-$T$405)/(T186-$T$405)-1)^2+INDEX($K$388:$N$400,W186,4)*(2*(J186-$T$405)/(T186-$T$405)-1)^3+INDEX($O$388:$Z$400,W186,MONTH(J186))</x:f>
        <x:v>6.7582736250108155</x:v>
      </x:c>
      <x:c r="N186" s="8" t="n">
        <x:f>K186-M186</x:f>
        <x:v>-32.758273625010816</x:v>
      </x:c>
      <x:c r="O186" s="8" t="n">
        <x:f>ABS(N186)</x:f>
        <x:v>32.758273625010816</x:v>
      </x:c>
      <x:c r="P186" s="8" t="n">
        <x:f>N186^2</x:f>
        <x:v>1073.1044908910792</x:v>
      </x:c>
      <x:c r="Q186" s="8" t="n">
        <x:f>K186-L186</x:f>
        <x:v>-1</x:v>
      </x:c>
      <x:c r="R186" s="9" t="n">
        <x:f>IF(AND(INDEX('Сводка'!$T$3:$T$397,U186)=0,INDEX('Сводка'!$T$3:$T$397,V186)=0),1,0)</x:f>
        <x:v>1</x:v>
      </x:c>
      <x:c r="S186" s="9" t="n">
        <x:f>IF(AND(R186=1,O186&lt;=$G$13),1,0)</x:f>
        <x:v>0</x:v>
      </x:c>
      <x:c r="T186" s="10" t="n">
        <x:f>EOMONTH(J186-'Сводка'!$B$11,-1)</x:f>
        <x:v>46022</x:v>
      </x:c>
      <x:c r="U186" s="4" t="n">
        <x:f>MATCH(J186,'Сводка'!$R$3:$R$397,0)</x:f>
        <x:v>197</x:v>
      </x:c>
      <x:c r="V186" s="4" t="n">
        <x:f>MATCH(J186-'Сводка'!$B$11,'Сводка'!$R$3:$R$397,0)</x:f>
        <x:v>196</x:v>
      </x:c>
      <x:c r="W186" s="4" t="n">
        <x:f>MATCH(T186,$J$388:$J$400,0)</x:f>
        <x:v>7</x:v>
      </x:c>
      <x:c r="X186" s="3"/>
      <x:c r="Y186" s="3"/>
      <x:c r="Z186" s="3"/>
    </x:row>
    <x:row r="187" ht="15" customHeight="1">
      <x:c r="A187" s="3"/>
      <x:c r="B187" s="3"/>
      <x:c r="C187" s="3"/>
      <x:c r="D187" s="3"/>
      <x:c r="E187" s="3"/>
      <x:c r="F187" s="3"/>
      <x:c r="G187" s="3"/>
      <x:c r="H187" s="3"/>
      <x:c r="I187" s="3"/>
      <x:c r="J187" s="10" t="n">
        <x:v>46038</x:v>
      </x:c>
      <x:c r="K187" s="8" t="n">
        <x:f>INDEX('Сводка'!$S$3:$S$397,U187)</x:f>
        <x:v>-28</x:v>
      </x:c>
      <x:c r="L187" s="8" t="n">
        <x:f>INDEX('Сводка'!$S$3:$S$397,V187)</x:f>
        <x:v>-26</x:v>
      </x:c>
      <x:c r="M187" s="8" t="n">
        <x:f>INDEX($K$388:$N$400,W187,1)+INDEX($K$388:$N$400,W187,2)*(2*(J187-$T$405)/(T187-$T$405)-1)^1+INDEX($K$388:$N$400,W187,3)*(2*(J187-$T$405)/(T187-$T$405)-1)^2+INDEX($K$388:$N$400,W187,4)*(2*(J187-$T$405)/(T187-$T$405)-1)^3+INDEX($O$388:$Z$400,W187,MONTH(J187))</x:f>
        <x:v>6.7337491089359816</x:v>
      </x:c>
      <x:c r="N187" s="8" t="n">
        <x:f>K187-M187</x:f>
        <x:v>-34.73374910893598</x:v>
      </x:c>
      <x:c r="O187" s="8" t="n">
        <x:f>ABS(N187)</x:f>
        <x:v>34.73374910893598</x:v>
      </x:c>
      <x:c r="P187" s="8" t="n">
        <x:f>N187^2</x:f>
        <x:v>1206.4333271625112</x:v>
      </x:c>
      <x:c r="Q187" s="8" t="n">
        <x:f>K187-L187</x:f>
        <x:v>-2</x:v>
      </x:c>
      <x:c r="R187" s="9" t="n">
        <x:f>IF(AND(INDEX('Сводка'!$T$3:$T$397,U187)=0,INDEX('Сводка'!$T$3:$T$397,V187)=0),1,0)</x:f>
        <x:v>1</x:v>
      </x:c>
      <x:c r="S187" s="9" t="n">
        <x:f>IF(AND(R187=1,O187&lt;=$G$13),1,0)</x:f>
        <x:v>0</x:v>
      </x:c>
      <x:c r="T187" s="10" t="n">
        <x:f>EOMONTH(J187-'Сводка'!$B$11,-1)</x:f>
        <x:v>46022</x:v>
      </x:c>
      <x:c r="U187" s="4" t="n">
        <x:f>MATCH(J187,'Сводка'!$R$3:$R$397,0)</x:f>
        <x:v>198</x:v>
      </x:c>
      <x:c r="V187" s="4" t="n">
        <x:f>MATCH(J187-'Сводка'!$B$11,'Сводка'!$R$3:$R$397,0)</x:f>
        <x:v>197</x:v>
      </x:c>
      <x:c r="W187" s="4" t="n">
        <x:f>MATCH(T187,$J$388:$J$400,0)</x:f>
        <x:v>7</x:v>
      </x:c>
      <x:c r="X187" s="3"/>
      <x:c r="Y187" s="3"/>
      <x:c r="Z187" s="3"/>
    </x:row>
    <x:row r="188" ht="15" customHeight="1">
      <x:c r="A188" s="3"/>
      <x:c r="B188" s="3"/>
      <x:c r="C188" s="3"/>
      <x:c r="D188" s="3"/>
      <x:c r="E188" s="3"/>
      <x:c r="F188" s="3"/>
      <x:c r="G188" s="3"/>
      <x:c r="H188" s="3"/>
      <x:c r="I188" s="3"/>
      <x:c r="J188" s="10" t="n">
        <x:v>46039</x:v>
      </x:c>
      <x:c r="K188" s="8" t="n">
        <x:f>INDEX('Сводка'!$S$3:$S$397,U188)</x:f>
        <x:v>-29</x:v>
      </x:c>
      <x:c r="L188" s="8" t="n">
        <x:f>INDEX('Сводка'!$S$3:$S$397,V188)</x:f>
        <x:v>-28</x:v>
      </x:c>
      <x:c r="M188" s="8" t="n">
        <x:f>INDEX($K$388:$N$400,W188,1)+INDEX($K$388:$N$400,W188,2)*(2*(J188-$T$405)/(T188-$T$405)-1)^1+INDEX($K$388:$N$400,W188,3)*(2*(J188-$T$405)/(T188-$T$405)-1)^2+INDEX($K$388:$N$400,W188,4)*(2*(J188-$T$405)/(T188-$T$405)-1)^3+INDEX($O$388:$Z$400,W188,MONTH(J188))</x:f>
        <x:v>6.709208608324317</x:v>
      </x:c>
      <x:c r="N188" s="8" t="n">
        <x:f>K188-M188</x:f>
        <x:v>-35.70920860832432</x:v>
      </x:c>
      <x:c r="O188" s="8" t="n">
        <x:f>ABS(N188)</x:f>
        <x:v>35.70920860832432</x:v>
      </x:c>
      <x:c r="P188" s="8" t="n">
        <x:f>N188^2</x:f>
        <x:v>1275.1475794328235</x:v>
      </x:c>
      <x:c r="Q188" s="8" t="n">
        <x:f>K188-L188</x:f>
        <x:v>-1</x:v>
      </x:c>
      <x:c r="R188" s="9" t="n">
        <x:f>IF(AND(INDEX('Сводка'!$T$3:$T$397,U188)=0,INDEX('Сводка'!$T$3:$T$397,V188)=0),1,0)</x:f>
        <x:v>1</x:v>
      </x:c>
      <x:c r="S188" s="9" t="n">
        <x:f>IF(AND(R188=1,O188&lt;=$G$13),1,0)</x:f>
        <x:v>0</x:v>
      </x:c>
      <x:c r="T188" s="10" t="n">
        <x:f>EOMONTH(J188-'Сводка'!$B$11,-1)</x:f>
        <x:v>46022</x:v>
      </x:c>
      <x:c r="U188" s="4" t="n">
        <x:f>MATCH(J188,'Сводка'!$R$3:$R$397,0)</x:f>
        <x:v>199</x:v>
      </x:c>
      <x:c r="V188" s="4" t="n">
        <x:f>MATCH(J188-'Сводка'!$B$11,'Сводка'!$R$3:$R$397,0)</x:f>
        <x:v>198</x:v>
      </x:c>
      <x:c r="W188" s="4" t="n">
        <x:f>MATCH(T188,$J$388:$J$400,0)</x:f>
        <x:v>7</x:v>
      </x:c>
      <x:c r="X188" s="3"/>
      <x:c r="Y188" s="3"/>
      <x:c r="Z188" s="3"/>
    </x:row>
    <x:row r="189" ht="15" customHeight="1">
      <x:c r="A189" s="3"/>
      <x:c r="B189" s="3"/>
      <x:c r="C189" s="3"/>
      <x:c r="D189" s="3"/>
      <x:c r="E189" s="3"/>
      <x:c r="F189" s="3"/>
      <x:c r="G189" s="3"/>
      <x:c r="H189" s="3"/>
      <x:c r="I189" s="3"/>
      <x:c r="J189" s="10" t="n">
        <x:v>46040</x:v>
      </x:c>
      <x:c r="K189" s="8" t="n">
        <x:f>INDEX('Сводка'!$S$3:$S$397,U189)</x:f>
        <x:v>-34</x:v>
      </x:c>
      <x:c r="L189" s="8" t="n">
        <x:f>INDEX('Сводка'!$S$3:$S$397,V189)</x:f>
        <x:v>-29</x:v>
      </x:c>
      <x:c r="M189" s="8" t="n">
        <x:f>INDEX($K$388:$N$400,W189,1)+INDEX($K$388:$N$400,W189,2)*(2*(J189-$T$405)/(T189-$T$405)-1)^1+INDEX($K$388:$N$400,W189,3)*(2*(J189-$T$405)/(T189-$T$405)-1)^2+INDEX($K$388:$N$400,W189,4)*(2*(J189-$T$405)/(T189-$T$405)-1)^3+INDEX($O$388:$Z$400,W189,MONTH(J189))</x:f>
        <x:v>6.684652120966334</x:v>
      </x:c>
      <x:c r="N189" s="8" t="n">
        <x:f>K189-M189</x:f>
        <x:v>-40.684652120966334</x:v>
      </x:c>
      <x:c r="O189" s="8" t="n">
        <x:f>ABS(N189)</x:f>
        <x:v>40.684652120966334</x:v>
      </x:c>
      <x:c r="P189" s="8" t="n">
        <x:f>N189^2</x:f>
        <x:v>1655.2409182040503</x:v>
      </x:c>
      <x:c r="Q189" s="8" t="n">
        <x:f>K189-L189</x:f>
        <x:v>-5</x:v>
      </x:c>
      <x:c r="R189" s="9" t="n">
        <x:f>IF(AND(INDEX('Сводка'!$T$3:$T$397,U189)=0,INDEX('Сводка'!$T$3:$T$397,V189)=0),1,0)</x:f>
        <x:v>1</x:v>
      </x:c>
      <x:c r="S189" s="9" t="n">
        <x:f>IF(AND(R189=1,O189&lt;=$G$13),1,0)</x:f>
        <x:v>0</x:v>
      </x:c>
      <x:c r="T189" s="10" t="n">
        <x:f>EOMONTH(J189-'Сводка'!$B$11,-1)</x:f>
        <x:v>46022</x:v>
      </x:c>
      <x:c r="U189" s="4" t="n">
        <x:f>MATCH(J189,'Сводка'!$R$3:$R$397,0)</x:f>
        <x:v>200</x:v>
      </x:c>
      <x:c r="V189" s="4" t="n">
        <x:f>MATCH(J189-'Сводка'!$B$11,'Сводка'!$R$3:$R$397,0)</x:f>
        <x:v>199</x:v>
      </x:c>
      <x:c r="W189" s="4" t="n">
        <x:f>MATCH(T189,$J$388:$J$400,0)</x:f>
        <x:v>7</x:v>
      </x:c>
      <x:c r="X189" s="3"/>
      <x:c r="Y189" s="3"/>
      <x:c r="Z189" s="3"/>
    </x:row>
    <x:row r="190" ht="15" customHeight="1">
      <x:c r="A190" s="3"/>
      <x:c r="B190" s="3"/>
      <x:c r="C190" s="3"/>
      <x:c r="D190" s="3"/>
      <x:c r="E190" s="3"/>
      <x:c r="F190" s="3"/>
      <x:c r="G190" s="3"/>
      <x:c r="H190" s="3"/>
      <x:c r="I190" s="3"/>
      <x:c r="J190" s="10" t="n">
        <x:v>46041</x:v>
      </x:c>
      <x:c r="K190" s="8" t="n">
        <x:f>INDEX('Сводка'!$S$3:$S$397,U190)</x:f>
        <x:v>-34</x:v>
      </x:c>
      <x:c r="L190" s="8" t="n">
        <x:f>INDEX('Сводка'!$S$3:$S$397,V190)</x:f>
        <x:v>-34</x:v>
      </x:c>
      <x:c r="M190" s="8" t="n">
        <x:f>INDEX($K$388:$N$400,W190,1)+INDEX($K$388:$N$400,W190,2)*(2*(J190-$T$405)/(T190-$T$405)-1)^1+INDEX($K$388:$N$400,W190,3)*(2*(J190-$T$405)/(T190-$T$405)-1)^2+INDEX($K$388:$N$400,W190,4)*(2*(J190-$T$405)/(T190-$T$405)-1)^3+INDEX($O$388:$Z$400,W190,MONTH(J190))</x:f>
        <x:v>6.660079644652441</x:v>
      </x:c>
      <x:c r="N190" s="8" t="n">
        <x:f>K190-M190</x:f>
        <x:v>-40.66007964465244</x:v>
      </x:c>
      <x:c r="O190" s="8" t="n">
        <x:f>ABS(N190)</x:f>
        <x:v>40.66007964465244</x:v>
      </x:c>
      <x:c r="P190" s="8" t="n">
        <x:f>N190^2</x:f>
        <x:v>1653.2420767094798</x:v>
      </x:c>
      <x:c r="Q190" s="8" t="n">
        <x:f>K190-L190</x:f>
        <x:v>0</x:v>
      </x:c>
      <x:c r="R190" s="9" t="n">
        <x:f>IF(AND(INDEX('Сводка'!$T$3:$T$397,U190)=0,INDEX('Сводка'!$T$3:$T$397,V190)=0),1,0)</x:f>
        <x:v>1</x:v>
      </x:c>
      <x:c r="S190" s="9" t="n">
        <x:f>IF(AND(R190=1,O190&lt;=$G$13),1,0)</x:f>
        <x:v>0</x:v>
      </x:c>
      <x:c r="T190" s="10" t="n">
        <x:f>EOMONTH(J190-'Сводка'!$B$11,-1)</x:f>
        <x:v>46022</x:v>
      </x:c>
      <x:c r="U190" s="4" t="n">
        <x:f>MATCH(J190,'Сводка'!$R$3:$R$397,0)</x:f>
        <x:v>201</x:v>
      </x:c>
      <x:c r="V190" s="4" t="n">
        <x:f>MATCH(J190-'Сводка'!$B$11,'Сводка'!$R$3:$R$397,0)</x:f>
        <x:v>200</x:v>
      </x:c>
      <x:c r="W190" s="4" t="n">
        <x:f>MATCH(T190,$J$388:$J$400,0)</x:f>
        <x:v>7</x:v>
      </x:c>
      <x:c r="X190" s="3"/>
      <x:c r="Y190" s="3"/>
      <x:c r="Z190" s="3"/>
    </x:row>
    <x:row r="191" ht="15" customHeight="1">
      <x:c r="A191" s="3"/>
      <x:c r="B191" s="3"/>
      <x:c r="C191" s="3"/>
      <x:c r="D191" s="3"/>
      <x:c r="E191" s="3"/>
      <x:c r="F191" s="3"/>
      <x:c r="G191" s="3"/>
      <x:c r="H191" s="3"/>
      <x:c r="I191" s="3"/>
      <x:c r="J191" s="10" t="n">
        <x:v>46042</x:v>
      </x:c>
      <x:c r="K191" s="8" t="n">
        <x:f>INDEX('Сводка'!$S$3:$S$397,U191)</x:f>
        <x:v>-39</x:v>
      </x:c>
      <x:c r="L191" s="8" t="n">
        <x:f>INDEX('Сводка'!$S$3:$S$397,V191)</x:f>
        <x:v>-34</x:v>
      </x:c>
      <x:c r="M191" s="8" t="n">
        <x:f>INDEX($K$388:$N$400,W191,1)+INDEX($K$388:$N$400,W191,2)*(2*(J191-$T$405)/(T191-$T$405)-1)^1+INDEX($K$388:$N$400,W191,3)*(2*(J191-$T$405)/(T191-$T$405)-1)^2+INDEX($K$388:$N$400,W191,4)*(2*(J191-$T$405)/(T191-$T$405)-1)^3+INDEX($O$388:$Z$400,W191,MONTH(J191))</x:f>
        <x:v>6.635491177173208</x:v>
      </x:c>
      <x:c r="N191" s="8" t="n">
        <x:f>K191-M191</x:f>
        <x:v>-45.63549117717321</x:v>
      </x:c>
      <x:c r="O191" s="8" t="n">
        <x:f>ABS(N191)</x:f>
        <x:v>45.63549117717321</x:v>
      </x:c>
      <x:c r="P191" s="8" t="n">
        <x:f>N191^2</x:f>
        <x:v>2082.5980549818537</x:v>
      </x:c>
      <x:c r="Q191" s="8" t="n">
        <x:f>K191-L191</x:f>
        <x:v>-5</x:v>
      </x:c>
      <x:c r="R191" s="9" t="n">
        <x:f>IF(AND(INDEX('Сводка'!$T$3:$T$397,U191)=0,INDEX('Сводка'!$T$3:$T$397,V191)=0),1,0)</x:f>
        <x:v>1</x:v>
      </x:c>
      <x:c r="S191" s="9" t="n">
        <x:f>IF(AND(R191=1,O191&lt;=$G$13),1,0)</x:f>
        <x:v>0</x:v>
      </x:c>
      <x:c r="T191" s="10" t="n">
        <x:f>EOMONTH(J191-'Сводка'!$B$11,-1)</x:f>
        <x:v>46022</x:v>
      </x:c>
      <x:c r="U191" s="4" t="n">
        <x:f>MATCH(J191,'Сводка'!$R$3:$R$397,0)</x:f>
        <x:v>202</x:v>
      </x:c>
      <x:c r="V191" s="4" t="n">
        <x:f>MATCH(J191-'Сводка'!$B$11,'Сводка'!$R$3:$R$397,0)</x:f>
        <x:v>201</x:v>
      </x:c>
      <x:c r="W191" s="4" t="n">
        <x:f>MATCH(T191,$J$388:$J$400,0)</x:f>
        <x:v>7</x:v>
      </x:c>
      <x:c r="X191" s="3"/>
      <x:c r="Y191" s="3"/>
      <x:c r="Z191" s="3"/>
    </x:row>
    <x:row r="192" ht="15" customHeight="1">
      <x:c r="A192" s="3"/>
      <x:c r="B192" s="3"/>
      <x:c r="C192" s="3"/>
      <x:c r="D192" s="3"/>
      <x:c r="E192" s="3"/>
      <x:c r="F192" s="3"/>
      <x:c r="G192" s="3"/>
      <x:c r="H192" s="3"/>
      <x:c r="I192" s="3"/>
      <x:c r="J192" s="10" t="n">
        <x:v>46043</x:v>
      </x:c>
      <x:c r="K192" s="8" t="n">
        <x:f>INDEX('Сводка'!$S$3:$S$397,U192)</x:f>
        <x:v>-41</x:v>
      </x:c>
      <x:c r="L192" s="8" t="n">
        <x:f>INDEX('Сводка'!$S$3:$S$397,V192)</x:f>
        <x:v>-39</x:v>
      </x:c>
      <x:c r="M192" s="8" t="n">
        <x:f>INDEX($K$388:$N$400,W192,1)+INDEX($K$388:$N$400,W192,2)*(2*(J192-$T$405)/(T192-$T$405)-1)^1+INDEX($K$388:$N$400,W192,3)*(2*(J192-$T$405)/(T192-$T$405)-1)^2+INDEX($K$388:$N$400,W192,4)*(2*(J192-$T$405)/(T192-$T$405)-1)^3+INDEX($O$388:$Z$400,W192,MONTH(J192))</x:f>
        <x:v>6.610886716318973</x:v>
      </x:c>
      <x:c r="N192" s="8" t="n">
        <x:f>K192-M192</x:f>
        <x:v>-47.61088671631897</x:v>
      </x:c>
      <x:c r="O192" s="8" t="n">
        <x:f>ABS(N192)</x:f>
        <x:v>47.61088671631897</x:v>
      </x:c>
      <x:c r="P192" s="8" t="n">
        <x:f>N192^2</x:f>
        <x:v>2266.7965339141583</x:v>
      </x:c>
      <x:c r="Q192" s="8" t="n">
        <x:f>K192-L192</x:f>
        <x:v>-2</x:v>
      </x:c>
      <x:c r="R192" s="9" t="n">
        <x:f>IF(AND(INDEX('Сводка'!$T$3:$T$397,U192)=0,INDEX('Сводка'!$T$3:$T$397,V192)=0),1,0)</x:f>
        <x:v>1</x:v>
      </x:c>
      <x:c r="S192" s="9" t="n">
        <x:f>IF(AND(R192=1,O192&lt;=$G$13),1,0)</x:f>
        <x:v>0</x:v>
      </x:c>
      <x:c r="T192" s="10" t="n">
        <x:f>EOMONTH(J192-'Сводка'!$B$11,-1)</x:f>
        <x:v>46022</x:v>
      </x:c>
      <x:c r="U192" s="4" t="n">
        <x:f>MATCH(J192,'Сводка'!$R$3:$R$397,0)</x:f>
        <x:v>203</x:v>
      </x:c>
      <x:c r="V192" s="4" t="n">
        <x:f>MATCH(J192-'Сводка'!$B$11,'Сводка'!$R$3:$R$397,0)</x:f>
        <x:v>202</x:v>
      </x:c>
      <x:c r="W192" s="4" t="n">
        <x:f>MATCH(T192,$J$388:$J$400,0)</x:f>
        <x:v>7</x:v>
      </x:c>
      <x:c r="X192" s="3"/>
      <x:c r="Y192" s="3"/>
      <x:c r="Z192" s="3"/>
    </x:row>
    <x:row r="193" ht="15" customHeight="1">
      <x:c r="A193" s="3"/>
      <x:c r="B193" s="3"/>
      <x:c r="C193" s="3"/>
      <x:c r="D193" s="3"/>
      <x:c r="E193" s="3"/>
      <x:c r="F193" s="3"/>
      <x:c r="G193" s="3"/>
      <x:c r="H193" s="3"/>
      <x:c r="I193" s="3"/>
      <x:c r="J193" s="10" t="n">
        <x:v>46044</x:v>
      </x:c>
      <x:c r="K193" s="8" t="n">
        <x:f>INDEX('Сводка'!$S$3:$S$397,U193)</x:f>
        <x:v>-41</x:v>
      </x:c>
      <x:c r="L193" s="8" t="n">
        <x:f>INDEX('Сводка'!$S$3:$S$397,V193)</x:f>
        <x:v>-41</x:v>
      </x:c>
      <x:c r="M193" s="8" t="n">
        <x:f>INDEX($K$388:$N$400,W193,1)+INDEX($K$388:$N$400,W193,2)*(2*(J193-$T$405)/(T193-$T$405)-1)^1+INDEX($K$388:$N$400,W193,3)*(2*(J193-$T$405)/(T193-$T$405)-1)^2+INDEX($K$388:$N$400,W193,4)*(2*(J193-$T$405)/(T193-$T$405)-1)^3+INDEX($O$388:$Z$400,W193,MONTH(J193))</x:f>
        <x:v>6.586266259880304</x:v>
      </x:c>
      <x:c r="N193" s="8" t="n">
        <x:f>K193-M193</x:f>
        <x:v>-47.586266259880304</x:v>
      </x:c>
      <x:c r="O193" s="8" t="n">
        <x:f>ABS(N193)</x:f>
        <x:v>47.586266259880304</x:v>
      </x:c>
      <x:c r="P193" s="8" t="n">
        <x:f>N193^2</x:f>
        <x:v>2264.4527365562226</x:v>
      </x:c>
      <x:c r="Q193" s="8" t="n">
        <x:f>K193-L193</x:f>
        <x:v>0</x:v>
      </x:c>
      <x:c r="R193" s="9" t="n">
        <x:f>IF(AND(INDEX('Сводка'!$T$3:$T$397,U193)=0,INDEX('Сводка'!$T$3:$T$397,V193)=0),1,0)</x:f>
        <x:v>1</x:v>
      </x:c>
      <x:c r="S193" s="9" t="n">
        <x:f>IF(AND(R193=1,O193&lt;=$G$13),1,0)</x:f>
        <x:v>0</x:v>
      </x:c>
      <x:c r="T193" s="10" t="n">
        <x:f>EOMONTH(J193-'Сводка'!$B$11,-1)</x:f>
        <x:v>46022</x:v>
      </x:c>
      <x:c r="U193" s="4" t="n">
        <x:f>MATCH(J193,'Сводка'!$R$3:$R$397,0)</x:f>
        <x:v>204</x:v>
      </x:c>
      <x:c r="V193" s="4" t="n">
        <x:f>MATCH(J193-'Сводка'!$B$11,'Сводка'!$R$3:$R$397,0)</x:f>
        <x:v>203</x:v>
      </x:c>
      <x:c r="W193" s="4" t="n">
        <x:f>MATCH(T193,$J$388:$J$400,0)</x:f>
        <x:v>7</x:v>
      </x:c>
      <x:c r="X193" s="3"/>
      <x:c r="Y193" s="3"/>
      <x:c r="Z193" s="3"/>
    </x:row>
    <x:row r="194" ht="15" customHeight="1">
      <x:c r="A194" s="3"/>
      <x:c r="B194" s="3"/>
      <x:c r="C194" s="3"/>
      <x:c r="D194" s="3"/>
      <x:c r="E194" s="3"/>
      <x:c r="F194" s="3"/>
      <x:c r="G194" s="3"/>
      <x:c r="H194" s="3"/>
      <x:c r="I194" s="3"/>
      <x:c r="J194" s="10" t="n">
        <x:v>46045</x:v>
      </x:c>
      <x:c r="K194" s="8" t="n">
        <x:f>INDEX('Сводка'!$S$3:$S$397,U194)</x:f>
        <x:v>-37</x:v>
      </x:c>
      <x:c r="L194" s="8" t="n">
        <x:f>INDEX('Сводка'!$S$3:$S$397,V194)</x:f>
        <x:v>-41</x:v>
      </x:c>
      <x:c r="M194" s="8" t="n">
        <x:f>INDEX($K$388:$N$400,W194,1)+INDEX($K$388:$N$400,W194,2)*(2*(J194-$T$405)/(T194-$T$405)-1)^1+INDEX($K$388:$N$400,W194,3)*(2*(J194-$T$405)/(T194-$T$405)-1)^2+INDEX($K$388:$N$400,W194,4)*(2*(J194-$T$405)/(T194-$T$405)-1)^3+INDEX($O$388:$Z$400,W194,MONTH(J194))</x:f>
        <x:v>6.561629805647655</x:v>
      </x:c>
      <x:c r="N194" s="8" t="n">
        <x:f>K194-M194</x:f>
        <x:v>-43.561629805647655</x:v>
      </x:c>
      <x:c r="O194" s="8" t="n">
        <x:f>ABS(N194)</x:f>
        <x:v>43.561629805647655</x:v>
      </x:c>
      <x:c r="P194" s="8" t="n">
        <x:f>N194^2</x:f>
        <x:v>1897.61559132429</x:v>
      </x:c>
      <x:c r="Q194" s="8" t="n">
        <x:f>K194-L194</x:f>
        <x:v>4</x:v>
      </x:c>
      <x:c r="R194" s="9" t="n">
        <x:f>IF(AND(INDEX('Сводка'!$T$3:$T$397,U194)=0,INDEX('Сводка'!$T$3:$T$397,V194)=0),1,0)</x:f>
        <x:v>1</x:v>
      </x:c>
      <x:c r="S194" s="9" t="n">
        <x:f>IF(AND(R194=1,O194&lt;=$G$13),1,0)</x:f>
        <x:v>0</x:v>
      </x:c>
      <x:c r="T194" s="10" t="n">
        <x:f>EOMONTH(J194-'Сводка'!$B$11,-1)</x:f>
        <x:v>46022</x:v>
      </x:c>
      <x:c r="U194" s="4" t="n">
        <x:f>MATCH(J194,'Сводка'!$R$3:$R$397,0)</x:f>
        <x:v>205</x:v>
      </x:c>
      <x:c r="V194" s="4" t="n">
        <x:f>MATCH(J194-'Сводка'!$B$11,'Сводка'!$R$3:$R$397,0)</x:f>
        <x:v>204</x:v>
      </x:c>
      <x:c r="W194" s="4" t="n">
        <x:f>MATCH(T194,$J$388:$J$400,0)</x:f>
        <x:v>7</x:v>
      </x:c>
      <x:c r="X194" s="3"/>
      <x:c r="Y194" s="3"/>
      <x:c r="Z194" s="3"/>
    </x:row>
    <x:row r="195" ht="15" customHeight="1">
      <x:c r="A195" s="3"/>
      <x:c r="B195" s="3"/>
      <x:c r="C195" s="3"/>
      <x:c r="D195" s="3"/>
      <x:c r="E195" s="3"/>
      <x:c r="F195" s="3"/>
      <x:c r="G195" s="3"/>
      <x:c r="H195" s="3"/>
      <x:c r="I195" s="3"/>
      <x:c r="J195" s="10" t="n">
        <x:v>46046</x:v>
      </x:c>
      <x:c r="K195" s="8" t="n">
        <x:f>INDEX('Сводка'!$S$3:$S$397,U195)</x:f>
        <x:v>-39</x:v>
      </x:c>
      <x:c r="L195" s="8" t="n">
        <x:f>INDEX('Сводка'!$S$3:$S$397,V195)</x:f>
        <x:v>-37</x:v>
      </x:c>
      <x:c r="M195" s="8" t="n">
        <x:f>INDEX($K$388:$N$400,W195,1)+INDEX($K$388:$N$400,W195,2)*(2*(J195-$T$405)/(T195-$T$405)-1)^1+INDEX($K$388:$N$400,W195,3)*(2*(J195-$T$405)/(T195-$T$405)-1)^2+INDEX($K$388:$N$400,W195,4)*(2*(J195-$T$405)/(T195-$T$405)-1)^3+INDEX($O$388:$Z$400,W195,MONTH(J195))</x:f>
        <x:v>6.536977351411551</x:v>
      </x:c>
      <x:c r="N195" s="8" t="n">
        <x:f>K195-M195</x:f>
        <x:v>-45.53697735141155</x:v>
      </x:c>
      <x:c r="O195" s="8" t="n">
        <x:f>ABS(N195)</x:f>
        <x:v>45.53697735141155</x:v>
      </x:c>
      <x:c r="P195" s="8" t="n">
        <x:f>N195^2</x:f>
        <x:v>2073.6163063029685</x:v>
      </x:c>
      <x:c r="Q195" s="8" t="n">
        <x:f>K195-L195</x:f>
        <x:v>-2</x:v>
      </x:c>
      <x:c r="R195" s="9" t="n">
        <x:f>IF(AND(INDEX('Сводка'!$T$3:$T$397,U195)=0,INDEX('Сводка'!$T$3:$T$397,V195)=0),1,0)</x:f>
        <x:v>1</x:v>
      </x:c>
      <x:c r="S195" s="9" t="n">
        <x:f>IF(AND(R195=1,O195&lt;=$G$13),1,0)</x:f>
        <x:v>0</x:v>
      </x:c>
      <x:c r="T195" s="10" t="n">
        <x:f>EOMONTH(J195-'Сводка'!$B$11,-1)</x:f>
        <x:v>46022</x:v>
      </x:c>
      <x:c r="U195" s="4" t="n">
        <x:f>MATCH(J195,'Сводка'!$R$3:$R$397,0)</x:f>
        <x:v>206</x:v>
      </x:c>
      <x:c r="V195" s="4" t="n">
        <x:f>MATCH(J195-'Сводка'!$B$11,'Сводка'!$R$3:$R$397,0)</x:f>
        <x:v>205</x:v>
      </x:c>
      <x:c r="W195" s="4" t="n">
        <x:f>MATCH(T195,$J$388:$J$400,0)</x:f>
        <x:v>7</x:v>
      </x:c>
      <x:c r="X195" s="3"/>
      <x:c r="Y195" s="3"/>
      <x:c r="Z195" s="3"/>
    </x:row>
    <x:row r="196" ht="15" customHeight="1">
      <x:c r="A196" s="3"/>
      <x:c r="B196" s="3"/>
      <x:c r="C196" s="3"/>
      <x:c r="D196" s="3"/>
      <x:c r="E196" s="3"/>
      <x:c r="F196" s="3"/>
      <x:c r="G196" s="3"/>
      <x:c r="H196" s="3"/>
      <x:c r="I196" s="3"/>
      <x:c r="J196" s="10" t="n">
        <x:v>46047</x:v>
      </x:c>
      <x:c r="K196" s="8" t="n">
        <x:f>INDEX('Сводка'!$S$3:$S$397,U196)</x:f>
        <x:v>-36</x:v>
      </x:c>
      <x:c r="L196" s="8" t="n">
        <x:f>INDEX('Сводка'!$S$3:$S$397,V196)</x:f>
        <x:v>-39</x:v>
      </x:c>
      <x:c r="M196" s="8" t="n">
        <x:f>INDEX($K$388:$N$400,W196,1)+INDEX($K$388:$N$400,W196,2)*(2*(J196-$T$405)/(T196-$T$405)-1)^1+INDEX($K$388:$N$400,W196,3)*(2*(J196-$T$405)/(T196-$T$405)-1)^2+INDEX($K$388:$N$400,W196,4)*(2*(J196-$T$405)/(T196-$T$405)-1)^3+INDEX($O$388:$Z$400,W196,MONTH(J196))</x:f>
        <x:v>6.512308894962402</x:v>
      </x:c>
      <x:c r="N196" s="8" t="n">
        <x:f>K196-M196</x:f>
        <x:v>-42.5123088949624</x:v>
      </x:c>
      <x:c r="O196" s="8" t="n">
        <x:f>ABS(N196)</x:f>
        <x:v>42.5123088949624</x:v>
      </x:c>
      <x:c r="P196" s="8" t="n">
        <x:f>N196^2</x:f>
        <x:v>1807.2964075806995</x:v>
      </x:c>
      <x:c r="Q196" s="8" t="n">
        <x:f>K196-L196</x:f>
        <x:v>3</x:v>
      </x:c>
      <x:c r="R196" s="9" t="n">
        <x:f>IF(AND(INDEX('Сводка'!$T$3:$T$397,U196)=0,INDEX('Сводка'!$T$3:$T$397,V196)=0),1,0)</x:f>
        <x:v>1</x:v>
      </x:c>
      <x:c r="S196" s="9" t="n">
        <x:f>IF(AND(R196=1,O196&lt;=$G$13),1,0)</x:f>
        <x:v>0</x:v>
      </x:c>
      <x:c r="T196" s="10" t="n">
        <x:f>EOMONTH(J196-'Сводка'!$B$11,-1)</x:f>
        <x:v>46022</x:v>
      </x:c>
      <x:c r="U196" s="4" t="n">
        <x:f>MATCH(J196,'Сводка'!$R$3:$R$397,0)</x:f>
        <x:v>207</x:v>
      </x:c>
      <x:c r="V196" s="4" t="n">
        <x:f>MATCH(J196-'Сводка'!$B$11,'Сводка'!$R$3:$R$397,0)</x:f>
        <x:v>206</x:v>
      </x:c>
      <x:c r="W196" s="4" t="n">
        <x:f>MATCH(T196,$J$388:$J$400,0)</x:f>
        <x:v>7</x:v>
      </x:c>
      <x:c r="X196" s="3"/>
      <x:c r="Y196" s="3"/>
      <x:c r="Z196" s="3"/>
    </x:row>
    <x:row r="197" ht="15" customHeight="1">
      <x:c r="A197" s="3"/>
      <x:c r="B197" s="3"/>
      <x:c r="C197" s="3"/>
      <x:c r="D197" s="3"/>
      <x:c r="E197" s="3"/>
      <x:c r="F197" s="3"/>
      <x:c r="G197" s="3"/>
      <x:c r="H197" s="3"/>
      <x:c r="I197" s="3"/>
      <x:c r="J197" s="10" t="n">
        <x:v>46048</x:v>
      </x:c>
      <x:c r="K197" s="8" t="n">
        <x:f>INDEX('Сводка'!$S$3:$S$397,U197)</x:f>
        <x:v>-36</x:v>
      </x:c>
      <x:c r="L197" s="8" t="n">
        <x:f>INDEX('Сводка'!$S$3:$S$397,V197)</x:f>
        <x:v>-36</x:v>
      </x:c>
      <x:c r="M197" s="8" t="n">
        <x:f>INDEX($K$388:$N$400,W197,1)+INDEX($K$388:$N$400,W197,2)*(2*(J197-$T$405)/(T197-$T$405)-1)^1+INDEX($K$388:$N$400,W197,3)*(2*(J197-$T$405)/(T197-$T$405)-1)^2+INDEX($K$388:$N$400,W197,4)*(2*(J197-$T$405)/(T197-$T$405)-1)^3+INDEX($O$388:$Z$400,W197,MONTH(J197))</x:f>
        <x:v>6.487624434090591</x:v>
      </x:c>
      <x:c r="N197" s="8" t="n">
        <x:f>K197-M197</x:f>
        <x:v>-42.48762443409059</x:v>
      </x:c>
      <x:c r="O197" s="8" t="n">
        <x:f>ABS(N197)</x:f>
        <x:v>42.48762443409059</x:v>
      </x:c>
      <x:c r="P197" s="8" t="n">
        <x:f>N197^2</x:f>
        <x:v>1805.1982300523318</x:v>
      </x:c>
      <x:c r="Q197" s="8" t="n">
        <x:f>K197-L197</x:f>
        <x:v>0</x:v>
      </x:c>
      <x:c r="R197" s="9" t="n">
        <x:f>IF(AND(INDEX('Сводка'!$T$3:$T$397,U197)=0,INDEX('Сводка'!$T$3:$T$397,V197)=0),1,0)</x:f>
        <x:v>1</x:v>
      </x:c>
      <x:c r="S197" s="9" t="n">
        <x:f>IF(AND(R197=1,O197&lt;=$G$13),1,0)</x:f>
        <x:v>0</x:v>
      </x:c>
      <x:c r="T197" s="10" t="n">
        <x:f>EOMONTH(J197-'Сводка'!$B$11,-1)</x:f>
        <x:v>46022</x:v>
      </x:c>
      <x:c r="U197" s="4" t="n">
        <x:f>MATCH(J197,'Сводка'!$R$3:$R$397,0)</x:f>
        <x:v>208</x:v>
      </x:c>
      <x:c r="V197" s="4" t="n">
        <x:f>MATCH(J197-'Сводка'!$B$11,'Сводка'!$R$3:$R$397,0)</x:f>
        <x:v>207</x:v>
      </x:c>
      <x:c r="W197" s="4" t="n">
        <x:f>MATCH(T197,$J$388:$J$400,0)</x:f>
        <x:v>7</x:v>
      </x:c>
      <x:c r="X197" s="3"/>
      <x:c r="Y197" s="3"/>
      <x:c r="Z197" s="3"/>
    </x:row>
    <x:row r="198" ht="15" customHeight="1">
      <x:c r="A198" s="3"/>
      <x:c r="B198" s="3"/>
      <x:c r="C198" s="3"/>
      <x:c r="D198" s="3"/>
      <x:c r="E198" s="3"/>
      <x:c r="F198" s="3"/>
      <x:c r="G198" s="3"/>
      <x:c r="H198" s="3"/>
      <x:c r="I198" s="3"/>
      <x:c r="J198" s="10" t="n">
        <x:v>46049</x:v>
      </x:c>
      <x:c r="K198" s="8" t="n">
        <x:f>INDEX('Сводка'!$S$3:$S$397,U198)</x:f>
        <x:v>-38</x:v>
      </x:c>
      <x:c r="L198" s="8" t="n">
        <x:f>INDEX('Сводка'!$S$3:$S$397,V198)</x:f>
        <x:v>-36</x:v>
      </x:c>
      <x:c r="M198" s="8" t="n">
        <x:f>INDEX($K$388:$N$400,W198,1)+INDEX($K$388:$N$400,W198,2)*(2*(J198-$T$405)/(T198-$T$405)-1)^1+INDEX($K$388:$N$400,W198,3)*(2*(J198-$T$405)/(T198-$T$405)-1)^2+INDEX($K$388:$N$400,W198,4)*(2*(J198-$T$405)/(T198-$T$405)-1)^3+INDEX($O$388:$Z$400,W198,MONTH(J198))</x:f>
        <x:v>6.462923966586757</x:v>
      </x:c>
      <x:c r="N198" s="8" t="n">
        <x:f>K198-M198</x:f>
        <x:v>-44.46292396658676</x:v>
      </x:c>
      <x:c r="O198" s="8" t="n">
        <x:f>ABS(N198)</x:f>
        <x:v>44.46292396658676</x:v>
      </x:c>
      <x:c r="P198" s="8" t="n">
        <x:f>N198^2</x:f>
        <x:v>1976.951607658475</x:v>
      </x:c>
      <x:c r="Q198" s="8" t="n">
        <x:f>K198-L198</x:f>
        <x:v>-2</x:v>
      </x:c>
      <x:c r="R198" s="9" t="n">
        <x:f>IF(AND(INDEX('Сводка'!$T$3:$T$397,U198)=0,INDEX('Сводка'!$T$3:$T$397,V198)=0),1,0)</x:f>
        <x:v>1</x:v>
      </x:c>
      <x:c r="S198" s="9" t="n">
        <x:f>IF(AND(R198=1,O198&lt;=$G$13),1,0)</x:f>
        <x:v>0</x:v>
      </x:c>
      <x:c r="T198" s="10" t="n">
        <x:f>EOMONTH(J198-'Сводка'!$B$11,-1)</x:f>
        <x:v>46022</x:v>
      </x:c>
      <x:c r="U198" s="4" t="n">
        <x:f>MATCH(J198,'Сводка'!$R$3:$R$397,0)</x:f>
        <x:v>209</x:v>
      </x:c>
      <x:c r="V198" s="4" t="n">
        <x:f>MATCH(J198-'Сводка'!$B$11,'Сводка'!$R$3:$R$397,0)</x:f>
        <x:v>208</x:v>
      </x:c>
      <x:c r="W198" s="4" t="n">
        <x:f>MATCH(T198,$J$388:$J$400,0)</x:f>
        <x:v>7</x:v>
      </x:c>
      <x:c r="X198" s="3"/>
      <x:c r="Y198" s="3"/>
      <x:c r="Z198" s="3"/>
    </x:row>
    <x:row r="199" ht="15" customHeight="1">
      <x:c r="A199" s="3"/>
      <x:c r="B199" s="3"/>
      <x:c r="C199" s="3"/>
      <x:c r="D199" s="3"/>
      <x:c r="E199" s="3"/>
      <x:c r="F199" s="3"/>
      <x:c r="G199" s="3"/>
      <x:c r="H199" s="3"/>
      <x:c r="I199" s="3"/>
      <x:c r="J199" s="10" t="n">
        <x:v>46050</x:v>
      </x:c>
      <x:c r="K199" s="8" t="n">
        <x:f>INDEX('Сводка'!$S$3:$S$397,U199)</x:f>
        <x:v>-33</x:v>
      </x:c>
      <x:c r="L199" s="8" t="n">
        <x:f>INDEX('Сводка'!$S$3:$S$397,V199)</x:f>
        <x:v>-38</x:v>
      </x:c>
      <x:c r="M199" s="8" t="n">
        <x:f>INDEX($K$388:$N$400,W199,1)+INDEX($K$388:$N$400,W199,2)*(2*(J199-$T$405)/(T199-$T$405)-1)^1+INDEX($K$388:$N$400,W199,3)*(2*(J199-$T$405)/(T199-$T$405)-1)^2+INDEX($K$388:$N$400,W199,4)*(2*(J199-$T$405)/(T199-$T$405)-1)^3+INDEX($O$388:$Z$400,W199,MONTH(J199))</x:f>
        <x:v>6.438207490241297</x:v>
      </x:c>
      <x:c r="N199" s="8" t="n">
        <x:f>K199-M199</x:f>
        <x:v>-39.4382074902413</x:v>
      </x:c>
      <x:c r="O199" s="8" t="n">
        <x:f>ABS(N199)</x:f>
        <x:v>39.4382074902413</x:v>
      </x:c>
      <x:c r="P199" s="8" t="n">
        <x:f>N199^2</x:f>
        <x:v>1555.3722100433247</x:v>
      </x:c>
      <x:c r="Q199" s="8" t="n">
        <x:f>K199-L199</x:f>
        <x:v>5</x:v>
      </x:c>
      <x:c r="R199" s="9" t="n">
        <x:f>IF(AND(INDEX('Сводка'!$T$3:$T$397,U199)=0,INDEX('Сводка'!$T$3:$T$397,V199)=0),1,0)</x:f>
        <x:v>1</x:v>
      </x:c>
      <x:c r="S199" s="9" t="n">
        <x:f>IF(AND(R199=1,O199&lt;=$G$13),1,0)</x:f>
        <x:v>0</x:v>
      </x:c>
      <x:c r="T199" s="10" t="n">
        <x:f>EOMONTH(J199-'Сводка'!$B$11,-1)</x:f>
        <x:v>46022</x:v>
      </x:c>
      <x:c r="U199" s="4" t="n">
        <x:f>MATCH(J199,'Сводка'!$R$3:$R$397,0)</x:f>
        <x:v>210</x:v>
      </x:c>
      <x:c r="V199" s="4" t="n">
        <x:f>MATCH(J199-'Сводка'!$B$11,'Сводка'!$R$3:$R$397,0)</x:f>
        <x:v>209</x:v>
      </x:c>
      <x:c r="W199" s="4" t="n">
        <x:f>MATCH(T199,$J$388:$J$400,0)</x:f>
        <x:v>7</x:v>
      </x:c>
      <x:c r="X199" s="3"/>
      <x:c r="Y199" s="3"/>
      <x:c r="Z199" s="3"/>
    </x:row>
    <x:row r="200" ht="15" customHeight="1">
      <x:c r="A200" s="3"/>
      <x:c r="B200" s="3"/>
      <x:c r="C200" s="3"/>
      <x:c r="D200" s="3"/>
      <x:c r="E200" s="3"/>
      <x:c r="F200" s="3"/>
      <x:c r="G200" s="3"/>
      <x:c r="H200" s="3"/>
      <x:c r="I200" s="3"/>
      <x:c r="J200" s="10" t="n">
        <x:v>46051</x:v>
      </x:c>
      <x:c r="K200" s="8" t="n">
        <x:f>INDEX('Сводка'!$S$3:$S$397,U200)</x:f>
        <x:v>-33</x:v>
      </x:c>
      <x:c r="L200" s="8" t="n">
        <x:f>INDEX('Сводка'!$S$3:$S$397,V200)</x:f>
        <x:v>-33</x:v>
      </x:c>
      <x:c r="M200" s="8" t="n">
        <x:f>INDEX($K$388:$N$400,W200,1)+INDEX($K$388:$N$400,W200,2)*(2*(J200-$T$405)/(T200-$T$405)-1)^1+INDEX($K$388:$N$400,W200,3)*(2*(J200-$T$405)/(T200-$T$405)-1)^2+INDEX($K$388:$N$400,W200,4)*(2*(J200-$T$405)/(T200-$T$405)-1)^3+INDEX($O$388:$Z$400,W200,MONTH(J200))</x:f>
        <x:v>6.41347500284472</x:v>
      </x:c>
      <x:c r="N200" s="8" t="n">
        <x:f>K200-M200</x:f>
        <x:v>-39.41347500284472</x:v>
      </x:c>
      <x:c r="O200" s="8" t="n">
        <x:f>ABS(N200)</x:f>
        <x:v>39.41347500284472</x:v>
      </x:c>
      <x:c r="P200" s="8" t="n">
        <x:f>N200^2</x:f>
        <x:v>1553.4220117998657</x:v>
      </x:c>
      <x:c r="Q200" s="8" t="n">
        <x:f>K200-L200</x:f>
        <x:v>0</x:v>
      </x:c>
      <x:c r="R200" s="9" t="n">
        <x:f>IF(AND(INDEX('Сводка'!$T$3:$T$397,U200)=0,INDEX('Сводка'!$T$3:$T$397,V200)=0),1,0)</x:f>
        <x:v>1</x:v>
      </x:c>
      <x:c r="S200" s="9" t="n">
        <x:f>IF(AND(R200=1,O200&lt;=$G$13),1,0)</x:f>
        <x:v>0</x:v>
      </x:c>
      <x:c r="T200" s="10" t="n">
        <x:f>EOMONTH(J200-'Сводка'!$B$11,-1)</x:f>
        <x:v>46022</x:v>
      </x:c>
      <x:c r="U200" s="4" t="n">
        <x:f>MATCH(J200,'Сводка'!$R$3:$R$397,0)</x:f>
        <x:v>211</x:v>
      </x:c>
      <x:c r="V200" s="4" t="n">
        <x:f>MATCH(J200-'Сводка'!$B$11,'Сводка'!$R$3:$R$397,0)</x:f>
        <x:v>210</x:v>
      </x:c>
      <x:c r="W200" s="4" t="n">
        <x:f>MATCH(T200,$J$388:$J$400,0)</x:f>
        <x:v>7</x:v>
      </x:c>
      <x:c r="X200" s="3"/>
      <x:c r="Y200" s="3"/>
      <x:c r="Z200" s="3"/>
    </x:row>
    <x:row r="201" ht="15" customHeight="1">
      <x:c r="A201" s="3"/>
      <x:c r="B201" s="3"/>
      <x:c r="C201" s="3"/>
      <x:c r="D201" s="3"/>
      <x:c r="E201" s="3"/>
      <x:c r="F201" s="3"/>
      <x:c r="G201" s="3"/>
      <x:c r="H201" s="3"/>
      <x:c r="I201" s="3"/>
      <x:c r="J201" s="10" t="n">
        <x:v>46052</x:v>
      </x:c>
      <x:c r="K201" s="8" t="n">
        <x:f>INDEX('Сводка'!$S$3:$S$397,U201)</x:f>
        <x:v>-36</x:v>
      </x:c>
      <x:c r="L201" s="8" t="n">
        <x:f>INDEX('Сводка'!$S$3:$S$397,V201)</x:f>
        <x:v>-33</x:v>
      </x:c>
      <x:c r="M201" s="8" t="n">
        <x:f>INDEX($K$388:$N$400,W201,1)+INDEX($K$388:$N$400,W201,2)*(2*(J201-$T$405)/(T201-$T$405)-1)^1+INDEX($K$388:$N$400,W201,3)*(2*(J201-$T$405)/(T201-$T$405)-1)^2+INDEX($K$388:$N$400,W201,4)*(2*(J201-$T$405)/(T201-$T$405)-1)^3+INDEX($O$388:$Z$400,W201,MONTH(J201))</x:f>
        <x:v>6.388726502187424</x:v>
      </x:c>
      <x:c r="N201" s="8" t="n">
        <x:f>K201-M201</x:f>
        <x:v>-42.388726502187424</x:v>
      </x:c>
      <x:c r="O201" s="8" t="n">
        <x:f>ABS(N201)</x:f>
        <x:v>42.388726502187424</x:v>
      </x:c>
      <x:c r="P201" s="8" t="n">
        <x:f>N201^2</x:f>
        <x:v>1796.8041344772464</x:v>
      </x:c>
      <x:c r="Q201" s="8" t="n">
        <x:f>K201-L201</x:f>
        <x:v>-3</x:v>
      </x:c>
      <x:c r="R201" s="9" t="n">
        <x:f>IF(AND(INDEX('Сводка'!$T$3:$T$397,U201)=0,INDEX('Сводка'!$T$3:$T$397,V201)=0),1,0)</x:f>
        <x:v>1</x:v>
      </x:c>
      <x:c r="S201" s="9" t="n">
        <x:f>IF(AND(R201=1,O201&lt;=$G$13),1,0)</x:f>
        <x:v>0</x:v>
      </x:c>
      <x:c r="T201" s="10" t="n">
        <x:f>EOMONTH(J201-'Сводка'!$B$11,-1)</x:f>
        <x:v>46022</x:v>
      </x:c>
      <x:c r="U201" s="4" t="n">
        <x:f>MATCH(J201,'Сводка'!$R$3:$R$397,0)</x:f>
        <x:v>212</x:v>
      </x:c>
      <x:c r="V201" s="4" t="n">
        <x:f>MATCH(J201-'Сводка'!$B$11,'Сводка'!$R$3:$R$397,0)</x:f>
        <x:v>211</x:v>
      </x:c>
      <x:c r="W201" s="4" t="n">
        <x:f>MATCH(T201,$J$388:$J$400,0)</x:f>
        <x:v>7</x:v>
      </x:c>
      <x:c r="X201" s="3"/>
      <x:c r="Y201" s="3"/>
      <x:c r="Z201" s="3"/>
    </x:row>
    <x:row r="202" ht="15" customHeight="1">
      <x:c r="A202" s="3"/>
      <x:c r="B202" s="3"/>
      <x:c r="C202" s="3"/>
      <x:c r="D202" s="3"/>
      <x:c r="E202" s="3"/>
      <x:c r="F202" s="3"/>
      <x:c r="G202" s="3"/>
      <x:c r="H202" s="3"/>
      <x:c r="I202" s="3"/>
      <x:c r="J202" s="10" t="n">
        <x:v>46053</x:v>
      </x:c>
      <x:c r="K202" s="8" t="n">
        <x:f>INDEX('Сводка'!$S$3:$S$397,U202)</x:f>
        <x:v>-32</x:v>
      </x:c>
      <x:c r="L202" s="8" t="n">
        <x:f>INDEX('Сводка'!$S$3:$S$397,V202)</x:f>
        <x:v>-36</x:v>
      </x:c>
      <x:c r="M202" s="8" t="n">
        <x:f>INDEX($K$388:$N$400,W202,1)+INDEX($K$388:$N$400,W202,2)*(2*(J202-$T$405)/(T202-$T$405)-1)^1+INDEX($K$388:$N$400,W202,3)*(2*(J202-$T$405)/(T202-$T$405)-1)^2+INDEX($K$388:$N$400,W202,4)*(2*(J202-$T$405)/(T202-$T$405)-1)^3+INDEX($O$388:$Z$400,W202,MONTH(J202))</x:f>
        <x:v>6.3639619860599055</x:v>
      </x:c>
      <x:c r="N202" s="8" t="n">
        <x:f>K202-M202</x:f>
        <x:v>-38.363961986059905</x:v>
      </x:c>
      <x:c r="O202" s="8" t="n">
        <x:f>ABS(N202)</x:f>
        <x:v>38.363961986059905</x:v>
      </x:c>
      <x:c r="P202" s="8" t="n">
        <x:f>N202^2</x:f>
        <x:v>1471.7935792678495</x:v>
      </x:c>
      <x:c r="Q202" s="8" t="n">
        <x:f>K202-L202</x:f>
        <x:v>4</x:v>
      </x:c>
      <x:c r="R202" s="9" t="n">
        <x:f>IF(AND(INDEX('Сводка'!$T$3:$T$397,U202)=0,INDEX('Сводка'!$T$3:$T$397,V202)=0),1,0)</x:f>
        <x:v>1</x:v>
      </x:c>
      <x:c r="S202" s="9" t="n">
        <x:f>IF(AND(R202=1,O202&lt;=$G$13),1,0)</x:f>
        <x:v>0</x:v>
      </x:c>
      <x:c r="T202" s="10" t="n">
        <x:f>EOMONTH(J202-'Сводка'!$B$11,-1)</x:f>
        <x:v>46022</x:v>
      </x:c>
      <x:c r="U202" s="4" t="n">
        <x:f>MATCH(J202,'Сводка'!$R$3:$R$397,0)</x:f>
        <x:v>213</x:v>
      </x:c>
      <x:c r="V202" s="4" t="n">
        <x:f>MATCH(J202-'Сводка'!$B$11,'Сводка'!$R$3:$R$397,0)</x:f>
        <x:v>212</x:v>
      </x:c>
      <x:c r="W202" s="4" t="n">
        <x:f>MATCH(T202,$J$388:$J$400,0)</x:f>
        <x:v>7</x:v>
      </x:c>
      <x:c r="X202" s="3"/>
      <x:c r="Y202" s="3"/>
      <x:c r="Z202" s="3"/>
    </x:row>
    <x:row r="203" ht="15" customHeight="1">
      <x:c r="A203" s="3"/>
      <x:c r="B203" s="3"/>
      <x:c r="C203" s="3"/>
      <x:c r="D203" s="3"/>
      <x:c r="E203" s="3"/>
      <x:c r="F203" s="3"/>
      <x:c r="G203" s="3"/>
      <x:c r="H203" s="3"/>
      <x:c r="I203" s="3"/>
      <x:c r="J203" s="10" t="n">
        <x:v>46054</x:v>
      </x:c>
      <x:c r="K203" s="8" t="n">
        <x:f>INDEX('Сводка'!$S$3:$S$397,U203)</x:f>
        <x:v>-34</x:v>
      </x:c>
      <x:c r="L203" s="8" t="n">
        <x:f>INDEX('Сводка'!$S$3:$S$397,V203)</x:f>
        <x:v>-32</x:v>
      </x:c>
      <x:c r="M203" s="8" t="n">
        <x:f>INDEX($K$388:$N$400,W203,1)+INDEX($K$388:$N$400,W203,2)*(2*(J203-$T$405)/(T203-$T$405)-1)^1+INDEX($K$388:$N$400,W203,3)*(2*(J203-$T$405)/(T203-$T$405)-1)^2+INDEX($K$388:$N$400,W203,4)*(2*(J203-$T$405)/(T203-$T$405)-1)^3+INDEX($O$388:$Z$400,W203,MONTH(J203))</x:f>
        <x:v>-45.21239939780247</x:v>
      </x:c>
      <x:c r="N203" s="8" t="n">
        <x:f>K203-M203</x:f>
        <x:v>11.212399397802471</x:v>
      </x:c>
      <x:c r="O203" s="8" t="n">
        <x:f>ABS(N203)</x:f>
        <x:v>11.212399397802471</x:v>
      </x:c>
      <x:c r="P203" s="8" t="n">
        <x:f>N203^2</x:f>
        <x:v>125.71790025584123</x:v>
      </x:c>
      <x:c r="Q203" s="8" t="n">
        <x:f>K203-L203</x:f>
        <x:v>-2</x:v>
      </x:c>
      <x:c r="R203" s="9" t="n">
        <x:f>IF(AND(INDEX('Сводка'!$T$3:$T$397,U203)=0,INDEX('Сводка'!$T$3:$T$397,V203)=0),1,0)</x:f>
        <x:v>1</x:v>
      </x:c>
      <x:c r="S203" s="9" t="n">
        <x:f>IF(AND(R203=1,O203&lt;=$G$13),1,0)</x:f>
        <x:v>0</x:v>
      </x:c>
      <x:c r="T203" s="10" t="n">
        <x:f>EOMONTH(J203-'Сводка'!$B$11,-1)</x:f>
        <x:v>46022</x:v>
      </x:c>
      <x:c r="U203" s="4" t="n">
        <x:f>MATCH(J203,'Сводка'!$R$3:$R$397,0)</x:f>
        <x:v>214</x:v>
      </x:c>
      <x:c r="V203" s="4" t="n">
        <x:f>MATCH(J203-'Сводка'!$B$11,'Сводка'!$R$3:$R$397,0)</x:f>
        <x:v>213</x:v>
      </x:c>
      <x:c r="W203" s="4" t="n">
        <x:f>MATCH(T203,$J$388:$J$400,0)</x:f>
        <x:v>7</x:v>
      </x:c>
      <x:c r="X203" s="3"/>
      <x:c r="Y203" s="3"/>
      <x:c r="Z203" s="3"/>
    </x:row>
    <x:row r="204" ht="15" customHeight="1">
      <x:c r="A204" s="3"/>
      <x:c r="B204" s="3"/>
      <x:c r="C204" s="3"/>
      <x:c r="D204" s="3"/>
      <x:c r="E204" s="3"/>
      <x:c r="F204" s="3"/>
      <x:c r="G204" s="3"/>
      <x:c r="H204" s="3"/>
      <x:c r="I204" s="3"/>
      <x:c r="J204" s="10" t="n">
        <x:v>46055</x:v>
      </x:c>
      <x:c r="K204" s="8" t="n">
        <x:f>INDEX('Сводка'!$S$3:$S$397,U204)</x:f>
        <x:v>-33</x:v>
      </x:c>
      <x:c r="L204" s="8" t="n">
        <x:f>INDEX('Сводка'!$S$3:$S$397,V204)</x:f>
        <x:v>-34</x:v>
      </x:c>
      <x:c r="M204" s="8" t="n">
        <x:f>INDEX($K$388:$N$400,W204,1)+INDEX($K$388:$N$400,W204,2)*(2*(J204-$T$405)/(T204-$T$405)-1)^1+INDEX($K$388:$N$400,W204,3)*(2*(J204-$T$405)/(T204-$T$405)-1)^2+INDEX($K$388:$N$400,W204,4)*(2*(J204-$T$405)/(T204-$T$405)-1)^3+INDEX($O$388:$Z$400,W204,MONTH(J204))</x:f>
        <x:v>-46.94141476969216</x:v>
      </x:c>
      <x:c r="N204" s="8" t="n">
        <x:f>K204-M204</x:f>
        <x:v>13.941414769692159</x:v>
      </x:c>
      <x:c r="O204" s="8" t="n">
        <x:f>ABS(N204)</x:f>
        <x:v>13.941414769692159</x:v>
      </x:c>
      <x:c r="P204" s="8" t="n">
        <x:f>N204^2</x:f>
        <x:v>194.36304578059068</x:v>
      </x:c>
      <x:c r="Q204" s="8" t="n">
        <x:f>K204-L204</x:f>
        <x:v>1</x:v>
      </x:c>
      <x:c r="R204" s="9" t="n">
        <x:f>IF(AND(INDEX('Сводка'!$T$3:$T$397,U204)=0,INDEX('Сводка'!$T$3:$T$397,V204)=0),1,0)</x:f>
        <x:v>1</x:v>
      </x:c>
      <x:c r="S204" s="9" t="n">
        <x:f>IF(AND(R204=1,O204&lt;=$G$13),1,0)</x:f>
        <x:v>0</x:v>
      </x:c>
      <x:c r="T204" s="10" t="n">
        <x:f>EOMONTH(J204-'Сводка'!$B$11,-1)</x:f>
        <x:v>46053</x:v>
      </x:c>
      <x:c r="U204" s="4" t="n">
        <x:f>MATCH(J204,'Сводка'!$R$3:$R$397,0)</x:f>
        <x:v>215</x:v>
      </x:c>
      <x:c r="V204" s="4" t="n">
        <x:f>MATCH(J204-'Сводка'!$B$11,'Сводка'!$R$3:$R$397,0)</x:f>
        <x:v>214</x:v>
      </x:c>
      <x:c r="W204" s="4" t="n">
        <x:f>MATCH(T204,$J$388:$J$400,0)</x:f>
        <x:v>8</x:v>
      </x:c>
      <x:c r="X204" s="3"/>
      <x:c r="Y204" s="3"/>
      <x:c r="Z204" s="3"/>
    </x:row>
    <x:row r="205" ht="15" customHeight="1">
      <x:c r="A205" s="3"/>
      <x:c r="B205" s="3"/>
      <x:c r="C205" s="3"/>
      <x:c r="D205" s="3"/>
      <x:c r="E205" s="3"/>
      <x:c r="F205" s="3"/>
      <x:c r="G205" s="3"/>
      <x:c r="H205" s="3"/>
      <x:c r="I205" s="3"/>
      <x:c r="J205" s="10" t="n">
        <x:v>46056</x:v>
      </x:c>
      <x:c r="K205" s="8" t="n">
        <x:f>INDEX('Сводка'!$S$3:$S$397,U205)</x:f>
        <x:v>-36</x:v>
      </x:c>
      <x:c r="L205" s="8" t="n">
        <x:f>INDEX('Сводка'!$S$3:$S$397,V205)</x:f>
        <x:v>-33</x:v>
      </x:c>
      <x:c r="M205" s="8" t="n">
        <x:f>INDEX($K$388:$N$400,W205,1)+INDEX($K$388:$N$400,W205,2)*(2*(J205-$T$405)/(T205-$T$405)-1)^1+INDEX($K$388:$N$400,W205,3)*(2*(J205-$T$405)/(T205-$T$405)-1)^2+INDEX($K$388:$N$400,W205,4)*(2*(J205-$T$405)/(T205-$T$405)-1)^3+INDEX($O$388:$Z$400,W205,MONTH(J205))</x:f>
        <x:v>-46.96765239588473</x:v>
      </x:c>
      <x:c r="N205" s="8" t="n">
        <x:f>K205-M205</x:f>
        <x:v>10.967652395884727</x:v>
      </x:c>
      <x:c r="O205" s="8" t="n">
        <x:f>ABS(N205)</x:f>
        <x:v>10.967652395884727</x:v>
      </x:c>
      <x:c r="P205" s="8" t="n">
        <x:f>N205^2</x:f>
        <x:v>120.28939907695599</x:v>
      </x:c>
      <x:c r="Q205" s="8" t="n">
        <x:f>K205-L205</x:f>
        <x:v>-3</x:v>
      </x:c>
      <x:c r="R205" s="9" t="n">
        <x:f>IF(AND(INDEX('Сводка'!$T$3:$T$397,U205)=0,INDEX('Сводка'!$T$3:$T$397,V205)=0),1,0)</x:f>
        <x:v>1</x:v>
      </x:c>
      <x:c r="S205" s="9" t="n">
        <x:f>IF(AND(R205=1,O205&lt;=$G$13),1,0)</x:f>
        <x:v>0</x:v>
      </x:c>
      <x:c r="T205" s="10" t="n">
        <x:f>EOMONTH(J205-'Сводка'!$B$11,-1)</x:f>
        <x:v>46053</x:v>
      </x:c>
      <x:c r="U205" s="4" t="n">
        <x:f>MATCH(J205,'Сводка'!$R$3:$R$397,0)</x:f>
        <x:v>216</x:v>
      </x:c>
      <x:c r="V205" s="4" t="n">
        <x:f>MATCH(J205-'Сводка'!$B$11,'Сводка'!$R$3:$R$397,0)</x:f>
        <x:v>215</x:v>
      </x:c>
      <x:c r="W205" s="4" t="n">
        <x:f>MATCH(T205,$J$388:$J$400,0)</x:f>
        <x:v>8</x:v>
      </x:c>
      <x:c r="X205" s="3"/>
      <x:c r="Y205" s="3"/>
      <x:c r="Z205" s="3"/>
    </x:row>
    <x:row r="206" ht="15" customHeight="1">
      <x:c r="A206" s="3"/>
      <x:c r="B206" s="3"/>
      <x:c r="C206" s="3"/>
      <x:c r="D206" s="3"/>
      <x:c r="E206" s="3"/>
      <x:c r="F206" s="3"/>
      <x:c r="G206" s="3"/>
      <x:c r="H206" s="3"/>
      <x:c r="I206" s="3"/>
      <x:c r="J206" s="10" t="n">
        <x:v>46057</x:v>
      </x:c>
      <x:c r="K206" s="8" t="n">
        <x:f>INDEX('Сводка'!$S$3:$S$397,U206)</x:f>
        <x:v>-34</x:v>
      </x:c>
      <x:c r="L206" s="8" t="n">
        <x:f>INDEX('Сводка'!$S$3:$S$397,V206)</x:f>
        <x:v>-36</x:v>
      </x:c>
      <x:c r="M206" s="8" t="n">
        <x:f>INDEX($K$388:$N$400,W206,1)+INDEX($K$388:$N$400,W206,2)*(2*(J206-$T$405)/(T206-$T$405)-1)^1+INDEX($K$388:$N$400,W206,3)*(2*(J206-$T$405)/(T206-$T$405)-1)^2+INDEX($K$388:$N$400,W206,4)*(2*(J206-$T$405)/(T206-$T$405)-1)^3+INDEX($O$388:$Z$400,W206,MONTH(J206))</x:f>
        <x:v>-46.99390668480538</x:v>
      </x:c>
      <x:c r="N206" s="8" t="n">
        <x:f>K206-M206</x:f>
        <x:v>12.993906684805381</x:v>
      </x:c>
      <x:c r="O206" s="8" t="n">
        <x:f>ABS(N206)</x:f>
        <x:v>12.993906684805381</x:v>
      </x:c>
      <x:c r="P206" s="8" t="n">
        <x:f>N206^2</x:f>
        <x:v>168.84161093342996</x:v>
      </x:c>
      <x:c r="Q206" s="8" t="n">
        <x:f>K206-L206</x:f>
        <x:v>2</x:v>
      </x:c>
      <x:c r="R206" s="9" t="n">
        <x:f>IF(AND(INDEX('Сводка'!$T$3:$T$397,U206)=0,INDEX('Сводка'!$T$3:$T$397,V206)=0),1,0)</x:f>
        <x:v>1</x:v>
      </x:c>
      <x:c r="S206" s="9" t="n">
        <x:f>IF(AND(R206=1,O206&lt;=$G$13),1,0)</x:f>
        <x:v>0</x:v>
      </x:c>
      <x:c r="T206" s="10" t="n">
        <x:f>EOMONTH(J206-'Сводка'!$B$11,-1)</x:f>
        <x:v>46053</x:v>
      </x:c>
      <x:c r="U206" s="4" t="n">
        <x:f>MATCH(J206,'Сводка'!$R$3:$R$397,0)</x:f>
        <x:v>217</x:v>
      </x:c>
      <x:c r="V206" s="4" t="n">
        <x:f>MATCH(J206-'Сводка'!$B$11,'Сводка'!$R$3:$R$397,0)</x:f>
        <x:v>216</x:v>
      </x:c>
      <x:c r="W206" s="4" t="n">
        <x:f>MATCH(T206,$J$388:$J$400,0)</x:f>
        <x:v>8</x:v>
      </x:c>
      <x:c r="X206" s="3"/>
      <x:c r="Y206" s="3"/>
      <x:c r="Z206" s="3"/>
    </x:row>
    <x:row r="207" ht="15" customHeight="1">
      <x:c r="A207" s="3"/>
      <x:c r="B207" s="3"/>
      <x:c r="C207" s="3"/>
      <x:c r="D207" s="3"/>
      <x:c r="E207" s="3"/>
      <x:c r="F207" s="3"/>
      <x:c r="G207" s="3"/>
      <x:c r="H207" s="3"/>
      <x:c r="I207" s="3"/>
      <x:c r="J207" s="10" t="n">
        <x:v>46058</x:v>
      </x:c>
      <x:c r="K207" s="8" t="n">
        <x:f>INDEX('Сводка'!$S$3:$S$397,U207)</x:f>
        <x:v>-35</x:v>
      </x:c>
      <x:c r="L207" s="8" t="n">
        <x:f>INDEX('Сводка'!$S$3:$S$397,V207)</x:f>
        <x:v>-34</x:v>
      </x:c>
      <x:c r="M207" s="8" t="n">
        <x:f>INDEX($K$388:$N$400,W207,1)+INDEX($K$388:$N$400,W207,2)*(2*(J207-$T$405)/(T207-$T$405)-1)^1+INDEX($K$388:$N$400,W207,3)*(2*(J207-$T$405)/(T207-$T$405)-1)^2+INDEX($K$388:$N$400,W207,4)*(2*(J207-$T$405)/(T207-$T$405)-1)^3+INDEX($O$388:$Z$400,W207,MONTH(J207))</x:f>
        <x:v>-47.020177638789804</x:v>
      </x:c>
      <x:c r="N207" s="8" t="n">
        <x:f>K207-M207</x:f>
        <x:v>12.020177638789804</x:v>
      </x:c>
      <x:c r="O207" s="8" t="n">
        <x:f>ABS(N207)</x:f>
        <x:v>12.020177638789804</x:v>
      </x:c>
      <x:c r="P207" s="8" t="n">
        <x:f>N207^2</x:f>
        <x:v>144.4846704680624</x:v>
      </x:c>
      <x:c r="Q207" s="8" t="n">
        <x:f>K207-L207</x:f>
        <x:v>-1</x:v>
      </x:c>
      <x:c r="R207" s="9" t="n">
        <x:f>IF(AND(INDEX('Сводка'!$T$3:$T$397,U207)=0,INDEX('Сводка'!$T$3:$T$397,V207)=0),1,0)</x:f>
        <x:v>1</x:v>
      </x:c>
      <x:c r="S207" s="9" t="n">
        <x:f>IF(AND(R207=1,O207&lt;=$G$13),1,0)</x:f>
        <x:v>0</x:v>
      </x:c>
      <x:c r="T207" s="10" t="n">
        <x:f>EOMONTH(J207-'Сводка'!$B$11,-1)</x:f>
        <x:v>46053</x:v>
      </x:c>
      <x:c r="U207" s="4" t="n">
        <x:f>MATCH(J207,'Сводка'!$R$3:$R$397,0)</x:f>
        <x:v>218</x:v>
      </x:c>
      <x:c r="V207" s="4" t="n">
        <x:f>MATCH(J207-'Сводка'!$B$11,'Сводка'!$R$3:$R$397,0)</x:f>
        <x:v>217</x:v>
      </x:c>
      <x:c r="W207" s="4" t="n">
        <x:f>MATCH(T207,$J$388:$J$400,0)</x:f>
        <x:v>8</x:v>
      </x:c>
      <x:c r="X207" s="3"/>
      <x:c r="Y207" s="3"/>
      <x:c r="Z207" s="3"/>
    </x:row>
    <x:row r="208" ht="15" customHeight="1">
      <x:c r="A208" s="3"/>
      <x:c r="B208" s="3"/>
      <x:c r="C208" s="3"/>
      <x:c r="D208" s="3"/>
      <x:c r="E208" s="3"/>
      <x:c r="F208" s="3"/>
      <x:c r="G208" s="3"/>
      <x:c r="H208" s="3"/>
      <x:c r="I208" s="3"/>
      <x:c r="J208" s="10" t="n">
        <x:v>46059</x:v>
      </x:c>
      <x:c r="K208" s="8" t="n">
        <x:f>INDEX('Сводка'!$S$3:$S$397,U208)</x:f>
        <x:v>-38</x:v>
      </x:c>
      <x:c r="L208" s="8" t="n">
        <x:f>INDEX('Сводка'!$S$3:$S$397,V208)</x:f>
        <x:v>-35</x:v>
      </x:c>
      <x:c r="M208" s="8" t="n">
        <x:f>INDEX($K$388:$N$400,W208,1)+INDEX($K$388:$N$400,W208,2)*(2*(J208-$T$405)/(T208-$T$405)-1)^1+INDEX($K$388:$N$400,W208,3)*(2*(J208-$T$405)/(T208-$T$405)-1)^2+INDEX($K$388:$N$400,W208,4)*(2*(J208-$T$405)/(T208-$T$405)-1)^3+INDEX($O$388:$Z$400,W208,MONTH(J208))</x:f>
        <x:v>-47.04646526017396</x:v>
      </x:c>
      <x:c r="N208" s="8" t="n">
        <x:f>K208-M208</x:f>
        <x:v>9.04646526017396</x:v>
      </x:c>
      <x:c r="O208" s="8" t="n">
        <x:f>ABS(N208)</x:f>
        <x:v>9.04646526017396</x:v>
      </x:c>
      <x:c r="P208" s="8" t="n">
        <x:f>N208^2</x:f>
        <x:v>81.83853370353431</x:v>
      </x:c>
      <x:c r="Q208" s="8" t="n">
        <x:f>K208-L208</x:f>
        <x:v>-3</x:v>
      </x:c>
      <x:c r="R208" s="9" t="n">
        <x:f>IF(AND(INDEX('Сводка'!$T$3:$T$397,U208)=0,INDEX('Сводка'!$T$3:$T$397,V208)=0),1,0)</x:f>
        <x:v>1</x:v>
      </x:c>
      <x:c r="S208" s="9" t="n">
        <x:f>IF(AND(R208=1,O208&lt;=$G$13),1,0)</x:f>
        <x:v>0</x:v>
      </x:c>
      <x:c r="T208" s="10" t="n">
        <x:f>EOMONTH(J208-'Сводка'!$B$11,-1)</x:f>
        <x:v>46053</x:v>
      </x:c>
      <x:c r="U208" s="4" t="n">
        <x:f>MATCH(J208,'Сводка'!$R$3:$R$397,0)</x:f>
        <x:v>219</x:v>
      </x:c>
      <x:c r="V208" s="4" t="n">
        <x:f>MATCH(J208-'Сводка'!$B$11,'Сводка'!$R$3:$R$397,0)</x:f>
        <x:v>218</x:v>
      </x:c>
      <x:c r="W208" s="4" t="n">
        <x:f>MATCH(T208,$J$388:$J$400,0)</x:f>
        <x:v>8</x:v>
      </x:c>
      <x:c r="X208" s="3"/>
      <x:c r="Y208" s="3"/>
      <x:c r="Z208" s="3"/>
    </x:row>
    <x:row r="209" ht="15" customHeight="1">
      <x:c r="A209" s="3"/>
      <x:c r="B209" s="3"/>
      <x:c r="C209" s="3"/>
      <x:c r="D209" s="3"/>
      <x:c r="E209" s="3"/>
      <x:c r="F209" s="3"/>
      <x:c r="G209" s="3"/>
      <x:c r="H209" s="3"/>
      <x:c r="I209" s="3"/>
      <x:c r="J209" s="10" t="n">
        <x:v>46060</x:v>
      </x:c>
      <x:c r="K209" s="8" t="n">
        <x:f>INDEX('Сводка'!$S$3:$S$397,U209)</x:f>
        <x:v>-41</x:v>
      </x:c>
      <x:c r="L209" s="8" t="n">
        <x:f>INDEX('Сводка'!$S$3:$S$397,V209)</x:f>
        <x:v>-38</x:v>
      </x:c>
      <x:c r="M209" s="8" t="n">
        <x:f>INDEX($K$388:$N$400,W209,1)+INDEX($K$388:$N$400,W209,2)*(2*(J209-$T$405)/(T209-$T$405)-1)^1+INDEX($K$388:$N$400,W209,3)*(2*(J209-$T$405)/(T209-$T$405)-1)^2+INDEX($K$388:$N$400,W209,4)*(2*(J209-$T$405)/(T209-$T$405)-1)^3+INDEX($O$388:$Z$400,W209,MONTH(J209))</x:f>
        <x:v>-47.0727695512937</x:v>
      </x:c>
      <x:c r="N209" s="8" t="n">
        <x:f>K209-M209</x:f>
        <x:v>6.072769551293703</x:v>
      </x:c>
      <x:c r="O209" s="8" t="n">
        <x:f>ABS(N209)</x:f>
        <x:v>6.072769551293703</x:v>
      </x:c>
      <x:c r="P209" s="8" t="n">
        <x:f>N209^2</x:f>
        <x:v>36.87853002311993</x:v>
      </x:c>
      <x:c r="Q209" s="8" t="n">
        <x:f>K209-L209</x:f>
        <x:v>-3</x:v>
      </x:c>
      <x:c r="R209" s="9" t="n">
        <x:f>IF(AND(INDEX('Сводка'!$T$3:$T$397,U209)=0,INDEX('Сводка'!$T$3:$T$397,V209)=0),1,0)</x:f>
        <x:v>1</x:v>
      </x:c>
      <x:c r="S209" s="9" t="n">
        <x:f>IF(AND(R209=1,O209&lt;=$G$13),1,0)</x:f>
        <x:v>1</x:v>
      </x:c>
      <x:c r="T209" s="10" t="n">
        <x:f>EOMONTH(J209-'Сводка'!$B$11,-1)</x:f>
        <x:v>46053</x:v>
      </x:c>
      <x:c r="U209" s="4" t="n">
        <x:f>MATCH(J209,'Сводка'!$R$3:$R$397,0)</x:f>
        <x:v>220</x:v>
      </x:c>
      <x:c r="V209" s="4" t="n">
        <x:f>MATCH(J209-'Сводка'!$B$11,'Сводка'!$R$3:$R$397,0)</x:f>
        <x:v>219</x:v>
      </x:c>
      <x:c r="W209" s="4" t="n">
        <x:f>MATCH(T209,$J$388:$J$400,0)</x:f>
        <x:v>8</x:v>
      </x:c>
      <x:c r="X209" s="3"/>
      <x:c r="Y209" s="3"/>
      <x:c r="Z209" s="3"/>
    </x:row>
    <x:row r="210" ht="15" customHeight="1">
      <x:c r="A210" s="3"/>
      <x:c r="B210" s="3"/>
      <x:c r="C210" s="3"/>
      <x:c r="D210" s="3"/>
      <x:c r="E210" s="3"/>
      <x:c r="F210" s="3"/>
      <x:c r="G210" s="3"/>
      <x:c r="H210" s="3"/>
      <x:c r="I210" s="3"/>
      <x:c r="J210" s="10" t="n">
        <x:v>46061</x:v>
      </x:c>
      <x:c r="K210" s="8" t="n">
        <x:f>INDEX('Сводка'!$S$3:$S$397,U210)</x:f>
        <x:v>-43</x:v>
      </x:c>
      <x:c r="L210" s="8" t="n">
        <x:f>INDEX('Сводка'!$S$3:$S$397,V210)</x:f>
        <x:v>-41</x:v>
      </x:c>
      <x:c r="M210" s="8" t="n">
        <x:f>INDEX($K$388:$N$400,W210,1)+INDEX($K$388:$N$400,W210,2)*(2*(J210-$T$405)/(T210-$T$405)-1)^1+INDEX($K$388:$N$400,W210,3)*(2*(J210-$T$405)/(T210-$T$405)-1)^2+INDEX($K$388:$N$400,W210,4)*(2*(J210-$T$405)/(T210-$T$405)-1)^3+INDEX($O$388:$Z$400,W210,MONTH(J210))</x:f>
        <x:v>-47.09909051448483</x:v>
      </x:c>
      <x:c r="N210" s="8" t="n">
        <x:f>K210-M210</x:f>
        <x:v>4.099090514484828</x:v>
      </x:c>
      <x:c r="O210" s="8" t="n">
        <x:f>ABS(N210)</x:f>
        <x:v>4.099090514484828</x:v>
      </x:c>
      <x:c r="P210" s="8" t="n">
        <x:f>N210^2</x:f>
        <x:v>16.802543045939494</x:v>
      </x:c>
      <x:c r="Q210" s="8" t="n">
        <x:f>K210-L210</x:f>
        <x:v>-2</x:v>
      </x:c>
      <x:c r="R210" s="9" t="n">
        <x:f>IF(AND(INDEX('Сводка'!$T$3:$T$397,U210)=0,INDEX('Сводка'!$T$3:$T$397,V210)=0),1,0)</x:f>
        <x:v>1</x:v>
      </x:c>
      <x:c r="S210" s="9" t="n">
        <x:f>IF(AND(R210=1,O210&lt;=$G$13),1,0)</x:f>
        <x:v>1</x:v>
      </x:c>
      <x:c r="T210" s="10" t="n">
        <x:f>EOMONTH(J210-'Сводка'!$B$11,-1)</x:f>
        <x:v>46053</x:v>
      </x:c>
      <x:c r="U210" s="4" t="n">
        <x:f>MATCH(J210,'Сводка'!$R$3:$R$397,0)</x:f>
        <x:v>221</x:v>
      </x:c>
      <x:c r="V210" s="4" t="n">
        <x:f>MATCH(J210-'Сводка'!$B$11,'Сводка'!$R$3:$R$397,0)</x:f>
        <x:v>220</x:v>
      </x:c>
      <x:c r="W210" s="4" t="n">
        <x:f>MATCH(T210,$J$388:$J$400,0)</x:f>
        <x:v>8</x:v>
      </x:c>
      <x:c r="X210" s="3"/>
      <x:c r="Y210" s="3"/>
      <x:c r="Z210" s="3"/>
    </x:row>
    <x:row r="211" ht="15" customHeight="1">
      <x:c r="A211" s="3"/>
      <x:c r="B211" s="3"/>
      <x:c r="C211" s="3"/>
      <x:c r="D211" s="3"/>
      <x:c r="E211" s="3"/>
      <x:c r="F211" s="3"/>
      <x:c r="G211" s="3"/>
      <x:c r="H211" s="3"/>
      <x:c r="I211" s="3"/>
      <x:c r="J211" s="10" t="n">
        <x:v>46062</x:v>
      </x:c>
      <x:c r="K211" s="8" t="n">
        <x:f>INDEX('Сводка'!$S$3:$S$397,U211)</x:f>
        <x:v>-43</x:v>
      </x:c>
      <x:c r="L211" s="8" t="n">
        <x:f>INDEX('Сводка'!$S$3:$S$397,V211)</x:f>
        <x:v>-43</x:v>
      </x:c>
      <x:c r="M211" s="8" t="n">
        <x:f>INDEX($K$388:$N$400,W211,1)+INDEX($K$388:$N$400,W211,2)*(2*(J211-$T$405)/(T211-$T$405)-1)^1+INDEX($K$388:$N$400,W211,3)*(2*(J211-$T$405)/(T211-$T$405)-1)^2+INDEX($K$388:$N$400,W211,4)*(2*(J211-$T$405)/(T211-$T$405)-1)^3+INDEX($O$388:$Z$400,W211,MONTH(J211))</x:f>
        <x:v>-47.125428152083316</x:v>
      </x:c>
      <x:c r="N211" s="8" t="n">
        <x:f>K211-M211</x:f>
        <x:v>4.125428152083316</x:v>
      </x:c>
      <x:c r="O211" s="8" t="n">
        <x:f>ABS(N211)</x:f>
        <x:v>4.125428152083316</x:v>
      </x:c>
      <x:c r="P211" s="8" t="n">
        <x:f>N211^2</x:f>
        <x:v>17.019157438001564</x:v>
      </x:c>
      <x:c r="Q211" s="8" t="n">
        <x:f>K211-L211</x:f>
        <x:v>0</x:v>
      </x:c>
      <x:c r="R211" s="9" t="n">
        <x:f>IF(AND(INDEX('Сводка'!$T$3:$T$397,U211)=0,INDEX('Сводка'!$T$3:$T$397,V211)=0),1,0)</x:f>
        <x:v>1</x:v>
      </x:c>
      <x:c r="S211" s="9" t="n">
        <x:f>IF(AND(R211=1,O211&lt;=$G$13),1,0)</x:f>
        <x:v>1</x:v>
      </x:c>
      <x:c r="T211" s="10" t="n">
        <x:f>EOMONTH(J211-'Сводка'!$B$11,-1)</x:f>
        <x:v>46053</x:v>
      </x:c>
      <x:c r="U211" s="4" t="n">
        <x:f>MATCH(J211,'Сводка'!$R$3:$R$397,0)</x:f>
        <x:v>222</x:v>
      </x:c>
      <x:c r="V211" s="4" t="n">
        <x:f>MATCH(J211-'Сводка'!$B$11,'Сводка'!$R$3:$R$397,0)</x:f>
        <x:v>221</x:v>
      </x:c>
      <x:c r="W211" s="4" t="n">
        <x:f>MATCH(T211,$J$388:$J$400,0)</x:f>
        <x:v>8</x:v>
      </x:c>
      <x:c r="X211" s="3"/>
      <x:c r="Y211" s="3"/>
      <x:c r="Z211" s="3"/>
    </x:row>
    <x:row r="212" ht="15" customHeight="1">
      <x:c r="A212" s="3"/>
      <x:c r="B212" s="3"/>
      <x:c r="C212" s="3"/>
      <x:c r="D212" s="3"/>
      <x:c r="E212" s="3"/>
      <x:c r="F212" s="3"/>
      <x:c r="G212" s="3"/>
      <x:c r="H212" s="3"/>
      <x:c r="I212" s="3"/>
      <x:c r="J212" s="10" t="n">
        <x:v>46063</x:v>
      </x:c>
      <x:c r="K212" s="8" t="n">
        <x:f>INDEX('Сводка'!$S$3:$S$397,U212)</x:f>
        <x:v>-44</x:v>
      </x:c>
      <x:c r="L212" s="8" t="n">
        <x:f>INDEX('Сводка'!$S$3:$S$397,V212)</x:f>
        <x:v>-43</x:v>
      </x:c>
      <x:c r="M212" s="8" t="n">
        <x:f>INDEX($K$388:$N$400,W212,1)+INDEX($K$388:$N$400,W212,2)*(2*(J212-$T$405)/(T212-$T$405)-1)^1+INDEX($K$388:$N$400,W212,3)*(2*(J212-$T$405)/(T212-$T$405)-1)^2+INDEX($K$388:$N$400,W212,4)*(2*(J212-$T$405)/(T212-$T$405)-1)^3+INDEX($O$388:$Z$400,W212,MONTH(J212))</x:f>
        <x:v>-47.15178246642486</x:v>
      </x:c>
      <x:c r="N212" s="8" t="n">
        <x:f>K212-M212</x:f>
        <x:v>3.151782466424862</x:v>
      </x:c>
      <x:c r="O212" s="8" t="n">
        <x:f>ABS(N212)</x:f>
        <x:v>3.151782466424862</x:v>
      </x:c>
      <x:c r="P212" s="8" t="n">
        <x:f>N212^2</x:f>
        <x:v>9.933732715663186</x:v>
      </x:c>
      <x:c r="Q212" s="8" t="n">
        <x:f>K212-L212</x:f>
        <x:v>-1</x:v>
      </x:c>
      <x:c r="R212" s="9" t="n">
        <x:f>IF(AND(INDEX('Сводка'!$T$3:$T$397,U212)=0,INDEX('Сводка'!$T$3:$T$397,V212)=0),1,0)</x:f>
        <x:v>1</x:v>
      </x:c>
      <x:c r="S212" s="9" t="n">
        <x:f>IF(AND(R212=1,O212&lt;=$G$13),1,0)</x:f>
        <x:v>1</x:v>
      </x:c>
      <x:c r="T212" s="10" t="n">
        <x:f>EOMONTH(J212-'Сводка'!$B$11,-1)</x:f>
        <x:v>46053</x:v>
      </x:c>
      <x:c r="U212" s="4" t="n">
        <x:f>MATCH(J212,'Сводка'!$R$3:$R$397,0)</x:f>
        <x:v>223</x:v>
      </x:c>
      <x:c r="V212" s="4" t="n">
        <x:f>MATCH(J212-'Сводка'!$B$11,'Сводка'!$R$3:$R$397,0)</x:f>
        <x:v>222</x:v>
      </x:c>
      <x:c r="W212" s="4" t="n">
        <x:f>MATCH(T212,$J$388:$J$400,0)</x:f>
        <x:v>8</x:v>
      </x:c>
      <x:c r="X212" s="3"/>
      <x:c r="Y212" s="3"/>
      <x:c r="Z212" s="3"/>
    </x:row>
    <x:row r="213" ht="15" customHeight="1">
      <x:c r="A213" s="3"/>
      <x:c r="B213" s="3"/>
      <x:c r="C213" s="3"/>
      <x:c r="D213" s="3"/>
      <x:c r="E213" s="3"/>
      <x:c r="F213" s="3"/>
      <x:c r="G213" s="3"/>
      <x:c r="H213" s="3"/>
      <x:c r="I213" s="3"/>
      <x:c r="J213" s="10" t="n">
        <x:v>46064</x:v>
      </x:c>
      <x:c r="K213" s="8" t="n">
        <x:f>INDEX('Сводка'!$S$3:$S$397,U213)</x:f>
        <x:v>-44</x:v>
      </x:c>
      <x:c r="L213" s="8" t="n">
        <x:f>INDEX('Сводка'!$S$3:$S$397,V213)</x:f>
        <x:v>-44</x:v>
      </x:c>
      <x:c r="M213" s="8" t="n">
        <x:f>INDEX($K$388:$N$400,W213,1)+INDEX($K$388:$N$400,W213,2)*(2*(J213-$T$405)/(T213-$T$405)-1)^1+INDEX($K$388:$N$400,W213,3)*(2*(J213-$T$405)/(T213-$T$405)-1)^2+INDEX($K$388:$N$400,W213,4)*(2*(J213-$T$405)/(T213-$T$405)-1)^3+INDEX($O$388:$Z$400,W213,MONTH(J213))</x:f>
        <x:v>-47.17815345984539</x:v>
      </x:c>
      <x:c r="N213" s="8" t="n">
        <x:f>K213-M213</x:f>
        <x:v>3.17815345984539</x:v>
      </x:c>
      <x:c r="O213" s="8" t="n">
        <x:f>ABS(N213)</x:f>
        <x:v>3.17815345984539</x:v>
      </x:c>
      <x:c r="P213" s="8" t="n">
        <x:f>N213^2</x:f>
        <x:v>10.100659414327225</x:v>
      </x:c>
      <x:c r="Q213" s="8" t="n">
        <x:f>K213-L213</x:f>
        <x:v>0</x:v>
      </x:c>
      <x:c r="R213" s="9" t="n">
        <x:f>IF(AND(INDEX('Сводка'!$T$3:$T$397,U213)=0,INDEX('Сводка'!$T$3:$T$397,V213)=0),1,0)</x:f>
        <x:v>1</x:v>
      </x:c>
      <x:c r="S213" s="9" t="n">
        <x:f>IF(AND(R213=1,O213&lt;=$G$13),1,0)</x:f>
        <x:v>1</x:v>
      </x:c>
      <x:c r="T213" s="10" t="n">
        <x:f>EOMONTH(J213-'Сводка'!$B$11,-1)</x:f>
        <x:v>46053</x:v>
      </x:c>
      <x:c r="U213" s="4" t="n">
        <x:f>MATCH(J213,'Сводка'!$R$3:$R$397,0)</x:f>
        <x:v>224</x:v>
      </x:c>
      <x:c r="V213" s="4" t="n">
        <x:f>MATCH(J213-'Сводка'!$B$11,'Сводка'!$R$3:$R$397,0)</x:f>
        <x:v>223</x:v>
      </x:c>
      <x:c r="W213" s="4" t="n">
        <x:f>MATCH(T213,$J$388:$J$400,0)</x:f>
        <x:v>8</x:v>
      </x:c>
      <x:c r="X213" s="3"/>
      <x:c r="Y213" s="3"/>
      <x:c r="Z213" s="3"/>
    </x:row>
    <x:row r="214" ht="15" customHeight="1">
      <x:c r="A214" s="3"/>
      <x:c r="B214" s="3"/>
      <x:c r="C214" s="3"/>
      <x:c r="D214" s="3"/>
      <x:c r="E214" s="3"/>
      <x:c r="F214" s="3"/>
      <x:c r="G214" s="3"/>
      <x:c r="H214" s="3"/>
      <x:c r="I214" s="3"/>
      <x:c r="J214" s="10" t="n">
        <x:v>46065</x:v>
      </x:c>
      <x:c r="K214" s="8" t="n">
        <x:f>INDEX('Сводка'!$S$3:$S$397,U214)</x:f>
        <x:v>-44</x:v>
      </x:c>
      <x:c r="L214" s="8" t="n">
        <x:f>INDEX('Сводка'!$S$3:$S$397,V214)</x:f>
        <x:v>-44</x:v>
      </x:c>
      <x:c r="M214" s="8" t="n">
        <x:f>INDEX($K$388:$N$400,W214,1)+INDEX($K$388:$N$400,W214,2)*(2*(J214-$T$405)/(T214-$T$405)-1)^1+INDEX($K$388:$N$400,W214,3)*(2*(J214-$T$405)/(T214-$T$405)-1)^2+INDEX($K$388:$N$400,W214,4)*(2*(J214-$T$405)/(T214-$T$405)-1)^3+INDEX($O$388:$Z$400,W214,MONTH(J214))</x:f>
        <x:v>-47.204541134680795</x:v>
      </x:c>
      <x:c r="N214" s="8" t="n">
        <x:f>K214-M214</x:f>
        <x:v>3.2045411346807953</x:v>
      </x:c>
      <x:c r="O214" s="8" t="n">
        <x:f>ABS(N214)</x:f>
        <x:v>3.2045411346807953</x:v>
      </x:c>
      <x:c r="P214" s="8" t="n">
        <x:f>N214^2</x:f>
        <x:v>10.26908388386128</x:v>
      </x:c>
      <x:c r="Q214" s="8" t="n">
        <x:f>K214-L214</x:f>
        <x:v>0</x:v>
      </x:c>
      <x:c r="R214" s="9" t="n">
        <x:f>IF(AND(INDEX('Сводка'!$T$3:$T$397,U214)=0,INDEX('Сводка'!$T$3:$T$397,V214)=0),1,0)</x:f>
        <x:v>1</x:v>
      </x:c>
      <x:c r="S214" s="9" t="n">
        <x:f>IF(AND(R214=1,O214&lt;=$G$13),1,0)</x:f>
        <x:v>1</x:v>
      </x:c>
      <x:c r="T214" s="10" t="n">
        <x:f>EOMONTH(J214-'Сводка'!$B$11,-1)</x:f>
        <x:v>46053</x:v>
      </x:c>
      <x:c r="U214" s="4" t="n">
        <x:f>MATCH(J214,'Сводка'!$R$3:$R$397,0)</x:f>
        <x:v>225</x:v>
      </x:c>
      <x:c r="V214" s="4" t="n">
        <x:f>MATCH(J214-'Сводка'!$B$11,'Сводка'!$R$3:$R$397,0)</x:f>
        <x:v>224</x:v>
      </x:c>
      <x:c r="W214" s="4" t="n">
        <x:f>MATCH(T214,$J$388:$J$400,0)</x:f>
        <x:v>8</x:v>
      </x:c>
      <x:c r="X214" s="3"/>
      <x:c r="Y214" s="3"/>
      <x:c r="Z214" s="3"/>
    </x:row>
    <x:row r="215" ht="15" customHeight="1">
      <x:c r="A215" s="3"/>
      <x:c r="B215" s="3"/>
      <x:c r="C215" s="3"/>
      <x:c r="D215" s="3"/>
      <x:c r="E215" s="3"/>
      <x:c r="F215" s="3"/>
      <x:c r="G215" s="3"/>
      <x:c r="H215" s="3"/>
      <x:c r="I215" s="3"/>
      <x:c r="J215" s="10" t="n">
        <x:v>46066</x:v>
      </x:c>
      <x:c r="K215" s="8" t="n">
        <x:f>INDEX('Сводка'!$S$3:$S$397,U215)</x:f>
        <x:v>-41</x:v>
      </x:c>
      <x:c r="L215" s="8" t="n">
        <x:f>INDEX('Сводка'!$S$3:$S$397,V215)</x:f>
        <x:v>-44</x:v>
      </x:c>
      <x:c r="M215" s="8" t="n">
        <x:f>INDEX($K$388:$N$400,W215,1)+INDEX($K$388:$N$400,W215,2)*(2*(J215-$T$405)/(T215-$T$405)-1)^1+INDEX($K$388:$N$400,W215,3)*(2*(J215-$T$405)/(T215-$T$405)-1)^2+INDEX($K$388:$N$400,W215,4)*(2*(J215-$T$405)/(T215-$T$405)-1)^3+INDEX($O$388:$Z$400,W215,MONTH(J215))</x:f>
        <x:v>-47.23094549326683</x:v>
      </x:c>
      <x:c r="N215" s="8" t="n">
        <x:f>K215-M215</x:f>
        <x:v>6.23094549326683</x:v>
      </x:c>
      <x:c r="O215" s="8" t="n">
        <x:f>ABS(N215)</x:f>
        <x:v>6.23094549326683</x:v>
      </x:c>
      <x:c r="P215" s="8" t="n">
        <x:f>N215^2</x:f>
        <x:v>38.824681740062225</x:v>
      </x:c>
      <x:c r="Q215" s="8" t="n">
        <x:f>K215-L215</x:f>
        <x:v>3</x:v>
      </x:c>
      <x:c r="R215" s="9" t="n">
        <x:f>IF(AND(INDEX('Сводка'!$T$3:$T$397,U215)=0,INDEX('Сводка'!$T$3:$T$397,V215)=0),1,0)</x:f>
        <x:v>1</x:v>
      </x:c>
      <x:c r="S215" s="9" t="n">
        <x:f>IF(AND(R215=1,O215&lt;=$G$13),1,0)</x:f>
        <x:v>1</x:v>
      </x:c>
      <x:c r="T215" s="10" t="n">
        <x:f>EOMONTH(J215-'Сводка'!$B$11,-1)</x:f>
        <x:v>46053</x:v>
      </x:c>
      <x:c r="U215" s="4" t="n">
        <x:f>MATCH(J215,'Сводка'!$R$3:$R$397,0)</x:f>
        <x:v>226</x:v>
      </x:c>
      <x:c r="V215" s="4" t="n">
        <x:f>MATCH(J215-'Сводка'!$B$11,'Сводка'!$R$3:$R$397,0)</x:f>
        <x:v>225</x:v>
      </x:c>
      <x:c r="W215" s="4" t="n">
        <x:f>MATCH(T215,$J$388:$J$400,0)</x:f>
        <x:v>8</x:v>
      </x:c>
      <x:c r="X215" s="3"/>
      <x:c r="Y215" s="3"/>
      <x:c r="Z215" s="3"/>
    </x:row>
    <x:row r="216" ht="15" customHeight="1">
      <x:c r="A216" s="3"/>
      <x:c r="B216" s="3"/>
      <x:c r="C216" s="3"/>
      <x:c r="D216" s="3"/>
      <x:c r="E216" s="3"/>
      <x:c r="F216" s="3"/>
      <x:c r="G216" s="3"/>
      <x:c r="H216" s="3"/>
      <x:c r="I216" s="3"/>
      <x:c r="J216" s="10" t="n">
        <x:v>46067</x:v>
      </x:c>
      <x:c r="K216" s="8" t="n">
        <x:f>INDEX('Сводка'!$S$3:$S$397,U216)</x:f>
        <x:v>-39</x:v>
      </x:c>
      <x:c r="L216" s="8" t="n">
        <x:f>INDEX('Сводка'!$S$3:$S$397,V216)</x:f>
        <x:v>-41</x:v>
      </x:c>
      <x:c r="M216" s="8" t="n">
        <x:f>INDEX($K$388:$N$400,W216,1)+INDEX($K$388:$N$400,W216,2)*(2*(J216-$T$405)/(T216-$T$405)-1)^1+INDEX($K$388:$N$400,W216,3)*(2*(J216-$T$405)/(T216-$T$405)-1)^2+INDEX($K$388:$N$400,W216,4)*(2*(J216-$T$405)/(T216-$T$405)-1)^3+INDEX($O$388:$Z$400,W216,MONTH(J216))</x:f>
        <x:v>-47.25736653793945</x:v>
      </x:c>
      <x:c r="N216" s="8" t="n">
        <x:f>K216-M216</x:f>
        <x:v>8.257366537939447</x:v>
      </x:c>
      <x:c r="O216" s="8" t="n">
        <x:f>ABS(N216)</x:f>
        <x:v>8.257366537939447</x:v>
      </x:c>
      <x:c r="P216" s="8" t="n">
        <x:f>N216^2</x:f>
        <x:v>68.1841021418821</x:v>
      </x:c>
      <x:c r="Q216" s="8" t="n">
        <x:f>K216-L216</x:f>
        <x:v>2</x:v>
      </x:c>
      <x:c r="R216" s="9" t="n">
        <x:f>IF(AND(INDEX('Сводка'!$T$3:$T$397,U216)=0,INDEX('Сводка'!$T$3:$T$397,V216)=0),1,0)</x:f>
        <x:v>1</x:v>
      </x:c>
      <x:c r="S216" s="9" t="n">
        <x:f>IF(AND(R216=1,O216&lt;=$G$13),1,0)</x:f>
        <x:v>0</x:v>
      </x:c>
      <x:c r="T216" s="10" t="n">
        <x:f>EOMONTH(J216-'Сводка'!$B$11,-1)</x:f>
        <x:v>46053</x:v>
      </x:c>
      <x:c r="U216" s="4" t="n">
        <x:f>MATCH(J216,'Сводка'!$R$3:$R$397,0)</x:f>
        <x:v>227</x:v>
      </x:c>
      <x:c r="V216" s="4" t="n">
        <x:f>MATCH(J216-'Сводка'!$B$11,'Сводка'!$R$3:$R$397,0)</x:f>
        <x:v>226</x:v>
      </x:c>
      <x:c r="W216" s="4" t="n">
        <x:f>MATCH(T216,$J$388:$J$400,0)</x:f>
        <x:v>8</x:v>
      </x:c>
      <x:c r="X216" s="3"/>
      <x:c r="Y216" s="3"/>
      <x:c r="Z216" s="3"/>
    </x:row>
    <x:row r="217" ht="15" customHeight="1">
      <x:c r="A217" s="3"/>
      <x:c r="B217" s="3"/>
      <x:c r="C217" s="3"/>
      <x:c r="D217" s="3"/>
      <x:c r="E217" s="3"/>
      <x:c r="F217" s="3"/>
      <x:c r="G217" s="3"/>
      <x:c r="H217" s="3"/>
      <x:c r="I217" s="3"/>
      <x:c r="J217" s="10" t="n">
        <x:v>46068</x:v>
      </x:c>
      <x:c r="K217" s="8" t="n">
        <x:f>INDEX('Сводка'!$S$3:$S$397,U217)</x:f>
        <x:v>-38</x:v>
      </x:c>
      <x:c r="L217" s="8" t="n">
        <x:f>INDEX('Сводка'!$S$3:$S$397,V217)</x:f>
        <x:v>-39</x:v>
      </x:c>
      <x:c r="M217" s="8" t="n">
        <x:f>INDEX($K$388:$N$400,W217,1)+INDEX($K$388:$N$400,W217,2)*(2*(J217-$T$405)/(T217-$T$405)-1)^1+INDEX($K$388:$N$400,W217,3)*(2*(J217-$T$405)/(T217-$T$405)-1)^2+INDEX($K$388:$N$400,W217,4)*(2*(J217-$T$405)/(T217-$T$405)-1)^3+INDEX($O$388:$Z$400,W217,MONTH(J217))</x:f>
        <x:v>-47.28380427103444</x:v>
      </x:c>
      <x:c r="N217" s="8" t="n">
        <x:f>K217-M217</x:f>
        <x:v>9.283804271034441</x:v>
      </x:c>
      <x:c r="O217" s="8" t="n">
        <x:f>ABS(N217)</x:f>
        <x:v>9.283804271034441</x:v>
      </x:c>
      <x:c r="P217" s="8" t="n">
        <x:f>N217^2</x:f>
        <x:v>86.18902174287733</x:v>
      </x:c>
      <x:c r="Q217" s="8" t="n">
        <x:f>K217-L217</x:f>
        <x:v>1</x:v>
      </x:c>
      <x:c r="R217" s="9" t="n">
        <x:f>IF(AND(INDEX('Сводка'!$T$3:$T$397,U217)=0,INDEX('Сводка'!$T$3:$T$397,V217)=0),1,0)</x:f>
        <x:v>1</x:v>
      </x:c>
      <x:c r="S217" s="9" t="n">
        <x:f>IF(AND(R217=1,O217&lt;=$G$13),1,0)</x:f>
        <x:v>0</x:v>
      </x:c>
      <x:c r="T217" s="10" t="n">
        <x:f>EOMONTH(J217-'Сводка'!$B$11,-1)</x:f>
        <x:v>46053</x:v>
      </x:c>
      <x:c r="U217" s="4" t="n">
        <x:f>MATCH(J217,'Сводка'!$R$3:$R$397,0)</x:f>
        <x:v>228</x:v>
      </x:c>
      <x:c r="V217" s="4" t="n">
        <x:f>MATCH(J217-'Сводка'!$B$11,'Сводка'!$R$3:$R$397,0)</x:f>
        <x:v>227</x:v>
      </x:c>
      <x:c r="W217" s="4" t="n">
        <x:f>MATCH(T217,$J$388:$J$400,0)</x:f>
        <x:v>8</x:v>
      </x:c>
      <x:c r="X217" s="3"/>
      <x:c r="Y217" s="3"/>
      <x:c r="Z217" s="3"/>
    </x:row>
    <x:row r="218" ht="15" customHeight="1">
      <x:c r="A218" s="3"/>
      <x:c r="B218" s="3"/>
      <x:c r="C218" s="3"/>
      <x:c r="D218" s="3"/>
      <x:c r="E218" s="3"/>
      <x:c r="F218" s="3"/>
      <x:c r="G218" s="3"/>
      <x:c r="H218" s="3"/>
      <x:c r="I218" s="3"/>
      <x:c r="J218" s="10" t="n">
        <x:v>46069</x:v>
      </x:c>
      <x:c r="K218" s="8" t="n">
        <x:f>INDEX('Сводка'!$S$3:$S$397,U218)</x:f>
        <x:v>-38</x:v>
      </x:c>
      <x:c r="L218" s="8" t="n">
        <x:f>INDEX('Сводка'!$S$3:$S$397,V218)</x:f>
        <x:v>-38</x:v>
      </x:c>
      <x:c r="M218" s="8" t="n">
        <x:f>INDEX($K$388:$N$400,W218,1)+INDEX($K$388:$N$400,W218,2)*(2*(J218-$T$405)/(T218-$T$405)-1)^1+INDEX($K$388:$N$400,W218,3)*(2*(J218-$T$405)/(T218-$T$405)-1)^2+INDEX($K$388:$N$400,W218,4)*(2*(J218-$T$405)/(T218-$T$405)-1)^3+INDEX($O$388:$Z$400,W218,MONTH(J218))</x:f>
        <x:v>-47.31025869488764</x:v>
      </x:c>
      <x:c r="N218" s="8" t="n">
        <x:f>K218-M218</x:f>
        <x:v>9.310258694887636</x:v>
      </x:c>
      <x:c r="O218" s="8" t="n">
        <x:f>ABS(N218)</x:f>
        <x:v>9.310258694887636</x:v>
      </x:c>
      <x:c r="P218" s="8" t="n">
        <x:f>N218^2</x:f>
        <x:v>86.68091696573083</x:v>
      </x:c>
      <x:c r="Q218" s="8" t="n">
        <x:f>K218-L218</x:f>
        <x:v>0</x:v>
      </x:c>
      <x:c r="R218" s="9" t="n">
        <x:f>IF(AND(INDEX('Сводка'!$T$3:$T$397,U218)=0,INDEX('Сводка'!$T$3:$T$397,V218)=0),1,0)</x:f>
        <x:v>1</x:v>
      </x:c>
      <x:c r="S218" s="9" t="n">
        <x:f>IF(AND(R218=1,O218&lt;=$G$13),1,0)</x:f>
        <x:v>0</x:v>
      </x:c>
      <x:c r="T218" s="10" t="n">
        <x:f>EOMONTH(J218-'Сводка'!$B$11,-1)</x:f>
        <x:v>46053</x:v>
      </x:c>
      <x:c r="U218" s="4" t="n">
        <x:f>MATCH(J218,'Сводка'!$R$3:$R$397,0)</x:f>
        <x:v>229</x:v>
      </x:c>
      <x:c r="V218" s="4" t="n">
        <x:f>MATCH(J218-'Сводка'!$B$11,'Сводка'!$R$3:$R$397,0)</x:f>
        <x:v>228</x:v>
      </x:c>
      <x:c r="W218" s="4" t="n">
        <x:f>MATCH(T218,$J$388:$J$400,0)</x:f>
        <x:v>8</x:v>
      </x:c>
      <x:c r="X218" s="3"/>
      <x:c r="Y218" s="3"/>
      <x:c r="Z218" s="3"/>
    </x:row>
    <x:row r="219" ht="15" customHeight="1">
      <x:c r="A219" s="3"/>
      <x:c r="B219" s="3"/>
      <x:c r="C219" s="3"/>
      <x:c r="D219" s="3"/>
      <x:c r="E219" s="3"/>
      <x:c r="F219" s="3"/>
      <x:c r="G219" s="3"/>
      <x:c r="H219" s="3"/>
      <x:c r="I219" s="3"/>
      <x:c r="J219" s="10" t="n">
        <x:v>46070</x:v>
      </x:c>
      <x:c r="K219" s="8" t="n">
        <x:f>INDEX('Сводка'!$S$3:$S$397,U219)</x:f>
        <x:v>-40</x:v>
      </x:c>
      <x:c r="L219" s="8" t="n">
        <x:f>INDEX('Сводка'!$S$3:$S$397,V219)</x:f>
        <x:v>-38</x:v>
      </x:c>
      <x:c r="M219" s="8" t="n">
        <x:f>INDEX($K$388:$N$400,W219,1)+INDEX($K$388:$N$400,W219,2)*(2*(J219-$T$405)/(T219-$T$405)-1)^1+INDEX($K$388:$N$400,W219,3)*(2*(J219-$T$405)/(T219-$T$405)-1)^2+INDEX($K$388:$N$400,W219,4)*(2*(J219-$T$405)/(T219-$T$405)-1)^3+INDEX($O$388:$Z$400,W219,MONTH(J219))</x:f>
        <x:v>-47.33672981183503</x:v>
      </x:c>
      <x:c r="N219" s="8" t="n">
        <x:f>K219-M219</x:f>
        <x:v>7.336729811835028</x:v>
      </x:c>
      <x:c r="O219" s="8" t="n">
        <x:f>ABS(N219)</x:f>
        <x:v>7.336729811835028</x:v>
      </x:c>
      <x:c r="P219" s="8" t="n">
        <x:f>N219^2</x:f>
        <x:v>53.82760433186884</x:v>
      </x:c>
      <x:c r="Q219" s="8" t="n">
        <x:f>K219-L219</x:f>
        <x:v>-2</x:v>
      </x:c>
      <x:c r="R219" s="9" t="n">
        <x:f>IF(AND(INDEX('Сводка'!$T$3:$T$397,U219)=0,INDEX('Сводка'!$T$3:$T$397,V219)=0),1,0)</x:f>
        <x:v>1</x:v>
      </x:c>
      <x:c r="S219" s="9" t="n">
        <x:f>IF(AND(R219=1,O219&lt;=$G$13),1,0)</x:f>
        <x:v>1</x:v>
      </x:c>
      <x:c r="T219" s="10" t="n">
        <x:f>EOMONTH(J219-'Сводка'!$B$11,-1)</x:f>
        <x:v>46053</x:v>
      </x:c>
      <x:c r="U219" s="4" t="n">
        <x:f>MATCH(J219,'Сводка'!$R$3:$R$397,0)</x:f>
        <x:v>230</x:v>
      </x:c>
      <x:c r="V219" s="4" t="n">
        <x:f>MATCH(J219-'Сводка'!$B$11,'Сводка'!$R$3:$R$397,0)</x:f>
        <x:v>229</x:v>
      </x:c>
      <x:c r="W219" s="4" t="n">
        <x:f>MATCH(T219,$J$388:$J$400,0)</x:f>
        <x:v>8</x:v>
      </x:c>
      <x:c r="X219" s="3"/>
      <x:c r="Y219" s="3"/>
      <x:c r="Z219" s="3"/>
    </x:row>
    <x:row r="220" ht="15" customHeight="1">
      <x:c r="A220" s="3"/>
      <x:c r="B220" s="3"/>
      <x:c r="C220" s="3"/>
      <x:c r="D220" s="3"/>
      <x:c r="E220" s="3"/>
      <x:c r="F220" s="3"/>
      <x:c r="G220" s="3"/>
      <x:c r="H220" s="3"/>
      <x:c r="I220" s="3"/>
      <x:c r="J220" s="10" t="n">
        <x:v>46071</x:v>
      </x:c>
      <x:c r="K220" s="8" t="n">
        <x:f>INDEX('Сводка'!$S$3:$S$397,U220)</x:f>
        <x:v>-40</x:v>
      </x:c>
      <x:c r="L220" s="8" t="n">
        <x:f>INDEX('Сводка'!$S$3:$S$397,V220)</x:f>
        <x:v>-40</x:v>
      </x:c>
      <x:c r="M220" s="8" t="n">
        <x:f>INDEX($K$388:$N$400,W220,1)+INDEX($K$388:$N$400,W220,2)*(2*(J220-$T$405)/(T220-$T$405)-1)^1+INDEX($K$388:$N$400,W220,3)*(2*(J220-$T$405)/(T220-$T$405)-1)^2+INDEX($K$388:$N$400,W220,4)*(2*(J220-$T$405)/(T220-$T$405)-1)^3+INDEX($O$388:$Z$400,W220,MONTH(J220))</x:f>
        <x:v>-47.3632176242123</x:v>
      </x:c>
      <x:c r="N220" s="8" t="n">
        <x:f>K220-M220</x:f>
        <x:v>7.363217624212297</x:v>
      </x:c>
      <x:c r="O220" s="8" t="n">
        <x:f>ABS(N220)</x:f>
        <x:v>7.363217624212297</x:v>
      </x:c>
      <x:c r="P220" s="8" t="n">
        <x:f>N220^2</x:f>
        <x:v>54.216973781510575</x:v>
      </x:c>
      <x:c r="Q220" s="8" t="n">
        <x:f>K220-L220</x:f>
        <x:v>0</x:v>
      </x:c>
      <x:c r="R220" s="9" t="n">
        <x:f>IF(AND(INDEX('Сводка'!$T$3:$T$397,U220)=0,INDEX('Сводка'!$T$3:$T$397,V220)=0),1,0)</x:f>
        <x:v>1</x:v>
      </x:c>
      <x:c r="S220" s="9" t="n">
        <x:f>IF(AND(R220=1,O220&lt;=$G$13),1,0)</x:f>
        <x:v>1</x:v>
      </x:c>
      <x:c r="T220" s="10" t="n">
        <x:f>EOMONTH(J220-'Сводка'!$B$11,-1)</x:f>
        <x:v>46053</x:v>
      </x:c>
      <x:c r="U220" s="4" t="n">
        <x:f>MATCH(J220,'Сводка'!$R$3:$R$397,0)</x:f>
        <x:v>231</x:v>
      </x:c>
      <x:c r="V220" s="4" t="n">
        <x:f>MATCH(J220-'Сводка'!$B$11,'Сводка'!$R$3:$R$397,0)</x:f>
        <x:v>230</x:v>
      </x:c>
      <x:c r="W220" s="4" t="n">
        <x:f>MATCH(T220,$J$388:$J$400,0)</x:f>
        <x:v>8</x:v>
      </x:c>
      <x:c r="X220" s="3"/>
      <x:c r="Y220" s="3"/>
      <x:c r="Z220" s="3"/>
    </x:row>
    <x:row r="221" ht="15" customHeight="1">
      <x:c r="A221" s="3"/>
      <x:c r="B221" s="3"/>
      <x:c r="C221" s="3"/>
      <x:c r="D221" s="3"/>
      <x:c r="E221" s="3"/>
      <x:c r="F221" s="3"/>
      <x:c r="G221" s="3"/>
      <x:c r="H221" s="3"/>
      <x:c r="I221" s="3"/>
      <x:c r="J221" s="10" t="n">
        <x:v>46072</x:v>
      </x:c>
      <x:c r="K221" s="8" t="n">
        <x:f>INDEX('Сводка'!$S$3:$S$397,U221)</x:f>
        <x:v>-42</x:v>
      </x:c>
      <x:c r="L221" s="8" t="n">
        <x:f>INDEX('Сводка'!$S$3:$S$397,V221)</x:f>
        <x:v>-40</x:v>
      </x:c>
      <x:c r="M221" s="8" t="n">
        <x:f>INDEX($K$388:$N$400,W221,1)+INDEX($K$388:$N$400,W221,2)*(2*(J221-$T$405)/(T221-$T$405)-1)^1+INDEX($K$388:$N$400,W221,3)*(2*(J221-$T$405)/(T221-$T$405)-1)^2+INDEX($K$388:$N$400,W221,4)*(2*(J221-$T$405)/(T221-$T$405)-1)^3+INDEX($O$388:$Z$400,W221,MONTH(J221))</x:f>
        <x:v>-47.38972213435541</x:v>
      </x:c>
      <x:c r="N221" s="8" t="n">
        <x:f>K221-M221</x:f>
        <x:v>5.389722134355409</x:v>
      </x:c>
      <x:c r="O221" s="8" t="n">
        <x:f>ABS(N221)</x:f>
        <x:v>5.389722134355409</x:v>
      </x:c>
      <x:c r="P221" s="8" t="n">
        <x:f>N221^2</x:f>
        <x:v>29.04910468556063</x:v>
      </x:c>
      <x:c r="Q221" s="8" t="n">
        <x:f>K221-L221</x:f>
        <x:v>-2</x:v>
      </x:c>
      <x:c r="R221" s="9" t="n">
        <x:f>IF(AND(INDEX('Сводка'!$T$3:$T$397,U221)=0,INDEX('Сводка'!$T$3:$T$397,V221)=0),1,0)</x:f>
        <x:v>1</x:v>
      </x:c>
      <x:c r="S221" s="9" t="n">
        <x:f>IF(AND(R221=1,O221&lt;=$G$13),1,0)</x:f>
        <x:v>1</x:v>
      </x:c>
      <x:c r="T221" s="10" t="n">
        <x:f>EOMONTH(J221-'Сводка'!$B$11,-1)</x:f>
        <x:v>46053</x:v>
      </x:c>
      <x:c r="U221" s="4" t="n">
        <x:f>MATCH(J221,'Сводка'!$R$3:$R$397,0)</x:f>
        <x:v>232</x:v>
      </x:c>
      <x:c r="V221" s="4" t="n">
        <x:f>MATCH(J221-'Сводка'!$B$11,'Сводка'!$R$3:$R$397,0)</x:f>
        <x:v>231</x:v>
      </x:c>
      <x:c r="W221" s="4" t="n">
        <x:f>MATCH(T221,$J$388:$J$400,0)</x:f>
        <x:v>8</x:v>
      </x:c>
      <x:c r="X221" s="3"/>
      <x:c r="Y221" s="3"/>
      <x:c r="Z221" s="3"/>
    </x:row>
    <x:row r="222" ht="15" customHeight="1">
      <x:c r="A222" s="3"/>
      <x:c r="B222" s="3"/>
      <x:c r="C222" s="3"/>
      <x:c r="D222" s="3"/>
      <x:c r="E222" s="3"/>
      <x:c r="F222" s="3"/>
      <x:c r="G222" s="3"/>
      <x:c r="H222" s="3"/>
      <x:c r="I222" s="3"/>
      <x:c r="J222" s="10" t="n">
        <x:v>46073</x:v>
      </x:c>
      <x:c r="K222" s="8" t="n">
        <x:f>INDEX('Сводка'!$S$3:$S$397,U222)</x:f>
        <x:v>-43</x:v>
      </x:c>
      <x:c r="L222" s="8" t="n">
        <x:f>INDEX('Сводка'!$S$3:$S$397,V222)</x:f>
        <x:v>-42</x:v>
      </x:c>
      <x:c r="M222" s="8" t="n">
        <x:f>INDEX($K$388:$N$400,W222,1)+INDEX($K$388:$N$400,W222,2)*(2*(J222-$T$405)/(T222-$T$405)-1)^1+INDEX($K$388:$N$400,W222,3)*(2*(J222-$T$405)/(T222-$T$405)-1)^2+INDEX($K$388:$N$400,W222,4)*(2*(J222-$T$405)/(T222-$T$405)-1)^3+INDEX($O$388:$Z$400,W222,MONTH(J222))</x:f>
        <x:v>-47.41624334460016</x:v>
      </x:c>
      <x:c r="N222" s="8" t="n">
        <x:f>K222-M222</x:f>
        <x:v>4.416243344600161</x:v>
      </x:c>
      <x:c r="O222" s="8" t="n">
        <x:f>ABS(N222)</x:f>
        <x:v>4.416243344600161</x:v>
      </x:c>
      <x:c r="P222" s="8" t="n">
        <x:f>N222^2</x:f>
        <x:v>19.503205278725222</x:v>
      </x:c>
      <x:c r="Q222" s="8" t="n">
        <x:f>K222-L222</x:f>
        <x:v>-1</x:v>
      </x:c>
      <x:c r="R222" s="9" t="n">
        <x:f>IF(AND(INDEX('Сводка'!$T$3:$T$397,U222)=0,INDEX('Сводка'!$T$3:$T$397,V222)=0),1,0)</x:f>
        <x:v>1</x:v>
      </x:c>
      <x:c r="S222" s="9" t="n">
        <x:f>IF(AND(R222=1,O222&lt;=$G$13),1,0)</x:f>
        <x:v>1</x:v>
      </x:c>
      <x:c r="T222" s="10" t="n">
        <x:f>EOMONTH(J222-'Сводка'!$B$11,-1)</x:f>
        <x:v>46053</x:v>
      </x:c>
      <x:c r="U222" s="4" t="n">
        <x:f>MATCH(J222,'Сводка'!$R$3:$R$397,0)</x:f>
        <x:v>233</x:v>
      </x:c>
      <x:c r="V222" s="4" t="n">
        <x:f>MATCH(J222-'Сводка'!$B$11,'Сводка'!$R$3:$R$397,0)</x:f>
        <x:v>232</x:v>
      </x:c>
      <x:c r="W222" s="4" t="n">
        <x:f>MATCH(T222,$J$388:$J$400,0)</x:f>
        <x:v>8</x:v>
      </x:c>
      <x:c r="X222" s="3"/>
      <x:c r="Y222" s="3"/>
      <x:c r="Z222" s="3"/>
    </x:row>
    <x:row r="223" ht="15" customHeight="1">
      <x:c r="A223" s="3"/>
      <x:c r="B223" s="3"/>
      <x:c r="C223" s="3"/>
      <x:c r="D223" s="3"/>
      <x:c r="E223" s="3"/>
      <x:c r="F223" s="3"/>
      <x:c r="G223" s="3"/>
      <x:c r="H223" s="3"/>
      <x:c r="I223" s="3"/>
      <x:c r="J223" s="10" t="n">
        <x:v>46074</x:v>
      </x:c>
      <x:c r="K223" s="8" t="n">
        <x:f>INDEX('Сводка'!$S$3:$S$397,U223)</x:f>
        <x:v>-43</x:v>
      </x:c>
      <x:c r="L223" s="8" t="n">
        <x:f>INDEX('Сводка'!$S$3:$S$397,V223)</x:f>
        <x:v>-43</x:v>
      </x:c>
      <x:c r="M223" s="8" t="n">
        <x:f>INDEX($K$388:$N$400,W223,1)+INDEX($K$388:$N$400,W223,2)*(2*(J223-$T$405)/(T223-$T$405)-1)^1+INDEX($K$388:$N$400,W223,3)*(2*(J223-$T$405)/(T223-$T$405)-1)^2+INDEX($K$388:$N$400,W223,4)*(2*(J223-$T$405)/(T223-$T$405)-1)^3+INDEX($O$388:$Z$400,W223,MONTH(J223))</x:f>
        <x:v>-47.442781257282405</x:v>
      </x:c>
      <x:c r="N223" s="8" t="n">
        <x:f>K223-M223</x:f>
        <x:v>4.442781257282405</x:v>
      </x:c>
      <x:c r="O223" s="8" t="n">
        <x:f>ABS(N223)</x:f>
        <x:v>4.442781257282405</x:v>
      </x:c>
      <x:c r="P223" s="8" t="n">
        <x:f>N223^2</x:f>
        <x:v>19.738305300059828</x:v>
      </x:c>
      <x:c r="Q223" s="8" t="n">
        <x:f>K223-L223</x:f>
        <x:v>0</x:v>
      </x:c>
      <x:c r="R223" s="9" t="n">
        <x:f>IF(AND(INDEX('Сводка'!$T$3:$T$397,U223)=0,INDEX('Сводка'!$T$3:$T$397,V223)=0),1,0)</x:f>
        <x:v>1</x:v>
      </x:c>
      <x:c r="S223" s="9" t="n">
        <x:f>IF(AND(R223=1,O223&lt;=$G$13),1,0)</x:f>
        <x:v>1</x:v>
      </x:c>
      <x:c r="T223" s="10" t="n">
        <x:f>EOMONTH(J223-'Сводка'!$B$11,-1)</x:f>
        <x:v>46053</x:v>
      </x:c>
      <x:c r="U223" s="4" t="n">
        <x:f>MATCH(J223,'Сводка'!$R$3:$R$397,0)</x:f>
        <x:v>234</x:v>
      </x:c>
      <x:c r="V223" s="4" t="n">
        <x:f>MATCH(J223-'Сводка'!$B$11,'Сводка'!$R$3:$R$397,0)</x:f>
        <x:v>233</x:v>
      </x:c>
      <x:c r="W223" s="4" t="n">
        <x:f>MATCH(T223,$J$388:$J$400,0)</x:f>
        <x:v>8</x:v>
      </x:c>
      <x:c r="X223" s="3"/>
      <x:c r="Y223" s="3"/>
      <x:c r="Z223" s="3"/>
    </x:row>
    <x:row r="224" ht="15" customHeight="1">
      <x:c r="A224" s="3"/>
      <x:c r="B224" s="3"/>
      <x:c r="C224" s="3"/>
      <x:c r="D224" s="3"/>
      <x:c r="E224" s="3"/>
      <x:c r="F224" s="3"/>
      <x:c r="G224" s="3"/>
      <x:c r="H224" s="3"/>
      <x:c r="I224" s="3"/>
      <x:c r="J224" s="10" t="n">
        <x:v>46075</x:v>
      </x:c>
      <x:c r="K224" s="8" t="n">
        <x:f>INDEX('Сводка'!$S$3:$S$397,U224)</x:f>
        <x:v>-43</x:v>
      </x:c>
      <x:c r="L224" s="8" t="n">
        <x:f>INDEX('Сводка'!$S$3:$S$397,V224)</x:f>
        <x:v>-43</x:v>
      </x:c>
      <x:c r="M224" s="8" t="n">
        <x:f>INDEX($K$388:$N$400,W224,1)+INDEX($K$388:$N$400,W224,2)*(2*(J224-$T$405)/(T224-$T$405)-1)^1+INDEX($K$388:$N$400,W224,3)*(2*(J224-$T$405)/(T224-$T$405)-1)^2+INDEX($K$388:$N$400,W224,4)*(2*(J224-$T$405)/(T224-$T$405)-1)^3+INDEX($O$388:$Z$400,W224,MONTH(J224))</x:f>
        <x:v>-47.46933587473808</x:v>
      </x:c>
      <x:c r="N224" s="8" t="n">
        <x:f>K224-M224</x:f>
        <x:v>4.4693358747380785</x:v>
      </x:c>
      <x:c r="O224" s="8" t="n">
        <x:f>ABS(N224)</x:f>
        <x:v>4.4693358747380785</x:v>
      </x:c>
      <x:c r="P224" s="8" t="n">
        <x:f>N224^2</x:f>
        <x:v>19.974963161220785</x:v>
      </x:c>
      <x:c r="Q224" s="8" t="n">
        <x:f>K224-L224</x:f>
        <x:v>0</x:v>
      </x:c>
      <x:c r="R224" s="9" t="n">
        <x:f>IF(AND(INDEX('Сводка'!$T$3:$T$397,U224)=0,INDEX('Сводка'!$T$3:$T$397,V224)=0),1,0)</x:f>
        <x:v>1</x:v>
      </x:c>
      <x:c r="S224" s="9" t="n">
        <x:f>IF(AND(R224=1,O224&lt;=$G$13),1,0)</x:f>
        <x:v>1</x:v>
      </x:c>
      <x:c r="T224" s="10" t="n">
        <x:f>EOMONTH(J224-'Сводка'!$B$11,-1)</x:f>
        <x:v>46053</x:v>
      </x:c>
      <x:c r="U224" s="4" t="n">
        <x:f>MATCH(J224,'Сводка'!$R$3:$R$397,0)</x:f>
        <x:v>235</x:v>
      </x:c>
      <x:c r="V224" s="4" t="n">
        <x:f>MATCH(J224-'Сводка'!$B$11,'Сводка'!$R$3:$R$397,0)</x:f>
        <x:v>234</x:v>
      </x:c>
      <x:c r="W224" s="4" t="n">
        <x:f>MATCH(T224,$J$388:$J$400,0)</x:f>
        <x:v>8</x:v>
      </x:c>
      <x:c r="X224" s="3"/>
      <x:c r="Y224" s="3"/>
      <x:c r="Z224" s="3"/>
    </x:row>
    <x:row r="225" ht="15" customHeight="1">
      <x:c r="A225" s="3"/>
      <x:c r="B225" s="3"/>
      <x:c r="C225" s="3"/>
      <x:c r="D225" s="3"/>
      <x:c r="E225" s="3"/>
      <x:c r="F225" s="3"/>
      <x:c r="G225" s="3"/>
      <x:c r="H225" s="3"/>
      <x:c r="I225" s="3"/>
      <x:c r="J225" s="10" t="n">
        <x:v>46076</x:v>
      </x:c>
      <x:c r="K225" s="8" t="n">
        <x:f>INDEX('Сводка'!$S$3:$S$397,U225)</x:f>
        <x:v>-44</x:v>
      </x:c>
      <x:c r="L225" s="8" t="n">
        <x:f>INDEX('Сводка'!$S$3:$S$397,V225)</x:f>
        <x:v>-43</x:v>
      </x:c>
      <x:c r="M225" s="8" t="n">
        <x:f>INDEX($K$388:$N$400,W225,1)+INDEX($K$388:$N$400,W225,2)*(2*(J225-$T$405)/(T225-$T$405)-1)^1+INDEX($K$388:$N$400,W225,3)*(2*(J225-$T$405)/(T225-$T$405)-1)^2+INDEX($K$388:$N$400,W225,4)*(2*(J225-$T$405)/(T225-$T$405)-1)^3+INDEX($O$388:$Z$400,W225,MONTH(J225))</x:f>
        <x:v>-47.495907199302934</x:v>
      </x:c>
      <x:c r="N225" s="8" t="n">
        <x:f>K225-M225</x:f>
        <x:v>3.495907199302934</x:v>
      </x:c>
      <x:c r="O225" s="8" t="n">
        <x:f>ABS(N225)</x:f>
        <x:v>3.495907199302934</x:v>
      </x:c>
      <x:c r="P225" s="8" t="n">
        <x:f>N225^2</x:f>
        <x:v>12.221367146138084</x:v>
      </x:c>
      <x:c r="Q225" s="8" t="n">
        <x:f>K225-L225</x:f>
        <x:v>-1</x:v>
      </x:c>
      <x:c r="R225" s="9" t="n">
        <x:f>IF(AND(INDEX('Сводка'!$T$3:$T$397,U225)=0,INDEX('Сводка'!$T$3:$T$397,V225)=0),1,0)</x:f>
        <x:v>1</x:v>
      </x:c>
      <x:c r="S225" s="9" t="n">
        <x:f>IF(AND(R225=1,O225&lt;=$G$13),1,0)</x:f>
        <x:v>1</x:v>
      </x:c>
      <x:c r="T225" s="10" t="n">
        <x:f>EOMONTH(J225-'Сводка'!$B$11,-1)</x:f>
        <x:v>46053</x:v>
      </x:c>
      <x:c r="U225" s="4" t="n">
        <x:f>MATCH(J225,'Сводка'!$R$3:$R$397,0)</x:f>
        <x:v>236</x:v>
      </x:c>
      <x:c r="V225" s="4" t="n">
        <x:f>MATCH(J225-'Сводка'!$B$11,'Сводка'!$R$3:$R$397,0)</x:f>
        <x:v>235</x:v>
      </x:c>
      <x:c r="W225" s="4" t="n">
        <x:f>MATCH(T225,$J$388:$J$400,0)</x:f>
        <x:v>8</x:v>
      </x:c>
      <x:c r="X225" s="3"/>
      <x:c r="Y225" s="3"/>
      <x:c r="Z225" s="3"/>
    </x:row>
    <x:row r="226" ht="15" customHeight="1">
      <x:c r="A226" s="3"/>
      <x:c r="B226" s="3"/>
      <x:c r="C226" s="3"/>
      <x:c r="D226" s="3"/>
      <x:c r="E226" s="3"/>
      <x:c r="F226" s="3"/>
      <x:c r="G226" s="3"/>
      <x:c r="H226" s="3"/>
      <x:c r="I226" s="3"/>
      <x:c r="J226" s="10" t="n">
        <x:v>46077</x:v>
      </x:c>
      <x:c r="K226" s="8" t="n">
        <x:f>INDEX('Сводка'!$S$3:$S$397,U226)</x:f>
        <x:v>-46</x:v>
      </x:c>
      <x:c r="L226" s="8" t="n">
        <x:f>INDEX('Сводка'!$S$3:$S$397,V226)</x:f>
        <x:v>-44</x:v>
      </x:c>
      <x:c r="M226" s="8" t="n">
        <x:f>INDEX($K$388:$N$400,W226,1)+INDEX($K$388:$N$400,W226,2)*(2*(J226-$T$405)/(T226-$T$405)-1)^1+INDEX($K$388:$N$400,W226,3)*(2*(J226-$T$405)/(T226-$T$405)-1)^2+INDEX($K$388:$N$400,W226,4)*(2*(J226-$T$405)/(T226-$T$405)-1)^3+INDEX($O$388:$Z$400,W226,MONTH(J226))</x:f>
        <x:v>-47.52249523331288</x:v>
      </x:c>
      <x:c r="N226" s="8" t="n">
        <x:f>K226-M226</x:f>
        <x:v>1.5224952333128812</x:v>
      </x:c>
      <x:c r="O226" s="8" t="n">
        <x:f>ABS(N226)</x:f>
        <x:v>1.5224952333128812</x:v>
      </x:c>
      <x:c r="P226" s="8" t="n">
        <x:f>N226^2</x:f>
        <x:v>2.3179917354604447</x:v>
      </x:c>
      <x:c r="Q226" s="8" t="n">
        <x:f>K226-L226</x:f>
        <x:v>-2</x:v>
      </x:c>
      <x:c r="R226" s="9" t="n">
        <x:f>IF(AND(INDEX('Сводка'!$T$3:$T$397,U226)=0,INDEX('Сводка'!$T$3:$T$397,V226)=0),1,0)</x:f>
        <x:v>1</x:v>
      </x:c>
      <x:c r="S226" s="9" t="n">
        <x:f>IF(AND(R226=1,O226&lt;=$G$13),1,0)</x:f>
        <x:v>1</x:v>
      </x:c>
      <x:c r="T226" s="10" t="n">
        <x:f>EOMONTH(J226-'Сводка'!$B$11,-1)</x:f>
        <x:v>46053</x:v>
      </x:c>
      <x:c r="U226" s="4" t="n">
        <x:f>MATCH(J226,'Сводка'!$R$3:$R$397,0)</x:f>
        <x:v>237</x:v>
      </x:c>
      <x:c r="V226" s="4" t="n">
        <x:f>MATCH(J226-'Сводка'!$B$11,'Сводка'!$R$3:$R$397,0)</x:f>
        <x:v>236</x:v>
      </x:c>
      <x:c r="W226" s="4" t="n">
        <x:f>MATCH(T226,$J$388:$J$400,0)</x:f>
        <x:v>8</x:v>
      </x:c>
      <x:c r="X226" s="3"/>
      <x:c r="Y226" s="3"/>
      <x:c r="Z226" s="3"/>
    </x:row>
    <x:row r="227" ht="15" customHeight="1">
      <x:c r="A227" s="3"/>
      <x:c r="B227" s="3"/>
      <x:c r="C227" s="3"/>
      <x:c r="D227" s="3"/>
      <x:c r="E227" s="3"/>
      <x:c r="F227" s="3"/>
      <x:c r="G227" s="3"/>
      <x:c r="H227" s="3"/>
      <x:c r="I227" s="3"/>
      <x:c r="J227" s="10" t="n">
        <x:v>46078</x:v>
      </x:c>
      <x:c r="K227" s="8" t="n">
        <x:f>INDEX('Сводка'!$S$3:$S$397,U227)</x:f>
        <x:v>-46</x:v>
      </x:c>
      <x:c r="L227" s="8" t="n">
        <x:f>INDEX('Сводка'!$S$3:$S$397,V227)</x:f>
        <x:v>-46</x:v>
      </x:c>
      <x:c r="M227" s="8" t="n">
        <x:f>INDEX($K$388:$N$400,W227,1)+INDEX($K$388:$N$400,W227,2)*(2*(J227-$T$405)/(T227-$T$405)-1)^1+INDEX($K$388:$N$400,W227,3)*(2*(J227-$T$405)/(T227-$T$405)-1)^2+INDEX($K$388:$N$400,W227,4)*(2*(J227-$T$405)/(T227-$T$405)-1)^3+INDEX($O$388:$Z$400,W227,MONTH(J227))</x:f>
        <x:v>-47.549099979103715</x:v>
      </x:c>
      <x:c r="N227" s="8" t="n">
        <x:f>K227-M227</x:f>
        <x:v>1.5490999791037154</x:v>
      </x:c>
      <x:c r="O227" s="8" t="n">
        <x:f>ABS(N227)</x:f>
        <x:v>1.5490999791037154</x:v>
      </x:c>
      <x:c r="P227" s="8" t="n">
        <x:f>N227^2</x:f>
        <x:v>2.3997107452591315</x:v>
      </x:c>
      <x:c r="Q227" s="8" t="n">
        <x:f>K227-L227</x:f>
        <x:v>0</x:v>
      </x:c>
      <x:c r="R227" s="9" t="n">
        <x:f>IF(AND(INDEX('Сводка'!$T$3:$T$397,U227)=0,INDEX('Сводка'!$T$3:$T$397,V227)=0),1,0)</x:f>
        <x:v>1</x:v>
      </x:c>
      <x:c r="S227" s="9" t="n">
        <x:f>IF(AND(R227=1,O227&lt;=$G$13),1,0)</x:f>
        <x:v>1</x:v>
      </x:c>
      <x:c r="T227" s="10" t="n">
        <x:f>EOMONTH(J227-'Сводка'!$B$11,-1)</x:f>
        <x:v>46053</x:v>
      </x:c>
      <x:c r="U227" s="4" t="n">
        <x:f>MATCH(J227,'Сводка'!$R$3:$R$397,0)</x:f>
        <x:v>238</x:v>
      </x:c>
      <x:c r="V227" s="4" t="n">
        <x:f>MATCH(J227-'Сводка'!$B$11,'Сводка'!$R$3:$R$397,0)</x:f>
        <x:v>237</x:v>
      </x:c>
      <x:c r="W227" s="4" t="n">
        <x:f>MATCH(T227,$J$388:$J$400,0)</x:f>
        <x:v>8</x:v>
      </x:c>
      <x:c r="X227" s="3"/>
      <x:c r="Y227" s="3"/>
      <x:c r="Z227" s="3"/>
    </x:row>
    <x:row r="228" ht="15" customHeight="1">
      <x:c r="A228" s="3"/>
      <x:c r="B228" s="3"/>
      <x:c r="C228" s="3"/>
      <x:c r="D228" s="3"/>
      <x:c r="E228" s="3"/>
      <x:c r="F228" s="3"/>
      <x:c r="G228" s="3"/>
      <x:c r="H228" s="3"/>
      <x:c r="I228" s="3"/>
      <x:c r="J228" s="10" t="n">
        <x:v>46079</x:v>
      </x:c>
      <x:c r="K228" s="8" t="n">
        <x:f>INDEX('Сводка'!$S$3:$S$397,U228)</x:f>
        <x:v>-48</x:v>
      </x:c>
      <x:c r="L228" s="8" t="n">
        <x:f>INDEX('Сводка'!$S$3:$S$397,V228)</x:f>
        <x:v>-46</x:v>
      </x:c>
      <x:c r="M228" s="8" t="n">
        <x:f>INDEX($K$388:$N$400,W228,1)+INDEX($K$388:$N$400,W228,2)*(2*(J228-$T$405)/(T228-$T$405)-1)^1+INDEX($K$388:$N$400,W228,3)*(2*(J228-$T$405)/(T228-$T$405)-1)^2+INDEX($K$388:$N$400,W228,4)*(2*(J228-$T$405)/(T228-$T$405)-1)^3+INDEX($O$388:$Z$400,W228,MONTH(J228))</x:f>
        <x:v>-47.57572143901133</x:v>
      </x:c>
      <x:c r="N228" s="8" t="n">
        <x:f>K228-M228</x:f>
        <x:v>-0.4242785609886681</x:v>
      </x:c>
      <x:c r="O228" s="8" t="n">
        <x:f>ABS(N228)</x:f>
        <x:v>0.4242785609886681</x:v>
      </x:c>
      <x:c r="P228" s="8" t="n">
        <x:f>N228^2</x:f>
        <x:v>0.18001229731461496</x:v>
      </x:c>
      <x:c r="Q228" s="8" t="n">
        <x:f>K228-L228</x:f>
        <x:v>-2</x:v>
      </x:c>
      <x:c r="R228" s="9" t="n">
        <x:f>IF(AND(INDEX('Сводка'!$T$3:$T$397,U228)=0,INDEX('Сводка'!$T$3:$T$397,V228)=0),1,0)</x:f>
        <x:v>1</x:v>
      </x:c>
      <x:c r="S228" s="9" t="n">
        <x:f>IF(AND(R228=1,O228&lt;=$G$13),1,0)</x:f>
        <x:v>1</x:v>
      </x:c>
      <x:c r="T228" s="10" t="n">
        <x:f>EOMONTH(J228-'Сводка'!$B$11,-1)</x:f>
        <x:v>46053</x:v>
      </x:c>
      <x:c r="U228" s="4" t="n">
        <x:f>MATCH(J228,'Сводка'!$R$3:$R$397,0)</x:f>
        <x:v>239</x:v>
      </x:c>
      <x:c r="V228" s="4" t="n">
        <x:f>MATCH(J228-'Сводка'!$B$11,'Сводка'!$R$3:$R$397,0)</x:f>
        <x:v>238</x:v>
      </x:c>
      <x:c r="W228" s="4" t="n">
        <x:f>MATCH(T228,$J$388:$J$400,0)</x:f>
        <x:v>8</x:v>
      </x:c>
      <x:c r="X228" s="3"/>
      <x:c r="Y228" s="3"/>
      <x:c r="Z228" s="3"/>
    </x:row>
    <x:row r="229" ht="15" customHeight="1">
      <x:c r="A229" s="3"/>
      <x:c r="B229" s="3"/>
      <x:c r="C229" s="3"/>
      <x:c r="D229" s="3"/>
      <x:c r="E229" s="3"/>
      <x:c r="F229" s="3"/>
      <x:c r="G229" s="3"/>
      <x:c r="H229" s="3"/>
      <x:c r="I229" s="3"/>
      <x:c r="J229" s="10" t="n">
        <x:v>46080</x:v>
      </x:c>
      <x:c r="K229" s="8" t="n">
        <x:f>INDEX('Сводка'!$S$3:$S$397,U229)</x:f>
        <x:v>-51</x:v>
      </x:c>
      <x:c r="L229" s="8" t="n">
        <x:f>INDEX('Сводка'!$S$3:$S$397,V229)</x:f>
        <x:v>-48</x:v>
      </x:c>
      <x:c r="M229" s="8" t="n">
        <x:f>INDEX($K$388:$N$400,W229,1)+INDEX($K$388:$N$400,W229,2)*(2*(J229-$T$405)/(T229-$T$405)-1)^1+INDEX($K$388:$N$400,W229,3)*(2*(J229-$T$405)/(T229-$T$405)-1)^2+INDEX($K$388:$N$400,W229,4)*(2*(J229-$T$405)/(T229-$T$405)-1)^3+INDEX($O$388:$Z$400,W229,MONTH(J229))</x:f>
        <x:v>-47.602359615371626</x:v>
      </x:c>
      <x:c r="N229" s="8" t="n">
        <x:f>K229-M229</x:f>
        <x:v>-3.3976403846283745</x:v>
      </x:c>
      <x:c r="O229" s="8" t="n">
        <x:f>ABS(N229)</x:f>
        <x:v>3.3976403846283745</x:v>
      </x:c>
      <x:c r="P229" s="8" t="n">
        <x:f>N229^2</x:f>
        <x:v>11.54396018325765</x:v>
      </x:c>
      <x:c r="Q229" s="8" t="n">
        <x:f>K229-L229</x:f>
        <x:v>-3</x:v>
      </x:c>
      <x:c r="R229" s="9" t="n">
        <x:f>IF(AND(INDEX('Сводка'!$T$3:$T$397,U229)=0,INDEX('Сводка'!$T$3:$T$397,V229)=0),1,0)</x:f>
        <x:v>1</x:v>
      </x:c>
      <x:c r="S229" s="9" t="n">
        <x:f>IF(AND(R229=1,O229&lt;=$G$13),1,0)</x:f>
        <x:v>1</x:v>
      </x:c>
      <x:c r="T229" s="10" t="n">
        <x:f>EOMONTH(J229-'Сводка'!$B$11,-1)</x:f>
        <x:v>46053</x:v>
      </x:c>
      <x:c r="U229" s="4" t="n">
        <x:f>MATCH(J229,'Сводка'!$R$3:$R$397,0)</x:f>
        <x:v>240</x:v>
      </x:c>
      <x:c r="V229" s="4" t="n">
        <x:f>MATCH(J229-'Сводка'!$B$11,'Сводка'!$R$3:$R$397,0)</x:f>
        <x:v>239</x:v>
      </x:c>
      <x:c r="W229" s="4" t="n">
        <x:f>MATCH(T229,$J$388:$J$400,0)</x:f>
        <x:v>8</x:v>
      </x:c>
      <x:c r="X229" s="3"/>
      <x:c r="Y229" s="3"/>
      <x:c r="Z229" s="3"/>
    </x:row>
    <x:row r="230" ht="15" customHeight="1">
      <x:c r="A230" s="3"/>
      <x:c r="B230" s="3"/>
      <x:c r="C230" s="3"/>
      <x:c r="D230" s="3"/>
      <x:c r="E230" s="3"/>
      <x:c r="F230" s="3"/>
      <x:c r="G230" s="3"/>
      <x:c r="H230" s="3"/>
      <x:c r="I230" s="3"/>
      <x:c r="J230" s="10" t="n">
        <x:v>46081</x:v>
      </x:c>
      <x:c r="K230" s="8" t="n">
        <x:f>INDEX('Сводка'!$S$3:$S$397,U230)</x:f>
        <x:v>-54</x:v>
      </x:c>
      <x:c r="L230" s="8" t="n">
        <x:f>INDEX('Сводка'!$S$3:$S$397,V230)</x:f>
        <x:v>-51</x:v>
      </x:c>
      <x:c r="M230" s="8" t="n">
        <x:f>INDEX($K$388:$N$400,W230,1)+INDEX($K$388:$N$400,W230,2)*(2*(J230-$T$405)/(T230-$T$405)-1)^1+INDEX($K$388:$N$400,W230,3)*(2*(J230-$T$405)/(T230-$T$405)-1)^2+INDEX($K$388:$N$400,W230,4)*(2*(J230-$T$405)/(T230-$T$405)-1)^3+INDEX($O$388:$Z$400,W230,MONTH(J230))</x:f>
        <x:v>-47.62901451052036</x:v>
      </x:c>
      <x:c r="N230" s="8" t="n">
        <x:f>K230-M230</x:f>
        <x:v>-6.3709854894796365</x:v>
      </x:c>
      <x:c r="O230" s="8" t="n">
        <x:f>ABS(N230)</x:f>
        <x:v>6.3709854894796365</x:v>
      </x:c>
      <x:c r="P230" s="8" t="n">
        <x:f>N230^2</x:f>
        <x:v>40.58945610716008</x:v>
      </x:c>
      <x:c r="Q230" s="8" t="n">
        <x:f>K230-L230</x:f>
        <x:v>-3</x:v>
      </x:c>
      <x:c r="R230" s="9" t="n">
        <x:f>IF(AND(INDEX('Сводка'!$T$3:$T$397,U230)=0,INDEX('Сводка'!$T$3:$T$397,V230)=0),1,0)</x:f>
        <x:v>1</x:v>
      </x:c>
      <x:c r="S230" s="9" t="n">
        <x:f>IF(AND(R230=1,O230&lt;=$G$13),1,0)</x:f>
        <x:v>1</x:v>
      </x:c>
      <x:c r="T230" s="10" t="n">
        <x:f>EOMONTH(J230-'Сводка'!$B$11,-1)</x:f>
        <x:v>46053</x:v>
      </x:c>
      <x:c r="U230" s="4" t="n">
        <x:f>MATCH(J230,'Сводка'!$R$3:$R$397,0)</x:f>
        <x:v>241</x:v>
      </x:c>
      <x:c r="V230" s="4" t="n">
        <x:f>MATCH(J230-'Сводка'!$B$11,'Сводка'!$R$3:$R$397,0)</x:f>
        <x:v>240</x:v>
      </x:c>
      <x:c r="W230" s="4" t="n">
        <x:f>MATCH(T230,$J$388:$J$400,0)</x:f>
        <x:v>8</x:v>
      </x:c>
      <x:c r="X230" s="3"/>
      <x:c r="Y230" s="3"/>
      <x:c r="Z230" s="3"/>
    </x:row>
    <x:row r="231" ht="15" customHeight="1">
      <x:c r="A231" s="3"/>
      <x:c r="B231" s="3"/>
      <x:c r="C231" s="3"/>
      <x:c r="D231" s="3"/>
      <x:c r="E231" s="3"/>
      <x:c r="F231" s="3"/>
      <x:c r="G231" s="3"/>
      <x:c r="H231" s="3"/>
      <x:c r="I231" s="3"/>
      <x:c r="J231" s="10" t="n">
        <x:v>46082</x:v>
      </x:c>
      <x:c r="K231" s="8" t="n">
        <x:f>INDEX('Сводка'!$S$3:$S$397,U231)</x:f>
        <x:v>-55</x:v>
      </x:c>
      <x:c r="L231" s="8" t="n">
        <x:f>INDEX('Сводка'!$S$3:$S$397,V231)</x:f>
        <x:v>-54</x:v>
      </x:c>
      <x:c r="M231" s="8" t="n">
        <x:f>INDEX($K$388:$N$400,W231,1)+INDEX($K$388:$N$400,W231,2)*(2*(J231-$T$405)/(T231-$T$405)-1)^1+INDEX($K$388:$N$400,W231,3)*(2*(J231-$T$405)/(T231-$T$405)-1)^2+INDEX($K$388:$N$400,W231,4)*(2*(J231-$T$405)/(T231-$T$405)-1)^3+INDEX($O$388:$Z$400,W231,MONTH(J231))</x:f>
        <x:v>-59.69498723345751</x:v>
      </x:c>
      <x:c r="N231" s="8" t="n">
        <x:f>K231-M231</x:f>
        <x:v>4.6949872334575105</x:v>
      </x:c>
      <x:c r="O231" s="8" t="n">
        <x:f>ABS(N231)</x:f>
        <x:v>4.6949872334575105</x:v>
      </x:c>
      <x:c r="P231" s="8" t="n">
        <x:f>N231^2</x:f>
        <x:v>22.042905122329007</x:v>
      </x:c>
      <x:c r="Q231" s="8" t="n">
        <x:f>K231-L231</x:f>
        <x:v>-1</x:v>
      </x:c>
      <x:c r="R231" s="9" t="n">
        <x:f>IF(AND(INDEX('Сводка'!$T$3:$T$397,U231)=0,INDEX('Сводка'!$T$3:$T$397,V231)=0),1,0)</x:f>
        <x:v>1</x:v>
      </x:c>
      <x:c r="S231" s="9" t="n">
        <x:f>IF(AND(R231=1,O231&lt;=$G$13),1,0)</x:f>
        <x:v>1</x:v>
      </x:c>
      <x:c r="T231" s="10" t="n">
        <x:f>EOMONTH(J231-'Сводка'!$B$11,-1)</x:f>
        <x:v>46053</x:v>
      </x:c>
      <x:c r="U231" s="4" t="n">
        <x:f>MATCH(J231,'Сводка'!$R$3:$R$397,0)</x:f>
        <x:v>242</x:v>
      </x:c>
      <x:c r="V231" s="4" t="n">
        <x:f>MATCH(J231-'Сводка'!$B$11,'Сводка'!$R$3:$R$397,0)</x:f>
        <x:v>241</x:v>
      </x:c>
      <x:c r="W231" s="4" t="n">
        <x:f>MATCH(T231,$J$388:$J$400,0)</x:f>
        <x:v>8</x:v>
      </x:c>
      <x:c r="X231" s="3"/>
      <x:c r="Y231" s="3"/>
      <x:c r="Z231" s="3"/>
    </x:row>
    <x:row r="232" ht="15" customHeight="1">
      <x:c r="A232" s="3"/>
      <x:c r="B232" s="3"/>
      <x:c r="C232" s="3"/>
      <x:c r="D232" s="3"/>
      <x:c r="E232" s="3"/>
      <x:c r="F232" s="3"/>
      <x:c r="G232" s="3"/>
      <x:c r="H232" s="3"/>
      <x:c r="I232" s="3"/>
      <x:c r="J232" s="10" t="n">
        <x:v>46083</x:v>
      </x:c>
      <x:c r="K232" s="8" t="n">
        <x:f>INDEX('Сводка'!$S$3:$S$397,U232)</x:f>
        <x:v>-57</x:v>
      </x:c>
      <x:c r="L232" s="8" t="n">
        <x:f>INDEX('Сводка'!$S$3:$S$397,V232)</x:f>
        <x:v>-55</x:v>
      </x:c>
      <x:c r="M232" s="8" t="n">
        <x:f>INDEX($K$388:$N$400,W232,1)+INDEX($K$388:$N$400,W232,2)*(2*(J232-$T$405)/(T232-$T$405)-1)^1+INDEX($K$388:$N$400,W232,3)*(2*(J232-$T$405)/(T232-$T$405)-1)^2+INDEX($K$388:$N$400,W232,4)*(2*(J232-$T$405)/(T232-$T$405)-1)^3+INDEX($O$388:$Z$400,W232,MONTH(J232))</x:f>
        <x:v>-59.426733875155165</x:v>
      </x:c>
      <x:c r="N232" s="8" t="n">
        <x:f>K232-M232</x:f>
        <x:v>2.426733875155165</x:v>
      </x:c>
      <x:c r="O232" s="8" t="n">
        <x:f>ABS(N232)</x:f>
        <x:v>2.426733875155165</x:v>
      </x:c>
      <x:c r="P232" s="8" t="n">
        <x:f>N232^2</x:f>
        <x:v>5.889037300825603</x:v>
      </x:c>
      <x:c r="Q232" s="8" t="n">
        <x:f>K232-L232</x:f>
        <x:v>-2</x:v>
      </x:c>
      <x:c r="R232" s="9" t="n">
        <x:f>IF(AND(INDEX('Сводка'!$T$3:$T$397,U232)=0,INDEX('Сводка'!$T$3:$T$397,V232)=0),1,0)</x:f>
        <x:v>1</x:v>
      </x:c>
      <x:c r="S232" s="9" t="n">
        <x:f>IF(AND(R232=1,O232&lt;=$G$13),1,0)</x:f>
        <x:v>1</x:v>
      </x:c>
      <x:c r="T232" s="10" t="n">
        <x:f>EOMONTH(J232-'Сводка'!$B$11,-1)</x:f>
        <x:v>46081</x:v>
      </x:c>
      <x:c r="U232" s="4" t="n">
        <x:f>MATCH(J232,'Сводка'!$R$3:$R$397,0)</x:f>
        <x:v>243</x:v>
      </x:c>
      <x:c r="V232" s="4" t="n">
        <x:f>MATCH(J232-'Сводка'!$B$11,'Сводка'!$R$3:$R$397,0)</x:f>
        <x:v>242</x:v>
      </x:c>
      <x:c r="W232" s="4" t="n">
        <x:f>MATCH(T232,$J$388:$J$400,0)</x:f>
        <x:v>9</x:v>
      </x:c>
      <x:c r="X232" s="3"/>
      <x:c r="Y232" s="3"/>
      <x:c r="Z232" s="3"/>
    </x:row>
    <x:row r="233" ht="15" customHeight="1">
      <x:c r="A233" s="3"/>
      <x:c r="B233" s="3"/>
      <x:c r="C233" s="3"/>
      <x:c r="D233" s="3"/>
      <x:c r="E233" s="3"/>
      <x:c r="F233" s="3"/>
      <x:c r="G233" s="3"/>
      <x:c r="H233" s="3"/>
      <x:c r="I233" s="3"/>
      <x:c r="J233" s="10" t="n">
        <x:v>46084</x:v>
      </x:c>
      <x:c r="K233" s="8" t="n">
        <x:f>INDEX('Сводка'!$S$3:$S$397,U233)</x:f>
        <x:v>-58</x:v>
      </x:c>
      <x:c r="L233" s="8" t="n">
        <x:f>INDEX('Сводка'!$S$3:$S$397,V233)</x:f>
        <x:v>-57</x:v>
      </x:c>
      <x:c r="M233" s="8" t="n">
        <x:f>INDEX($K$388:$N$400,W233,1)+INDEX($K$388:$N$400,W233,2)*(2*(J233-$T$405)/(T233-$T$405)-1)^1+INDEX($K$388:$N$400,W233,3)*(2*(J233-$T$405)/(T233-$T$405)-1)^2+INDEX($K$388:$N$400,W233,4)*(2*(J233-$T$405)/(T233-$T$405)-1)^3+INDEX($O$388:$Z$400,W233,MONTH(J233))</x:f>
        <x:v>-59.45318972669047</x:v>
      </x:c>
      <x:c r="N233" s="8" t="n">
        <x:f>K233-M233</x:f>
        <x:v>1.4531897266904679</x:v>
      </x:c>
      <x:c r="O233" s="8" t="n">
        <x:f>ABS(N233)</x:f>
        <x:v>1.4531897266904679</x:v>
      </x:c>
      <x:c r="P233" s="8" t="n">
        <x:f>N233^2</x:f>
        <x:v>2.1117603817587165</x:v>
      </x:c>
      <x:c r="Q233" s="8" t="n">
        <x:f>K233-L233</x:f>
        <x:v>-1</x:v>
      </x:c>
      <x:c r="R233" s="9" t="n">
        <x:f>IF(AND(INDEX('Сводка'!$T$3:$T$397,U233)=0,INDEX('Сводка'!$T$3:$T$397,V233)=0),1,0)</x:f>
        <x:v>1</x:v>
      </x:c>
      <x:c r="S233" s="9" t="n">
        <x:f>IF(AND(R233=1,O233&lt;=$G$13),1,0)</x:f>
        <x:v>1</x:v>
      </x:c>
      <x:c r="T233" s="10" t="n">
        <x:f>EOMONTH(J233-'Сводка'!$B$11,-1)</x:f>
        <x:v>46081</x:v>
      </x:c>
      <x:c r="U233" s="4" t="n">
        <x:f>MATCH(J233,'Сводка'!$R$3:$R$397,0)</x:f>
        <x:v>244</x:v>
      </x:c>
      <x:c r="V233" s="4" t="n">
        <x:f>MATCH(J233-'Сводка'!$B$11,'Сводка'!$R$3:$R$397,0)</x:f>
        <x:v>243</x:v>
      </x:c>
      <x:c r="W233" s="4" t="n">
        <x:f>MATCH(T233,$J$388:$J$400,0)</x:f>
        <x:v>9</x:v>
      </x:c>
      <x:c r="X233" s="3"/>
      <x:c r="Y233" s="3"/>
      <x:c r="Z233" s="3"/>
    </x:row>
    <x:row r="234" ht="15" customHeight="1">
      <x:c r="A234" s="3"/>
      <x:c r="B234" s="3"/>
      <x:c r="C234" s="3"/>
      <x:c r="D234" s="3"/>
      <x:c r="E234" s="3"/>
      <x:c r="F234" s="3"/>
      <x:c r="G234" s="3"/>
      <x:c r="H234" s="3"/>
      <x:c r="I234" s="3"/>
      <x:c r="J234" s="10" t="n">
        <x:v>46085</x:v>
      </x:c>
      <x:c r="K234" s="8" t="n">
        <x:f>INDEX('Сводка'!$S$3:$S$397,U234)</x:f>
        <x:v>-58</x:v>
      </x:c>
      <x:c r="L234" s="8" t="n">
        <x:f>INDEX('Сводка'!$S$3:$S$397,V234)</x:f>
        <x:v>-58</x:v>
      </x:c>
      <x:c r="M234" s="8" t="n">
        <x:f>INDEX($K$388:$N$400,W234,1)+INDEX($K$388:$N$400,W234,2)*(2*(J234-$T$405)/(T234-$T$405)-1)^1+INDEX($K$388:$N$400,W234,3)*(2*(J234-$T$405)/(T234-$T$405)-1)^2+INDEX($K$388:$N$400,W234,4)*(2*(J234-$T$405)/(T234-$T$405)-1)^3+INDEX($O$388:$Z$400,W234,MONTH(J234))</x:f>
        <x:v>-59.47966219516516</x:v>
      </x:c>
      <x:c r="N234" s="8" t="n">
        <x:f>K234-M234</x:f>
        <x:v>1.4796621951651616</x:v>
      </x:c>
      <x:c r="O234" s="8" t="n">
        <x:f>ABS(N234)</x:f>
        <x:v>1.4796621951651616</x:v>
      </x:c>
      <x:c r="P234" s="8" t="n">
        <x:f>N234^2</x:f>
        <x:v>2.1894002118009848</x:v>
      </x:c>
      <x:c r="Q234" s="8" t="n">
        <x:f>K234-L234</x:f>
        <x:v>0</x:v>
      </x:c>
      <x:c r="R234" s="9" t="n">
        <x:f>IF(AND(INDEX('Сводка'!$T$3:$T$397,U234)=0,INDEX('Сводка'!$T$3:$T$397,V234)=0),1,0)</x:f>
        <x:v>1</x:v>
      </x:c>
      <x:c r="S234" s="9" t="n">
        <x:f>IF(AND(R234=1,O234&lt;=$G$13),1,0)</x:f>
        <x:v>1</x:v>
      </x:c>
      <x:c r="T234" s="10" t="n">
        <x:f>EOMONTH(J234-'Сводка'!$B$11,-1)</x:f>
        <x:v>46081</x:v>
      </x:c>
      <x:c r="U234" s="4" t="n">
        <x:f>MATCH(J234,'Сводка'!$R$3:$R$397,0)</x:f>
        <x:v>245</x:v>
      </x:c>
      <x:c r="V234" s="4" t="n">
        <x:f>MATCH(J234-'Сводка'!$B$11,'Сводка'!$R$3:$R$397,0)</x:f>
        <x:v>244</x:v>
      </x:c>
      <x:c r="W234" s="4" t="n">
        <x:f>MATCH(T234,$J$388:$J$400,0)</x:f>
        <x:v>9</x:v>
      </x:c>
      <x:c r="X234" s="3"/>
      <x:c r="Y234" s="3"/>
      <x:c r="Z234" s="3"/>
    </x:row>
    <x:row r="235" ht="15" customHeight="1">
      <x:c r="A235" s="3"/>
      <x:c r="B235" s="3"/>
      <x:c r="C235" s="3"/>
      <x:c r="D235" s="3"/>
      <x:c r="E235" s="3"/>
      <x:c r="F235" s="3"/>
      <x:c r="G235" s="3"/>
      <x:c r="H235" s="3"/>
      <x:c r="I235" s="3"/>
      <x:c r="J235" s="10" t="n">
        <x:v>46086</x:v>
      </x:c>
      <x:c r="K235" s="8" t="n">
        <x:f>INDEX('Сводка'!$S$3:$S$397,U235)</x:f>
        <x:v>-58</x:v>
      </x:c>
      <x:c r="L235" s="8" t="n">
        <x:f>INDEX('Сводка'!$S$3:$S$397,V235)</x:f>
        <x:v>-58</x:v>
      </x:c>
      <x:c r="M235" s="8" t="n">
        <x:f>INDEX($K$388:$N$400,W235,1)+INDEX($K$388:$N$400,W235,2)*(2*(J235-$T$405)/(T235-$T$405)-1)^1+INDEX($K$388:$N$400,W235,3)*(2*(J235-$T$405)/(T235-$T$405)-1)^2+INDEX($K$388:$N$400,W235,4)*(2*(J235-$T$405)/(T235-$T$405)-1)^3+INDEX($O$388:$Z$400,W235,MONTH(J235))</x:f>
        <x:v>-59.50615128289323</x:v>
      </x:c>
      <x:c r="N235" s="8" t="n">
        <x:f>K235-M235</x:f>
        <x:v>1.506151282893228</x:v>
      </x:c>
      <x:c r="O235" s="8" t="n">
        <x:f>ABS(N235)</x:f>
        <x:v>1.506151282893228</x:v>
      </x:c>
      <x:c r="P235" s="8" t="n">
        <x:f>N235^2</x:f>
        <x:v>2.2684916869609166</x:v>
      </x:c>
      <x:c r="Q235" s="8" t="n">
        <x:f>K235-L235</x:f>
        <x:v>0</x:v>
      </x:c>
      <x:c r="R235" s="9" t="n">
        <x:f>IF(AND(INDEX('Сводка'!$T$3:$T$397,U235)=0,INDEX('Сводка'!$T$3:$T$397,V235)=0),1,0)</x:f>
        <x:v>1</x:v>
      </x:c>
      <x:c r="S235" s="9" t="n">
        <x:f>IF(AND(R235=1,O235&lt;=$G$13),1,0)</x:f>
        <x:v>1</x:v>
      </x:c>
      <x:c r="T235" s="10" t="n">
        <x:f>EOMONTH(J235-'Сводка'!$B$11,-1)</x:f>
        <x:v>46081</x:v>
      </x:c>
      <x:c r="U235" s="4" t="n">
        <x:f>MATCH(J235,'Сводка'!$R$3:$R$397,0)</x:f>
        <x:v>246</x:v>
      </x:c>
      <x:c r="V235" s="4" t="n">
        <x:f>MATCH(J235-'Сводка'!$B$11,'Сводка'!$R$3:$R$397,0)</x:f>
        <x:v>245</x:v>
      </x:c>
      <x:c r="W235" s="4" t="n">
        <x:f>MATCH(T235,$J$388:$J$400,0)</x:f>
        <x:v>9</x:v>
      </x:c>
      <x:c r="X235" s="3"/>
      <x:c r="Y235" s="3"/>
      <x:c r="Z235" s="3"/>
    </x:row>
    <x:row r="236" ht="15" customHeight="1">
      <x:c r="A236" s="3"/>
      <x:c r="B236" s="3"/>
      <x:c r="C236" s="3"/>
      <x:c r="D236" s="3"/>
      <x:c r="E236" s="3"/>
      <x:c r="F236" s="3"/>
      <x:c r="G236" s="3"/>
      <x:c r="H236" s="3"/>
      <x:c r="I236" s="3"/>
      <x:c r="J236" s="10" t="n">
        <x:v>46087</x:v>
      </x:c>
      <x:c r="K236" s="8" t="n">
        <x:f>INDEX('Сводка'!$S$3:$S$397,U236)</x:f>
        <x:v>-57</x:v>
      </x:c>
      <x:c r="L236" s="8" t="n">
        <x:f>INDEX('Сводка'!$S$3:$S$397,V236)</x:f>
        <x:v>-58</x:v>
      </x:c>
      <x:c r="M236" s="8" t="n">
        <x:f>INDEX($K$388:$N$400,W236,1)+INDEX($K$388:$N$400,W236,2)*(2*(J236-$T$405)/(T236-$T$405)-1)^1+INDEX($K$388:$N$400,W236,3)*(2*(J236-$T$405)/(T236-$T$405)-1)^2+INDEX($K$388:$N$400,W236,4)*(2*(J236-$T$405)/(T236-$T$405)-1)^3+INDEX($O$388:$Z$400,W236,MONTH(J236))</x:f>
        <x:v>-59.53265699218866</x:v>
      </x:c>
      <x:c r="N236" s="8" t="n">
        <x:f>K236-M236</x:f>
        <x:v>2.532656992188663</x:v>
      </x:c>
      <x:c r="O236" s="8" t="n">
        <x:f>ABS(N236)</x:f>
        <x:v>2.532656992188663</x:v>
      </x:c>
      <x:c r="P236" s="8" t="n">
        <x:f>N236^2</x:f>
        <x:v>6.414351440082125</x:v>
      </x:c>
      <x:c r="Q236" s="8" t="n">
        <x:f>K236-L236</x:f>
        <x:v>1</x:v>
      </x:c>
      <x:c r="R236" s="9" t="n">
        <x:f>IF(AND(INDEX('Сводка'!$T$3:$T$397,U236)=0,INDEX('Сводка'!$T$3:$T$397,V236)=0),1,0)</x:f>
        <x:v>1</x:v>
      </x:c>
      <x:c r="S236" s="9" t="n">
        <x:f>IF(AND(R236=1,O236&lt;=$G$13),1,0)</x:f>
        <x:v>1</x:v>
      </x:c>
      <x:c r="T236" s="10" t="n">
        <x:f>EOMONTH(J236-'Сводка'!$B$11,-1)</x:f>
        <x:v>46081</x:v>
      </x:c>
      <x:c r="U236" s="4" t="n">
        <x:f>MATCH(J236,'Сводка'!$R$3:$R$397,0)</x:f>
        <x:v>247</x:v>
      </x:c>
      <x:c r="V236" s="4" t="n">
        <x:f>MATCH(J236-'Сводка'!$B$11,'Сводка'!$R$3:$R$397,0)</x:f>
        <x:v>246</x:v>
      </x:c>
      <x:c r="W236" s="4" t="n">
        <x:f>MATCH(T236,$J$388:$J$400,0)</x:f>
        <x:v>9</x:v>
      </x:c>
      <x:c r="X236" s="3"/>
      <x:c r="Y236" s="3"/>
      <x:c r="Z236" s="3"/>
    </x:row>
    <x:row r="237" ht="15" customHeight="1">
      <x:c r="A237" s="3"/>
      <x:c r="B237" s="3"/>
      <x:c r="C237" s="3"/>
      <x:c r="D237" s="3"/>
      <x:c r="E237" s="3"/>
      <x:c r="F237" s="3"/>
      <x:c r="G237" s="3"/>
      <x:c r="H237" s="3"/>
      <x:c r="I237" s="3"/>
      <x:c r="J237" s="10" t="n">
        <x:v>46088</x:v>
      </x:c>
      <x:c r="K237" s="8" t="n">
        <x:f>INDEX('Сводка'!$S$3:$S$397,U237)</x:f>
        <x:v>-57</x:v>
      </x:c>
      <x:c r="L237" s="8" t="n">
        <x:f>INDEX('Сводка'!$S$3:$S$397,V237)</x:f>
        <x:v>-57</x:v>
      </x:c>
      <x:c r="M237" s="8" t="n">
        <x:f>INDEX($K$388:$N$400,W237,1)+INDEX($K$388:$N$400,W237,2)*(2*(J237-$T$405)/(T237-$T$405)-1)^1+INDEX($K$388:$N$400,W237,3)*(2*(J237-$T$405)/(T237-$T$405)-1)^2+INDEX($K$388:$N$400,W237,4)*(2*(J237-$T$405)/(T237-$T$405)-1)^3+INDEX($O$388:$Z$400,W237,MONTH(J237))</x:f>
        <x:v>-59.55917932536538</x:v>
      </x:c>
      <x:c r="N237" s="8" t="n">
        <x:f>K237-M237</x:f>
        <x:v>2.5591793253653776</x:v>
      </x:c>
      <x:c r="O237" s="8" t="n">
        <x:f>ABS(N237)</x:f>
        <x:v>2.5591793253653776</x:v>
      </x:c>
      <x:c r="P237" s="8" t="n">
        <x:f>N237^2</x:f>
        <x:v>6.549398819377589</x:v>
      </x:c>
      <x:c r="Q237" s="8" t="n">
        <x:f>K237-L237</x:f>
        <x:v>0</x:v>
      </x:c>
      <x:c r="R237" s="9" t="n">
        <x:f>IF(AND(INDEX('Сводка'!$T$3:$T$397,U237)=0,INDEX('Сводка'!$T$3:$T$397,V237)=0),1,0)</x:f>
        <x:v>1</x:v>
      </x:c>
      <x:c r="S237" s="9" t="n">
        <x:f>IF(AND(R237=1,O237&lt;=$G$13),1,0)</x:f>
        <x:v>1</x:v>
      </x:c>
      <x:c r="T237" s="10" t="n">
        <x:f>EOMONTH(J237-'Сводка'!$B$11,-1)</x:f>
        <x:v>46081</x:v>
      </x:c>
      <x:c r="U237" s="4" t="n">
        <x:f>MATCH(J237,'Сводка'!$R$3:$R$397,0)</x:f>
        <x:v>248</x:v>
      </x:c>
      <x:c r="V237" s="4" t="n">
        <x:f>MATCH(J237-'Сводка'!$B$11,'Сводка'!$R$3:$R$397,0)</x:f>
        <x:v>247</x:v>
      </x:c>
      <x:c r="W237" s="4" t="n">
        <x:f>MATCH(T237,$J$388:$J$400,0)</x:f>
        <x:v>9</x:v>
      </x:c>
      <x:c r="X237" s="3"/>
      <x:c r="Y237" s="3"/>
      <x:c r="Z237" s="3"/>
    </x:row>
    <x:row r="238" ht="15" customHeight="1">
      <x:c r="A238" s="3"/>
      <x:c r="B238" s="3"/>
      <x:c r="C238" s="3"/>
      <x:c r="D238" s="3"/>
      <x:c r="E238" s="3"/>
      <x:c r="F238" s="3"/>
      <x:c r="G238" s="3"/>
      <x:c r="H238" s="3"/>
      <x:c r="I238" s="3"/>
      <x:c r="J238" s="10" t="n">
        <x:v>46089</x:v>
      </x:c>
      <x:c r="K238" s="8" t="n">
        <x:f>INDEX('Сводка'!$S$3:$S$397,U238)</x:f>
        <x:v>-59</x:v>
      </x:c>
      <x:c r="L238" s="8" t="n">
        <x:f>INDEX('Сводка'!$S$3:$S$397,V238)</x:f>
        <x:v>-57</x:v>
      </x:c>
      <x:c r="M238" s="8" t="n">
        <x:f>INDEX($K$388:$N$400,W238,1)+INDEX($K$388:$N$400,W238,2)*(2*(J238-$T$405)/(T238-$T$405)-1)^1+INDEX($K$388:$N$400,W238,3)*(2*(J238-$T$405)/(T238-$T$405)-1)^2+INDEX($K$388:$N$400,W238,4)*(2*(J238-$T$405)/(T238-$T$405)-1)^3+INDEX($O$388:$Z$400,W238,MONTH(J238))</x:f>
        <x:v>-59.585718284737254</x:v>
      </x:c>
      <x:c r="N238" s="8" t="n">
        <x:f>K238-M238</x:f>
        <x:v>0.5857182847372542</x:v>
      </x:c>
      <x:c r="O238" s="8" t="n">
        <x:f>ABS(N238)</x:f>
        <x:v>0.5857182847372542</x:v>
      </x:c>
      <x:c r="P238" s="8" t="n">
        <x:f>N238^2</x:f>
        <x:v>0.3430659090755512</x:v>
      </x:c>
      <x:c r="Q238" s="8" t="n">
        <x:f>K238-L238</x:f>
        <x:v>-2</x:v>
      </x:c>
      <x:c r="R238" s="9" t="n">
        <x:f>IF(AND(INDEX('Сводка'!$T$3:$T$397,U238)=0,INDEX('Сводка'!$T$3:$T$397,V238)=0),1,0)</x:f>
        <x:v>1</x:v>
      </x:c>
      <x:c r="S238" s="9" t="n">
        <x:f>IF(AND(R238=1,O238&lt;=$G$13),1,0)</x:f>
        <x:v>1</x:v>
      </x:c>
      <x:c r="T238" s="10" t="n">
        <x:f>EOMONTH(J238-'Сводка'!$B$11,-1)</x:f>
        <x:v>46081</x:v>
      </x:c>
      <x:c r="U238" s="4" t="n">
        <x:f>MATCH(J238,'Сводка'!$R$3:$R$397,0)</x:f>
        <x:v>249</x:v>
      </x:c>
      <x:c r="V238" s="4" t="n">
        <x:f>MATCH(J238-'Сводка'!$B$11,'Сводка'!$R$3:$R$397,0)</x:f>
        <x:v>248</x:v>
      </x:c>
      <x:c r="W238" s="4" t="n">
        <x:f>MATCH(T238,$J$388:$J$400,0)</x:f>
        <x:v>9</x:v>
      </x:c>
      <x:c r="X238" s="3"/>
      <x:c r="Y238" s="3"/>
      <x:c r="Z238" s="3"/>
    </x:row>
    <x:row r="239" ht="15" customHeight="1">
      <x:c r="A239" s="3"/>
      <x:c r="B239" s="3"/>
      <x:c r="C239" s="3"/>
      <x:c r="D239" s="3"/>
      <x:c r="E239" s="3"/>
      <x:c r="F239" s="3"/>
      <x:c r="G239" s="3"/>
      <x:c r="H239" s="3"/>
      <x:c r="I239" s="3"/>
      <x:c r="J239" s="10" t="n">
        <x:v>46090</x:v>
      </x:c>
      <x:c r="K239" s="8" t="n">
        <x:f>INDEX('Сводка'!$S$3:$S$397,U239)</x:f>
        <x:v>-61</x:v>
      </x:c>
      <x:c r="L239" s="8" t="n">
        <x:f>INDEX('Сводка'!$S$3:$S$397,V239)</x:f>
        <x:v>-59</x:v>
      </x:c>
      <x:c r="M239" s="8" t="n">
        <x:f>INDEX($K$388:$N$400,W239,1)+INDEX($K$388:$N$400,W239,2)*(2*(J239-$T$405)/(T239-$T$405)-1)^1+INDEX($K$388:$N$400,W239,3)*(2*(J239-$T$405)/(T239-$T$405)-1)^2+INDEX($K$388:$N$400,W239,4)*(2*(J239-$T$405)/(T239-$T$405)-1)^3+INDEX($O$388:$Z$400,W239,MONTH(J239))</x:f>
        <x:v>-59.612273872618346</x:v>
      </x:c>
      <x:c r="N239" s="8" t="n">
        <x:f>K239-M239</x:f>
        <x:v>-1.3877261273816544</x:v>
      </x:c>
      <x:c r="O239" s="8" t="n">
        <x:f>ABS(N239)</x:f>
        <x:v>1.3877261273816544</x:v>
      </x:c>
      <x:c r="P239" s="8" t="n">
        <x:f>N239^2</x:f>
        <x:v>1.9257838046176836</x:v>
      </x:c>
      <x:c r="Q239" s="8" t="n">
        <x:f>K239-L239</x:f>
        <x:v>-2</x:v>
      </x:c>
      <x:c r="R239" s="9" t="n">
        <x:f>IF(AND(INDEX('Сводка'!$T$3:$T$397,U239)=0,INDEX('Сводка'!$T$3:$T$397,V239)=0),1,0)</x:f>
        <x:v>1</x:v>
      </x:c>
      <x:c r="S239" s="9" t="n">
        <x:f>IF(AND(R239=1,O239&lt;=$G$13),1,0)</x:f>
        <x:v>1</x:v>
      </x:c>
      <x:c r="T239" s="10" t="n">
        <x:f>EOMONTH(J239-'Сводка'!$B$11,-1)</x:f>
        <x:v>46081</x:v>
      </x:c>
      <x:c r="U239" s="4" t="n">
        <x:f>MATCH(J239,'Сводка'!$R$3:$R$397,0)</x:f>
        <x:v>250</x:v>
      </x:c>
      <x:c r="V239" s="4" t="n">
        <x:f>MATCH(J239-'Сводка'!$B$11,'Сводка'!$R$3:$R$397,0)</x:f>
        <x:v>249</x:v>
      </x:c>
      <x:c r="W239" s="4" t="n">
        <x:f>MATCH(T239,$J$388:$J$400,0)</x:f>
        <x:v>9</x:v>
      </x:c>
      <x:c r="X239" s="3"/>
      <x:c r="Y239" s="3"/>
      <x:c r="Z239" s="3"/>
    </x:row>
    <x:row r="240" ht="15" customHeight="1">
      <x:c r="A240" s="3"/>
      <x:c r="B240" s="3"/>
      <x:c r="C240" s="3"/>
      <x:c r="D240" s="3"/>
      <x:c r="E240" s="3"/>
      <x:c r="F240" s="3"/>
      <x:c r="G240" s="3"/>
      <x:c r="H240" s="3"/>
      <x:c r="I240" s="3"/>
      <x:c r="J240" s="10" t="n">
        <x:v>46091</x:v>
      </x:c>
      <x:c r="K240" s="8" t="n">
        <x:f>INDEX('Сводка'!$S$3:$S$397,U240)</x:f>
        <x:v>-64</x:v>
      </x:c>
      <x:c r="L240" s="8" t="n">
        <x:f>INDEX('Сводка'!$S$3:$S$397,V240)</x:f>
        <x:v>-61</x:v>
      </x:c>
      <x:c r="M240" s="8" t="n">
        <x:f>INDEX($K$388:$N$400,W240,1)+INDEX($K$388:$N$400,W240,2)*(2*(J240-$T$405)/(T240-$T$405)-1)^1+INDEX($K$388:$N$400,W240,3)*(2*(J240-$T$405)/(T240-$T$405)-1)^2+INDEX($K$388:$N$400,W240,4)*(2*(J240-$T$405)/(T240-$T$405)-1)^3+INDEX($O$388:$Z$400,W240,MONTH(J240))</x:f>
        <x:v>-59.63884609132256</x:v>
      </x:c>
      <x:c r="N240" s="8" t="n">
        <x:f>K240-M240</x:f>
        <x:v>-4.361153908677437</x:v>
      </x:c>
      <x:c r="O240" s="8" t="n">
        <x:f>ABS(N240)</x:f>
        <x:v>4.361153908677437</x:v>
      </x:c>
      <x:c r="P240" s="8" t="n">
        <x:f>N240^2</x:f>
        <x:v>19.019663415172488</x:v>
      </x:c>
      <x:c r="Q240" s="8" t="n">
        <x:f>K240-L240</x:f>
        <x:v>-3</x:v>
      </x:c>
      <x:c r="R240" s="9" t="n">
        <x:f>IF(AND(INDEX('Сводка'!$T$3:$T$397,U240)=0,INDEX('Сводка'!$T$3:$T$397,V240)=0),1,0)</x:f>
        <x:v>1</x:v>
      </x:c>
      <x:c r="S240" s="9" t="n">
        <x:f>IF(AND(R240=1,O240&lt;=$G$13),1,0)</x:f>
        <x:v>1</x:v>
      </x:c>
      <x:c r="T240" s="10" t="n">
        <x:f>EOMONTH(J240-'Сводка'!$B$11,-1)</x:f>
        <x:v>46081</x:v>
      </x:c>
      <x:c r="U240" s="4" t="n">
        <x:f>MATCH(J240,'Сводка'!$R$3:$R$397,0)</x:f>
        <x:v>251</x:v>
      </x:c>
      <x:c r="V240" s="4" t="n">
        <x:f>MATCH(J240-'Сводка'!$B$11,'Сводка'!$R$3:$R$397,0)</x:f>
        <x:v>250</x:v>
      </x:c>
      <x:c r="W240" s="4" t="n">
        <x:f>MATCH(T240,$J$388:$J$400,0)</x:f>
        <x:v>9</x:v>
      </x:c>
      <x:c r="X240" s="3"/>
      <x:c r="Y240" s="3"/>
      <x:c r="Z240" s="3"/>
    </x:row>
    <x:row r="241" ht="15" customHeight="1">
      <x:c r="A241" s="3"/>
      <x:c r="B241" s="3"/>
      <x:c r="C241" s="3"/>
      <x:c r="D241" s="3"/>
      <x:c r="E241" s="3"/>
      <x:c r="F241" s="3"/>
      <x:c r="G241" s="3"/>
      <x:c r="H241" s="3"/>
      <x:c r="I241" s="3"/>
      <x:c r="J241" s="10" t="n">
        <x:v>46092</x:v>
      </x:c>
      <x:c r="K241" s="8" t="n">
        <x:f>INDEX('Сводка'!$S$3:$S$397,U241)</x:f>
        <x:v>-69</x:v>
      </x:c>
      <x:c r="L241" s="8" t="n">
        <x:f>INDEX('Сводка'!$S$3:$S$397,V241)</x:f>
        <x:v>-64</x:v>
      </x:c>
      <x:c r="M241" s="8" t="n">
        <x:f>INDEX($K$388:$N$400,W241,1)+INDEX($K$388:$N$400,W241,2)*(2*(J241-$T$405)/(T241-$T$405)-1)^1+INDEX($K$388:$N$400,W241,3)*(2*(J241-$T$405)/(T241-$T$405)-1)^2+INDEX($K$388:$N$400,W241,4)*(2*(J241-$T$405)/(T241-$T$405)-1)^3+INDEX($O$388:$Z$400,W241,MONTH(J241))</x:f>
        <x:v>-59.66543494316372</x:v>
      </x:c>
      <x:c r="N241" s="8" t="n">
        <x:f>K241-M241</x:f>
        <x:v>-9.334565056836283</x:v>
      </x:c>
      <x:c r="O241" s="8" t="n">
        <x:f>ABS(N241)</x:f>
        <x:v>9.334565056836283</x:v>
      </x:c>
      <x:c r="P241" s="8" t="n">
        <x:f>N241^2</x:f>
        <x:v>87.13410480030896</x:v>
      </x:c>
      <x:c r="Q241" s="8" t="n">
        <x:f>K241-L241</x:f>
        <x:v>-5</x:v>
      </x:c>
      <x:c r="R241" s="9" t="n">
        <x:f>IF(AND(INDEX('Сводка'!$T$3:$T$397,U241)=0,INDEX('Сводка'!$T$3:$T$397,V241)=0),1,0)</x:f>
        <x:v>1</x:v>
      </x:c>
      <x:c r="S241" s="9" t="n">
        <x:f>IF(AND(R241=1,O241&lt;=$G$13),1,0)</x:f>
        <x:v>0</x:v>
      </x:c>
      <x:c r="T241" s="10" t="n">
        <x:f>EOMONTH(J241-'Сводка'!$B$11,-1)</x:f>
        <x:v>46081</x:v>
      </x:c>
      <x:c r="U241" s="4" t="n">
        <x:f>MATCH(J241,'Сводка'!$R$3:$R$397,0)</x:f>
        <x:v>252</x:v>
      </x:c>
      <x:c r="V241" s="4" t="n">
        <x:f>MATCH(J241-'Сводка'!$B$11,'Сводка'!$R$3:$R$397,0)</x:f>
        <x:v>251</x:v>
      </x:c>
      <x:c r="W241" s="4" t="n">
        <x:f>MATCH(T241,$J$388:$J$400,0)</x:f>
        <x:v>9</x:v>
      </x:c>
      <x:c r="X241" s="3"/>
      <x:c r="Y241" s="3"/>
      <x:c r="Z241" s="3"/>
    </x:row>
    <x:row r="242" ht="15" customHeight="1">
      <x:c r="A242" s="3"/>
      <x:c r="B242" s="3"/>
      <x:c r="C242" s="3"/>
      <x:c r="D242" s="3"/>
      <x:c r="E242" s="3"/>
      <x:c r="F242" s="3"/>
      <x:c r="G242" s="3"/>
      <x:c r="H242" s="3"/>
      <x:c r="I242" s="3"/>
      <x:c r="J242" s="10" t="n">
        <x:v>46093</x:v>
      </x:c>
      <x:c r="K242" s="8" t="n">
        <x:f>INDEX('Сводка'!$S$3:$S$397,U242)</x:f>
        <x:v>-73</x:v>
      </x:c>
      <x:c r="L242" s="8" t="n">
        <x:f>INDEX('Сводка'!$S$3:$S$397,V242)</x:f>
        <x:v>-69</x:v>
      </x:c>
      <x:c r="M242" s="8" t="n">
        <x:f>INDEX($K$388:$N$400,W242,1)+INDEX($K$388:$N$400,W242,2)*(2*(J242-$T$405)/(T242-$T$405)-1)^1+INDEX($K$388:$N$400,W242,3)*(2*(J242-$T$405)/(T242-$T$405)-1)^2+INDEX($K$388:$N$400,W242,4)*(2*(J242-$T$405)/(T242-$T$405)-1)^3+INDEX($O$388:$Z$400,W242,MONTH(J242))</x:f>
        <x:v>-59.69204043045599</x:v>
      </x:c>
      <x:c r="N242" s="8" t="n">
        <x:f>K242-M242</x:f>
        <x:v>-13.30795956954401</x:v>
      </x:c>
      <x:c r="O242" s="8" t="n">
        <x:f>ABS(N242)</x:f>
        <x:v>13.30795956954401</x:v>
      </x:c>
      <x:c r="P242" s="8" t="n">
        <x:f>N242^2</x:f>
        <x:v>177.101787904618</x:v>
      </x:c>
      <x:c r="Q242" s="8" t="n">
        <x:f>K242-L242</x:f>
        <x:v>-4</x:v>
      </x:c>
      <x:c r="R242" s="9" t="n">
        <x:f>IF(AND(INDEX('Сводка'!$T$3:$T$397,U242)=0,INDEX('Сводка'!$T$3:$T$397,V242)=0),1,0)</x:f>
        <x:v>1</x:v>
      </x:c>
      <x:c r="S242" s="9" t="n">
        <x:f>IF(AND(R242=1,O242&lt;=$G$13),1,0)</x:f>
        <x:v>0</x:v>
      </x:c>
      <x:c r="T242" s="10" t="n">
        <x:f>EOMONTH(J242-'Сводка'!$B$11,-1)</x:f>
        <x:v>46081</x:v>
      </x:c>
      <x:c r="U242" s="4" t="n">
        <x:f>MATCH(J242,'Сводка'!$R$3:$R$397,0)</x:f>
        <x:v>253</x:v>
      </x:c>
      <x:c r="V242" s="4" t="n">
        <x:f>MATCH(J242-'Сводка'!$B$11,'Сводка'!$R$3:$R$397,0)</x:f>
        <x:v>252</x:v>
      </x:c>
      <x:c r="W242" s="4" t="n">
        <x:f>MATCH(T242,$J$388:$J$400,0)</x:f>
        <x:v>9</x:v>
      </x:c>
      <x:c r="X242" s="3"/>
      <x:c r="Y242" s="3"/>
      <x:c r="Z242" s="3"/>
    </x:row>
    <x:row r="243" ht="15" customHeight="1">
      <x:c r="A243" s="3"/>
      <x:c r="B243" s="3"/>
      <x:c r="C243" s="3"/>
      <x:c r="D243" s="3"/>
      <x:c r="E243" s="3"/>
      <x:c r="F243" s="3"/>
      <x:c r="G243" s="3"/>
      <x:c r="H243" s="3"/>
      <x:c r="I243" s="3"/>
      <x:c r="J243" s="10" t="n">
        <x:v>46094</x:v>
      </x:c>
      <x:c r="K243" s="8" t="n">
        <x:f>INDEX('Сводка'!$S$3:$S$397,U243)</x:f>
        <x:v>-73</x:v>
      </x:c>
      <x:c r="L243" s="8" t="n">
        <x:f>INDEX('Сводка'!$S$3:$S$397,V243)</x:f>
        <x:v>-73</x:v>
      </x:c>
      <x:c r="M243" s="8" t="n">
        <x:f>INDEX($K$388:$N$400,W243,1)+INDEX($K$388:$N$400,W243,2)*(2*(J243-$T$405)/(T243-$T$405)-1)^1+INDEX($K$388:$N$400,W243,3)*(2*(J243-$T$405)/(T243-$T$405)-1)^2+INDEX($K$388:$N$400,W243,4)*(2*(J243-$T$405)/(T243-$T$405)-1)^3+INDEX($O$388:$Z$400,W243,MONTH(J243))</x:f>
        <x:v>-59.71866255551315</x:v>
      </x:c>
      <x:c r="N243" s="8" t="n">
        <x:f>K243-M243</x:f>
        <x:v>-13.281337444486851</x:v>
      </x:c>
      <x:c r="O243" s="8" t="n">
        <x:f>ABS(N243)</x:f>
        <x:v>13.281337444486851</x:v>
      </x:c>
      <x:c r="P243" s="8" t="n">
        <x:f>N243^2</x:f>
        <x:v>176.39392431432853</x:v>
      </x:c>
      <x:c r="Q243" s="8" t="n">
        <x:f>K243-L243</x:f>
        <x:v>0</x:v>
      </x:c>
      <x:c r="R243" s="9" t="n">
        <x:f>IF(AND(INDEX('Сводка'!$T$3:$T$397,U243)=0,INDEX('Сводка'!$T$3:$T$397,V243)=0),1,0)</x:f>
        <x:v>1</x:v>
      </x:c>
      <x:c r="S243" s="9" t="n">
        <x:f>IF(AND(R243=1,O243&lt;=$G$13),1,0)</x:f>
        <x:v>0</x:v>
      </x:c>
      <x:c r="T243" s="10" t="n">
        <x:f>EOMONTH(J243-'Сводка'!$B$11,-1)</x:f>
        <x:v>46081</x:v>
      </x:c>
      <x:c r="U243" s="4" t="n">
        <x:f>MATCH(J243,'Сводка'!$R$3:$R$397,0)</x:f>
        <x:v>254</x:v>
      </x:c>
      <x:c r="V243" s="4" t="n">
        <x:f>MATCH(J243-'Сводка'!$B$11,'Сводка'!$R$3:$R$397,0)</x:f>
        <x:v>253</x:v>
      </x:c>
      <x:c r="W243" s="4" t="n">
        <x:f>MATCH(T243,$J$388:$J$400,0)</x:f>
        <x:v>9</x:v>
      </x:c>
      <x:c r="X243" s="3"/>
      <x:c r="Y243" s="3"/>
      <x:c r="Z243" s="3"/>
    </x:row>
    <x:row r="244" ht="15" customHeight="1">
      <x:c r="A244" s="3"/>
      <x:c r="B244" s="3"/>
      <x:c r="C244" s="3"/>
      <x:c r="D244" s="3"/>
      <x:c r="E244" s="3"/>
      <x:c r="F244" s="3"/>
      <x:c r="G244" s="3"/>
      <x:c r="H244" s="3"/>
      <x:c r="I244" s="3"/>
      <x:c r="J244" s="10" t="n">
        <x:v>46095</x:v>
      </x:c>
      <x:c r="K244" s="8" t="n">
        <x:f>INDEX('Сводка'!$S$3:$S$397,U244)</x:f>
        <x:v>-75</x:v>
      </x:c>
      <x:c r="L244" s="8" t="n">
        <x:f>INDEX('Сводка'!$S$3:$S$397,V244)</x:f>
        <x:v>-73</x:v>
      </x:c>
      <x:c r="M244" s="8" t="n">
        <x:f>INDEX($K$388:$N$400,W244,1)+INDEX($K$388:$N$400,W244,2)*(2*(J244-$T$405)/(T244-$T$405)-1)^1+INDEX($K$388:$N$400,W244,3)*(2*(J244-$T$405)/(T244-$T$405)-1)^2+INDEX($K$388:$N$400,W244,4)*(2*(J244-$T$405)/(T244-$T$405)-1)^3+INDEX($O$388:$Z$400,W244,MONTH(J244))</x:f>
        <x:v>-59.74530132064919</x:v>
      </x:c>
      <x:c r="N244" s="8" t="n">
        <x:f>K244-M244</x:f>
        <x:v>-15.25469867935081</x:v>
      </x:c>
      <x:c r="O244" s="8" t="n">
        <x:f>ABS(N244)</x:f>
        <x:v>15.25469867935081</x:v>
      </x:c>
      <x:c r="P244" s="8" t="n">
        <x:f>N244^2</x:f>
        <x:v>232.70583179778734</x:v>
      </x:c>
      <x:c r="Q244" s="8" t="n">
        <x:f>K244-L244</x:f>
        <x:v>-2</x:v>
      </x:c>
      <x:c r="R244" s="9" t="n">
        <x:f>IF(AND(INDEX('Сводка'!$T$3:$T$397,U244)=0,INDEX('Сводка'!$T$3:$T$397,V244)=0),1,0)</x:f>
        <x:v>1</x:v>
      </x:c>
      <x:c r="S244" s="9" t="n">
        <x:f>IF(AND(R244=1,O244&lt;=$G$13),1,0)</x:f>
        <x:v>0</x:v>
      </x:c>
      <x:c r="T244" s="10" t="n">
        <x:f>EOMONTH(J244-'Сводка'!$B$11,-1)</x:f>
        <x:v>46081</x:v>
      </x:c>
      <x:c r="U244" s="4" t="n">
        <x:f>MATCH(J244,'Сводка'!$R$3:$R$397,0)</x:f>
        <x:v>255</x:v>
      </x:c>
      <x:c r="V244" s="4" t="n">
        <x:f>MATCH(J244-'Сводка'!$B$11,'Сводка'!$R$3:$R$397,0)</x:f>
        <x:v>254</x:v>
      </x:c>
      <x:c r="W244" s="4" t="n">
        <x:f>MATCH(T244,$J$388:$J$400,0)</x:f>
        <x:v>9</x:v>
      </x:c>
      <x:c r="X244" s="3"/>
      <x:c r="Y244" s="3"/>
      <x:c r="Z244" s="3"/>
    </x:row>
    <x:row r="245" ht="15" customHeight="1">
      <x:c r="A245" s="3"/>
      <x:c r="B245" s="3"/>
      <x:c r="C245" s="3"/>
      <x:c r="D245" s="3"/>
      <x:c r="E245" s="3"/>
      <x:c r="F245" s="3"/>
      <x:c r="G245" s="3"/>
      <x:c r="H245" s="3"/>
      <x:c r="I245" s="3"/>
      <x:c r="J245" s="10" t="n">
        <x:v>46096</x:v>
      </x:c>
      <x:c r="K245" s="8" t="n">
        <x:f>INDEX('Сводка'!$S$3:$S$397,U245)</x:f>
        <x:v>-76</x:v>
      </x:c>
      <x:c r="L245" s="8" t="n">
        <x:f>INDEX('Сводка'!$S$3:$S$397,V245)</x:f>
        <x:v>-75</x:v>
      </x:c>
      <x:c r="M245" s="8" t="n">
        <x:f>INDEX($K$388:$N$400,W245,1)+INDEX($K$388:$N$400,W245,2)*(2*(J245-$T$405)/(T245-$T$405)-1)^1+INDEX($K$388:$N$400,W245,3)*(2*(J245-$T$405)/(T245-$T$405)-1)^2+INDEX($K$388:$N$400,W245,4)*(2*(J245-$T$405)/(T245-$T$405)-1)^3+INDEX($O$388:$Z$400,W245,MONTH(J245))</x:f>
        <x:v>-59.77195672817808</x:v>
      </x:c>
      <x:c r="N245" s="8" t="n">
        <x:f>K245-M245</x:f>
        <x:v>-16.228043271821917</x:v>
      </x:c>
      <x:c r="O245" s="8" t="n">
        <x:f>ABS(N245)</x:f>
        <x:v>16.228043271821917</x:v>
      </x:c>
      <x:c r="P245" s="8" t="n">
        <x:f>N245^2</x:f>
        <x:v>263.3493884321246</x:v>
      </x:c>
      <x:c r="Q245" s="8" t="n">
        <x:f>K245-L245</x:f>
        <x:v>-1</x:v>
      </x:c>
      <x:c r="R245" s="9" t="n">
        <x:f>IF(AND(INDEX('Сводка'!$T$3:$T$397,U245)=0,INDEX('Сводка'!$T$3:$T$397,V245)=0),1,0)</x:f>
        <x:v>1</x:v>
      </x:c>
      <x:c r="S245" s="9" t="n">
        <x:f>IF(AND(R245=1,O245&lt;=$G$13),1,0)</x:f>
        <x:v>0</x:v>
      </x:c>
      <x:c r="T245" s="10" t="n">
        <x:f>EOMONTH(J245-'Сводка'!$B$11,-1)</x:f>
        <x:v>46081</x:v>
      </x:c>
      <x:c r="U245" s="4" t="n">
        <x:f>MATCH(J245,'Сводка'!$R$3:$R$397,0)</x:f>
        <x:v>256</x:v>
      </x:c>
      <x:c r="V245" s="4" t="n">
        <x:f>MATCH(J245-'Сводка'!$B$11,'Сводка'!$R$3:$R$397,0)</x:f>
        <x:v>255</x:v>
      </x:c>
      <x:c r="W245" s="4" t="n">
        <x:f>MATCH(T245,$J$388:$J$400,0)</x:f>
        <x:v>9</x:v>
      </x:c>
      <x:c r="X245" s="3"/>
      <x:c r="Y245" s="3"/>
      <x:c r="Z245" s="3"/>
    </x:row>
    <x:row r="246" ht="15" customHeight="1">
      <x:c r="A246" s="3"/>
      <x:c r="B246" s="3"/>
      <x:c r="C246" s="3"/>
      <x:c r="D246" s="3"/>
      <x:c r="E246" s="3"/>
      <x:c r="F246" s="3"/>
      <x:c r="G246" s="3"/>
      <x:c r="H246" s="3"/>
      <x:c r="I246" s="3"/>
      <x:c r="J246" s="10" t="n">
        <x:v>46097</x:v>
      </x:c>
      <x:c r="K246" s="8" t="n">
        <x:f>INDEX('Сводка'!$S$3:$S$397,U246)</x:f>
        <x:v>-76</x:v>
      </x:c>
      <x:c r="L246" s="8" t="n">
        <x:f>INDEX('Сводка'!$S$3:$S$397,V246)</x:f>
        <x:v>-76</x:v>
      </x:c>
      <x:c r="M246" s="8" t="n">
        <x:f>INDEX($K$388:$N$400,W246,1)+INDEX($K$388:$N$400,W246,2)*(2*(J246-$T$405)/(T246-$T$405)-1)^1+INDEX($K$388:$N$400,W246,3)*(2*(J246-$T$405)/(T246-$T$405)-1)^2+INDEX($K$388:$N$400,W246,4)*(2*(J246-$T$405)/(T246-$T$405)-1)^3+INDEX($O$388:$Z$400,W246,MONTH(J246))</x:f>
        <x:v>-59.79862878041372</x:v>
      </x:c>
      <x:c r="N246" s="8" t="n">
        <x:f>K246-M246</x:f>
        <x:v>-16.201371219586278</x:v>
      </x:c>
      <x:c r="O246" s="8" t="n">
        <x:f>ABS(N246)</x:f>
        <x:v>16.201371219586278</x:v>
      </x:c>
      <x:c r="P246" s="8" t="n">
        <x:f>N246^2</x:f>
        <x:v>262.48442939483857</x:v>
      </x:c>
      <x:c r="Q246" s="8" t="n">
        <x:f>K246-L246</x:f>
        <x:v>0</x:v>
      </x:c>
      <x:c r="R246" s="9" t="n">
        <x:f>IF(AND(INDEX('Сводка'!$T$3:$T$397,U246)=0,INDEX('Сводка'!$T$3:$T$397,V246)=0),1,0)</x:f>
        <x:v>1</x:v>
      </x:c>
      <x:c r="S246" s="9" t="n">
        <x:f>IF(AND(R246=1,O246&lt;=$G$13),1,0)</x:f>
        <x:v>0</x:v>
      </x:c>
      <x:c r="T246" s="10" t="n">
        <x:f>EOMONTH(J246-'Сводка'!$B$11,-1)</x:f>
        <x:v>46081</x:v>
      </x:c>
      <x:c r="U246" s="4" t="n">
        <x:f>MATCH(J246,'Сводка'!$R$3:$R$397,0)</x:f>
        <x:v>257</x:v>
      </x:c>
      <x:c r="V246" s="4" t="n">
        <x:f>MATCH(J246-'Сводка'!$B$11,'Сводка'!$R$3:$R$397,0)</x:f>
        <x:v>256</x:v>
      </x:c>
      <x:c r="W246" s="4" t="n">
        <x:f>MATCH(T246,$J$388:$J$400,0)</x:f>
        <x:v>9</x:v>
      </x:c>
      <x:c r="X246" s="3"/>
      <x:c r="Y246" s="3"/>
      <x:c r="Z246" s="3"/>
    </x:row>
    <x:row r="247" ht="15" customHeight="1">
      <x:c r="A247" s="3"/>
      <x:c r="B247" s="3"/>
      <x:c r="C247" s="3"/>
      <x:c r="D247" s="3"/>
      <x:c r="E247" s="3"/>
      <x:c r="F247" s="3"/>
      <x:c r="G247" s="3"/>
      <x:c r="H247" s="3"/>
      <x:c r="I247" s="3"/>
      <x:c r="J247" s="10" t="n">
        <x:v>46098</x:v>
      </x:c>
      <x:c r="K247" s="8" t="n">
        <x:f>INDEX('Сводка'!$S$3:$S$397,U247)</x:f>
        <x:v>-76</x:v>
      </x:c>
      <x:c r="L247" s="8" t="n">
        <x:f>INDEX('Сводка'!$S$3:$S$397,V247)</x:f>
        <x:v>-76</x:v>
      </x:c>
      <x:c r="M247" s="8" t="n">
        <x:f>INDEX($K$388:$N$400,W247,1)+INDEX($K$388:$N$400,W247,2)*(2*(J247-$T$405)/(T247-$T$405)-1)^1+INDEX($K$388:$N$400,W247,3)*(2*(J247-$T$405)/(T247-$T$405)-1)^2+INDEX($K$388:$N$400,W247,4)*(2*(J247-$T$405)/(T247-$T$405)-1)^3+INDEX($O$388:$Z$400,W247,MONTH(J247))</x:f>
        <x:v>-59.82531747967003</x:v>
      </x:c>
      <x:c r="N247" s="8" t="n">
        <x:f>K247-M247</x:f>
        <x:v>-16.174682520329966</x:v>
      </x:c>
      <x:c r="O247" s="8" t="n">
        <x:f>ABS(N247)</x:f>
        <x:v>16.174682520329966</x:v>
      </x:c>
      <x:c r="P247" s="8" t="n">
        <x:f>N247^2</x:f>
        <x:v>261.62035463346774</x:v>
      </x:c>
      <x:c r="Q247" s="8" t="n">
        <x:f>K247-L247</x:f>
        <x:v>0</x:v>
      </x:c>
      <x:c r="R247" s="9" t="n">
        <x:f>IF(AND(INDEX('Сводка'!$T$3:$T$397,U247)=0,INDEX('Сводка'!$T$3:$T$397,V247)=0),1,0)</x:f>
        <x:v>1</x:v>
      </x:c>
      <x:c r="S247" s="9" t="n">
        <x:f>IF(AND(R247=1,O247&lt;=$G$13),1,0)</x:f>
        <x:v>0</x:v>
      </x:c>
      <x:c r="T247" s="10" t="n">
        <x:f>EOMONTH(J247-'Сводка'!$B$11,-1)</x:f>
        <x:v>46081</x:v>
      </x:c>
      <x:c r="U247" s="4" t="n">
        <x:f>MATCH(J247,'Сводка'!$R$3:$R$397,0)</x:f>
        <x:v>258</x:v>
      </x:c>
      <x:c r="V247" s="4" t="n">
        <x:f>MATCH(J247-'Сводка'!$B$11,'Сводка'!$R$3:$R$397,0)</x:f>
        <x:v>257</x:v>
      </x:c>
      <x:c r="W247" s="4" t="n">
        <x:f>MATCH(T247,$J$388:$J$400,0)</x:f>
        <x:v>9</x:v>
      </x:c>
      <x:c r="X247" s="3"/>
      <x:c r="Y247" s="3"/>
      <x:c r="Z247" s="3"/>
    </x:row>
    <x:row r="248" ht="15" customHeight="1">
      <x:c r="A248" s="3"/>
      <x:c r="B248" s="3"/>
      <x:c r="C248" s="3"/>
      <x:c r="D248" s="3"/>
      <x:c r="E248" s="3"/>
      <x:c r="F248" s="3"/>
      <x:c r="G248" s="3"/>
      <x:c r="H248" s="3"/>
      <x:c r="I248" s="3"/>
      <x:c r="J248" s="10" t="n">
        <x:v>46099</x:v>
      </x:c>
      <x:c r="K248" s="8" t="n">
        <x:f>INDEX('Сводка'!$S$3:$S$397,U248)</x:f>
        <x:v>-74</x:v>
      </x:c>
      <x:c r="L248" s="8" t="n">
        <x:f>INDEX('Сводка'!$S$3:$S$397,V248)</x:f>
        <x:v>-76</x:v>
      </x:c>
      <x:c r="M248" s="8" t="n">
        <x:f>INDEX($K$388:$N$400,W248,1)+INDEX($K$388:$N$400,W248,2)*(2*(J248-$T$405)/(T248-$T$405)-1)^1+INDEX($K$388:$N$400,W248,3)*(2*(J248-$T$405)/(T248-$T$405)-1)^2+INDEX($K$388:$N$400,W248,4)*(2*(J248-$T$405)/(T248-$T$405)-1)^3+INDEX($O$388:$Z$400,W248,MONTH(J248))</x:f>
        <x:v>-59.852022828261084</x:v>
      </x:c>
      <x:c r="N248" s="8" t="n">
        <x:f>K248-M248</x:f>
        <x:v>-14.147977171738916</x:v>
      </x:c>
      <x:c r="O248" s="8" t="n">
        <x:f>ABS(N248)</x:f>
        <x:v>14.147977171738916</x:v>
      </x:c>
      <x:c r="P248" s="8" t="n">
        <x:f>N248^2</x:f>
        <x:v>200.1652580520455</x:v>
      </x:c>
      <x:c r="Q248" s="8" t="n">
        <x:f>K248-L248</x:f>
        <x:v>2</x:v>
      </x:c>
      <x:c r="R248" s="9" t="n">
        <x:f>IF(AND(INDEX('Сводка'!$T$3:$T$397,U248)=0,INDEX('Сводка'!$T$3:$T$397,V248)=0),1,0)</x:f>
        <x:v>1</x:v>
      </x:c>
      <x:c r="S248" s="9" t="n">
        <x:f>IF(AND(R248=1,O248&lt;=$G$13),1,0)</x:f>
        <x:v>0</x:v>
      </x:c>
      <x:c r="T248" s="10" t="n">
        <x:f>EOMONTH(J248-'Сводка'!$B$11,-1)</x:f>
        <x:v>46081</x:v>
      </x:c>
      <x:c r="U248" s="4" t="n">
        <x:f>MATCH(J248,'Сводка'!$R$3:$R$397,0)</x:f>
        <x:v>259</x:v>
      </x:c>
      <x:c r="V248" s="4" t="n">
        <x:f>MATCH(J248-'Сводка'!$B$11,'Сводка'!$R$3:$R$397,0)</x:f>
        <x:v>258</x:v>
      </x:c>
      <x:c r="W248" s="4" t="n">
        <x:f>MATCH(T248,$J$388:$J$400,0)</x:f>
        <x:v>9</x:v>
      </x:c>
      <x:c r="X248" s="3"/>
      <x:c r="Y248" s="3"/>
      <x:c r="Z248" s="3"/>
    </x:row>
    <x:row r="249" ht="15" customHeight="1">
      <x:c r="A249" s="3"/>
      <x:c r="B249" s="3"/>
      <x:c r="C249" s="3"/>
      <x:c r="D249" s="3"/>
      <x:c r="E249" s="3"/>
      <x:c r="F249" s="3"/>
      <x:c r="G249" s="3"/>
      <x:c r="H249" s="3"/>
      <x:c r="I249" s="3"/>
      <x:c r="J249" s="10" t="n">
        <x:v>46100</x:v>
      </x:c>
      <x:c r="K249" s="8" t="n">
        <x:f>INDEX('Сводка'!$S$3:$S$397,U249)</x:f>
        <x:v>-73</x:v>
      </x:c>
      <x:c r="L249" s="8" t="n">
        <x:f>INDEX('Сводка'!$S$3:$S$397,V249)</x:f>
        <x:v>-74</x:v>
      </x:c>
      <x:c r="M249" s="8" t="n">
        <x:f>INDEX($K$388:$N$400,W249,1)+INDEX($K$388:$N$400,W249,2)*(2*(J249-$T$405)/(T249-$T$405)-1)^1+INDEX($K$388:$N$400,W249,3)*(2*(J249-$T$405)/(T249-$T$405)-1)^2+INDEX($K$388:$N$400,W249,4)*(2*(J249-$T$405)/(T249-$T$405)-1)^3+INDEX($O$388:$Z$400,W249,MONTH(J249))</x:f>
        <x:v>-59.87874482850074</x:v>
      </x:c>
      <x:c r="N249" s="8" t="n">
        <x:f>K249-M249</x:f>
        <x:v>-13.121255171499257</x:v>
      </x:c>
      <x:c r="O249" s="8" t="n">
        <x:f>ABS(N249)</x:f>
        <x:v>13.121255171499257</x:v>
      </x:c>
      <x:c r="P249" s="8" t="n">
        <x:f>N249^2</x:f>
        <x:v>172.167337275596</x:v>
      </x:c>
      <x:c r="Q249" s="8" t="n">
        <x:f>K249-L249</x:f>
        <x:v>1</x:v>
      </x:c>
      <x:c r="R249" s="9" t="n">
        <x:f>IF(AND(INDEX('Сводка'!$T$3:$T$397,U249)=0,INDEX('Сводка'!$T$3:$T$397,V249)=0),1,0)</x:f>
        <x:v>1</x:v>
      </x:c>
      <x:c r="S249" s="9" t="n">
        <x:f>IF(AND(R249=1,O249&lt;=$G$13),1,0)</x:f>
        <x:v>0</x:v>
      </x:c>
      <x:c r="T249" s="10" t="n">
        <x:f>EOMONTH(J249-'Сводка'!$B$11,-1)</x:f>
        <x:v>46081</x:v>
      </x:c>
      <x:c r="U249" s="4" t="n">
        <x:f>MATCH(J249,'Сводка'!$R$3:$R$397,0)</x:f>
        <x:v>260</x:v>
      </x:c>
      <x:c r="V249" s="4" t="n">
        <x:f>MATCH(J249-'Сводка'!$B$11,'Сводка'!$R$3:$R$397,0)</x:f>
        <x:v>259</x:v>
      </x:c>
      <x:c r="W249" s="4" t="n">
        <x:f>MATCH(T249,$J$388:$J$400,0)</x:f>
        <x:v>9</x:v>
      </x:c>
      <x:c r="X249" s="3"/>
      <x:c r="Y249" s="3"/>
      <x:c r="Z249" s="3"/>
    </x:row>
    <x:row r="250" ht="15" customHeight="1">
      <x:c r="A250" s="3"/>
      <x:c r="B250" s="3"/>
      <x:c r="C250" s="3"/>
      <x:c r="D250" s="3"/>
      <x:c r="E250" s="3"/>
      <x:c r="F250" s="3"/>
      <x:c r="G250" s="3"/>
      <x:c r="H250" s="3"/>
      <x:c r="I250" s="3"/>
      <x:c r="J250" s="10" t="n">
        <x:v>46101</x:v>
      </x:c>
      <x:c r="K250" s="8" t="n">
        <x:f>INDEX('Сводка'!$S$3:$S$397,U250)</x:f>
        <x:v>-73</x:v>
      </x:c>
      <x:c r="L250" s="8" t="n">
        <x:f>INDEX('Сводка'!$S$3:$S$397,V250)</x:f>
        <x:v>-73</x:v>
      </x:c>
      <x:c r="M250" s="8" t="n">
        <x:f>INDEX($K$388:$N$400,W250,1)+INDEX($K$388:$N$400,W250,2)*(2*(J250-$T$405)/(T250-$T$405)-1)^1+INDEX($K$388:$N$400,W250,3)*(2*(J250-$T$405)/(T250-$T$405)-1)^2+INDEX($K$388:$N$400,W250,4)*(2*(J250-$T$405)/(T250-$T$405)-1)^3+INDEX($O$388:$Z$400,W250,MONTH(J250))</x:f>
        <x:v>-59.90548348270286</x:v>
      </x:c>
      <x:c r="N250" s="8" t="n">
        <x:f>K250-M250</x:f>
        <x:v>-13.094516517297137</x:v>
      </x:c>
      <x:c r="O250" s="8" t="n">
        <x:f>ABS(N250)</x:f>
        <x:v>13.094516517297137</x:v>
      </x:c>
      <x:c r="P250" s="8" t="n">
        <x:f>N250^2</x:f>
        <x:v>171.46636282176755</x:v>
      </x:c>
      <x:c r="Q250" s="8" t="n">
        <x:f>K250-L250</x:f>
        <x:v>0</x:v>
      </x:c>
      <x:c r="R250" s="9" t="n">
        <x:f>IF(AND(INDEX('Сводка'!$T$3:$T$397,U250)=0,INDEX('Сводка'!$T$3:$T$397,V250)=0),1,0)</x:f>
        <x:v>1</x:v>
      </x:c>
      <x:c r="S250" s="9" t="n">
        <x:f>IF(AND(R250=1,O250&lt;=$G$13),1,0)</x:f>
        <x:v>0</x:v>
      </x:c>
      <x:c r="T250" s="10" t="n">
        <x:f>EOMONTH(J250-'Сводка'!$B$11,-1)</x:f>
        <x:v>46081</x:v>
      </x:c>
      <x:c r="U250" s="4" t="n">
        <x:f>MATCH(J250,'Сводка'!$R$3:$R$397,0)</x:f>
        <x:v>261</x:v>
      </x:c>
      <x:c r="V250" s="4" t="n">
        <x:f>MATCH(J250-'Сводка'!$B$11,'Сводка'!$R$3:$R$397,0)</x:f>
        <x:v>260</x:v>
      </x:c>
      <x:c r="W250" s="4" t="n">
        <x:f>MATCH(T250,$J$388:$J$400,0)</x:f>
        <x:v>9</x:v>
      </x:c>
      <x:c r="X250" s="3"/>
      <x:c r="Y250" s="3"/>
      <x:c r="Z250" s="3"/>
    </x:row>
    <x:row r="251" ht="15" customHeight="1">
      <x:c r="A251" s="3"/>
      <x:c r="B251" s="3"/>
      <x:c r="C251" s="3"/>
      <x:c r="D251" s="3"/>
      <x:c r="E251" s="3"/>
      <x:c r="F251" s="3"/>
      <x:c r="G251" s="3"/>
      <x:c r="H251" s="3"/>
      <x:c r="I251" s="3"/>
      <x:c r="J251" s="10" t="n">
        <x:v>46102</x:v>
      </x:c>
      <x:c r="K251" s="8" t="n">
        <x:f>INDEX('Сводка'!$S$3:$S$397,U251)</x:f>
        <x:v>-71</x:v>
      </x:c>
      <x:c r="L251" s="8" t="n">
        <x:f>INDEX('Сводка'!$S$3:$S$397,V251)</x:f>
        <x:v>-73</x:v>
      </x:c>
      <x:c r="M251" s="8" t="n">
        <x:f>INDEX($K$388:$N$400,W251,1)+INDEX($K$388:$N$400,W251,2)*(2*(J251-$T$405)/(T251-$T$405)-1)^1+INDEX($K$388:$N$400,W251,3)*(2*(J251-$T$405)/(T251-$T$405)-1)^2+INDEX($K$388:$N$400,W251,4)*(2*(J251-$T$405)/(T251-$T$405)-1)^3+INDEX($O$388:$Z$400,W251,MONTH(J251))</x:f>
        <x:v>-59.93223879318154</x:v>
      </x:c>
      <x:c r="N251" s="8" t="n">
        <x:f>K251-M251</x:f>
        <x:v>-11.06776120681846</x:v>
      </x:c>
      <x:c r="O251" s="8" t="n">
        <x:f>ABS(N251)</x:f>
        <x:v>11.06776120681846</x:v>
      </x:c>
      <x:c r="P251" s="8" t="n">
        <x:f>N251^2</x:f>
        <x:v>122.49533813115562</x:v>
      </x:c>
      <x:c r="Q251" s="8" t="n">
        <x:f>K251-L251</x:f>
        <x:v>2</x:v>
      </x:c>
      <x:c r="R251" s="9" t="n">
        <x:f>IF(AND(INDEX('Сводка'!$T$3:$T$397,U251)=0,INDEX('Сводка'!$T$3:$T$397,V251)=0),1,0)</x:f>
        <x:v>1</x:v>
      </x:c>
      <x:c r="S251" s="9" t="n">
        <x:f>IF(AND(R251=1,O251&lt;=$G$13),1,0)</x:f>
        <x:v>0</x:v>
      </x:c>
      <x:c r="T251" s="10" t="n">
        <x:f>EOMONTH(J251-'Сводка'!$B$11,-1)</x:f>
        <x:v>46081</x:v>
      </x:c>
      <x:c r="U251" s="4" t="n">
        <x:f>MATCH(J251,'Сводка'!$R$3:$R$397,0)</x:f>
        <x:v>262</x:v>
      </x:c>
      <x:c r="V251" s="4" t="n">
        <x:f>MATCH(J251-'Сводка'!$B$11,'Сводка'!$R$3:$R$397,0)</x:f>
        <x:v>261</x:v>
      </x:c>
      <x:c r="W251" s="4" t="n">
        <x:f>MATCH(T251,$J$388:$J$400,0)</x:f>
        <x:v>9</x:v>
      </x:c>
      <x:c r="X251" s="3"/>
      <x:c r="Y251" s="3"/>
      <x:c r="Z251" s="3"/>
    </x:row>
    <x:row r="252" ht="15" customHeight="1">
      <x:c r="A252" s="3"/>
      <x:c r="B252" s="3"/>
      <x:c r="C252" s="3"/>
      <x:c r="D252" s="3"/>
      <x:c r="E252" s="3"/>
      <x:c r="F252" s="3"/>
      <x:c r="G252" s="3"/>
      <x:c r="H252" s="3"/>
      <x:c r="I252" s="3"/>
      <x:c r="J252" s="10" t="n">
        <x:v>46103</x:v>
      </x:c>
      <x:c r="K252" s="8" t="n">
        <x:f>INDEX('Сводка'!$S$3:$S$397,U252)</x:f>
        <x:v>-71</x:v>
      </x:c>
      <x:c r="L252" s="8" t="n">
        <x:f>INDEX('Сводка'!$S$3:$S$397,V252)</x:f>
        <x:v>-71</x:v>
      </x:c>
      <x:c r="M252" s="8" t="n">
        <x:f>INDEX($K$388:$N$400,W252,1)+INDEX($K$388:$N$400,W252,2)*(2*(J252-$T$405)/(T252-$T$405)-1)^1+INDEX($K$388:$N$400,W252,3)*(2*(J252-$T$405)/(T252-$T$405)-1)^2+INDEX($K$388:$N$400,W252,4)*(2*(J252-$T$405)/(T252-$T$405)-1)^3+INDEX($O$388:$Z$400,W252,MONTH(J252))</x:f>
        <x:v>-59.959010762250585</x:v>
      </x:c>
      <x:c r="N252" s="8" t="n">
        <x:f>K252-M252</x:f>
        <x:v>-11.040989237749415</x:v>
      </x:c>
      <x:c r="O252" s="8" t="n">
        <x:f>ABS(N252)</x:f>
        <x:v>11.040989237749415</x:v>
      </x:c>
      <x:c r="P252" s="8" t="n">
        <x:f>N252^2</x:f>
        <x:v>121.90344334809839</x:v>
      </x:c>
      <x:c r="Q252" s="8" t="n">
        <x:f>K252-L252</x:f>
        <x:v>0</x:v>
      </x:c>
      <x:c r="R252" s="9" t="n">
        <x:f>IF(AND(INDEX('Сводка'!$T$3:$T$397,U252)=0,INDEX('Сводка'!$T$3:$T$397,V252)=0),1,0)</x:f>
        <x:v>1</x:v>
      </x:c>
      <x:c r="S252" s="9" t="n">
        <x:f>IF(AND(R252=1,O252&lt;=$G$13),1,0)</x:f>
        <x:v>0</x:v>
      </x:c>
      <x:c r="T252" s="10" t="n">
        <x:f>EOMONTH(J252-'Сводка'!$B$11,-1)</x:f>
        <x:v>46081</x:v>
      </x:c>
      <x:c r="U252" s="4" t="n">
        <x:f>MATCH(J252,'Сводка'!$R$3:$R$397,0)</x:f>
        <x:v>263</x:v>
      </x:c>
      <x:c r="V252" s="4" t="n">
        <x:f>MATCH(J252-'Сводка'!$B$11,'Сводка'!$R$3:$R$397,0)</x:f>
        <x:v>262</x:v>
      </x:c>
      <x:c r="W252" s="4" t="n">
        <x:f>MATCH(T252,$J$388:$J$400,0)</x:f>
        <x:v>9</x:v>
      </x:c>
      <x:c r="X252" s="3"/>
      <x:c r="Y252" s="3"/>
      <x:c r="Z252" s="3"/>
    </x:row>
    <x:row r="253" ht="15" customHeight="1">
      <x:c r="A253" s="3"/>
      <x:c r="B253" s="3"/>
      <x:c r="C253" s="3"/>
      <x:c r="D253" s="3"/>
      <x:c r="E253" s="3"/>
      <x:c r="F253" s="3"/>
      <x:c r="G253" s="3"/>
      <x:c r="H253" s="3"/>
      <x:c r="I253" s="3"/>
      <x:c r="J253" s="10" t="n">
        <x:v>46104</x:v>
      </x:c>
      <x:c r="K253" s="8" t="n">
        <x:f>INDEX('Сводка'!$S$3:$S$397,U253)</x:f>
        <x:v>-71</x:v>
      </x:c>
      <x:c r="L253" s="8" t="n">
        <x:f>INDEX('Сводка'!$S$3:$S$397,V253)</x:f>
        <x:v>-71</x:v>
      </x:c>
      <x:c r="M253" s="8" t="n">
        <x:f>INDEX($K$388:$N$400,W253,1)+INDEX($K$388:$N$400,W253,2)*(2*(J253-$T$405)/(T253-$T$405)-1)^1+INDEX($K$388:$N$400,W253,3)*(2*(J253-$T$405)/(T253-$T$405)-1)^2+INDEX($K$388:$N$400,W253,4)*(2*(J253-$T$405)/(T253-$T$405)-1)^3+INDEX($O$388:$Z$400,W253,MONTH(J253))</x:f>
        <x:v>-59.985799392224095</x:v>
      </x:c>
      <x:c r="N253" s="8" t="n">
        <x:f>K253-M253</x:f>
        <x:v>-11.014200607775905</x:v>
      </x:c>
      <x:c r="O253" s="8" t="n">
        <x:f>ABS(N253)</x:f>
        <x:v>11.014200607775905</x:v>
      </x:c>
      <x:c r="P253" s="8" t="n">
        <x:f>N253^2</x:f>
        <x:v>121.31261502833111</x:v>
      </x:c>
      <x:c r="Q253" s="8" t="n">
        <x:f>K253-L253</x:f>
        <x:v>0</x:v>
      </x:c>
      <x:c r="R253" s="9" t="n">
        <x:f>IF(AND(INDEX('Сводка'!$T$3:$T$397,U253)=0,INDEX('Сводка'!$T$3:$T$397,V253)=0),1,0)</x:f>
        <x:v>1</x:v>
      </x:c>
      <x:c r="S253" s="9" t="n">
        <x:f>IF(AND(R253=1,O253&lt;=$G$13),1,0)</x:f>
        <x:v>0</x:v>
      </x:c>
      <x:c r="T253" s="10" t="n">
        <x:f>EOMONTH(J253-'Сводка'!$B$11,-1)</x:f>
        <x:v>46081</x:v>
      </x:c>
      <x:c r="U253" s="4" t="n">
        <x:f>MATCH(J253,'Сводка'!$R$3:$R$397,0)</x:f>
        <x:v>264</x:v>
      </x:c>
      <x:c r="V253" s="4" t="n">
        <x:f>MATCH(J253-'Сводка'!$B$11,'Сводка'!$R$3:$R$397,0)</x:f>
        <x:v>263</x:v>
      </x:c>
      <x:c r="W253" s="4" t="n">
        <x:f>MATCH(T253,$J$388:$J$400,0)</x:f>
        <x:v>9</x:v>
      </x:c>
      <x:c r="X253" s="3"/>
      <x:c r="Y253" s="3"/>
      <x:c r="Z253" s="3"/>
    </x:row>
    <x:row r="254" ht="15" customHeight="1">
      <x:c r="A254" s="3"/>
      <x:c r="B254" s="3"/>
      <x:c r="C254" s="3"/>
      <x:c r="D254" s="3"/>
      <x:c r="E254" s="3"/>
      <x:c r="F254" s="3"/>
      <x:c r="G254" s="3"/>
      <x:c r="H254" s="3"/>
      <x:c r="I254" s="3"/>
      <x:c r="J254" s="10" t="n">
        <x:v>46105</x:v>
      </x:c>
      <x:c r="K254" s="8" t="n">
        <x:f>INDEX('Сводка'!$S$3:$S$397,U254)</x:f>
        <x:v>-71</x:v>
      </x:c>
      <x:c r="L254" s="8" t="n">
        <x:f>INDEX('Сводка'!$S$3:$S$397,V254)</x:f>
        <x:v>-71</x:v>
      </x:c>
      <x:c r="M254" s="8" t="n">
        <x:f>INDEX($K$388:$N$400,W254,1)+INDEX($K$388:$N$400,W254,2)*(2*(J254-$T$405)/(T254-$T$405)-1)^1+INDEX($K$388:$N$400,W254,3)*(2*(J254-$T$405)/(T254-$T$405)-1)^2+INDEX($K$388:$N$400,W254,4)*(2*(J254-$T$405)/(T254-$T$405)-1)^3+INDEX($O$388:$Z$400,W254,MONTH(J254))</x:f>
        <x:v>-60.01260468541594</x:v>
      </x:c>
      <x:c r="N254" s="8" t="n">
        <x:f>K254-M254</x:f>
        <x:v>-10.987395314584063</x:v>
      </x:c>
      <x:c r="O254" s="8" t="n">
        <x:f>ABS(N254)</x:f>
        <x:v>10.987395314584063</x:v>
      </x:c>
      <x:c r="P254" s="8" t="n">
        <x:f>N254^2</x:f>
        <x:v>120.72285579894383</x:v>
      </x:c>
      <x:c r="Q254" s="8" t="n">
        <x:f>K254-L254</x:f>
        <x:v>0</x:v>
      </x:c>
      <x:c r="R254" s="9" t="n">
        <x:f>IF(AND(INDEX('Сводка'!$T$3:$T$397,U254)=0,INDEX('Сводка'!$T$3:$T$397,V254)=0),1,0)</x:f>
        <x:v>1</x:v>
      </x:c>
      <x:c r="S254" s="9" t="n">
        <x:f>IF(AND(R254=1,O254&lt;=$G$13),1,0)</x:f>
        <x:v>0</x:v>
      </x:c>
      <x:c r="T254" s="10" t="n">
        <x:f>EOMONTH(J254-'Сводка'!$B$11,-1)</x:f>
        <x:v>46081</x:v>
      </x:c>
      <x:c r="U254" s="4" t="n">
        <x:f>MATCH(J254,'Сводка'!$R$3:$R$397,0)</x:f>
        <x:v>265</x:v>
      </x:c>
      <x:c r="V254" s="4" t="n">
        <x:f>MATCH(J254-'Сводка'!$B$11,'Сводка'!$R$3:$R$397,0)</x:f>
        <x:v>264</x:v>
      </x:c>
      <x:c r="W254" s="4" t="n">
        <x:f>MATCH(T254,$J$388:$J$400,0)</x:f>
        <x:v>9</x:v>
      </x:c>
      <x:c r="X254" s="3"/>
      <x:c r="Y254" s="3"/>
      <x:c r="Z254" s="3"/>
    </x:row>
    <x:row r="255" ht="15" customHeight="1">
      <x:c r="A255" s="3"/>
      <x:c r="B255" s="3"/>
      <x:c r="C255" s="3"/>
      <x:c r="D255" s="3"/>
      <x:c r="E255" s="3"/>
      <x:c r="F255" s="3"/>
      <x:c r="G255" s="3"/>
      <x:c r="H255" s="3"/>
      <x:c r="I255" s="3"/>
      <x:c r="J255" s="10" t="n">
        <x:v>46106</x:v>
      </x:c>
      <x:c r="K255" s="8" t="n">
        <x:f>INDEX('Сводка'!$S$3:$S$397,U255)</x:f>
        <x:v>-72</x:v>
      </x:c>
      <x:c r="L255" s="8" t="n">
        <x:f>INDEX('Сводка'!$S$3:$S$397,V255)</x:f>
        <x:v>-71</x:v>
      </x:c>
      <x:c r="M255" s="8" t="n">
        <x:f>INDEX($K$388:$N$400,W255,1)+INDEX($K$388:$N$400,W255,2)*(2*(J255-$T$405)/(T255-$T$405)-1)^1+INDEX($K$388:$N$400,W255,3)*(2*(J255-$T$405)/(T255-$T$405)-1)^2+INDEX($K$388:$N$400,W255,4)*(2*(J255-$T$405)/(T255-$T$405)-1)^3+INDEX($O$388:$Z$400,W255,MONTH(J255))</x:f>
        <x:v>-60.03942664413995</x:v>
      </x:c>
      <x:c r="N255" s="8" t="n">
        <x:f>K255-M255</x:f>
        <x:v>-11.960573355860049</x:v>
      </x:c>
      <x:c r="O255" s="8" t="n">
        <x:f>ABS(N255)</x:f>
        <x:v>11.960573355860049</x:v>
      </x:c>
      <x:c r="P255" s="8" t="n">
        <x:f>N255^2</x:f>
        <x:v>143.0553150009093</x:v>
      </x:c>
      <x:c r="Q255" s="8" t="n">
        <x:f>K255-L255</x:f>
        <x:v>-1</x:v>
      </x:c>
      <x:c r="R255" s="9" t="n">
        <x:f>IF(AND(INDEX('Сводка'!$T$3:$T$397,U255)=0,INDEX('Сводка'!$T$3:$T$397,V255)=0),1,0)</x:f>
        <x:v>1</x:v>
      </x:c>
      <x:c r="S255" s="9" t="n">
        <x:f>IF(AND(R255=1,O255&lt;=$G$13),1,0)</x:f>
        <x:v>0</x:v>
      </x:c>
      <x:c r="T255" s="10" t="n">
        <x:f>EOMONTH(J255-'Сводка'!$B$11,-1)</x:f>
        <x:v>46081</x:v>
      </x:c>
      <x:c r="U255" s="4" t="n">
        <x:f>MATCH(J255,'Сводка'!$R$3:$R$397,0)</x:f>
        <x:v>266</x:v>
      </x:c>
      <x:c r="V255" s="4" t="n">
        <x:f>MATCH(J255-'Сводка'!$B$11,'Сводка'!$R$3:$R$397,0)</x:f>
        <x:v>265</x:v>
      </x:c>
      <x:c r="W255" s="4" t="n">
        <x:f>MATCH(T255,$J$388:$J$400,0)</x:f>
        <x:v>9</x:v>
      </x:c>
      <x:c r="X255" s="3"/>
      <x:c r="Y255" s="3"/>
      <x:c r="Z255" s="3"/>
    </x:row>
    <x:row r="256" ht="15" customHeight="1">
      <x:c r="A256" s="3"/>
      <x:c r="B256" s="3"/>
      <x:c r="C256" s="3"/>
      <x:c r="D256" s="3"/>
      <x:c r="E256" s="3"/>
      <x:c r="F256" s="3"/>
      <x:c r="G256" s="3"/>
      <x:c r="H256" s="3"/>
      <x:c r="I256" s="3"/>
      <x:c r="J256" s="10" t="n">
        <x:v>46107</x:v>
      </x:c>
      <x:c r="K256" s="8" t="n">
        <x:f>INDEX('Сводка'!$S$3:$S$397,U256)</x:f>
        <x:v>-72</x:v>
      </x:c>
      <x:c r="L256" s="8" t="n">
        <x:f>INDEX('Сводка'!$S$3:$S$397,V256)</x:f>
        <x:v>-72</x:v>
      </x:c>
      <x:c r="M256" s="8" t="n">
        <x:f>INDEX($K$388:$N$400,W256,1)+INDEX($K$388:$N$400,W256,2)*(2*(J256-$T$405)/(T256-$T$405)-1)^1+INDEX($K$388:$N$400,W256,3)*(2*(J256-$T$405)/(T256-$T$405)-1)^2+INDEX($K$388:$N$400,W256,4)*(2*(J256-$T$405)/(T256-$T$405)-1)^3+INDEX($O$388:$Z$400,W256,MONTH(J256))</x:f>
        <x:v>-60.06626527071026</x:v>
      </x:c>
      <x:c r="N256" s="8" t="n">
        <x:f>K256-M256</x:f>
        <x:v>-11.933734729289739</x:v>
      </x:c>
      <x:c r="O256" s="8" t="n">
        <x:f>ABS(N256)</x:f>
        <x:v>11.933734729289739</x:v>
      </x:c>
      <x:c r="P256" s="8" t="n">
        <x:f>N256^2</x:f>
        <x:v>142.41402458905605</x:v>
      </x:c>
      <x:c r="Q256" s="8" t="n">
        <x:f>K256-L256</x:f>
        <x:v>0</x:v>
      </x:c>
      <x:c r="R256" s="9" t="n">
        <x:f>IF(AND(INDEX('Сводка'!$T$3:$T$397,U256)=0,INDEX('Сводка'!$T$3:$T$397,V256)=0),1,0)</x:f>
        <x:v>1</x:v>
      </x:c>
      <x:c r="S256" s="9" t="n">
        <x:f>IF(AND(R256=1,O256&lt;=$G$13),1,0)</x:f>
        <x:v>0</x:v>
      </x:c>
      <x:c r="T256" s="10" t="n">
        <x:f>EOMONTH(J256-'Сводка'!$B$11,-1)</x:f>
        <x:v>46081</x:v>
      </x:c>
      <x:c r="U256" s="4" t="n">
        <x:f>MATCH(J256,'Сводка'!$R$3:$R$397,0)</x:f>
        <x:v>267</x:v>
      </x:c>
      <x:c r="V256" s="4" t="n">
        <x:f>MATCH(J256-'Сводка'!$B$11,'Сводка'!$R$3:$R$397,0)</x:f>
        <x:v>266</x:v>
      </x:c>
      <x:c r="W256" s="4" t="n">
        <x:f>MATCH(T256,$J$388:$J$400,0)</x:f>
        <x:v>9</x:v>
      </x:c>
      <x:c r="X256" s="3"/>
      <x:c r="Y256" s="3"/>
      <x:c r="Z256" s="3"/>
    </x:row>
    <x:row r="257" ht="15" customHeight="1">
      <x:c r="A257" s="3"/>
      <x:c r="B257" s="3"/>
      <x:c r="C257" s="3"/>
      <x:c r="D257" s="3"/>
      <x:c r="E257" s="3"/>
      <x:c r="F257" s="3"/>
      <x:c r="G257" s="3"/>
      <x:c r="H257" s="3"/>
      <x:c r="I257" s="3"/>
      <x:c r="J257" s="10" t="n">
        <x:v>46108</x:v>
      </x:c>
      <x:c r="K257" s="8" t="n">
        <x:f>INDEX('Сводка'!$S$3:$S$397,U257)</x:f>
        <x:v>-71</x:v>
      </x:c>
      <x:c r="L257" s="8" t="n">
        <x:f>INDEX('Сводка'!$S$3:$S$397,V257)</x:f>
        <x:v>-72</x:v>
      </x:c>
      <x:c r="M257" s="8" t="n">
        <x:f>INDEX($K$388:$N$400,W257,1)+INDEX($K$388:$N$400,W257,2)*(2*(J257-$T$405)/(T257-$T$405)-1)^1+INDEX($K$388:$N$400,W257,3)*(2*(J257-$T$405)/(T257-$T$405)-1)^2+INDEX($K$388:$N$400,W257,4)*(2*(J257-$T$405)/(T257-$T$405)-1)^3+INDEX($O$388:$Z$400,W257,MONTH(J257))</x:f>
        <x:v>-60.09312056744075</x:v>
      </x:c>
      <x:c r="N257" s="8" t="n">
        <x:f>K257-M257</x:f>
        <x:v>-10.90687943255925</x:v>
      </x:c>
      <x:c r="O257" s="8" t="n">
        <x:f>ABS(N257)</x:f>
        <x:v>10.90687943255925</x:v>
      </x:c>
      <x:c r="P257" s="8" t="n">
        <x:f>N257^2</x:f>
        <x:v>118.960018956384</x:v>
      </x:c>
      <x:c r="Q257" s="8" t="n">
        <x:f>K257-L257</x:f>
        <x:v>1</x:v>
      </x:c>
      <x:c r="R257" s="9" t="n">
        <x:f>IF(AND(INDEX('Сводка'!$T$3:$T$397,U257)=0,INDEX('Сводка'!$T$3:$T$397,V257)=0),1,0)</x:f>
        <x:v>1</x:v>
      </x:c>
      <x:c r="S257" s="9" t="n">
        <x:f>IF(AND(R257=1,O257&lt;=$G$13),1,0)</x:f>
        <x:v>0</x:v>
      </x:c>
      <x:c r="T257" s="10" t="n">
        <x:f>EOMONTH(J257-'Сводка'!$B$11,-1)</x:f>
        <x:v>46081</x:v>
      </x:c>
      <x:c r="U257" s="4" t="n">
        <x:f>MATCH(J257,'Сводка'!$R$3:$R$397,0)</x:f>
        <x:v>268</x:v>
      </x:c>
      <x:c r="V257" s="4" t="n">
        <x:f>MATCH(J257-'Сводка'!$B$11,'Сводка'!$R$3:$R$397,0)</x:f>
        <x:v>267</x:v>
      </x:c>
      <x:c r="W257" s="4" t="n">
        <x:f>MATCH(T257,$J$388:$J$400,0)</x:f>
        <x:v>9</x:v>
      </x:c>
      <x:c r="X257" s="3"/>
      <x:c r="Y257" s="3"/>
      <x:c r="Z257" s="3"/>
    </x:row>
    <x:row r="258" ht="15" customHeight="1">
      <x:c r="A258" s="3"/>
      <x:c r="B258" s="3"/>
      <x:c r="C258" s="3"/>
      <x:c r="D258" s="3"/>
      <x:c r="E258" s="3"/>
      <x:c r="F258" s="3"/>
      <x:c r="G258" s="3"/>
      <x:c r="H258" s="3"/>
      <x:c r="I258" s="3"/>
      <x:c r="J258" s="10" t="n">
        <x:v>46109</x:v>
      </x:c>
      <x:c r="K258" s="8" t="n">
        <x:f>INDEX('Сводка'!$S$3:$S$397,U258)</x:f>
        <x:v>-71</x:v>
      </x:c>
      <x:c r="L258" s="8" t="n">
        <x:f>INDEX('Сводка'!$S$3:$S$397,V258)</x:f>
        <x:v>-71</x:v>
      </x:c>
      <x:c r="M258" s="8" t="n">
        <x:f>INDEX($K$388:$N$400,W258,1)+INDEX($K$388:$N$400,W258,2)*(2*(J258-$T$405)/(T258-$T$405)-1)^1+INDEX($K$388:$N$400,W258,3)*(2*(J258-$T$405)/(T258-$T$405)-1)^2+INDEX($K$388:$N$400,W258,4)*(2*(J258-$T$405)/(T258-$T$405)-1)^3+INDEX($O$388:$Z$400,W258,MONTH(J258))</x:f>
        <x:v>-60.11999253664521</x:v>
      </x:c>
      <x:c r="N258" s="8" t="n">
        <x:f>K258-M258</x:f>
        <x:v>-10.880007463354787</x:v>
      </x:c>
      <x:c r="O258" s="8" t="n">
        <x:f>ABS(N258)</x:f>
        <x:v>10.880007463354787</x:v>
      </x:c>
      <x:c r="P258" s="8" t="n">
        <x:f>N258^2</x:f>
        <x:v>118.37456240265585</x:v>
      </x:c>
      <x:c r="Q258" s="8" t="n">
        <x:f>K258-L258</x:f>
        <x:v>0</x:v>
      </x:c>
      <x:c r="R258" s="9" t="n">
        <x:f>IF(AND(INDEX('Сводка'!$T$3:$T$397,U258)=0,INDEX('Сводка'!$T$3:$T$397,V258)=0),1,0)</x:f>
        <x:v>1</x:v>
      </x:c>
      <x:c r="S258" s="9" t="n">
        <x:f>IF(AND(R258=1,O258&lt;=$G$13),1,0)</x:f>
        <x:v>0</x:v>
      </x:c>
      <x:c r="T258" s="10" t="n">
        <x:f>EOMONTH(J258-'Сводка'!$B$11,-1)</x:f>
        <x:v>46081</x:v>
      </x:c>
      <x:c r="U258" s="4" t="n">
        <x:f>MATCH(J258,'Сводка'!$R$3:$R$397,0)</x:f>
        <x:v>269</x:v>
      </x:c>
      <x:c r="V258" s="4" t="n">
        <x:f>MATCH(J258-'Сводка'!$B$11,'Сводка'!$R$3:$R$397,0)</x:f>
        <x:v>268</x:v>
      </x:c>
      <x:c r="W258" s="4" t="n">
        <x:f>MATCH(T258,$J$388:$J$400,0)</x:f>
        <x:v>9</x:v>
      </x:c>
      <x:c r="X258" s="3"/>
      <x:c r="Y258" s="3"/>
      <x:c r="Z258" s="3"/>
    </x:row>
    <x:row r="259" ht="15" customHeight="1">
      <x:c r="A259" s="3"/>
      <x:c r="B259" s="3"/>
      <x:c r="C259" s="3"/>
      <x:c r="D259" s="3"/>
      <x:c r="E259" s="3"/>
      <x:c r="F259" s="3"/>
      <x:c r="G259" s="3"/>
      <x:c r="H259" s="3"/>
      <x:c r="I259" s="3"/>
      <x:c r="J259" s="10" t="n">
        <x:v>46110</x:v>
      </x:c>
      <x:c r="K259" s="8" t="n">
        <x:f>INDEX('Сводка'!$S$3:$S$397,U259)</x:f>
        <x:v>-71</x:v>
      </x:c>
      <x:c r="L259" s="8" t="n">
        <x:f>INDEX('Сводка'!$S$3:$S$397,V259)</x:f>
        <x:v>-71</x:v>
      </x:c>
      <x:c r="M259" s="8" t="n">
        <x:f>INDEX($K$388:$N$400,W259,1)+INDEX($K$388:$N$400,W259,2)*(2*(J259-$T$405)/(T259-$T$405)-1)^1+INDEX($K$388:$N$400,W259,3)*(2*(J259-$T$405)/(T259-$T$405)-1)^2+INDEX($K$388:$N$400,W259,4)*(2*(J259-$T$405)/(T259-$T$405)-1)^3+INDEX($O$388:$Z$400,W259,MONTH(J259))</x:f>
        <x:v>-60.14688118063782</x:v>
      </x:c>
      <x:c r="N259" s="8" t="n">
        <x:f>K259-M259</x:f>
        <x:v>-10.85311881936218</x:v>
      </x:c>
      <x:c r="O259" s="8" t="n">
        <x:f>ABS(N259)</x:f>
        <x:v>10.85311881936218</x:v>
      </x:c>
      <x:c r="P259" s="8" t="n">
        <x:f>N259^2</x:f>
        <x:v>117.79018810719353</x:v>
      </x:c>
      <x:c r="Q259" s="8" t="n">
        <x:f>K259-L259</x:f>
        <x:v>0</x:v>
      </x:c>
      <x:c r="R259" s="9" t="n">
        <x:f>IF(AND(INDEX('Сводка'!$T$3:$T$397,U259)=0,INDEX('Сводка'!$T$3:$T$397,V259)=0),1,0)</x:f>
        <x:v>1</x:v>
      </x:c>
      <x:c r="S259" s="9" t="n">
        <x:f>IF(AND(R259=1,O259&lt;=$G$13),1,0)</x:f>
        <x:v>0</x:v>
      </x:c>
      <x:c r="T259" s="10" t="n">
        <x:f>EOMONTH(J259-'Сводка'!$B$11,-1)</x:f>
        <x:v>46081</x:v>
      </x:c>
      <x:c r="U259" s="4" t="n">
        <x:f>MATCH(J259,'Сводка'!$R$3:$R$397,0)</x:f>
        <x:v>270</x:v>
      </x:c>
      <x:c r="V259" s="4" t="n">
        <x:f>MATCH(J259-'Сводка'!$B$11,'Сводка'!$R$3:$R$397,0)</x:f>
        <x:v>269</x:v>
      </x:c>
      <x:c r="W259" s="4" t="n">
        <x:f>MATCH(T259,$J$388:$J$400,0)</x:f>
        <x:v>9</x:v>
      </x:c>
      <x:c r="X259" s="3"/>
      <x:c r="Y259" s="3"/>
      <x:c r="Z259" s="3"/>
    </x:row>
    <x:row r="260" ht="15" customHeight="1">
      <x:c r="A260" s="3"/>
      <x:c r="B260" s="3"/>
      <x:c r="C260" s="3"/>
      <x:c r="D260" s="3"/>
      <x:c r="E260" s="3"/>
      <x:c r="F260" s="3"/>
      <x:c r="G260" s="3"/>
      <x:c r="H260" s="3"/>
      <x:c r="I260" s="3"/>
      <x:c r="J260" s="10" t="n">
        <x:v>46111</x:v>
      </x:c>
      <x:c r="K260" s="8" t="n">
        <x:f>INDEX('Сводка'!$S$3:$S$397,U260)</x:f>
        <x:v>-69</x:v>
      </x:c>
      <x:c r="L260" s="8" t="n">
        <x:f>INDEX('Сводка'!$S$3:$S$397,V260)</x:f>
        <x:v>-71</x:v>
      </x:c>
      <x:c r="M260" s="8" t="n">
        <x:f>INDEX($K$388:$N$400,W260,1)+INDEX($K$388:$N$400,W260,2)*(2*(J260-$T$405)/(T260-$T$405)-1)^1+INDEX($K$388:$N$400,W260,3)*(2*(J260-$T$405)/(T260-$T$405)-1)^2+INDEX($K$388:$N$400,W260,4)*(2*(J260-$T$405)/(T260-$T$405)-1)^3+INDEX($O$388:$Z$400,W260,MONTH(J260))</x:f>
        <x:v>-60.17378650173245</x:v>
      </x:c>
      <x:c r="N260" s="8" t="n">
        <x:f>K260-M260</x:f>
        <x:v>-8.826213498267549</x:v>
      </x:c>
      <x:c r="O260" s="8" t="n">
        <x:f>ABS(N260)</x:f>
        <x:v>8.826213498267549</x:v>
      </x:c>
      <x:c r="P260" s="8" t="n">
        <x:f>N260^2</x:f>
        <x:v>77.90204471700028</x:v>
      </x:c>
      <x:c r="Q260" s="8" t="n">
        <x:f>K260-L260</x:f>
        <x:v>2</x:v>
      </x:c>
      <x:c r="R260" s="9" t="n">
        <x:f>IF(AND(INDEX('Сводка'!$T$3:$T$397,U260)=0,INDEX('Сводка'!$T$3:$T$397,V260)=0),1,0)</x:f>
        <x:v>1</x:v>
      </x:c>
      <x:c r="S260" s="9" t="n">
        <x:f>IF(AND(R260=1,O260&lt;=$G$13),1,0)</x:f>
        <x:v>0</x:v>
      </x:c>
      <x:c r="T260" s="10" t="n">
        <x:f>EOMONTH(J260-'Сводка'!$B$11,-1)</x:f>
        <x:v>46081</x:v>
      </x:c>
      <x:c r="U260" s="4" t="n">
        <x:f>MATCH(J260,'Сводка'!$R$3:$R$397,0)</x:f>
        <x:v>271</x:v>
      </x:c>
      <x:c r="V260" s="4" t="n">
        <x:f>MATCH(J260-'Сводка'!$B$11,'Сводка'!$R$3:$R$397,0)</x:f>
        <x:v>270</x:v>
      </x:c>
      <x:c r="W260" s="4" t="n">
        <x:f>MATCH(T260,$J$388:$J$400,0)</x:f>
        <x:v>9</x:v>
      </x:c>
      <x:c r="X260" s="3"/>
      <x:c r="Y260" s="3"/>
      <x:c r="Z260" s="3"/>
    </x:row>
    <x:row r="261" ht="15" customHeight="1">
      <x:c r="A261" s="3"/>
      <x:c r="B261" s="3"/>
      <x:c r="C261" s="3"/>
      <x:c r="D261" s="3"/>
      <x:c r="E261" s="3"/>
      <x:c r="F261" s="3"/>
      <x:c r="G261" s="3"/>
      <x:c r="H261" s="3"/>
      <x:c r="I261" s="3"/>
      <x:c r="J261" s="10" t="n">
        <x:v>46112</x:v>
      </x:c>
      <x:c r="K261" s="8" t="n">
        <x:f>INDEX('Сводка'!$S$3:$S$397,U261)</x:f>
        <x:v>-67</x:v>
      </x:c>
      <x:c r="L261" s="8" t="n">
        <x:f>INDEX('Сводка'!$S$3:$S$397,V261)</x:f>
        <x:v>-69</x:v>
      </x:c>
      <x:c r="M261" s="8" t="n">
        <x:f>INDEX($K$388:$N$400,W261,1)+INDEX($K$388:$N$400,W261,2)*(2*(J261-$T$405)/(T261-$T$405)-1)^1+INDEX($K$388:$N$400,W261,3)*(2*(J261-$T$405)/(T261-$T$405)-1)^2+INDEX($K$388:$N$400,W261,4)*(2*(J261-$T$405)/(T261-$T$405)-1)^3+INDEX($O$388:$Z$400,W261,MONTH(J261))</x:f>
        <x:v>-60.20070850224289</x:v>
      </x:c>
      <x:c r="N261" s="8" t="n">
        <x:f>K261-M261</x:f>
        <x:v>-6.79929149775711</x:v>
      </x:c>
      <x:c r="O261" s="8" t="n">
        <x:f>ABS(N261)</x:f>
        <x:v>6.79929149775711</x:v>
      </x:c>
      <x:c r="P261" s="8" t="n">
        <x:f>N261^2</x:f>
        <x:v>46.230364871472126</x:v>
      </x:c>
      <x:c r="Q261" s="8" t="n">
        <x:f>K261-L261</x:f>
        <x:v>2</x:v>
      </x:c>
      <x:c r="R261" s="9" t="n">
        <x:f>IF(AND(INDEX('Сводка'!$T$3:$T$397,U261)=0,INDEX('Сводка'!$T$3:$T$397,V261)=0),1,0)</x:f>
        <x:v>1</x:v>
      </x:c>
      <x:c r="S261" s="9" t="n">
        <x:f>IF(AND(R261=1,O261&lt;=$G$13),1,0)</x:f>
        <x:v>1</x:v>
      </x:c>
      <x:c r="T261" s="10" t="n">
        <x:f>EOMONTH(J261-'Сводка'!$B$11,-1)</x:f>
        <x:v>46081</x:v>
      </x:c>
      <x:c r="U261" s="4" t="n">
        <x:f>MATCH(J261,'Сводка'!$R$3:$R$397,0)</x:f>
        <x:v>272</x:v>
      </x:c>
      <x:c r="V261" s="4" t="n">
        <x:f>MATCH(J261-'Сводка'!$B$11,'Сводка'!$R$3:$R$397,0)</x:f>
        <x:v>271</x:v>
      </x:c>
      <x:c r="W261" s="4" t="n">
        <x:f>MATCH(T261,$J$388:$J$400,0)</x:f>
        <x:v>9</x:v>
      </x:c>
      <x:c r="X261" s="3"/>
      <x:c r="Y261" s="3"/>
      <x:c r="Z261" s="3"/>
    </x:row>
    <x:row r="262" ht="15" customHeight="1">
      <x:c r="A262" s="3"/>
      <x:c r="B262" s="3"/>
      <x:c r="C262" s="3"/>
      <x:c r="D262" s="3"/>
      <x:c r="E262" s="3"/>
      <x:c r="F262" s="3"/>
      <x:c r="G262" s="3"/>
      <x:c r="H262" s="3"/>
      <x:c r="I262" s="3"/>
      <x:c r="J262" s="10" t="n">
        <x:v>46113</x:v>
      </x:c>
      <x:c r="K262" s="8" t="n">
        <x:f>INDEX('Сводка'!$S$3:$S$397,U262)</x:f>
        <x:v>-65</x:v>
      </x:c>
      <x:c r="L262" s="8" t="n">
        <x:f>INDEX('Сводка'!$S$3:$S$397,V262)</x:f>
        <x:v>-67</x:v>
      </x:c>
      <x:c r="M262" s="8" t="n">
        <x:f>INDEX($K$388:$N$400,W262,1)+INDEX($K$388:$N$400,W262,2)*(2*(J262-$T$405)/(T262-$T$405)-1)^1+INDEX($K$388:$N$400,W262,3)*(2*(J262-$T$405)/(T262-$T$405)-1)^2+INDEX($K$388:$N$400,W262,4)*(2*(J262-$T$405)/(T262-$T$405)-1)^3+INDEX($O$388:$Z$400,W262,MONTH(J262))</x:f>
        <x:v>55.417929221534145</x:v>
      </x:c>
      <x:c r="N262" s="8" t="n">
        <x:f>K262-M262</x:f>
        <x:v>-120.41792922153414</x:v>
      </x:c>
      <x:c r="O262" s="8" t="n">
        <x:f>ABS(N262)</x:f>
        <x:v>120.41792922153414</x:v>
      </x:c>
      <x:c r="P262" s="8" t="n">
        <x:f>N262^2</x:f>
        <x:v>14500.477678002406</x:v>
      </x:c>
      <x:c r="Q262" s="8" t="n">
        <x:f>K262-L262</x:f>
        <x:v>2</x:v>
      </x:c>
      <x:c r="R262" s="9" t="n">
        <x:f>IF(AND(INDEX('Сводка'!$T$3:$T$397,U262)=0,INDEX('Сводка'!$T$3:$T$397,V262)=0),1,0)</x:f>
        <x:v>1</x:v>
      </x:c>
      <x:c r="S262" s="9" t="n">
        <x:f>IF(AND(R262=1,O262&lt;=$G$13),1,0)</x:f>
        <x:v>0</x:v>
      </x:c>
      <x:c r="T262" s="10" t="n">
        <x:f>EOMONTH(J262-'Сводка'!$B$11,-1)</x:f>
        <x:v>46081</x:v>
      </x:c>
      <x:c r="U262" s="4" t="n">
        <x:f>MATCH(J262,'Сводка'!$R$3:$R$397,0)</x:f>
        <x:v>273</x:v>
      </x:c>
      <x:c r="V262" s="4" t="n">
        <x:f>MATCH(J262-'Сводка'!$B$11,'Сводка'!$R$3:$R$397,0)</x:f>
        <x:v>272</x:v>
      </x:c>
      <x:c r="W262" s="4" t="n">
        <x:f>MATCH(T262,$J$388:$J$400,0)</x:f>
        <x:v>9</x:v>
      </x:c>
      <x:c r="X262" s="3"/>
      <x:c r="Y262" s="3"/>
      <x:c r="Z262" s="3"/>
    </x:row>
    <x:row r="263" ht="15" customHeight="1">
      <x:c r="A263" s="3"/>
      <x:c r="B263" s="3"/>
      <x:c r="C263" s="3"/>
      <x:c r="D263" s="3"/>
      <x:c r="E263" s="3"/>
      <x:c r="F263" s="3"/>
      <x:c r="G263" s="3"/>
      <x:c r="H263" s="3"/>
      <x:c r="I263" s="3"/>
      <x:c r="J263" s="10" t="n">
        <x:v>46114</x:v>
      </x:c>
      <x:c r="K263" s="8" t="n">
        <x:f>INDEX('Сводка'!$S$3:$S$397,U263)</x:f>
        <x:v>-59</x:v>
      </x:c>
      <x:c r="L263" s="8" t="n">
        <x:f>INDEX('Сводка'!$S$3:$S$397,V263)</x:f>
        <x:v>-65</x:v>
      </x:c>
      <x:c r="M263" s="8" t="n">
        <x:f>INDEX($K$388:$N$400,W263,1)+INDEX($K$388:$N$400,W263,2)*(2*(J263-$T$405)/(T263-$T$405)-1)^1+INDEX($K$388:$N$400,W263,3)*(2*(J263-$T$405)/(T263-$T$405)-1)^2+INDEX($K$388:$N$400,W263,4)*(2*(J263-$T$405)/(T263-$T$405)-1)^3+INDEX($O$388:$Z$400,W263,MONTH(J263))</x:f>
        <x:v>54.946441089241624</x:v>
      </x:c>
      <x:c r="N263" s="8" t="n">
        <x:f>K263-M263</x:f>
        <x:v>-113.94644108924163</x:v>
      </x:c>
      <x:c r="O263" s="8" t="n">
        <x:f>ABS(N263)</x:f>
        <x:v>113.94644108924163</x:v>
      </x:c>
      <x:c r="P263" s="8" t="n">
        <x:f>N263^2</x:f>
        <x:v>12983.791436904014</x:v>
      </x:c>
      <x:c r="Q263" s="8" t="n">
        <x:f>K263-L263</x:f>
        <x:v>6</x:v>
      </x:c>
      <x:c r="R263" s="9" t="n">
        <x:f>IF(AND(INDEX('Сводка'!$T$3:$T$397,U263)=0,INDEX('Сводка'!$T$3:$T$397,V263)=0),1,0)</x:f>
        <x:v>1</x:v>
      </x:c>
      <x:c r="S263" s="9" t="n">
        <x:f>IF(AND(R263=1,O263&lt;=$G$13),1,0)</x:f>
        <x:v>0</x:v>
      </x:c>
      <x:c r="T263" s="10" t="n">
        <x:f>EOMONTH(J263-'Сводка'!$B$11,-1)</x:f>
        <x:v>46112</x:v>
      </x:c>
      <x:c r="U263" s="4" t="n">
        <x:f>MATCH(J263,'Сводка'!$R$3:$R$397,0)</x:f>
        <x:v>274</x:v>
      </x:c>
      <x:c r="V263" s="4" t="n">
        <x:f>MATCH(J263-'Сводка'!$B$11,'Сводка'!$R$3:$R$397,0)</x:f>
        <x:v>273</x:v>
      </x:c>
      <x:c r="W263" s="4" t="n">
        <x:f>MATCH(T263,$J$388:$J$400,0)</x:f>
        <x:v>10</x:v>
      </x:c>
      <x:c r="X263" s="3"/>
      <x:c r="Y263" s="3"/>
      <x:c r="Z263" s="3"/>
    </x:row>
    <x:row r="264" ht="15" customHeight="1">
      <x:c r="A264" s="3"/>
      <x:c r="B264" s="3"/>
      <x:c r="C264" s="3"/>
      <x:c r="D264" s="3"/>
      <x:c r="E264" s="3"/>
      <x:c r="F264" s="3"/>
      <x:c r="G264" s="3"/>
      <x:c r="H264" s="3"/>
      <x:c r="I264" s="3"/>
      <x:c r="J264" s="10" t="n">
        <x:v>46115</x:v>
      </x:c>
      <x:c r="K264" s="8" t="n">
        <x:f>INDEX('Сводка'!$S$3:$S$397,U264)</x:f>
        <x:v>-52</x:v>
      </x:c>
      <x:c r="L264" s="8" t="n">
        <x:f>INDEX('Сводка'!$S$3:$S$397,V264)</x:f>
        <x:v>-59</x:v>
      </x:c>
      <x:c r="M264" s="8" t="n">
        <x:f>INDEX($K$388:$N$400,W264,1)+INDEX($K$388:$N$400,W264,2)*(2*(J264-$T$405)/(T264-$T$405)-1)^1+INDEX($K$388:$N$400,W264,3)*(2*(J264-$T$405)/(T264-$T$405)-1)^2+INDEX($K$388:$N$400,W264,4)*(2*(J264-$T$405)/(T264-$T$405)-1)^3+INDEX($O$388:$Z$400,W264,MONTH(J264))</x:f>
        <x:v>54.91908545996467</x:v>
      </x:c>
      <x:c r="N264" s="8" t="n">
        <x:f>K264-M264</x:f>
        <x:v>-106.91908545996466</x:v>
      </x:c>
      <x:c r="O264" s="8" t="n">
        <x:f>ABS(N264)</x:f>
        <x:v>106.91908545996466</x:v>
      </x:c>
      <x:c r="P264" s="8" t="n">
        <x:f>N264^2</x:f>
        <x:v>11431.690835595227</x:v>
      </x:c>
      <x:c r="Q264" s="8" t="n">
        <x:f>K264-L264</x:f>
        <x:v>7</x:v>
      </x:c>
      <x:c r="R264" s="9" t="n">
        <x:f>IF(AND(INDEX('Сводка'!$T$3:$T$397,U264)=0,INDEX('Сводка'!$T$3:$T$397,V264)=0),1,0)</x:f>
        <x:v>1</x:v>
      </x:c>
      <x:c r="S264" s="9" t="n">
        <x:f>IF(AND(R264=1,O264&lt;=$G$13),1,0)</x:f>
        <x:v>0</x:v>
      </x:c>
      <x:c r="T264" s="10" t="n">
        <x:f>EOMONTH(J264-'Сводка'!$B$11,-1)</x:f>
        <x:v>46112</x:v>
      </x:c>
      <x:c r="U264" s="4" t="n">
        <x:f>MATCH(J264,'Сводка'!$R$3:$R$397,0)</x:f>
        <x:v>275</x:v>
      </x:c>
      <x:c r="V264" s="4" t="n">
        <x:f>MATCH(J264-'Сводка'!$B$11,'Сводка'!$R$3:$R$397,0)</x:f>
        <x:v>274</x:v>
      </x:c>
      <x:c r="W264" s="4" t="n">
        <x:f>MATCH(T264,$J$388:$J$400,0)</x:f>
        <x:v>10</x:v>
      </x:c>
      <x:c r="X264" s="3"/>
      <x:c r="Y264" s="3"/>
      <x:c r="Z264" s="3"/>
    </x:row>
    <x:row r="265" ht="15" customHeight="1">
      <x:c r="A265" s="3"/>
      <x:c r="B265" s="3"/>
      <x:c r="C265" s="3"/>
      <x:c r="D265" s="3"/>
      <x:c r="E265" s="3"/>
      <x:c r="F265" s="3"/>
      <x:c r="G265" s="3"/>
      <x:c r="H265" s="3"/>
      <x:c r="I265" s="3"/>
      <x:c r="J265" s="10" t="n">
        <x:v>46116</x:v>
      </x:c>
      <x:c r="K265" s="8" t="n">
        <x:f>INDEX('Сводка'!$S$3:$S$397,U265)</x:f>
        <x:v>-42</x:v>
      </x:c>
      <x:c r="L265" s="8" t="n">
        <x:f>INDEX('Сводка'!$S$3:$S$397,V265)</x:f>
        <x:v>-52</x:v>
      </x:c>
      <x:c r="M265" s="8" t="n">
        <x:f>INDEX($K$388:$N$400,W265,1)+INDEX($K$388:$N$400,W265,2)*(2*(J265-$T$405)/(T265-$T$405)-1)^1+INDEX($K$388:$N$400,W265,3)*(2*(J265-$T$405)/(T265-$T$405)-1)^2+INDEX($K$388:$N$400,W265,4)*(2*(J265-$T$405)/(T265-$T$405)-1)^3+INDEX($O$388:$Z$400,W265,MONTH(J265))</x:f>
        <x:v>54.891712970563226</x:v>
      </x:c>
      <x:c r="N265" s="8" t="n">
        <x:f>K265-M265</x:f>
        <x:v>-96.89171297056322</x:v>
      </x:c>
      <x:c r="O265" s="8" t="n">
        <x:f>ABS(N265)</x:f>
        <x:v>96.89171297056322</x:v>
      </x:c>
      <x:c r="P265" s="8" t="n">
        <x:f>N265^2</x:f>
        <x:v>9388.004042370008</x:v>
      </x:c>
      <x:c r="Q265" s="8" t="n">
        <x:f>K265-L265</x:f>
        <x:v>10</x:v>
      </x:c>
      <x:c r="R265" s="9" t="n">
        <x:f>IF(AND(INDEX('Сводка'!$T$3:$T$397,U265)=0,INDEX('Сводка'!$T$3:$T$397,V265)=0),1,0)</x:f>
        <x:v>1</x:v>
      </x:c>
      <x:c r="S265" s="9" t="n">
        <x:f>IF(AND(R265=1,O265&lt;=$G$13),1,0)</x:f>
        <x:v>0</x:v>
      </x:c>
      <x:c r="T265" s="10" t="n">
        <x:f>EOMONTH(J265-'Сводка'!$B$11,-1)</x:f>
        <x:v>46112</x:v>
      </x:c>
      <x:c r="U265" s="4" t="n">
        <x:f>MATCH(J265,'Сводка'!$R$3:$R$397,0)</x:f>
        <x:v>276</x:v>
      </x:c>
      <x:c r="V265" s="4" t="n">
        <x:f>MATCH(J265-'Сводка'!$B$11,'Сводка'!$R$3:$R$397,0)</x:f>
        <x:v>275</x:v>
      </x:c>
      <x:c r="W265" s="4" t="n">
        <x:f>MATCH(T265,$J$388:$J$400,0)</x:f>
        <x:v>10</x:v>
      </x:c>
      <x:c r="X265" s="3"/>
      <x:c r="Y265" s="3"/>
      <x:c r="Z265" s="3"/>
    </x:row>
    <x:row r="266" ht="15" customHeight="1">
      <x:c r="A266" s="3"/>
      <x:c r="B266" s="3"/>
      <x:c r="C266" s="3"/>
      <x:c r="D266" s="3"/>
      <x:c r="E266" s="3"/>
      <x:c r="F266" s="3"/>
      <x:c r="G266" s="3"/>
      <x:c r="H266" s="3"/>
      <x:c r="I266" s="3"/>
      <x:c r="J266" s="10" t="n">
        <x:v>46117</x:v>
      </x:c>
      <x:c r="K266" s="8" t="n">
        <x:f>INDEX('Сводка'!$S$3:$S$397,U266)</x:f>
        <x:v>-35</x:v>
      </x:c>
      <x:c r="L266" s="8" t="n">
        <x:f>INDEX('Сводка'!$S$3:$S$397,V266)</x:f>
        <x:v>-42</x:v>
      </x:c>
      <x:c r="M266" s="8" t="n">
        <x:f>INDEX($K$388:$N$400,W266,1)+INDEX($K$388:$N$400,W266,2)*(2*(J266-$T$405)/(T266-$T$405)-1)^1+INDEX($K$388:$N$400,W266,3)*(2*(J266-$T$405)/(T266-$T$405)-1)^2+INDEX($K$388:$N$400,W266,4)*(2*(J266-$T$405)/(T266-$T$405)-1)^3+INDEX($O$388:$Z$400,W266,MONTH(J266))</x:f>
        <x:v>54.86432361868952</x:v>
      </x:c>
      <x:c r="N266" s="8" t="n">
        <x:f>K266-M266</x:f>
        <x:v>-89.86432361868953</x:v>
      </x:c>
      <x:c r="O266" s="8" t="n">
        <x:f>ABS(N266)</x:f>
        <x:v>89.86432361868953</x:v>
      </x:c>
      <x:c r="P266" s="8" t="n">
        <x:f>N266^2</x:f>
        <x:v>8075.59665944456</x:v>
      </x:c>
      <x:c r="Q266" s="8" t="n">
        <x:f>K266-L266</x:f>
        <x:v>7</x:v>
      </x:c>
      <x:c r="R266" s="9" t="n">
        <x:f>IF(AND(INDEX('Сводка'!$T$3:$T$397,U266)=0,INDEX('Сводка'!$T$3:$T$397,V266)=0),1,0)</x:f>
        <x:v>1</x:v>
      </x:c>
      <x:c r="S266" s="9" t="n">
        <x:f>IF(AND(R266=1,O266&lt;=$G$13),1,0)</x:f>
        <x:v>0</x:v>
      </x:c>
      <x:c r="T266" s="10" t="n">
        <x:f>EOMONTH(J266-'Сводка'!$B$11,-1)</x:f>
        <x:v>46112</x:v>
      </x:c>
      <x:c r="U266" s="4" t="n">
        <x:f>MATCH(J266,'Сводка'!$R$3:$R$397,0)</x:f>
        <x:v>277</x:v>
      </x:c>
      <x:c r="V266" s="4" t="n">
        <x:f>MATCH(J266-'Сводка'!$B$11,'Сводка'!$R$3:$R$397,0)</x:f>
        <x:v>276</x:v>
      </x:c>
      <x:c r="W266" s="4" t="n">
        <x:f>MATCH(T266,$J$388:$J$400,0)</x:f>
        <x:v>10</x:v>
      </x:c>
      <x:c r="X266" s="3"/>
      <x:c r="Y266" s="3"/>
      <x:c r="Z266" s="3"/>
    </x:row>
    <x:row r="267" ht="15" customHeight="1">
      <x:c r="A267" s="3"/>
      <x:c r="B267" s="3"/>
      <x:c r="C267" s="3"/>
      <x:c r="D267" s="3"/>
      <x:c r="E267" s="3"/>
      <x:c r="F267" s="3"/>
      <x:c r="G267" s="3"/>
      <x:c r="H267" s="3"/>
      <x:c r="I267" s="3"/>
      <x:c r="J267" s="10" t="n">
        <x:v>46118</x:v>
      </x:c>
      <x:c r="K267" s="8" t="n">
        <x:f>INDEX('Сводка'!$S$3:$S$397,U267)</x:f>
        <x:v>-17</x:v>
      </x:c>
      <x:c r="L267" s="8" t="n">
        <x:f>INDEX('Сводка'!$S$3:$S$397,V267)</x:f>
        <x:v>-35</x:v>
      </x:c>
      <x:c r="M267" s="8" t="n">
        <x:f>INDEX($K$388:$N$400,W267,1)+INDEX($K$388:$N$400,W267,2)*(2*(J267-$T$405)/(T267-$T$405)-1)^1+INDEX($K$388:$N$400,W267,3)*(2*(J267-$T$405)/(T267-$T$405)-1)^2+INDEX($K$388:$N$400,W267,4)*(2*(J267-$T$405)/(T267-$T$405)-1)^3+INDEX($O$388:$Z$400,W267,MONTH(J267))</x:f>
        <x:v>54.836917401996054</x:v>
      </x:c>
      <x:c r="N267" s="8" t="n">
        <x:f>K267-M267</x:f>
        <x:v>-71.83691740199606</x:v>
      </x:c>
      <x:c r="O267" s="8" t="n">
        <x:f>ABS(N267)</x:f>
        <x:v>71.83691740199606</x:v>
      </x:c>
      <x:c r="P267" s="8" t="n">
        <x:f>N267^2</x:f>
        <x:v>5160.542701821205</x:v>
      </x:c>
      <x:c r="Q267" s="8" t="n">
        <x:f>K267-L267</x:f>
        <x:v>18</x:v>
      </x:c>
      <x:c r="R267" s="9" t="n">
        <x:f>IF(AND(INDEX('Сводка'!$T$3:$T$397,U267)=0,INDEX('Сводка'!$T$3:$T$397,V267)=0),1,0)</x:f>
        <x:v>1</x:v>
      </x:c>
      <x:c r="S267" s="9" t="n">
        <x:f>IF(AND(R267=1,O267&lt;=$G$13),1,0)</x:f>
        <x:v>0</x:v>
      </x:c>
      <x:c r="T267" s="10" t="n">
        <x:f>EOMONTH(J267-'Сводка'!$B$11,-1)</x:f>
        <x:v>46112</x:v>
      </x:c>
      <x:c r="U267" s="4" t="n">
        <x:f>MATCH(J267,'Сводка'!$R$3:$R$397,0)</x:f>
        <x:v>278</x:v>
      </x:c>
      <x:c r="V267" s="4" t="n">
        <x:f>MATCH(J267-'Сводка'!$B$11,'Сводка'!$R$3:$R$397,0)</x:f>
        <x:v>277</x:v>
      </x:c>
      <x:c r="W267" s="4" t="n">
        <x:f>MATCH(T267,$J$388:$J$400,0)</x:f>
        <x:v>10</x:v>
      </x:c>
      <x:c r="X267" s="3"/>
      <x:c r="Y267" s="3"/>
      <x:c r="Z267" s="3"/>
    </x:row>
    <x:row r="268" ht="15" customHeight="1">
      <x:c r="A268" s="3"/>
      <x:c r="B268" s="3"/>
      <x:c r="C268" s="3"/>
      <x:c r="D268" s="3"/>
      <x:c r="E268" s="3"/>
      <x:c r="F268" s="3"/>
      <x:c r="G268" s="3"/>
      <x:c r="H268" s="3"/>
      <x:c r="I268" s="3"/>
      <x:c r="J268" s="10" t="n">
        <x:v>46119</x:v>
      </x:c>
      <x:c r="K268" s="8" t="n">
        <x:f>INDEX('Сводка'!$S$3:$S$397,U268)</x:f>
        <x:v>-3</x:v>
      </x:c>
      <x:c r="L268" s="8" t="n">
        <x:f>INDEX('Сводка'!$S$3:$S$397,V268)</x:f>
        <x:v>-17</x:v>
      </x:c>
      <x:c r="M268" s="8" t="n">
        <x:f>INDEX($K$388:$N$400,W268,1)+INDEX($K$388:$N$400,W268,2)*(2*(J268-$T$405)/(T268-$T$405)-1)^1+INDEX($K$388:$N$400,W268,3)*(2*(J268-$T$405)/(T268-$T$405)-1)^2+INDEX($K$388:$N$400,W268,4)*(2*(J268-$T$405)/(T268-$T$405)-1)^3+INDEX($O$388:$Z$400,W268,MONTH(J268))</x:f>
        <x:v>54.809494318134874</x:v>
      </x:c>
      <x:c r="N268" s="8" t="n">
        <x:f>K268-M268</x:f>
        <x:v>-57.809494318134874</x:v>
      </x:c>
      <x:c r="O268" s="8" t="n">
        <x:f>ABS(N268)</x:f>
        <x:v>57.809494318134874</x:v>
      </x:c>
      <x:c r="P268" s="8" t="n">
        <x:f>N268^2</x:f>
        <x:v>3341.937633318468</x:v>
      </x:c>
      <x:c r="Q268" s="8" t="n">
        <x:f>K268-L268</x:f>
        <x:v>14</x:v>
      </x:c>
      <x:c r="R268" s="9" t="n">
        <x:f>IF(AND(INDEX('Сводка'!$T$3:$T$397,U268)=0,INDEX('Сводка'!$T$3:$T$397,V268)=0),1,0)</x:f>
        <x:v>1</x:v>
      </x:c>
      <x:c r="S268" s="9" t="n">
        <x:f>IF(AND(R268=1,O268&lt;=$G$13),1,0)</x:f>
        <x:v>0</x:v>
      </x:c>
      <x:c r="T268" s="10" t="n">
        <x:f>EOMONTH(J268-'Сводка'!$B$11,-1)</x:f>
        <x:v>46112</x:v>
      </x:c>
      <x:c r="U268" s="4" t="n">
        <x:f>MATCH(J268,'Сводка'!$R$3:$R$397,0)</x:f>
        <x:v>279</x:v>
      </x:c>
      <x:c r="V268" s="4" t="n">
        <x:f>MATCH(J268-'Сводка'!$B$11,'Сводка'!$R$3:$R$397,0)</x:f>
        <x:v>278</x:v>
      </x:c>
      <x:c r="W268" s="4" t="n">
        <x:f>MATCH(T268,$J$388:$J$400,0)</x:f>
        <x:v>10</x:v>
      </x:c>
      <x:c r="X268" s="3"/>
      <x:c r="Y268" s="3"/>
      <x:c r="Z268" s="3"/>
    </x:row>
    <x:row r="269" ht="15" customHeight="1">
      <x:c r="A269" s="3"/>
      <x:c r="B269" s="3"/>
      <x:c r="C269" s="3"/>
      <x:c r="D269" s="3"/>
      <x:c r="E269" s="3"/>
      <x:c r="F269" s="3"/>
      <x:c r="G269" s="3"/>
      <x:c r="H269" s="3"/>
      <x:c r="I269" s="3"/>
      <x:c r="J269" s="10" t="n">
        <x:v>46120</x:v>
      </x:c>
      <x:c r="K269" s="8" t="n">
        <x:f>INDEX('Сводка'!$S$3:$S$397,U269)</x:f>
        <x:v>17</x:v>
      </x:c>
      <x:c r="L269" s="8" t="n">
        <x:f>INDEX('Сводка'!$S$3:$S$397,V269)</x:f>
        <x:v>-3</x:v>
      </x:c>
      <x:c r="M269" s="8" t="n">
        <x:f>INDEX($K$388:$N$400,W269,1)+INDEX($K$388:$N$400,W269,2)*(2*(J269-$T$405)/(T269-$T$405)-1)^1+INDEX($K$388:$N$400,W269,3)*(2*(J269-$T$405)/(T269-$T$405)-1)^2+INDEX($K$388:$N$400,W269,4)*(2*(J269-$T$405)/(T269-$T$405)-1)^3+INDEX($O$388:$Z$400,W269,MONTH(J269))</x:f>
        <x:v>54.782054364758515</x:v>
      </x:c>
      <x:c r="N269" s="8" t="n">
        <x:f>K269-M269</x:f>
        <x:v>-37.782054364758515</x:v>
      </x:c>
      <x:c r="O269" s="8" t="n">
        <x:f>ABS(N269)</x:f>
        <x:v>37.782054364758515</x:v>
      </x:c>
      <x:c r="P269" s="8" t="n">
        <x:f>N269^2</x:f>
        <x:v>1427.483632021568</x:v>
      </x:c>
      <x:c r="Q269" s="8" t="n">
        <x:f>K269-L269</x:f>
        <x:v>20</x:v>
      </x:c>
      <x:c r="R269" s="9" t="n">
        <x:f>IF(AND(INDEX('Сводка'!$T$3:$T$397,U269)=0,INDEX('Сводка'!$T$3:$T$397,V269)=0),1,0)</x:f>
        <x:v>1</x:v>
      </x:c>
      <x:c r="S269" s="9" t="n">
        <x:f>IF(AND(R269=1,O269&lt;=$G$13),1,0)</x:f>
        <x:v>0</x:v>
      </x:c>
      <x:c r="T269" s="10" t="n">
        <x:f>EOMONTH(J269-'Сводка'!$B$11,-1)</x:f>
        <x:v>46112</x:v>
      </x:c>
      <x:c r="U269" s="4" t="n">
        <x:f>MATCH(J269,'Сводка'!$R$3:$R$397,0)</x:f>
        <x:v>280</x:v>
      </x:c>
      <x:c r="V269" s="4" t="n">
        <x:f>MATCH(J269-'Сводка'!$B$11,'Сводка'!$R$3:$R$397,0)</x:f>
        <x:v>279</x:v>
      </x:c>
      <x:c r="W269" s="4" t="n">
        <x:f>MATCH(T269,$J$388:$J$400,0)</x:f>
        <x:v>10</x:v>
      </x:c>
      <x:c r="X269" s="3"/>
      <x:c r="Y269" s="3"/>
      <x:c r="Z269" s="3"/>
    </x:row>
    <x:row r="270" ht="15" customHeight="1">
      <x:c r="A270" s="3"/>
      <x:c r="B270" s="3"/>
      <x:c r="C270" s="3"/>
      <x:c r="D270" s="3"/>
      <x:c r="E270" s="3"/>
      <x:c r="F270" s="3"/>
      <x:c r="G270" s="3"/>
      <x:c r="H270" s="3"/>
      <x:c r="I270" s="3"/>
      <x:c r="J270" s="10" t="n">
        <x:v>46121</x:v>
      </x:c>
      <x:c r="K270" s="8" t="n">
        <x:f>INDEX('Сводка'!$S$3:$S$397,U270)</x:f>
        <x:v>44</x:v>
      </x:c>
      <x:c r="L270" s="8" t="n">
        <x:f>INDEX('Сводка'!$S$3:$S$397,V270)</x:f>
        <x:v>17</x:v>
      </x:c>
      <x:c r="M270" s="8" t="n">
        <x:f>INDEX($K$388:$N$400,W270,1)+INDEX($K$388:$N$400,W270,2)*(2*(J270-$T$405)/(T270-$T$405)-1)^1+INDEX($K$388:$N$400,W270,3)*(2*(J270-$T$405)/(T270-$T$405)-1)^2+INDEX($K$388:$N$400,W270,4)*(2*(J270-$T$405)/(T270-$T$405)-1)^3+INDEX($O$388:$Z$400,W270,MONTH(J270))</x:f>
        <x:v>54.75459753951923</x:v>
      </x:c>
      <x:c r="N270" s="8" t="n">
        <x:f>K270-M270</x:f>
        <x:v>-10.754597539519231</x:v>
      </x:c>
      <x:c r="O270" s="8" t="n">
        <x:f>ABS(N270)</x:f>
        <x:v>10.754597539519231</x:v>
      </x:c>
      <x:c r="P270" s="8" t="n">
        <x:f>N270^2</x:f>
        <x:v>115.6613682370331</x:v>
      </x:c>
      <x:c r="Q270" s="8" t="n">
        <x:f>K270-L270</x:f>
        <x:v>27</x:v>
      </x:c>
      <x:c r="R270" s="9" t="n">
        <x:f>IF(AND(INDEX('Сводка'!$T$3:$T$397,U270)=0,INDEX('Сводка'!$T$3:$T$397,V270)=0),1,0)</x:f>
        <x:v>1</x:v>
      </x:c>
      <x:c r="S270" s="9" t="n">
        <x:f>IF(AND(R270=1,O270&lt;=$G$13),1,0)</x:f>
        <x:v>0</x:v>
      </x:c>
      <x:c r="T270" s="10" t="n">
        <x:f>EOMONTH(J270-'Сводка'!$B$11,-1)</x:f>
        <x:v>46112</x:v>
      </x:c>
      <x:c r="U270" s="4" t="n">
        <x:f>MATCH(J270,'Сводка'!$R$3:$R$397,0)</x:f>
        <x:v>281</x:v>
      </x:c>
      <x:c r="V270" s="4" t="n">
        <x:f>MATCH(J270-'Сводка'!$B$11,'Сводка'!$R$3:$R$397,0)</x:f>
        <x:v>280</x:v>
      </x:c>
      <x:c r="W270" s="4" t="n">
        <x:f>MATCH(T270,$J$388:$J$400,0)</x:f>
        <x:v>10</x:v>
      </x:c>
      <x:c r="X270" s="3"/>
      <x:c r="Y270" s="3"/>
      <x:c r="Z270" s="3"/>
    </x:row>
    <x:row r="271" ht="15" customHeight="1">
      <x:c r="A271" s="3"/>
      <x:c r="B271" s="3"/>
      <x:c r="C271" s="3"/>
      <x:c r="D271" s="3"/>
      <x:c r="E271" s="3"/>
      <x:c r="F271" s="3"/>
      <x:c r="G271" s="3"/>
      <x:c r="H271" s="3"/>
      <x:c r="I271" s="3"/>
      <x:c r="J271" s="10" t="n">
        <x:v>46122</x:v>
      </x:c>
      <x:c r="K271" s="8" t="n">
        <x:f>INDEX('Сводка'!$S$3:$S$397,U271)</x:f>
        <x:v>82</x:v>
      </x:c>
      <x:c r="L271" s="8" t="n">
        <x:f>INDEX('Сводка'!$S$3:$S$397,V271)</x:f>
        <x:v>44</x:v>
      </x:c>
      <x:c r="M271" s="8" t="n">
        <x:f>INDEX($K$388:$N$400,W271,1)+INDEX($K$388:$N$400,W271,2)*(2*(J271-$T$405)/(T271-$T$405)-1)^1+INDEX($K$388:$N$400,W271,3)*(2*(J271-$T$405)/(T271-$T$405)-1)^2+INDEX($K$388:$N$400,W271,4)*(2*(J271-$T$405)/(T271-$T$405)-1)^3+INDEX($O$388:$Z$400,W271,MONTH(J271))</x:f>
        <x:v>54.727123840069304</x:v>
      </x:c>
      <x:c r="N271" s="8" t="n">
        <x:f>K271-M271</x:f>
        <x:v>27.272876159930696</x:v>
      </x:c>
      <x:c r="O271" s="8" t="n">
        <x:f>ABS(N271)</x:f>
        <x:v>27.272876159930696</x:v>
      </x:c>
      <x:c r="P271" s="8" t="n">
        <x:f>N271^2</x:f>
        <x:v>743.8097740349161</x:v>
      </x:c>
      <x:c r="Q271" s="8" t="n">
        <x:f>K271-L271</x:f>
        <x:v>38</x:v>
      </x:c>
      <x:c r="R271" s="9" t="n">
        <x:f>IF(AND(INDEX('Сводка'!$T$3:$T$397,U271)=0,INDEX('Сводка'!$T$3:$T$397,V271)=0),1,0)</x:f>
        <x:v>1</x:v>
      </x:c>
      <x:c r="S271" s="9" t="n">
        <x:f>IF(AND(R271=1,O271&lt;=$G$13),1,0)</x:f>
        <x:v>0</x:v>
      </x:c>
      <x:c r="T271" s="10" t="n">
        <x:f>EOMONTH(J271-'Сводка'!$B$11,-1)</x:f>
        <x:v>46112</x:v>
      </x:c>
      <x:c r="U271" s="4" t="n">
        <x:f>MATCH(J271,'Сводка'!$R$3:$R$397,0)</x:f>
        <x:v>282</x:v>
      </x:c>
      <x:c r="V271" s="4" t="n">
        <x:f>MATCH(J271-'Сводка'!$B$11,'Сводка'!$R$3:$R$397,0)</x:f>
        <x:v>281</x:v>
      </x:c>
      <x:c r="W271" s="4" t="n">
        <x:f>MATCH(T271,$J$388:$J$400,0)</x:f>
        <x:v>10</x:v>
      </x:c>
      <x:c r="X271" s="3"/>
      <x:c r="Y271" s="3"/>
      <x:c r="Z271" s="3"/>
    </x:row>
    <x:row r="272" ht="15" customHeight="1">
      <x:c r="A272" s="3"/>
      <x:c r="B272" s="3"/>
      <x:c r="C272" s="3"/>
      <x:c r="D272" s="3"/>
      <x:c r="E272" s="3"/>
      <x:c r="F272" s="3"/>
      <x:c r="G272" s="3"/>
      <x:c r="H272" s="3"/>
      <x:c r="I272" s="3"/>
      <x:c r="J272" s="10" t="n">
        <x:v>46123</x:v>
      </x:c>
      <x:c r="K272" s="8" t="n">
        <x:f>INDEX('Сводка'!$S$3:$S$397,U272)</x:f>
        <x:v>96</x:v>
      </x:c>
      <x:c r="L272" s="8" t="n">
        <x:f>INDEX('Сводка'!$S$3:$S$397,V272)</x:f>
        <x:v>82</x:v>
      </x:c>
      <x:c r="M272" s="8" t="n">
        <x:f>INDEX($K$388:$N$400,W272,1)+INDEX($K$388:$N$400,W272,2)*(2*(J272-$T$405)/(T272-$T$405)-1)^1+INDEX($K$388:$N$400,W272,3)*(2*(J272-$T$405)/(T272-$T$405)-1)^2+INDEX($K$388:$N$400,W272,4)*(2*(J272-$T$405)/(T272-$T$405)-1)^3+INDEX($O$388:$Z$400,W272,MONTH(J272))</x:f>
        <x:v>54.69963326406107</x:v>
      </x:c>
      <x:c r="N272" s="8" t="n">
        <x:f>K272-M272</x:f>
        <x:v>41.30036673593893</x:v>
      </x:c>
      <x:c r="O272" s="8" t="n">
        <x:f>ABS(N272)</x:f>
        <x:v>41.30036673593893</x:v>
      </x:c>
      <x:c r="P272" s="8" t="n">
        <x:f>N272^2</x:f>
        <x:v>1705.7202925230508</x:v>
      </x:c>
      <x:c r="Q272" s="8" t="n">
        <x:f>K272-L272</x:f>
        <x:v>14</x:v>
      </x:c>
      <x:c r="R272" s="9" t="n">
        <x:f>IF(AND(INDEX('Сводка'!$T$3:$T$397,U272)=0,INDEX('Сводка'!$T$3:$T$397,V272)=0),1,0)</x:f>
        <x:v>1</x:v>
      </x:c>
      <x:c r="S272" s="9" t="n">
        <x:f>IF(AND(R272=1,O272&lt;=$G$13),1,0)</x:f>
        <x:v>0</x:v>
      </x:c>
      <x:c r="T272" s="10" t="n">
        <x:f>EOMONTH(J272-'Сводка'!$B$11,-1)</x:f>
        <x:v>46112</x:v>
      </x:c>
      <x:c r="U272" s="4" t="n">
        <x:f>MATCH(J272,'Сводка'!$R$3:$R$397,0)</x:f>
        <x:v>283</x:v>
      </x:c>
      <x:c r="V272" s="4" t="n">
        <x:f>MATCH(J272-'Сводка'!$B$11,'Сводка'!$R$3:$R$397,0)</x:f>
        <x:v>282</x:v>
      </x:c>
      <x:c r="W272" s="4" t="n">
        <x:f>MATCH(T272,$J$388:$J$400,0)</x:f>
        <x:v>10</x:v>
      </x:c>
      <x:c r="X272" s="3"/>
      <x:c r="Y272" s="3"/>
      <x:c r="Z272" s="3"/>
    </x:row>
    <x:row r="273" ht="15" customHeight="1">
      <x:c r="A273" s="3"/>
      <x:c r="B273" s="3"/>
      <x:c r="C273" s="3"/>
      <x:c r="D273" s="3"/>
      <x:c r="E273" s="3"/>
      <x:c r="F273" s="3"/>
      <x:c r="G273" s="3"/>
      <x:c r="H273" s="3"/>
      <x:c r="I273" s="3"/>
      <x:c r="J273" s="10" t="n">
        <x:v>46124</x:v>
      </x:c>
      <x:c r="K273" s="8" t="n">
        <x:f>INDEX('Сводка'!$S$3:$S$397,U273)</x:f>
        <x:v>163</x:v>
      </x:c>
      <x:c r="L273" s="8" t="n">
        <x:f>INDEX('Сводка'!$S$3:$S$397,V273)</x:f>
        <x:v>96</x:v>
      </x:c>
      <x:c r="M273" s="8" t="n">
        <x:f>INDEX($K$388:$N$400,W273,1)+INDEX($K$388:$N$400,W273,2)*(2*(J273-$T$405)/(T273-$T$405)-1)^1+INDEX($K$388:$N$400,W273,3)*(2*(J273-$T$405)/(T273-$T$405)-1)^2+INDEX($K$388:$N$400,W273,4)*(2*(J273-$T$405)/(T273-$T$405)-1)^3+INDEX($O$388:$Z$400,W273,MONTH(J273))</x:f>
        <x:v>54.672125809146884</x:v>
      </x:c>
      <x:c r="N273" s="8" t="n">
        <x:f>K273-M273</x:f>
        <x:v>108.32787419085312</x:v>
      </x:c>
      <x:c r="O273" s="8" t="n">
        <x:f>ABS(N273)</x:f>
        <x:v>108.32787419085312</x:v>
      </x:c>
      <x:c r="P273" s="8" t="n">
        <x:f>N273^2</x:f>
        <x:v>11734.928326709301</x:v>
      </x:c>
      <x:c r="Q273" s="8" t="n">
        <x:f>K273-L273</x:f>
        <x:v>67</x:v>
      </x:c>
      <x:c r="R273" s="9" t="n">
        <x:f>IF(AND(INDEX('Сводка'!$T$3:$T$397,U273)=0,INDEX('Сводка'!$T$3:$T$397,V273)=0),1,0)</x:f>
        <x:v>1</x:v>
      </x:c>
      <x:c r="S273" s="9" t="n">
        <x:f>IF(AND(R273=1,O273&lt;=$G$13),1,0)</x:f>
        <x:v>0</x:v>
      </x:c>
      <x:c r="T273" s="10" t="n">
        <x:f>EOMONTH(J273-'Сводка'!$B$11,-1)</x:f>
        <x:v>46112</x:v>
      </x:c>
      <x:c r="U273" s="4" t="n">
        <x:f>MATCH(J273,'Сводка'!$R$3:$R$397,0)</x:f>
        <x:v>284</x:v>
      </x:c>
      <x:c r="V273" s="4" t="n">
        <x:f>MATCH(J273-'Сводка'!$B$11,'Сводка'!$R$3:$R$397,0)</x:f>
        <x:v>283</x:v>
      </x:c>
      <x:c r="W273" s="4" t="n">
        <x:f>MATCH(T273,$J$388:$J$400,0)</x:f>
        <x:v>10</x:v>
      </x:c>
      <x:c r="X273" s="3"/>
      <x:c r="Y273" s="3"/>
      <x:c r="Z273" s="3"/>
    </x:row>
    <x:row r="274" ht="15" customHeight="1">
      <x:c r="A274" s="3"/>
      <x:c r="B274" s="3"/>
      <x:c r="C274" s="3"/>
      <x:c r="D274" s="3"/>
      <x:c r="E274" s="3"/>
      <x:c r="F274" s="3"/>
      <x:c r="G274" s="3"/>
      <x:c r="H274" s="3"/>
      <x:c r="I274" s="3"/>
      <x:c r="J274" s="10" t="n">
        <x:v>46125</x:v>
      </x:c>
      <x:c r="K274" s="8" t="n">
        <x:f>INDEX('Сводка'!$S$3:$S$397,U274)</x:f>
        <x:v>100</x:v>
      </x:c>
      <x:c r="L274" s="8" t="n">
        <x:f>INDEX('Сводка'!$S$3:$S$397,V274)</x:f>
        <x:v>163</x:v>
      </x:c>
      <x:c r="M274" s="8" t="n">
        <x:f>INDEX($K$388:$N$400,W274,1)+INDEX($K$388:$N$400,W274,2)*(2*(J274-$T$405)/(T274-$T$405)-1)^1+INDEX($K$388:$N$400,W274,3)*(2*(J274-$T$405)/(T274-$T$405)-1)^2+INDEX($K$388:$N$400,W274,4)*(2*(J274-$T$405)/(T274-$T$405)-1)^3+INDEX($O$388:$Z$400,W274,MONTH(J274))</x:f>
        <x:v>54.6446014729791</x:v>
      </x:c>
      <x:c r="N274" s="8" t="n">
        <x:f>K274-M274</x:f>
        <x:v>45.3553985270209</x:v>
      </x:c>
      <x:c r="O274" s="8" t="n">
        <x:f>ABS(N274)</x:f>
        <x:v>45.3553985270209</x:v>
      </x:c>
      <x:c r="P274" s="8" t="n">
        <x:f>N274^2</x:f>
        <x:v>2057.11217554489</x:v>
      </x:c>
      <x:c r="Q274" s="8" t="n">
        <x:f>K274-L274</x:f>
        <x:v>-63</x:v>
      </x:c>
      <x:c r="R274" s="9" t="n">
        <x:f>IF(AND(INDEX('Сводка'!$T$3:$T$397,U274)=0,INDEX('Сводка'!$T$3:$T$397,V274)=0),1,0)</x:f>
        <x:v>1</x:v>
      </x:c>
      <x:c r="S274" s="9" t="n">
        <x:f>IF(AND(R274=1,O274&lt;=$G$13),1,0)</x:f>
        <x:v>0</x:v>
      </x:c>
      <x:c r="T274" s="10" t="n">
        <x:f>EOMONTH(J274-'Сводка'!$B$11,-1)</x:f>
        <x:v>46112</x:v>
      </x:c>
      <x:c r="U274" s="4" t="n">
        <x:f>MATCH(J274,'Сводка'!$R$3:$R$397,0)</x:f>
        <x:v>285</x:v>
      </x:c>
      <x:c r="V274" s="4" t="n">
        <x:f>MATCH(J274-'Сводка'!$B$11,'Сводка'!$R$3:$R$397,0)</x:f>
        <x:v>284</x:v>
      </x:c>
      <x:c r="W274" s="4" t="n">
        <x:f>MATCH(T274,$J$388:$J$400,0)</x:f>
        <x:v>10</x:v>
      </x:c>
      <x:c r="X274" s="3"/>
      <x:c r="Y274" s="3"/>
      <x:c r="Z274" s="3"/>
    </x:row>
    <x:row r="275" ht="15" customHeight="1">
      <x:c r="A275" s="3"/>
      <x:c r="B275" s="3"/>
      <x:c r="C275" s="3"/>
      <x:c r="D275" s="3"/>
      <x:c r="E275" s="3"/>
      <x:c r="F275" s="3"/>
      <x:c r="G275" s="3"/>
      <x:c r="H275" s="3"/>
      <x:c r="I275" s="3"/>
      <x:c r="J275" s="10" t="n">
        <x:v>46126</x:v>
      </x:c>
      <x:c r="K275" s="8" t="n">
        <x:f>INDEX('Сводка'!$S$3:$S$397,U275)</x:f>
        <x:v>36</x:v>
      </x:c>
      <x:c r="L275" s="8" t="n">
        <x:f>INDEX('Сводка'!$S$3:$S$397,V275)</x:f>
        <x:v>100</x:v>
      </x:c>
      <x:c r="M275" s="8" t="n">
        <x:f>INDEX($K$388:$N$400,W275,1)+INDEX($K$388:$N$400,W275,2)*(2*(J275-$T$405)/(T275-$T$405)-1)^1+INDEX($K$388:$N$400,W275,3)*(2*(J275-$T$405)/(T275-$T$405)-1)^2+INDEX($K$388:$N$400,W275,4)*(2*(J275-$T$405)/(T275-$T$405)-1)^3+INDEX($O$388:$Z$400,W275,MONTH(J275))</x:f>
        <x:v>54.61706025320989</x:v>
      </x:c>
      <x:c r="N275" s="8" t="n">
        <x:f>K275-M275</x:f>
        <x:v>-18.617060253209893</x:v>
      </x:c>
      <x:c r="O275" s="8" t="n">
        <x:f>ABS(N275)</x:f>
        <x:v>18.617060253209893</x:v>
      </x:c>
      <x:c r="P275" s="8" t="n">
        <x:f>N275^2</x:f>
        <x:v>346.5949324716476</x:v>
      </x:c>
      <x:c r="Q275" s="8" t="n">
        <x:f>K275-L275</x:f>
        <x:v>-64</x:v>
      </x:c>
      <x:c r="R275" s="9" t="n">
        <x:f>IF(AND(INDEX('Сводка'!$T$3:$T$397,U275)=0,INDEX('Сводка'!$T$3:$T$397,V275)=0),1,0)</x:f>
        <x:v>1</x:v>
      </x:c>
      <x:c r="S275" s="9" t="n">
        <x:f>IF(AND(R275=1,O275&lt;=$G$13),1,0)</x:f>
        <x:v>0</x:v>
      </x:c>
      <x:c r="T275" s="10" t="n">
        <x:f>EOMONTH(J275-'Сводка'!$B$11,-1)</x:f>
        <x:v>46112</x:v>
      </x:c>
      <x:c r="U275" s="4" t="n">
        <x:f>MATCH(J275,'Сводка'!$R$3:$R$397,0)</x:f>
        <x:v>286</x:v>
      </x:c>
      <x:c r="V275" s="4" t="n">
        <x:f>MATCH(J275-'Сводка'!$B$11,'Сводка'!$R$3:$R$397,0)</x:f>
        <x:v>285</x:v>
      </x:c>
      <x:c r="W275" s="4" t="n">
        <x:f>MATCH(T275,$J$388:$J$400,0)</x:f>
        <x:v>10</x:v>
      </x:c>
      <x:c r="X275" s="3"/>
      <x:c r="Y275" s="3"/>
      <x:c r="Z275" s="3"/>
    </x:row>
    <x:row r="276" ht="15" customHeight="1">
      <x:c r="A276" s="3"/>
      <x:c r="B276" s="3"/>
      <x:c r="C276" s="3"/>
      <x:c r="D276" s="3"/>
      <x:c r="E276" s="3"/>
      <x:c r="F276" s="3"/>
      <x:c r="G276" s="3"/>
      <x:c r="H276" s="3"/>
      <x:c r="I276" s="3"/>
      <x:c r="J276" s="10" t="n">
        <x:v>46127</x:v>
      </x:c>
      <x:c r="K276" s="8" t="n">
        <x:f>INDEX('Сводка'!$S$3:$S$397,U276)</x:f>
        <x:v>-4</x:v>
      </x:c>
      <x:c r="L276" s="8" t="n">
        <x:f>INDEX('Сводка'!$S$3:$S$397,V276)</x:f>
        <x:v>36</x:v>
      </x:c>
      <x:c r="M276" s="8" t="n">
        <x:f>INDEX($K$388:$N$400,W276,1)+INDEX($K$388:$N$400,W276,2)*(2*(J276-$T$405)/(T276-$T$405)-1)^1+INDEX($K$388:$N$400,W276,3)*(2*(J276-$T$405)/(T276-$T$405)-1)^2+INDEX($K$388:$N$400,W276,4)*(2*(J276-$T$405)/(T276-$T$405)-1)^3+INDEX($O$388:$Z$400,W276,MONTH(J276))</x:f>
        <x:v>54.589502147491736</x:v>
      </x:c>
      <x:c r="N276" s="8" t="n">
        <x:f>K276-M276</x:f>
        <x:v>-58.589502147491736</x:v>
      </x:c>
      <x:c r="O276" s="8" t="n">
        <x:f>ABS(N276)</x:f>
        <x:v>58.589502147491736</x:v>
      </x:c>
      <x:c r="P276" s="8" t="n">
        <x:f>N276^2</x:f>
        <x:v>3432.729761890939</x:v>
      </x:c>
      <x:c r="Q276" s="8" t="n">
        <x:f>K276-L276</x:f>
        <x:v>-40</x:v>
      </x:c>
      <x:c r="R276" s="9" t="n">
        <x:f>IF(AND(INDEX('Сводка'!$T$3:$T$397,U276)=0,INDEX('Сводка'!$T$3:$T$397,V276)=0),1,0)</x:f>
        <x:v>1</x:v>
      </x:c>
      <x:c r="S276" s="9" t="n">
        <x:f>IF(AND(R276=1,O276&lt;=$G$13),1,0)</x:f>
        <x:v>0</x:v>
      </x:c>
      <x:c r="T276" s="10" t="n">
        <x:f>EOMONTH(J276-'Сводка'!$B$11,-1)</x:f>
        <x:v>46112</x:v>
      </x:c>
      <x:c r="U276" s="4" t="n">
        <x:f>MATCH(J276,'Сводка'!$R$3:$R$397,0)</x:f>
        <x:v>287</x:v>
      </x:c>
      <x:c r="V276" s="4" t="n">
        <x:f>MATCH(J276-'Сводка'!$B$11,'Сводка'!$R$3:$R$397,0)</x:f>
        <x:v>286</x:v>
      </x:c>
      <x:c r="W276" s="4" t="n">
        <x:f>MATCH(T276,$J$388:$J$400,0)</x:f>
        <x:v>10</x:v>
      </x:c>
      <x:c r="X276" s="3"/>
      <x:c r="Y276" s="3"/>
      <x:c r="Z276" s="3"/>
    </x:row>
    <x:row r="277" ht="15" customHeight="1">
      <x:c r="A277" s="3"/>
      <x:c r="B277" s="3"/>
      <x:c r="C277" s="3"/>
      <x:c r="D277" s="3"/>
      <x:c r="E277" s="3"/>
      <x:c r="F277" s="3"/>
      <x:c r="G277" s="3"/>
      <x:c r="H277" s="3"/>
      <x:c r="I277" s="3"/>
      <x:c r="J277" s="10" t="n">
        <x:v>46128</x:v>
      </x:c>
      <x:c r="K277" s="8" t="n">
        <x:f>INDEX('Сводка'!$S$3:$S$397,U277)</x:f>
        <x:v>-14</x:v>
      </x:c>
      <x:c r="L277" s="8" t="n">
        <x:f>INDEX('Сводка'!$S$3:$S$397,V277)</x:f>
        <x:v>-4</x:v>
      </x:c>
      <x:c r="M277" s="8" t="n">
        <x:f>INDEX($K$388:$N$400,W277,1)+INDEX($K$388:$N$400,W277,2)*(2*(J277-$T$405)/(T277-$T$405)-1)^1+INDEX($K$388:$N$400,W277,3)*(2*(J277-$T$405)/(T277-$T$405)-1)^2+INDEX($K$388:$N$400,W277,4)*(2*(J277-$T$405)/(T277-$T$405)-1)^3+INDEX($O$388:$Z$400,W277,MONTH(J277))</x:f>
        <x:v>54.561927153476894</x:v>
      </x:c>
      <x:c r="N277" s="8" t="n">
        <x:f>K277-M277</x:f>
        <x:v>-68.56192715347689</x:v>
      </x:c>
      <x:c r="O277" s="8" t="n">
        <x:f>ABS(N277)</x:f>
        <x:v>68.56192715347689</x:v>
      </x:c>
      <x:c r="P277" s="8" t="n">
        <x:f>N277^2</x:f>
        <x:v>4700.7378549986715</x:v>
      </x:c>
      <x:c r="Q277" s="8" t="n">
        <x:f>K277-L277</x:f>
        <x:v>-10</x:v>
      </x:c>
      <x:c r="R277" s="9" t="n">
        <x:f>IF(AND(INDEX('Сводка'!$T$3:$T$397,U277)=0,INDEX('Сводка'!$T$3:$T$397,V277)=0),1,0)</x:f>
        <x:v>1</x:v>
      </x:c>
      <x:c r="S277" s="9" t="n">
        <x:f>IF(AND(R277=1,O277&lt;=$G$13),1,0)</x:f>
        <x:v>0</x:v>
      </x:c>
      <x:c r="T277" s="10" t="n">
        <x:f>EOMONTH(J277-'Сводка'!$B$11,-1)</x:f>
        <x:v>46112</x:v>
      </x:c>
      <x:c r="U277" s="4" t="n">
        <x:f>MATCH(J277,'Сводка'!$R$3:$R$397,0)</x:f>
        <x:v>288</x:v>
      </x:c>
      <x:c r="V277" s="4" t="n">
        <x:f>MATCH(J277-'Сводка'!$B$11,'Сводка'!$R$3:$R$397,0)</x:f>
        <x:v>287</x:v>
      </x:c>
      <x:c r="W277" s="4" t="n">
        <x:f>MATCH(T277,$J$388:$J$400,0)</x:f>
        <x:v>10</x:v>
      </x:c>
      <x:c r="X277" s="3"/>
      <x:c r="Y277" s="3"/>
      <x:c r="Z277" s="3"/>
    </x:row>
    <x:row r="278" ht="15" customHeight="1">
      <x:c r="A278" s="3"/>
      <x:c r="B278" s="3"/>
      <x:c r="C278" s="3"/>
      <x:c r="D278" s="3"/>
      <x:c r="E278" s="3"/>
      <x:c r="F278" s="3"/>
      <x:c r="G278" s="3"/>
      <x:c r="H278" s="3"/>
      <x:c r="I278" s="3"/>
      <x:c r="J278" s="10" t="n">
        <x:v>46129</x:v>
      </x:c>
      <x:c r="K278" s="8" t="n">
        <x:f>INDEX('Сводка'!$S$3:$S$397,U278)</x:f>
        <x:v>-6</x:v>
      </x:c>
      <x:c r="L278" s="8" t="n">
        <x:f>INDEX('Сводка'!$S$3:$S$397,V278)</x:f>
        <x:v>-14</x:v>
      </x:c>
      <x:c r="M278" s="8" t="n">
        <x:f>INDEX($K$388:$N$400,W278,1)+INDEX($K$388:$N$400,W278,2)*(2*(J278-$T$405)/(T278-$T$405)-1)^1+INDEX($K$388:$N$400,W278,3)*(2*(J278-$T$405)/(T278-$T$405)-1)^2+INDEX($K$388:$N$400,W278,4)*(2*(J278-$T$405)/(T278-$T$405)-1)^3+INDEX($O$388:$Z$400,W278,MONTH(J278))</x:f>
        <x:v>54.53433526881772</x:v>
      </x:c>
      <x:c r="N278" s="8" t="n">
        <x:f>K278-M278</x:f>
        <x:v>-60.53433526881772</x:v>
      </x:c>
      <x:c r="O278" s="8" t="n">
        <x:f>ABS(N278)</x:f>
        <x:v>60.53433526881772</x:v>
      </x:c>
      <x:c r="P278" s="8" t="n">
        <x:f>N278^2</x:f>
        <x:v>3664.4057464376287</x:v>
      </x:c>
      <x:c r="Q278" s="8" t="n">
        <x:f>K278-L278</x:f>
        <x:v>8</x:v>
      </x:c>
      <x:c r="R278" s="9" t="n">
        <x:f>IF(AND(INDEX('Сводка'!$T$3:$T$397,U278)=0,INDEX('Сводка'!$T$3:$T$397,V278)=0),1,0)</x:f>
        <x:v>1</x:v>
      </x:c>
      <x:c r="S278" s="9" t="n">
        <x:f>IF(AND(R278=1,O278&lt;=$G$13),1,0)</x:f>
        <x:v>0</x:v>
      </x:c>
      <x:c r="T278" s="10" t="n">
        <x:f>EOMONTH(J278-'Сводка'!$B$11,-1)</x:f>
        <x:v>46112</x:v>
      </x:c>
      <x:c r="U278" s="4" t="n">
        <x:f>MATCH(J278,'Сводка'!$R$3:$R$397,0)</x:f>
        <x:v>289</x:v>
      </x:c>
      <x:c r="V278" s="4" t="n">
        <x:f>MATCH(J278-'Сводка'!$B$11,'Сводка'!$R$3:$R$397,0)</x:f>
        <x:v>288</x:v>
      </x:c>
      <x:c r="W278" s="4" t="n">
        <x:f>MATCH(T278,$J$388:$J$400,0)</x:f>
        <x:v>10</x:v>
      </x:c>
      <x:c r="X278" s="3"/>
      <x:c r="Y278" s="3"/>
      <x:c r="Z278" s="3"/>
    </x:row>
    <x:row r="279" ht="15" customHeight="1">
      <x:c r="A279" s="3"/>
      <x:c r="B279" s="3"/>
      <x:c r="C279" s="3"/>
      <x:c r="D279" s="3"/>
      <x:c r="E279" s="3"/>
      <x:c r="F279" s="3"/>
      <x:c r="G279" s="3"/>
      <x:c r="H279" s="3"/>
      <x:c r="I279" s="3"/>
      <x:c r="J279" s="10" t="n">
        <x:v>46130</x:v>
      </x:c>
      <x:c r="K279" s="8" t="n">
        <x:f>INDEX('Сводка'!$S$3:$S$397,U279)</x:f>
        <x:v>-4</x:v>
      </x:c>
      <x:c r="L279" s="8" t="n">
        <x:f>INDEX('Сводка'!$S$3:$S$397,V279)</x:f>
        <x:v>-6</x:v>
      </x:c>
      <x:c r="M279" s="8" t="n">
        <x:f>INDEX($K$388:$N$400,W279,1)+INDEX($K$388:$N$400,W279,2)*(2*(J279-$T$405)/(T279-$T$405)-1)^1+INDEX($K$388:$N$400,W279,3)*(2*(J279-$T$405)/(T279-$T$405)-1)^2+INDEX($K$388:$N$400,W279,4)*(2*(J279-$T$405)/(T279-$T$405)-1)^3+INDEX($O$388:$Z$400,W279,MONTH(J279))</x:f>
        <x:v>54.5067264911664</x:v>
      </x:c>
      <x:c r="N279" s="8" t="n">
        <x:f>K279-M279</x:f>
        <x:v>-58.5067264911664</x:v>
      </x:c>
      <x:c r="O279" s="8" t="n">
        <x:f>ABS(N279)</x:f>
        <x:v>58.5067264911664</x:v>
      </x:c>
      <x:c r="P279" s="8" t="n">
        <x:f>N279^2</x:f>
        <x:v>3423.037044712152</x:v>
      </x:c>
      <x:c r="Q279" s="8" t="n">
        <x:f>K279-L279</x:f>
        <x:v>2</x:v>
      </x:c>
      <x:c r="R279" s="9" t="n">
        <x:f>IF(AND(INDEX('Сводка'!$T$3:$T$397,U279)=0,INDEX('Сводка'!$T$3:$T$397,V279)=0),1,0)</x:f>
        <x:v>1</x:v>
      </x:c>
      <x:c r="S279" s="9" t="n">
        <x:f>IF(AND(R279=1,O279&lt;=$G$13),1,0)</x:f>
        <x:v>0</x:v>
      </x:c>
      <x:c r="T279" s="10" t="n">
        <x:f>EOMONTH(J279-'Сводка'!$B$11,-1)</x:f>
        <x:v>46112</x:v>
      </x:c>
      <x:c r="U279" s="4" t="n">
        <x:f>MATCH(J279,'Сводка'!$R$3:$R$397,0)</x:f>
        <x:v>290</x:v>
      </x:c>
      <x:c r="V279" s="4" t="n">
        <x:f>MATCH(J279-'Сводка'!$B$11,'Сводка'!$R$3:$R$397,0)</x:f>
        <x:v>289</x:v>
      </x:c>
      <x:c r="W279" s="4" t="n">
        <x:f>MATCH(T279,$J$388:$J$400,0)</x:f>
        <x:v>10</x:v>
      </x:c>
      <x:c r="X279" s="3"/>
      <x:c r="Y279" s="3"/>
      <x:c r="Z279" s="3"/>
    </x:row>
    <x:row r="280" ht="15" customHeight="1">
      <x:c r="A280" s="3"/>
      <x:c r="B280" s="3"/>
      <x:c r="C280" s="3"/>
      <x:c r="D280" s="3"/>
      <x:c r="E280" s="3"/>
      <x:c r="F280" s="3"/>
      <x:c r="G280" s="3"/>
      <x:c r="H280" s="3"/>
      <x:c r="I280" s="3"/>
      <x:c r="J280" s="10" t="n">
        <x:v>46131</x:v>
      </x:c>
      <x:c r="K280" s="8" t="n">
        <x:f>INDEX('Сводка'!$S$3:$S$397,U280)</x:f>
        <x:v>64</x:v>
      </x:c>
      <x:c r="L280" s="8" t="n">
        <x:f>INDEX('Сводка'!$S$3:$S$397,V280)</x:f>
        <x:v>-4</x:v>
      </x:c>
      <x:c r="M280" s="8" t="n">
        <x:f>INDEX($K$388:$N$400,W280,1)+INDEX($K$388:$N$400,W280,2)*(2*(J280-$T$405)/(T280-$T$405)-1)^1+INDEX($K$388:$N$400,W280,3)*(2*(J280-$T$405)/(T280-$T$405)-1)^2+INDEX($K$388:$N$400,W280,4)*(2*(J280-$T$405)/(T280-$T$405)-1)^3+INDEX($O$388:$Z$400,W280,MONTH(J280))</x:f>
        <x:v>54.479100818175446</x:v>
      </x:c>
      <x:c r="N280" s="8" t="n">
        <x:f>K280-M280</x:f>
        <x:v>9.520899181824554</x:v>
      </x:c>
      <x:c r="O280" s="8" t="n">
        <x:f>ABS(N280)</x:f>
        <x:v>9.520899181824554</x:v>
      </x:c>
      <x:c r="P280" s="8" t="n">
        <x:f>N280^2</x:f>
        <x:v>90.64752123046746</x:v>
      </x:c>
      <x:c r="Q280" s="8" t="n">
        <x:f>K280-L280</x:f>
        <x:v>68</x:v>
      </x:c>
      <x:c r="R280" s="9" t="n">
        <x:f>IF(AND(INDEX('Сводка'!$T$3:$T$397,U280)=0,INDEX('Сводка'!$T$3:$T$397,V280)=0),1,0)</x:f>
        <x:v>1</x:v>
      </x:c>
      <x:c r="S280" s="9" t="n">
        <x:f>IF(AND(R280=1,O280&lt;=$G$13),1,0)</x:f>
        <x:v>0</x:v>
      </x:c>
      <x:c r="T280" s="10" t="n">
        <x:f>EOMONTH(J280-'Сводка'!$B$11,-1)</x:f>
        <x:v>46112</x:v>
      </x:c>
      <x:c r="U280" s="4" t="n">
        <x:f>MATCH(J280,'Сводка'!$R$3:$R$397,0)</x:f>
        <x:v>291</x:v>
      </x:c>
      <x:c r="V280" s="4" t="n">
        <x:f>MATCH(J280-'Сводка'!$B$11,'Сводка'!$R$3:$R$397,0)</x:f>
        <x:v>290</x:v>
      </x:c>
      <x:c r="W280" s="4" t="n">
        <x:f>MATCH(T280,$J$388:$J$400,0)</x:f>
        <x:v>10</x:v>
      </x:c>
      <x:c r="X280" s="3"/>
      <x:c r="Y280" s="3"/>
      <x:c r="Z280" s="3"/>
    </x:row>
    <x:row r="281" ht="15" customHeight="1">
      <x:c r="A281" s="3"/>
      <x:c r="B281" s="3"/>
      <x:c r="C281" s="3"/>
      <x:c r="D281" s="3"/>
      <x:c r="E281" s="3"/>
      <x:c r="F281" s="3"/>
      <x:c r="G281" s="3"/>
      <x:c r="H281" s="3"/>
      <x:c r="I281" s="3"/>
      <x:c r="J281" s="10" t="n">
        <x:v>46132</x:v>
      </x:c>
      <x:c r="K281" s="8" t="n">
        <x:f>INDEX('Сводка'!$S$3:$S$397,U281)</x:f>
        <x:v>82</x:v>
      </x:c>
      <x:c r="L281" s="8" t="n">
        <x:f>INDEX('Сводка'!$S$3:$S$397,V281)</x:f>
        <x:v>64</x:v>
      </x:c>
      <x:c r="M281" s="8" t="n">
        <x:f>INDEX($K$388:$N$400,W281,1)+INDEX($K$388:$N$400,W281,2)*(2*(J281-$T$405)/(T281-$T$405)-1)^1+INDEX($K$388:$N$400,W281,3)*(2*(J281-$T$405)/(T281-$T$405)-1)^2+INDEX($K$388:$N$400,W281,4)*(2*(J281-$T$405)/(T281-$T$405)-1)^3+INDEX($O$388:$Z$400,W281,MONTH(J281))</x:f>
        <x:v>54.451458247497065</x:v>
      </x:c>
      <x:c r="N281" s="8" t="n">
        <x:f>K281-M281</x:f>
        <x:v>27.548541752502935</x:v>
      </x:c>
      <x:c r="O281" s="8" t="n">
        <x:f>ABS(N281)</x:f>
        <x:v>27.548541752502935</x:v>
      </x:c>
      <x:c r="P281" s="8" t="n">
        <x:f>N281^2</x:f>
        <x:v>758.9221526893974</x:v>
      </x:c>
      <x:c r="Q281" s="8" t="n">
        <x:f>K281-L281</x:f>
        <x:v>18</x:v>
      </x:c>
      <x:c r="R281" s="9" t="n">
        <x:f>IF(AND(INDEX('Сводка'!$T$3:$T$397,U281)=0,INDEX('Сводка'!$T$3:$T$397,V281)=0),1,0)</x:f>
        <x:v>1</x:v>
      </x:c>
      <x:c r="S281" s="9" t="n">
        <x:f>IF(AND(R281=1,O281&lt;=$G$13),1,0)</x:f>
        <x:v>0</x:v>
      </x:c>
      <x:c r="T281" s="10" t="n">
        <x:f>EOMONTH(J281-'Сводка'!$B$11,-1)</x:f>
        <x:v>46112</x:v>
      </x:c>
      <x:c r="U281" s="4" t="n">
        <x:f>MATCH(J281,'Сводка'!$R$3:$R$397,0)</x:f>
        <x:v>292</x:v>
      </x:c>
      <x:c r="V281" s="4" t="n">
        <x:f>MATCH(J281-'Сводка'!$B$11,'Сводка'!$R$3:$R$397,0)</x:f>
        <x:v>291</x:v>
      </x:c>
      <x:c r="W281" s="4" t="n">
        <x:f>MATCH(T281,$J$388:$J$400,0)</x:f>
        <x:v>10</x:v>
      </x:c>
      <x:c r="X281" s="3"/>
      <x:c r="Y281" s="3"/>
      <x:c r="Z281" s="3"/>
    </x:row>
    <x:row r="282" ht="15" customHeight="1">
      <x:c r="A282" s="3"/>
      <x:c r="B282" s="3"/>
      <x:c r="C282" s="3"/>
      <x:c r="D282" s="3"/>
      <x:c r="E282" s="3"/>
      <x:c r="F282" s="3"/>
      <x:c r="G282" s="3"/>
      <x:c r="H282" s="3"/>
      <x:c r="I282" s="3"/>
      <x:c r="J282" s="10" t="n">
        <x:v>46133</x:v>
      </x:c>
      <x:c r="K282" s="8" t="n">
        <x:f>INDEX('Сводка'!$S$3:$S$397,U282)</x:f>
        <x:v>64</x:v>
      </x:c>
      <x:c r="L282" s="8" t="n">
        <x:f>INDEX('Сводка'!$S$3:$S$397,V282)</x:f>
        <x:v>82</x:v>
      </x:c>
      <x:c r="M282" s="8" t="n">
        <x:f>INDEX($K$388:$N$400,W282,1)+INDEX($K$388:$N$400,W282,2)*(2*(J282-$T$405)/(T282-$T$405)-1)^1+INDEX($K$388:$N$400,W282,3)*(2*(J282-$T$405)/(T282-$T$405)-1)^2+INDEX($K$388:$N$400,W282,4)*(2*(J282-$T$405)/(T282-$T$405)-1)^3+INDEX($O$388:$Z$400,W282,MONTH(J282))</x:f>
        <x:v>54.42379877678362</x:v>
      </x:c>
      <x:c r="N282" s="8" t="n">
        <x:f>K282-M282</x:f>
        <x:v>9.57620122321638</x:v>
      </x:c>
      <x:c r="O282" s="8" t="n">
        <x:f>ABS(N282)</x:f>
        <x:v>9.57620122321638</x:v>
      </x:c>
      <x:c r="P282" s="8" t="n">
        <x:f>N282^2</x:f>
        <x:v>91.70362986753089</x:v>
      </x:c>
      <x:c r="Q282" s="8" t="n">
        <x:f>K282-L282</x:f>
        <x:v>-18</x:v>
      </x:c>
      <x:c r="R282" s="9" t="n">
        <x:f>IF(AND(INDEX('Сводка'!$T$3:$T$397,U282)=0,INDEX('Сводка'!$T$3:$T$397,V282)=0),1,0)</x:f>
        <x:v>1</x:v>
      </x:c>
      <x:c r="S282" s="9" t="n">
        <x:f>IF(AND(R282=1,O282&lt;=$G$13),1,0)</x:f>
        <x:v>0</x:v>
      </x:c>
      <x:c r="T282" s="10" t="n">
        <x:f>EOMONTH(J282-'Сводка'!$B$11,-1)</x:f>
        <x:v>46112</x:v>
      </x:c>
      <x:c r="U282" s="4" t="n">
        <x:f>MATCH(J282,'Сводка'!$R$3:$R$397,0)</x:f>
        <x:v>293</x:v>
      </x:c>
      <x:c r="V282" s="4" t="n">
        <x:f>MATCH(J282-'Сводка'!$B$11,'Сводка'!$R$3:$R$397,0)</x:f>
        <x:v>292</x:v>
      </x:c>
      <x:c r="W282" s="4" t="n">
        <x:f>MATCH(T282,$J$388:$J$400,0)</x:f>
        <x:v>10</x:v>
      </x:c>
      <x:c r="X282" s="3"/>
      <x:c r="Y282" s="3"/>
      <x:c r="Z282" s="3"/>
    </x:row>
    <x:row r="283" ht="15" customHeight="1">
      <x:c r="A283" s="3"/>
      <x:c r="B283" s="3"/>
      <x:c r="C283" s="3"/>
      <x:c r="D283" s="3"/>
      <x:c r="E283" s="3"/>
      <x:c r="F283" s="3"/>
      <x:c r="G283" s="3"/>
      <x:c r="H283" s="3"/>
      <x:c r="I283" s="3"/>
      <x:c r="J283" s="10" t="n">
        <x:v>46134</x:v>
      </x:c>
      <x:c r="K283" s="8" t="n">
        <x:f>INDEX('Сводка'!$S$3:$S$397,U283)</x:f>
        <x:v>63</x:v>
      </x:c>
      <x:c r="L283" s="8" t="n">
        <x:f>INDEX('Сводка'!$S$3:$S$397,V283)</x:f>
        <x:v>64</x:v>
      </x:c>
      <x:c r="M283" s="8" t="n">
        <x:f>INDEX($K$388:$N$400,W283,1)+INDEX($K$388:$N$400,W283,2)*(2*(J283-$T$405)/(T283-$T$405)-1)^1+INDEX($K$388:$N$400,W283,3)*(2*(J283-$T$405)/(T283-$T$405)-1)^2+INDEX($K$388:$N$400,W283,4)*(2*(J283-$T$405)/(T283-$T$405)-1)^3+INDEX($O$388:$Z$400,W283,MONTH(J283))</x:f>
        <x:v>54.396122403687336</x:v>
      </x:c>
      <x:c r="N283" s="8" t="n">
        <x:f>K283-M283</x:f>
        <x:v>8.603877596312664</x:v>
      </x:c>
      <x:c r="O283" s="8" t="n">
        <x:f>ABS(N283)</x:f>
        <x:v>8.603877596312664</x:v>
      </x:c>
      <x:c r="P283" s="8" t="n">
        <x:f>N283^2</x:f>
        <x:v>74.02670969233098</x:v>
      </x:c>
      <x:c r="Q283" s="8" t="n">
        <x:f>K283-L283</x:f>
        <x:v>-1</x:v>
      </x:c>
      <x:c r="R283" s="9" t="n">
        <x:f>IF(AND(INDEX('Сводка'!$T$3:$T$397,U283)=0,INDEX('Сводка'!$T$3:$T$397,V283)=0),1,0)</x:f>
        <x:v>1</x:v>
      </x:c>
      <x:c r="S283" s="9" t="n">
        <x:f>IF(AND(R283=1,O283&lt;=$G$13),1,0)</x:f>
        <x:v>0</x:v>
      </x:c>
      <x:c r="T283" s="10" t="n">
        <x:f>EOMONTH(J283-'Сводка'!$B$11,-1)</x:f>
        <x:v>46112</x:v>
      </x:c>
      <x:c r="U283" s="4" t="n">
        <x:f>MATCH(J283,'Сводка'!$R$3:$R$397,0)</x:f>
        <x:v>294</x:v>
      </x:c>
      <x:c r="V283" s="4" t="n">
        <x:f>MATCH(J283-'Сводка'!$B$11,'Сводка'!$R$3:$R$397,0)</x:f>
        <x:v>293</x:v>
      </x:c>
      <x:c r="W283" s="4" t="n">
        <x:f>MATCH(T283,$J$388:$J$400,0)</x:f>
        <x:v>10</x:v>
      </x:c>
      <x:c r="X283" s="3"/>
      <x:c r="Y283" s="3"/>
      <x:c r="Z283" s="3"/>
    </x:row>
    <x:row r="284" ht="15" customHeight="1">
      <x:c r="A284" s="3"/>
      <x:c r="B284" s="3"/>
      <x:c r="C284" s="3"/>
      <x:c r="D284" s="3"/>
      <x:c r="E284" s="3"/>
      <x:c r="F284" s="3"/>
      <x:c r="G284" s="3"/>
      <x:c r="H284" s="3"/>
      <x:c r="I284" s="3"/>
      <x:c r="J284" s="10" t="n">
        <x:v>46135</x:v>
      </x:c>
      <x:c r="K284" s="8" t="n">
        <x:f>INDEX('Сводка'!$S$3:$S$397,U284)</x:f>
        <x:v>55</x:v>
      </x:c>
      <x:c r="L284" s="8" t="n">
        <x:f>INDEX('Сводка'!$S$3:$S$397,V284)</x:f>
        <x:v>63</x:v>
      </x:c>
      <x:c r="M284" s="8" t="n">
        <x:f>INDEX($K$388:$N$400,W284,1)+INDEX($K$388:$N$400,W284,2)*(2*(J284-$T$405)/(T284-$T$405)-1)^1+INDEX($K$388:$N$400,W284,3)*(2*(J284-$T$405)/(T284-$T$405)-1)^2+INDEX($K$388:$N$400,W284,4)*(2*(J284-$T$405)/(T284-$T$405)-1)^3+INDEX($O$388:$Z$400,W284,MONTH(J284))</x:f>
        <x:v>54.368429125860736</x:v>
      </x:c>
      <x:c r="N284" s="8" t="n">
        <x:f>K284-M284</x:f>
        <x:v>0.631570874139264</x:v>
      </x:c>
      <x:c r="O284" s="8" t="n">
        <x:f>ABS(N284)</x:f>
        <x:v>0.631570874139264</x:v>
      </x:c>
      <x:c r="P284" s="8" t="n">
        <x:f>N284^2</x:f>
        <x:v>0.3988817690610341</x:v>
      </x:c>
      <x:c r="Q284" s="8" t="n">
        <x:f>K284-L284</x:f>
        <x:v>-8</x:v>
      </x:c>
      <x:c r="R284" s="9" t="n">
        <x:f>IF(AND(INDEX('Сводка'!$T$3:$T$397,U284)=0,INDEX('Сводка'!$T$3:$T$397,V284)=0),1,0)</x:f>
        <x:v>1</x:v>
      </x:c>
      <x:c r="S284" s="9" t="n">
        <x:f>IF(AND(R284=1,O284&lt;=$G$13),1,0)</x:f>
        <x:v>1</x:v>
      </x:c>
      <x:c r="T284" s="10" t="n">
        <x:f>EOMONTH(J284-'Сводка'!$B$11,-1)</x:f>
        <x:v>46112</x:v>
      </x:c>
      <x:c r="U284" s="4" t="n">
        <x:f>MATCH(J284,'Сводка'!$R$3:$R$397,0)</x:f>
        <x:v>295</x:v>
      </x:c>
      <x:c r="V284" s="4" t="n">
        <x:f>MATCH(J284-'Сводка'!$B$11,'Сводка'!$R$3:$R$397,0)</x:f>
        <x:v>294</x:v>
      </x:c>
      <x:c r="W284" s="4" t="n">
        <x:f>MATCH(T284,$J$388:$J$400,0)</x:f>
        <x:v>10</x:v>
      </x:c>
      <x:c r="X284" s="3"/>
      <x:c r="Y284" s="3"/>
      <x:c r="Z284" s="3"/>
    </x:row>
    <x:row r="285" ht="15" customHeight="1">
      <x:c r="A285" s="3"/>
      <x:c r="B285" s="3"/>
      <x:c r="C285" s="3"/>
      <x:c r="D285" s="3"/>
      <x:c r="E285" s="3"/>
      <x:c r="F285" s="3"/>
      <x:c r="G285" s="3"/>
      <x:c r="H285" s="3"/>
      <x:c r="I285" s="3"/>
      <x:c r="J285" s="10" t="n">
        <x:v>46136</x:v>
      </x:c>
      <x:c r="K285" s="8" t="n">
        <x:f>INDEX('Сводка'!$S$3:$S$397,U285)</x:f>
        <x:v>53</x:v>
      </x:c>
      <x:c r="L285" s="8" t="n">
        <x:f>INDEX('Сводка'!$S$3:$S$397,V285)</x:f>
        <x:v>55</x:v>
      </x:c>
      <x:c r="M285" s="8" t="n">
        <x:f>INDEX($K$388:$N$400,W285,1)+INDEX($K$388:$N$400,W285,2)*(2*(J285-$T$405)/(T285-$T$405)-1)^1+INDEX($K$388:$N$400,W285,3)*(2*(J285-$T$405)/(T285-$T$405)-1)^2+INDEX($K$388:$N$400,W285,4)*(2*(J285-$T$405)/(T285-$T$405)-1)^3+INDEX($O$388:$Z$400,W285,MONTH(J285))</x:f>
        <x:v>54.340718940955945</x:v>
      </x:c>
      <x:c r="N285" s="8" t="n">
        <x:f>K285-M285</x:f>
        <x:v>-1.340718940955945</x:v>
      </x:c>
      <x:c r="O285" s="8" t="n">
        <x:f>ABS(N285)</x:f>
        <x:v>1.340718940955945</x:v>
      </x:c>
      <x:c r="P285" s="8" t="n">
        <x:f>N285^2</x:f>
        <x:v>1.7975272786380307</x:v>
      </x:c>
      <x:c r="Q285" s="8" t="n">
        <x:f>K285-L285</x:f>
        <x:v>-2</x:v>
      </x:c>
      <x:c r="R285" s="9" t="n">
        <x:f>IF(AND(INDEX('Сводка'!$T$3:$T$397,U285)=0,INDEX('Сводка'!$T$3:$T$397,V285)=0),1,0)</x:f>
        <x:v>1</x:v>
      </x:c>
      <x:c r="S285" s="9" t="n">
        <x:f>IF(AND(R285=1,O285&lt;=$G$13),1,0)</x:f>
        <x:v>1</x:v>
      </x:c>
      <x:c r="T285" s="10" t="n">
        <x:f>EOMONTH(J285-'Сводка'!$B$11,-1)</x:f>
        <x:v>46112</x:v>
      </x:c>
      <x:c r="U285" s="4" t="n">
        <x:f>MATCH(J285,'Сводка'!$R$3:$R$397,0)</x:f>
        <x:v>296</x:v>
      </x:c>
      <x:c r="V285" s="4" t="n">
        <x:f>MATCH(J285-'Сводка'!$B$11,'Сводка'!$R$3:$R$397,0)</x:f>
        <x:v>295</x:v>
      </x:c>
      <x:c r="W285" s="4" t="n">
        <x:f>MATCH(T285,$J$388:$J$400,0)</x:f>
        <x:v>10</x:v>
      </x:c>
      <x:c r="X285" s="3"/>
      <x:c r="Y285" s="3"/>
      <x:c r="Z285" s="3"/>
    </x:row>
    <x:row r="286" ht="15" customHeight="1">
      <x:c r="A286" s="3"/>
      <x:c r="B286" s="3"/>
      <x:c r="C286" s="3"/>
      <x:c r="D286" s="3"/>
      <x:c r="E286" s="3"/>
      <x:c r="F286" s="3"/>
      <x:c r="G286" s="3"/>
      <x:c r="H286" s="3"/>
      <x:c r="I286" s="3"/>
      <x:c r="J286" s="10" t="n">
        <x:v>46137</x:v>
      </x:c>
      <x:c r="K286" s="8" t="n">
        <x:f>INDEX('Сводка'!$S$3:$S$397,U286)</x:f>
        <x:v>58</x:v>
      </x:c>
      <x:c r="L286" s="8" t="n">
        <x:f>INDEX('Сводка'!$S$3:$S$397,V286)</x:f>
        <x:v>53</x:v>
      </x:c>
      <x:c r="M286" s="8" t="n">
        <x:f>INDEX($K$388:$N$400,W286,1)+INDEX($K$388:$N$400,W286,2)*(2*(J286-$T$405)/(T286-$T$405)-1)^1+INDEX($K$388:$N$400,W286,3)*(2*(J286-$T$405)/(T286-$T$405)-1)^2+INDEX($K$388:$N$400,W286,4)*(2*(J286-$T$405)/(T286-$T$405)-1)^3+INDEX($O$388:$Z$400,W286,MONTH(J286))</x:f>
        <x:v>54.312991846625344</x:v>
      </x:c>
      <x:c r="N286" s="8" t="n">
        <x:f>K286-M286</x:f>
        <x:v>3.6870081533746557</x:v>
      </x:c>
      <x:c r="O286" s="8" t="n">
        <x:f>ABS(N286)</x:f>
        <x:v>3.6870081533746557</x:v>
      </x:c>
      <x:c r="P286" s="8" t="n">
        <x:f>N286^2</x:f>
        <x:v>13.594029123051188</x:v>
      </x:c>
      <x:c r="Q286" s="8" t="n">
        <x:f>K286-L286</x:f>
        <x:v>5</x:v>
      </x:c>
      <x:c r="R286" s="9" t="n">
        <x:f>IF(AND(INDEX('Сводка'!$T$3:$T$397,U286)=0,INDEX('Сводка'!$T$3:$T$397,V286)=0),1,0)</x:f>
        <x:v>1</x:v>
      </x:c>
      <x:c r="S286" s="9" t="n">
        <x:f>IF(AND(R286=1,O286&lt;=$G$13),1,0)</x:f>
        <x:v>1</x:v>
      </x:c>
      <x:c r="T286" s="10" t="n">
        <x:f>EOMONTH(J286-'Сводка'!$B$11,-1)</x:f>
        <x:v>46112</x:v>
      </x:c>
      <x:c r="U286" s="4" t="n">
        <x:f>MATCH(J286,'Сводка'!$R$3:$R$397,0)</x:f>
        <x:v>297</x:v>
      </x:c>
      <x:c r="V286" s="4" t="n">
        <x:f>MATCH(J286-'Сводка'!$B$11,'Сводка'!$R$3:$R$397,0)</x:f>
        <x:v>296</x:v>
      </x:c>
      <x:c r="W286" s="4" t="n">
        <x:f>MATCH(T286,$J$388:$J$400,0)</x:f>
        <x:v>10</x:v>
      </x:c>
      <x:c r="X286" s="3"/>
      <x:c r="Y286" s="3"/>
      <x:c r="Z286" s="3"/>
    </x:row>
    <x:row r="287" ht="15" customHeight="1">
      <x:c r="A287" s="3"/>
      <x:c r="B287" s="3"/>
      <x:c r="C287" s="3"/>
      <x:c r="D287" s="3"/>
      <x:c r="E287" s="3"/>
      <x:c r="F287" s="3"/>
      <x:c r="G287" s="3"/>
      <x:c r="H287" s="3"/>
      <x:c r="I287" s="3"/>
      <x:c r="J287" s="10" t="n">
        <x:v>46138</x:v>
      </x:c>
      <x:c r="K287" s="8" t="n">
        <x:f>INDEX('Сводка'!$S$3:$S$397,U287)</x:f>
        <x:v>58</x:v>
      </x:c>
      <x:c r="L287" s="8" t="n">
        <x:f>INDEX('Сводка'!$S$3:$S$397,V287)</x:f>
        <x:v>58</x:v>
      </x:c>
      <x:c r="M287" s="8" t="n">
        <x:f>INDEX($K$388:$N$400,W287,1)+INDEX($K$388:$N$400,W287,2)*(2*(J287-$T$405)/(T287-$T$405)-1)^1+INDEX($K$388:$N$400,W287,3)*(2*(J287-$T$405)/(T287-$T$405)-1)^2+INDEX($K$388:$N$400,W287,4)*(2*(J287-$T$405)/(T287-$T$405)-1)^3+INDEX($O$388:$Z$400,W287,MONTH(J287))</x:f>
        <x:v>54.285247840521286</x:v>
      </x:c>
      <x:c r="N287" s="8" t="n">
        <x:f>K287-M287</x:f>
        <x:v>3.7147521594787136</x:v>
      </x:c>
      <x:c r="O287" s="8" t="n">
        <x:f>ABS(N287)</x:f>
        <x:v>3.7147521594787136</x:v>
      </x:c>
      <x:c r="P287" s="8" t="n">
        <x:f>N287^2</x:f>
        <x:v>13.799383606351766</x:v>
      </x:c>
      <x:c r="Q287" s="8" t="n">
        <x:f>K287-L287</x:f>
        <x:v>0</x:v>
      </x:c>
      <x:c r="R287" s="9" t="n">
        <x:f>IF(AND(INDEX('Сводка'!$T$3:$T$397,U287)=0,INDEX('Сводка'!$T$3:$T$397,V287)=0),1,0)</x:f>
        <x:v>1</x:v>
      </x:c>
      <x:c r="S287" s="9" t="n">
        <x:f>IF(AND(R287=1,O287&lt;=$G$13),1,0)</x:f>
        <x:v>1</x:v>
      </x:c>
      <x:c r="T287" s="10" t="n">
        <x:f>EOMONTH(J287-'Сводка'!$B$11,-1)</x:f>
        <x:v>46112</x:v>
      </x:c>
      <x:c r="U287" s="4" t="n">
        <x:f>MATCH(J287,'Сводка'!$R$3:$R$397,0)</x:f>
        <x:v>298</x:v>
      </x:c>
      <x:c r="V287" s="4" t="n">
        <x:f>MATCH(J287-'Сводка'!$B$11,'Сводка'!$R$3:$R$397,0)</x:f>
        <x:v>297</x:v>
      </x:c>
      <x:c r="W287" s="4" t="n">
        <x:f>MATCH(T287,$J$388:$J$400,0)</x:f>
        <x:v>10</x:v>
      </x:c>
      <x:c r="X287" s="3"/>
      <x:c r="Y287" s="3"/>
      <x:c r="Z287" s="3"/>
    </x:row>
    <x:row r="288" ht="15" customHeight="1">
      <x:c r="A288" s="3"/>
      <x:c r="B288" s="3"/>
      <x:c r="C288" s="3"/>
      <x:c r="D288" s="3"/>
      <x:c r="E288" s="3"/>
      <x:c r="F288" s="3"/>
      <x:c r="G288" s="3"/>
      <x:c r="H288" s="3"/>
      <x:c r="I288" s="3"/>
      <x:c r="J288" s="10" t="n">
        <x:v>46139</x:v>
      </x:c>
      <x:c r="K288" s="8" t="n">
        <x:f>INDEX('Сводка'!$S$3:$S$397,U288)</x:f>
        <x:v>61</x:v>
      </x:c>
      <x:c r="L288" s="8" t="n">
        <x:f>INDEX('Сводка'!$S$3:$S$397,V288)</x:f>
        <x:v>58</x:v>
      </x:c>
      <x:c r="M288" s="8" t="n">
        <x:f>INDEX($K$388:$N$400,W288,1)+INDEX($K$388:$N$400,W288,2)*(2*(J288-$T$405)/(T288-$T$405)-1)^1+INDEX($K$388:$N$400,W288,3)*(2*(J288-$T$405)/(T288-$T$405)-1)^2+INDEX($K$388:$N$400,W288,4)*(2*(J288-$T$405)/(T288-$T$405)-1)^3+INDEX($O$388:$Z$400,W288,MONTH(J288))</x:f>
        <x:v>54.25748692029611</x:v>
      </x:c>
      <x:c r="N288" s="8" t="n">
        <x:f>K288-M288</x:f>
        <x:v>6.74251307970389</x:v>
      </x:c>
      <x:c r="O288" s="8" t="n">
        <x:f>ABS(N288)</x:f>
        <x:v>6.74251307970389</x:v>
      </x:c>
      <x:c r="P288" s="8" t="n">
        <x:f>N288^2</x:f>
        <x:v>45.46148262997804</x:v>
      </x:c>
      <x:c r="Q288" s="8" t="n">
        <x:f>K288-L288</x:f>
        <x:v>3</x:v>
      </x:c>
      <x:c r="R288" s="9" t="n">
        <x:f>IF(AND(INDEX('Сводка'!$T$3:$T$397,U288)=0,INDEX('Сводка'!$T$3:$T$397,V288)=0),1,0)</x:f>
        <x:v>1</x:v>
      </x:c>
      <x:c r="S288" s="9" t="n">
        <x:f>IF(AND(R288=1,O288&lt;=$G$13),1,0)</x:f>
        <x:v>1</x:v>
      </x:c>
      <x:c r="T288" s="10" t="n">
        <x:f>EOMONTH(J288-'Сводка'!$B$11,-1)</x:f>
        <x:v>46112</x:v>
      </x:c>
      <x:c r="U288" s="4" t="n">
        <x:f>MATCH(J288,'Сводка'!$R$3:$R$397,0)</x:f>
        <x:v>299</x:v>
      </x:c>
      <x:c r="V288" s="4" t="n">
        <x:f>MATCH(J288-'Сводка'!$B$11,'Сводка'!$R$3:$R$397,0)</x:f>
        <x:v>298</x:v>
      </x:c>
      <x:c r="W288" s="4" t="n">
        <x:f>MATCH(T288,$J$388:$J$400,0)</x:f>
        <x:v>10</x:v>
      </x:c>
      <x:c r="X288" s="3"/>
      <x:c r="Y288" s="3"/>
      <x:c r="Z288" s="3"/>
    </x:row>
    <x:row r="289" ht="15" customHeight="1">
      <x:c r="A289" s="3"/>
      <x:c r="B289" s="3"/>
      <x:c r="C289" s="3"/>
      <x:c r="D289" s="3"/>
      <x:c r="E289" s="3"/>
      <x:c r="F289" s="3"/>
      <x:c r="G289" s="3"/>
      <x:c r="H289" s="3"/>
      <x:c r="I289" s="3"/>
      <x:c r="J289" s="10" t="n">
        <x:v>46140</x:v>
      </x:c>
      <x:c r="K289" s="8" t="n">
        <x:f>INDEX('Сводка'!$S$3:$S$397,U289)</x:f>
        <x:v>47</x:v>
      </x:c>
      <x:c r="L289" s="8" t="n">
        <x:f>INDEX('Сводка'!$S$3:$S$397,V289)</x:f>
        <x:v>61</x:v>
      </x:c>
      <x:c r="M289" s="8" t="n">
        <x:f>INDEX($K$388:$N$400,W289,1)+INDEX($K$388:$N$400,W289,2)*(2*(J289-$T$405)/(T289-$T$405)-1)^1+INDEX($K$388:$N$400,W289,3)*(2*(J289-$T$405)/(T289-$T$405)-1)^2+INDEX($K$388:$N$400,W289,4)*(2*(J289-$T$405)/(T289-$T$405)-1)^3+INDEX($O$388:$Z$400,W289,MONTH(J289))</x:f>
        <x:v>54.22970908360207</x:v>
      </x:c>
      <x:c r="N289" s="8" t="n">
        <x:f>K289-M289</x:f>
        <x:v>-7.229709083602067</x:v>
      </x:c>
      <x:c r="O289" s="8" t="n">
        <x:f>ABS(N289)</x:f>
        <x:v>7.229709083602067</x:v>
      </x:c>
      <x:c r="P289" s="8" t="n">
        <x:f>N289^2</x:f>
        <x:v>52.268693433518244</x:v>
      </x:c>
      <x:c r="Q289" s="8" t="n">
        <x:f>K289-L289</x:f>
        <x:v>-14</x:v>
      </x:c>
      <x:c r="R289" s="9" t="n">
        <x:f>IF(AND(INDEX('Сводка'!$T$3:$T$397,U289)=0,INDEX('Сводка'!$T$3:$T$397,V289)=0),1,0)</x:f>
        <x:v>1</x:v>
      </x:c>
      <x:c r="S289" s="9" t="n">
        <x:f>IF(AND(R289=1,O289&lt;=$G$13),1,0)</x:f>
        <x:v>1</x:v>
      </x:c>
      <x:c r="T289" s="10" t="n">
        <x:f>EOMONTH(J289-'Сводка'!$B$11,-1)</x:f>
        <x:v>46112</x:v>
      </x:c>
      <x:c r="U289" s="4" t="n">
        <x:f>MATCH(J289,'Сводка'!$R$3:$R$397,0)</x:f>
        <x:v>300</x:v>
      </x:c>
      <x:c r="V289" s="4" t="n">
        <x:f>MATCH(J289-'Сводка'!$B$11,'Сводка'!$R$3:$R$397,0)</x:f>
        <x:v>299</x:v>
      </x:c>
      <x:c r="W289" s="4" t="n">
        <x:f>MATCH(T289,$J$388:$J$400,0)</x:f>
        <x:v>10</x:v>
      </x:c>
      <x:c r="X289" s="3"/>
      <x:c r="Y289" s="3"/>
      <x:c r="Z289" s="3"/>
    </x:row>
    <x:row r="290" ht="15" customHeight="1">
      <x:c r="A290" s="3"/>
      <x:c r="B290" s="3"/>
      <x:c r="C290" s="3"/>
      <x:c r="D290" s="3"/>
      <x:c r="E290" s="3"/>
      <x:c r="F290" s="3"/>
      <x:c r="G290" s="3"/>
      <x:c r="H290" s="3"/>
      <x:c r="I290" s="3"/>
      <x:c r="J290" s="10" t="n">
        <x:v>46141</x:v>
      </x:c>
      <x:c r="K290" s="8" t="n">
        <x:f>INDEX('Сводка'!$S$3:$S$397,U290)</x:f>
        <x:v>37</x:v>
      </x:c>
      <x:c r="L290" s="8" t="n">
        <x:f>INDEX('Сводка'!$S$3:$S$397,V290)</x:f>
        <x:v>47</x:v>
      </x:c>
      <x:c r="M290" s="8" t="n">
        <x:f>INDEX($K$388:$N$400,W290,1)+INDEX($K$388:$N$400,W290,2)*(2*(J290-$T$405)/(T290-$T$405)-1)^1+INDEX($K$388:$N$400,W290,3)*(2*(J290-$T$405)/(T290-$T$405)-1)^2+INDEX($K$388:$N$400,W290,4)*(2*(J290-$T$405)/(T290-$T$405)-1)^3+INDEX($O$388:$Z$400,W290,MONTH(J290))</x:f>
        <x:v>54.20191432809151</x:v>
      </x:c>
      <x:c r="N290" s="8" t="n">
        <x:f>K290-M290</x:f>
        <x:v>-17.20191432809151</x:v>
      </x:c>
      <x:c r="O290" s="8" t="n">
        <x:f>ABS(N290)</x:f>
        <x:v>17.20191432809151</x:v>
      </x:c>
      <x:c r="P290" s="8" t="n">
        <x:f>N290^2</x:f>
        <x:v>295.90585655100006</x:v>
      </x:c>
      <x:c r="Q290" s="8" t="n">
        <x:f>K290-L290</x:f>
        <x:v>-10</x:v>
      </x:c>
      <x:c r="R290" s="9" t="n">
        <x:f>IF(AND(INDEX('Сводка'!$T$3:$T$397,U290)=0,INDEX('Сводка'!$T$3:$T$397,V290)=0),1,0)</x:f>
        <x:v>1</x:v>
      </x:c>
      <x:c r="S290" s="9" t="n">
        <x:f>IF(AND(R290=1,O290&lt;=$G$13),1,0)</x:f>
        <x:v>0</x:v>
      </x:c>
      <x:c r="T290" s="10" t="n">
        <x:f>EOMONTH(J290-'Сводка'!$B$11,-1)</x:f>
        <x:v>46112</x:v>
      </x:c>
      <x:c r="U290" s="4" t="n">
        <x:f>MATCH(J290,'Сводка'!$R$3:$R$397,0)</x:f>
        <x:v>301</x:v>
      </x:c>
      <x:c r="V290" s="4" t="n">
        <x:f>MATCH(J290-'Сводка'!$B$11,'Сводка'!$R$3:$R$397,0)</x:f>
        <x:v>300</x:v>
      </x:c>
      <x:c r="W290" s="4" t="n">
        <x:f>MATCH(T290,$J$388:$J$400,0)</x:f>
        <x:v>10</x:v>
      </x:c>
      <x:c r="X290" s="3"/>
      <x:c r="Y290" s="3"/>
      <x:c r="Z290" s="3"/>
    </x:row>
    <x:row r="291" ht="15" customHeight="1">
      <x:c r="A291" s="3"/>
      <x:c r="B291" s="3"/>
      <x:c r="C291" s="3"/>
      <x:c r="D291" s="3"/>
      <x:c r="E291" s="3"/>
      <x:c r="F291" s="3"/>
      <x:c r="G291" s="3"/>
      <x:c r="H291" s="3"/>
      <x:c r="I291" s="3"/>
      <x:c r="J291" s="10" t="n">
        <x:v>46142</x:v>
      </x:c>
      <x:c r="K291" s="8" t="n">
        <x:f>INDEX('Сводка'!$S$3:$S$397,U291)</x:f>
        <x:v>33</x:v>
      </x:c>
      <x:c r="L291" s="8" t="n">
        <x:f>INDEX('Сводка'!$S$3:$S$397,V291)</x:f>
        <x:v>37</x:v>
      </x:c>
      <x:c r="M291" s="8" t="n">
        <x:f>INDEX($K$388:$N$400,W291,1)+INDEX($K$388:$N$400,W291,2)*(2*(J291-$T$405)/(T291-$T$405)-1)^1+INDEX($K$388:$N$400,W291,3)*(2*(J291-$T$405)/(T291-$T$405)-1)^2+INDEX($K$388:$N$400,W291,4)*(2*(J291-$T$405)/(T291-$T$405)-1)^3+INDEX($O$388:$Z$400,W291,MONTH(J291))</x:f>
        <x:v>54.17410265141677</x:v>
      </x:c>
      <x:c r="N291" s="8" t="n">
        <x:f>K291-M291</x:f>
        <x:v>-21.174102651416767</x:v>
      </x:c>
      <x:c r="O291" s="8" t="n">
        <x:f>ABS(N291)</x:f>
        <x:v>21.174102651416767</x:v>
      </x:c>
      <x:c r="P291" s="8" t="n">
        <x:f>N291^2</x:f>
        <x:v>448.3426230927346</x:v>
      </x:c>
      <x:c r="Q291" s="8" t="n">
        <x:f>K291-L291</x:f>
        <x:v>-4</x:v>
      </x:c>
      <x:c r="R291" s="9" t="n">
        <x:f>IF(AND(INDEX('Сводка'!$T$3:$T$397,U291)=0,INDEX('Сводка'!$T$3:$T$397,V291)=0),1,0)</x:f>
        <x:v>1</x:v>
      </x:c>
      <x:c r="S291" s="9" t="n">
        <x:f>IF(AND(R291=1,O291&lt;=$G$13),1,0)</x:f>
        <x:v>0</x:v>
      </x:c>
      <x:c r="T291" s="10" t="n">
        <x:f>EOMONTH(J291-'Сводка'!$B$11,-1)</x:f>
        <x:v>46112</x:v>
      </x:c>
      <x:c r="U291" s="4" t="n">
        <x:f>MATCH(J291,'Сводка'!$R$3:$R$397,0)</x:f>
        <x:v>302</x:v>
      </x:c>
      <x:c r="V291" s="4" t="n">
        <x:f>MATCH(J291-'Сводка'!$B$11,'Сводка'!$R$3:$R$397,0)</x:f>
        <x:v>301</x:v>
      </x:c>
      <x:c r="W291" s="4" t="n">
        <x:f>MATCH(T291,$J$388:$J$400,0)</x:f>
        <x:v>10</x:v>
      </x:c>
      <x:c r="X291" s="3"/>
      <x:c r="Y291" s="3"/>
      <x:c r="Z291" s="3"/>
    </x:row>
    <x:row r="292" ht="15" customHeight="1">
      <x:c r="A292" s="3"/>
      <x:c r="B292" s="3"/>
      <x:c r="C292" s="3"/>
      <x:c r="D292" s="3"/>
      <x:c r="E292" s="3"/>
      <x:c r="F292" s="3"/>
      <x:c r="G292" s="3"/>
      <x:c r="H292" s="3"/>
      <x:c r="I292" s="3"/>
      <x:c r="J292" s="10" t="n">
        <x:v>46143</x:v>
      </x:c>
      <x:c r="K292" s="8" t="n">
        <x:f>INDEX('Сводка'!$S$3:$S$397,U292)</x:f>
        <x:v>44</x:v>
      </x:c>
      <x:c r="L292" s="8" t="n">
        <x:f>INDEX('Сводка'!$S$3:$S$397,V292)</x:f>
        <x:v>33</x:v>
      </x:c>
      <x:c r="M292" s="8" t="n">
        <x:f>INDEX($K$388:$N$400,W292,1)+INDEX($K$388:$N$400,W292,2)*(2*(J292-$T$405)/(T292-$T$405)-1)^1+INDEX($K$388:$N$400,W292,3)*(2*(J292-$T$405)/(T292-$T$405)-1)^2+INDEX($K$388:$N$400,W292,4)*(2*(J292-$T$405)/(T292-$T$405)-1)^3+INDEX($O$388:$Z$400,W292,MONTH(J292))</x:f>
        <x:v>148.2203533994807</x:v>
      </x:c>
      <x:c r="N292" s="8" t="n">
        <x:f>K292-M292</x:f>
        <x:v>-104.2203533994807</x:v>
      </x:c>
      <x:c r="O292" s="8" t="n">
        <x:f>ABS(N292)</x:f>
        <x:v>104.2203533994807</x:v>
      </x:c>
      <x:c r="P292" s="8" t="n">
        <x:f>N292^2</x:f>
        <x:v>10861.882062712648</x:v>
      </x:c>
      <x:c r="Q292" s="8" t="n">
        <x:f>K292-L292</x:f>
        <x:v>11</x:v>
      </x:c>
      <x:c r="R292" s="9" t="n">
        <x:f>IF(AND(INDEX('Сводка'!$T$3:$T$397,U292)=0,INDEX('Сводка'!$T$3:$T$397,V292)=0),1,0)</x:f>
        <x:v>1</x:v>
      </x:c>
      <x:c r="S292" s="9" t="n">
        <x:f>IF(AND(R292=1,O292&lt;=$G$13),1,0)</x:f>
        <x:v>0</x:v>
      </x:c>
      <x:c r="T292" s="10" t="n">
        <x:f>EOMONTH(J292-'Сводка'!$B$11,-1)</x:f>
        <x:v>46112</x:v>
      </x:c>
      <x:c r="U292" s="4" t="n">
        <x:f>MATCH(J292,'Сводка'!$R$3:$R$397,0)</x:f>
        <x:v>303</x:v>
      </x:c>
      <x:c r="V292" s="4" t="n">
        <x:f>MATCH(J292-'Сводка'!$B$11,'Сводка'!$R$3:$R$397,0)</x:f>
        <x:v>302</x:v>
      </x:c>
      <x:c r="W292" s="4" t="n">
        <x:f>MATCH(T292,$J$388:$J$400,0)</x:f>
        <x:v>10</x:v>
      </x:c>
      <x:c r="X292" s="3"/>
      <x:c r="Y292" s="3"/>
      <x:c r="Z292" s="3"/>
    </x:row>
    <x:row r="293" ht="15" customHeight="1">
      <x:c r="A293" s="3"/>
      <x:c r="B293" s="3"/>
      <x:c r="C293" s="3"/>
      <x:c r="D293" s="3"/>
      <x:c r="E293" s="3"/>
      <x:c r="F293" s="3"/>
      <x:c r="G293" s="3"/>
      <x:c r="H293" s="3"/>
      <x:c r="I293" s="3"/>
      <x:c r="J293" s="10" t="n">
        <x:v>46144</x:v>
      </x:c>
      <x:c r="K293" s="8" t="n">
        <x:f>INDEX('Сводка'!$S$3:$S$397,U293)</x:f>
        <x:v>61</x:v>
      </x:c>
      <x:c r="L293" s="8" t="n">
        <x:f>INDEX('Сводка'!$S$3:$S$397,V293)</x:f>
        <x:v>44</x:v>
      </x:c>
      <x:c r="M293" s="8" t="n">
        <x:f>INDEX($K$388:$N$400,W293,1)+INDEX($K$388:$N$400,W293,2)*(2*(J293-$T$405)/(T293-$T$405)-1)^1+INDEX($K$388:$N$400,W293,3)*(2*(J293-$T$405)/(T293-$T$405)-1)^2+INDEX($K$388:$N$400,W293,4)*(2*(J293-$T$405)/(T293-$T$405)-1)^3+INDEX($O$388:$Z$400,W293,MONTH(J293))</x:f>
        <x:v>146.92235176287477</x:v>
      </x:c>
      <x:c r="N293" s="8" t="n">
        <x:f>K293-M293</x:f>
        <x:v>-85.92235176287477</x:v>
      </x:c>
      <x:c r="O293" s="8" t="n">
        <x:f>ABS(N293)</x:f>
        <x:v>85.92235176287477</x:v>
      </x:c>
      <x:c r="P293" s="8" t="n">
        <x:f>N293^2</x:f>
        <x:v>7382.650532463189</x:v>
      </x:c>
      <x:c r="Q293" s="8" t="n">
        <x:f>K293-L293</x:f>
        <x:v>17</x:v>
      </x:c>
      <x:c r="R293" s="9" t="n">
        <x:f>IF(AND(INDEX('Сводка'!$T$3:$T$397,U293)=0,INDEX('Сводка'!$T$3:$T$397,V293)=0),1,0)</x:f>
        <x:v>1</x:v>
      </x:c>
      <x:c r="S293" s="9" t="n">
        <x:f>IF(AND(R293=1,O293&lt;=$G$13),1,0)</x:f>
        <x:v>0</x:v>
      </x:c>
      <x:c r="T293" s="10" t="n">
        <x:f>EOMONTH(J293-'Сводка'!$B$11,-1)</x:f>
        <x:v>46142</x:v>
      </x:c>
      <x:c r="U293" s="4" t="n">
        <x:f>MATCH(J293,'Сводка'!$R$3:$R$397,0)</x:f>
        <x:v>304</x:v>
      </x:c>
      <x:c r="V293" s="4" t="n">
        <x:f>MATCH(J293-'Сводка'!$B$11,'Сводка'!$R$3:$R$397,0)</x:f>
        <x:v>303</x:v>
      </x:c>
      <x:c r="W293" s="4" t="n">
        <x:f>MATCH(T293,$J$388:$J$400,0)</x:f>
        <x:v>11</x:v>
      </x:c>
      <x:c r="X293" s="3"/>
      <x:c r="Y293" s="3"/>
      <x:c r="Z293" s="3"/>
    </x:row>
    <x:row r="294" ht="15" customHeight="1">
      <x:c r="A294" s="3"/>
      <x:c r="B294" s="3"/>
      <x:c r="C294" s="3"/>
      <x:c r="D294" s="3"/>
      <x:c r="E294" s="3"/>
      <x:c r="F294" s="3"/>
      <x:c r="G294" s="3"/>
      <x:c r="H294" s="3"/>
      <x:c r="I294" s="3"/>
      <x:c r="J294" s="10" t="n">
        <x:v>46145</x:v>
      </x:c>
      <x:c r="K294" s="8" t="n">
        <x:f>INDEX('Сводка'!$S$3:$S$397,U294)</x:f>
        <x:v>76</x:v>
      </x:c>
      <x:c r="L294" s="8" t="n">
        <x:f>INDEX('Сводка'!$S$3:$S$397,V294)</x:f>
        <x:v>61</x:v>
      </x:c>
      <x:c r="M294" s="8" t="n">
        <x:f>INDEX($K$388:$N$400,W294,1)+INDEX($K$388:$N$400,W294,2)*(2*(J294-$T$405)/(T294-$T$405)-1)^1+INDEX($K$388:$N$400,W294,3)*(2*(J294-$T$405)/(T294-$T$405)-1)^2+INDEX($K$388:$N$400,W294,4)*(2*(J294-$T$405)/(T294-$T$405)-1)^3+INDEX($O$388:$Z$400,W294,MONTH(J294))</x:f>
        <x:v>146.8933872508428</x:v>
      </x:c>
      <x:c r="N294" s="8" t="n">
        <x:f>K294-M294</x:f>
        <x:v>-70.8933872508428</x:v>
      </x:c>
      <x:c r="O294" s="8" t="n">
        <x:f>ABS(N294)</x:f>
        <x:v>70.8933872508428</x:v>
      </x:c>
      <x:c r="P294" s="8" t="n">
        <x:f>N294^2</x:f>
        <x:v>5025.872355897962</x:v>
      </x:c>
      <x:c r="Q294" s="8" t="n">
        <x:f>K294-L294</x:f>
        <x:v>15</x:v>
      </x:c>
      <x:c r="R294" s="9" t="n">
        <x:f>IF(AND(INDEX('Сводка'!$T$3:$T$397,U294)=0,INDEX('Сводка'!$T$3:$T$397,V294)=0),1,0)</x:f>
        <x:v>1</x:v>
      </x:c>
      <x:c r="S294" s="9" t="n">
        <x:f>IF(AND(R294=1,O294&lt;=$G$13),1,0)</x:f>
        <x:v>0</x:v>
      </x:c>
      <x:c r="T294" s="10" t="n">
        <x:f>EOMONTH(J294-'Сводка'!$B$11,-1)</x:f>
        <x:v>46142</x:v>
      </x:c>
      <x:c r="U294" s="4" t="n">
        <x:f>MATCH(J294,'Сводка'!$R$3:$R$397,0)</x:f>
        <x:v>305</x:v>
      </x:c>
      <x:c r="V294" s="4" t="n">
        <x:f>MATCH(J294-'Сводка'!$B$11,'Сводка'!$R$3:$R$397,0)</x:f>
        <x:v>304</x:v>
      </x:c>
      <x:c r="W294" s="4" t="n">
        <x:f>MATCH(T294,$J$388:$J$400,0)</x:f>
        <x:v>11</x:v>
      </x:c>
      <x:c r="X294" s="3"/>
      <x:c r="Y294" s="3"/>
      <x:c r="Z294" s="3"/>
    </x:row>
    <x:row r="295" ht="15" customHeight="1">
      <x:c r="A295" s="3"/>
      <x:c r="B295" s="3"/>
      <x:c r="C295" s="3"/>
      <x:c r="D295" s="3"/>
      <x:c r="E295" s="3"/>
      <x:c r="F295" s="3"/>
      <x:c r="G295" s="3"/>
      <x:c r="H295" s="3"/>
      <x:c r="I295" s="3"/>
      <x:c r="J295" s="10" t="n">
        <x:v>46146</x:v>
      </x:c>
      <x:c r="K295" s="8" t="n">
        <x:f>INDEX('Сводка'!$S$3:$S$397,U295)</x:f>
        <x:v>83</x:v>
      </x:c>
      <x:c r="L295" s="8" t="n">
        <x:f>INDEX('Сводка'!$S$3:$S$397,V295)</x:f>
        <x:v>76</x:v>
      </x:c>
      <x:c r="M295" s="8" t="n">
        <x:f>INDEX($K$388:$N$400,W295,1)+INDEX($K$388:$N$400,W295,2)*(2*(J295-$T$405)/(T295-$T$405)-1)^1+INDEX($K$388:$N$400,W295,3)*(2*(J295-$T$405)/(T295-$T$405)-1)^2+INDEX($K$388:$N$400,W295,4)*(2*(J295-$T$405)/(T295-$T$405)-1)^3+INDEX($O$388:$Z$400,W295,MONTH(J295))</x:f>
        <x:v>146.8644053162704</x:v>
      </x:c>
      <x:c r="N295" s="8" t="n">
        <x:f>K295-M295</x:f>
        <x:v>-63.86440531627039</x:v>
      </x:c>
      <x:c r="O295" s="8" t="n">
        <x:f>ABS(N295)</x:f>
        <x:v>63.86440531627039</x:v>
      </x:c>
      <x:c r="P295" s="8" t="n">
        <x:f>N295^2</x:f>
        <x:v>4078.662266400866</x:v>
      </x:c>
      <x:c r="Q295" s="8" t="n">
        <x:f>K295-L295</x:f>
        <x:v>7</x:v>
      </x:c>
      <x:c r="R295" s="9" t="n">
        <x:f>IF(AND(INDEX('Сводка'!$T$3:$T$397,U295)=0,INDEX('Сводка'!$T$3:$T$397,V295)=0),1,0)</x:f>
        <x:v>1</x:v>
      </x:c>
      <x:c r="S295" s="9" t="n">
        <x:f>IF(AND(R295=1,O295&lt;=$G$13),1,0)</x:f>
        <x:v>0</x:v>
      </x:c>
      <x:c r="T295" s="10" t="n">
        <x:f>EOMONTH(J295-'Сводка'!$B$11,-1)</x:f>
        <x:v>46142</x:v>
      </x:c>
      <x:c r="U295" s="4" t="n">
        <x:f>MATCH(J295,'Сводка'!$R$3:$R$397,0)</x:f>
        <x:v>306</x:v>
      </x:c>
      <x:c r="V295" s="4" t="n">
        <x:f>MATCH(J295-'Сводка'!$B$11,'Сводка'!$R$3:$R$397,0)</x:f>
        <x:v>305</x:v>
      </x:c>
      <x:c r="W295" s="4" t="n">
        <x:f>MATCH(T295,$J$388:$J$400,0)</x:f>
        <x:v>11</x:v>
      </x:c>
      <x:c r="X295" s="3"/>
      <x:c r="Y295" s="3"/>
      <x:c r="Z295" s="3"/>
    </x:row>
    <x:row r="296" ht="15" customHeight="1">
      <x:c r="A296" s="3"/>
      <x:c r="B296" s="3"/>
      <x:c r="C296" s="3"/>
      <x:c r="D296" s="3"/>
      <x:c r="E296" s="3"/>
      <x:c r="F296" s="3"/>
      <x:c r="G296" s="3"/>
      <x:c r="H296" s="3"/>
      <x:c r="I296" s="3"/>
      <x:c r="J296" s="10" t="n">
        <x:v>46147</x:v>
      </x:c>
      <x:c r="K296" s="8" t="n">
        <x:f>INDEX('Сводка'!$S$3:$S$397,U296)</x:f>
        <x:v>87</x:v>
      </x:c>
      <x:c r="L296" s="8" t="n">
        <x:f>INDEX('Сводка'!$S$3:$S$397,V296)</x:f>
        <x:v>83</x:v>
      </x:c>
      <x:c r="M296" s="8" t="n">
        <x:f>INDEX($K$388:$N$400,W296,1)+INDEX($K$388:$N$400,W296,2)*(2*(J296-$T$405)/(T296-$T$405)-1)^1+INDEX($K$388:$N$400,W296,3)*(2*(J296-$T$405)/(T296-$T$405)-1)^2+INDEX($K$388:$N$400,W296,4)*(2*(J296-$T$405)/(T296-$T$405)-1)^3+INDEX($O$388:$Z$400,W296,MONTH(J296))</x:f>
        <x:v>146.83540595671334</x:v>
      </x:c>
      <x:c r="N296" s="8" t="n">
        <x:f>K296-M296</x:f>
        <x:v>-59.835405956713345</x:v>
      </x:c>
      <x:c r="O296" s="8" t="n">
        <x:f>ABS(N296)</x:f>
        <x:v>59.835405956713345</x:v>
      </x:c>
      <x:c r="P296" s="8" t="n">
        <x:f>N296^2</x:f>
        <x:v>3580.2758060046867</x:v>
      </x:c>
      <x:c r="Q296" s="8" t="n">
        <x:f>K296-L296</x:f>
        <x:v>4</x:v>
      </x:c>
      <x:c r="R296" s="9" t="n">
        <x:f>IF(AND(INDEX('Сводка'!$T$3:$T$397,U296)=0,INDEX('Сводка'!$T$3:$T$397,V296)=0),1,0)</x:f>
        <x:v>1</x:v>
      </x:c>
      <x:c r="S296" s="9" t="n">
        <x:f>IF(AND(R296=1,O296&lt;=$G$13),1,0)</x:f>
        <x:v>0</x:v>
      </x:c>
      <x:c r="T296" s="10" t="n">
        <x:f>EOMONTH(J296-'Сводка'!$B$11,-1)</x:f>
        <x:v>46142</x:v>
      </x:c>
      <x:c r="U296" s="4" t="n">
        <x:f>MATCH(J296,'Сводка'!$R$3:$R$397,0)</x:f>
        <x:v>307</x:v>
      </x:c>
      <x:c r="V296" s="4" t="n">
        <x:f>MATCH(J296-'Сводка'!$B$11,'Сводка'!$R$3:$R$397,0)</x:f>
        <x:v>306</x:v>
      </x:c>
      <x:c r="W296" s="4" t="n">
        <x:f>MATCH(T296,$J$388:$J$400,0)</x:f>
        <x:v>11</x:v>
      </x:c>
      <x:c r="X296" s="3"/>
      <x:c r="Y296" s="3"/>
      <x:c r="Z296" s="3"/>
    </x:row>
    <x:row r="297" ht="15" customHeight="1">
      <x:c r="A297" s="3"/>
      <x:c r="B297" s="3"/>
      <x:c r="C297" s="3"/>
      <x:c r="D297" s="3"/>
      <x:c r="E297" s="3"/>
      <x:c r="F297" s="3"/>
      <x:c r="G297" s="3"/>
      <x:c r="H297" s="3"/>
      <x:c r="I297" s="3"/>
      <x:c r="J297" s="10" t="n">
        <x:v>46148</x:v>
      </x:c>
      <x:c r="K297" s="8" t="n">
        <x:f>INDEX('Сводка'!$S$3:$S$397,U297)</x:f>
        <x:v>92</x:v>
      </x:c>
      <x:c r="L297" s="8" t="n">
        <x:f>INDEX('Сводка'!$S$3:$S$397,V297)</x:f>
        <x:v>87</x:v>
      </x:c>
      <x:c r="M297" s="8" t="n">
        <x:f>INDEX($K$388:$N$400,W297,1)+INDEX($K$388:$N$400,W297,2)*(2*(J297-$T$405)/(T297-$T$405)-1)^1+INDEX($K$388:$N$400,W297,3)*(2*(J297-$T$405)/(T297-$T$405)-1)^2+INDEX($K$388:$N$400,W297,4)*(2*(J297-$T$405)/(T297-$T$405)-1)^3+INDEX($O$388:$Z$400,W297,MONTH(J297))</x:f>
        <x:v>146.80638916972754</x:v>
      </x:c>
      <x:c r="N297" s="8" t="n">
        <x:f>K297-M297</x:f>
        <x:v>-54.80638916972754</x:v>
      </x:c>
      <x:c r="O297" s="8" t="n">
        <x:f>ABS(N297)</x:f>
        <x:v>54.80638916972754</x:v>
      </x:c>
      <x:c r="P297" s="8" t="n">
        <x:f>N297^2</x:f>
        <x:v>3003.740293823628</x:v>
      </x:c>
      <x:c r="Q297" s="8" t="n">
        <x:f>K297-L297</x:f>
        <x:v>5</x:v>
      </x:c>
      <x:c r="R297" s="9" t="n">
        <x:f>IF(AND(INDEX('Сводка'!$T$3:$T$397,U297)=0,INDEX('Сводка'!$T$3:$T$397,V297)=0),1,0)</x:f>
        <x:v>1</x:v>
      </x:c>
      <x:c r="S297" s="9" t="n">
        <x:f>IF(AND(R297=1,O297&lt;=$G$13),1,0)</x:f>
        <x:v>0</x:v>
      </x:c>
      <x:c r="T297" s="10" t="n">
        <x:f>EOMONTH(J297-'Сводка'!$B$11,-1)</x:f>
        <x:v>46142</x:v>
      </x:c>
      <x:c r="U297" s="4" t="n">
        <x:f>MATCH(J297,'Сводка'!$R$3:$R$397,0)</x:f>
        <x:v>308</x:v>
      </x:c>
      <x:c r="V297" s="4" t="n">
        <x:f>MATCH(J297-'Сводка'!$B$11,'Сводка'!$R$3:$R$397,0)</x:f>
        <x:v>307</x:v>
      </x:c>
      <x:c r="W297" s="4" t="n">
        <x:f>MATCH(T297,$J$388:$J$400,0)</x:f>
        <x:v>11</x:v>
      </x:c>
      <x:c r="X297" s="3"/>
      <x:c r="Y297" s="3"/>
      <x:c r="Z297" s="3"/>
    </x:row>
    <x:row r="298" ht="15" customHeight="1">
      <x:c r="A298" s="3"/>
      <x:c r="B298" s="3"/>
      <x:c r="C298" s="3"/>
      <x:c r="D298" s="3"/>
      <x:c r="E298" s="3"/>
      <x:c r="F298" s="3"/>
      <x:c r="G298" s="3"/>
      <x:c r="H298" s="3"/>
      <x:c r="I298" s="3"/>
      <x:c r="J298" s="10" t="n">
        <x:v>46149</x:v>
      </x:c>
      <x:c r="K298" s="8" t="n">
        <x:f>INDEX('Сводка'!$S$3:$S$397,U298)</x:f>
        <x:v>99</x:v>
      </x:c>
      <x:c r="L298" s="8" t="n">
        <x:f>INDEX('Сводка'!$S$3:$S$397,V298)</x:f>
        <x:v>92</x:v>
      </x:c>
      <x:c r="M298" s="8" t="n">
        <x:f>INDEX($K$388:$N$400,W298,1)+INDEX($K$388:$N$400,W298,2)*(2*(J298-$T$405)/(T298-$T$405)-1)^1+INDEX($K$388:$N$400,W298,3)*(2*(J298-$T$405)/(T298-$T$405)-1)^2+INDEX($K$388:$N$400,W298,4)*(2*(J298-$T$405)/(T298-$T$405)-1)^3+INDEX($O$388:$Z$400,W298,MONTH(J298))</x:f>
        <x:v>146.77735495286854</x:v>
      </x:c>
      <x:c r="N298" s="8" t="n">
        <x:f>K298-M298</x:f>
        <x:v>-47.777354952868535</x:v>
      </x:c>
      <x:c r="O298" s="8" t="n">
        <x:f>ABS(N298)</x:f>
        <x:v>47.777354952868535</x:v>
      </x:c>
      <x:c r="P298" s="8" t="n">
        <x:f>N298^2</x:f>
        <x:v>2282.6756462923913</x:v>
      </x:c>
      <x:c r="Q298" s="8" t="n">
        <x:f>K298-L298</x:f>
        <x:v>7</x:v>
      </x:c>
      <x:c r="R298" s="9" t="n">
        <x:f>IF(AND(INDEX('Сводка'!$T$3:$T$397,U298)=0,INDEX('Сводка'!$T$3:$T$397,V298)=0),1,0)</x:f>
        <x:v>1</x:v>
      </x:c>
      <x:c r="S298" s="9" t="n">
        <x:f>IF(AND(R298=1,O298&lt;=$G$13),1,0)</x:f>
        <x:v>0</x:v>
      </x:c>
      <x:c r="T298" s="10" t="n">
        <x:f>EOMONTH(J298-'Сводка'!$B$11,-1)</x:f>
        <x:v>46142</x:v>
      </x:c>
      <x:c r="U298" s="4" t="n">
        <x:f>MATCH(J298,'Сводка'!$R$3:$R$397,0)</x:f>
        <x:v>309</x:v>
      </x:c>
      <x:c r="V298" s="4" t="n">
        <x:f>MATCH(J298-'Сводка'!$B$11,'Сводка'!$R$3:$R$397,0)</x:f>
        <x:v>308</x:v>
      </x:c>
      <x:c r="W298" s="4" t="n">
        <x:f>MATCH(T298,$J$388:$J$400,0)</x:f>
        <x:v>11</x:v>
      </x:c>
      <x:c r="X298" s="3"/>
      <x:c r="Y298" s="3"/>
      <x:c r="Z298" s="3"/>
    </x:row>
    <x:row r="299" ht="15" customHeight="1">
      <x:c r="A299" s="3"/>
      <x:c r="B299" s="3"/>
      <x:c r="C299" s="3"/>
      <x:c r="D299" s="3"/>
      <x:c r="E299" s="3"/>
      <x:c r="F299" s="3"/>
      <x:c r="G299" s="3"/>
      <x:c r="H299" s="3"/>
      <x:c r="I299" s="3"/>
      <x:c r="J299" s="10" t="n">
        <x:v>46150</x:v>
      </x:c>
      <x:c r="K299" s="8" t="n">
        <x:f>INDEX('Сводка'!$S$3:$S$397,U299)</x:f>
        <x:v>108</x:v>
      </x:c>
      <x:c r="L299" s="8" t="n">
        <x:f>INDEX('Сводка'!$S$3:$S$397,V299)</x:f>
        <x:v>99</x:v>
      </x:c>
      <x:c r="M299" s="8" t="n">
        <x:f>INDEX($K$388:$N$400,W299,1)+INDEX($K$388:$N$400,W299,2)*(2*(J299-$T$405)/(T299-$T$405)-1)^1+INDEX($K$388:$N$400,W299,3)*(2*(J299-$T$405)/(T299-$T$405)-1)^2+INDEX($K$388:$N$400,W299,4)*(2*(J299-$T$405)/(T299-$T$405)-1)^3+INDEX($O$388:$Z$400,W299,MONTH(J299))</x:f>
        <x:v>146.7483033036923</x:v>
      </x:c>
      <x:c r="N299" s="8" t="n">
        <x:f>K299-M299</x:f>
        <x:v>-38.748303303692296</x:v>
      </x:c>
      <x:c r="O299" s="8" t="n">
        <x:f>ABS(N299)</x:f>
        <x:v>38.748303303692296</x:v>
      </x:c>
      <x:c r="P299" s="8" t="n">
        <x:f>N299^2</x:f>
        <x:v>1501.4310089149312</x:v>
      </x:c>
      <x:c r="Q299" s="8" t="n">
        <x:f>K299-L299</x:f>
        <x:v>9</x:v>
      </x:c>
      <x:c r="R299" s="9" t="n">
        <x:f>IF(AND(INDEX('Сводка'!$T$3:$T$397,U299)=0,INDEX('Сводка'!$T$3:$T$397,V299)=0),1,0)</x:f>
        <x:v>1</x:v>
      </x:c>
      <x:c r="S299" s="9" t="n">
        <x:f>IF(AND(R299=1,O299&lt;=$G$13),1,0)</x:f>
        <x:v>0</x:v>
      </x:c>
      <x:c r="T299" s="10" t="n">
        <x:f>EOMONTH(J299-'Сводка'!$B$11,-1)</x:f>
        <x:v>46142</x:v>
      </x:c>
      <x:c r="U299" s="4" t="n">
        <x:f>MATCH(J299,'Сводка'!$R$3:$R$397,0)</x:f>
        <x:v>310</x:v>
      </x:c>
      <x:c r="V299" s="4" t="n">
        <x:f>MATCH(J299-'Сводка'!$B$11,'Сводка'!$R$3:$R$397,0)</x:f>
        <x:v>309</x:v>
      </x:c>
      <x:c r="W299" s="4" t="n">
        <x:f>MATCH(T299,$J$388:$J$400,0)</x:f>
        <x:v>11</x:v>
      </x:c>
      <x:c r="X299" s="3"/>
      <x:c r="Y299" s="3"/>
      <x:c r="Z299" s="3"/>
    </x:row>
    <x:row r="300" ht="15" customHeight="1">
      <x:c r="A300" s="3"/>
      <x:c r="B300" s="3"/>
      <x:c r="C300" s="3"/>
      <x:c r="D300" s="3"/>
      <x:c r="E300" s="3"/>
      <x:c r="F300" s="3"/>
      <x:c r="G300" s="3"/>
      <x:c r="H300" s="3"/>
      <x:c r="I300" s="3"/>
      <x:c r="J300" s="10" t="n">
        <x:v>46151</x:v>
      </x:c>
      <x:c r="K300" s="8" t="n">
        <x:f>INDEX('Сводка'!$S$3:$S$397,U300)</x:f>
        <x:v>120</x:v>
      </x:c>
      <x:c r="L300" s="8" t="n">
        <x:f>INDEX('Сводка'!$S$3:$S$397,V300)</x:f>
        <x:v>108</x:v>
      </x:c>
      <x:c r="M300" s="8" t="n">
        <x:f>INDEX($K$388:$N$400,W300,1)+INDEX($K$388:$N$400,W300,2)*(2*(J300-$T$405)/(T300-$T$405)-1)^1+INDEX($K$388:$N$400,W300,3)*(2*(J300-$T$405)/(T300-$T$405)-1)^2+INDEX($K$388:$N$400,W300,4)*(2*(J300-$T$405)/(T300-$T$405)-1)^3+INDEX($O$388:$Z$400,W300,MONTH(J300))</x:f>
        <x:v>146.71923421975453</x:v>
      </x:c>
      <x:c r="N300" s="8" t="n">
        <x:f>K300-M300</x:f>
        <x:v>-26.719234219754526</x:v>
      </x:c>
      <x:c r="O300" s="8" t="n">
        <x:f>ABS(N300)</x:f>
        <x:v>26.719234219754526</x:v>
      </x:c>
      <x:c r="P300" s="8" t="n">
        <x:f>N300^2</x:f>
        <x:v>713.9174772901013</x:v>
      </x:c>
      <x:c r="Q300" s="8" t="n">
        <x:f>K300-L300</x:f>
        <x:v>12</x:v>
      </x:c>
      <x:c r="R300" s="9" t="n">
        <x:f>IF(AND(INDEX('Сводка'!$T$3:$T$397,U300)=0,INDEX('Сводка'!$T$3:$T$397,V300)=0),1,0)</x:f>
        <x:v>1</x:v>
      </x:c>
      <x:c r="S300" s="9" t="n">
        <x:f>IF(AND(R300=1,O300&lt;=$G$13),1,0)</x:f>
        <x:v>0</x:v>
      </x:c>
      <x:c r="T300" s="10" t="n">
        <x:f>EOMONTH(J300-'Сводка'!$B$11,-1)</x:f>
        <x:v>46142</x:v>
      </x:c>
      <x:c r="U300" s="4" t="n">
        <x:f>MATCH(J300,'Сводка'!$R$3:$R$397,0)</x:f>
        <x:v>311</x:v>
      </x:c>
      <x:c r="V300" s="4" t="n">
        <x:f>MATCH(J300-'Сводка'!$B$11,'Сводка'!$R$3:$R$397,0)</x:f>
        <x:v>310</x:v>
      </x:c>
      <x:c r="W300" s="4" t="n">
        <x:f>MATCH(T300,$J$388:$J$400,0)</x:f>
        <x:v>11</x:v>
      </x:c>
      <x:c r="X300" s="3"/>
      <x:c r="Y300" s="3"/>
      <x:c r="Z300" s="3"/>
    </x:row>
    <x:row r="301" ht="15" customHeight="1">
      <x:c r="A301" s="3"/>
      <x:c r="B301" s="3"/>
      <x:c r="C301" s="3"/>
      <x:c r="D301" s="3"/>
      <x:c r="E301" s="3"/>
      <x:c r="F301" s="3"/>
      <x:c r="G301" s="3"/>
      <x:c r="H301" s="3"/>
      <x:c r="I301" s="3"/>
      <x:c r="J301" s="10" t="n">
        <x:v>46152</x:v>
      </x:c>
      <x:c r="K301" s="8" t="n">
        <x:f>INDEX('Сводка'!$S$3:$S$397,U301)</x:f>
        <x:v>137</x:v>
      </x:c>
      <x:c r="L301" s="8" t="n">
        <x:f>INDEX('Сводка'!$S$3:$S$397,V301)</x:f>
        <x:v>120</x:v>
      </x:c>
      <x:c r="M301" s="8" t="n">
        <x:f>INDEX($K$388:$N$400,W301,1)+INDEX($K$388:$N$400,W301,2)*(2*(J301-$T$405)/(T301-$T$405)-1)^1+INDEX($K$388:$N$400,W301,3)*(2*(J301-$T$405)/(T301-$T$405)-1)^2+INDEX($K$388:$N$400,W301,4)*(2*(J301-$T$405)/(T301-$T$405)-1)^3+INDEX($O$388:$Z$400,W301,MONTH(J301))</x:f>
        <x:v>146.690147698611</x:v>
      </x:c>
      <x:c r="N301" s="8" t="n">
        <x:f>K301-M301</x:f>
        <x:v>-9.690147698611014</x:v>
      </x:c>
      <x:c r="O301" s="8" t="n">
        <x:f>ABS(N301)</x:f>
        <x:v>9.690147698611014</x:v>
      </x:c>
      <x:c r="P301" s="8" t="n">
        <x:f>N301^2</x:f>
        <x:v>93.89896242089632</x:v>
      </x:c>
      <x:c r="Q301" s="8" t="n">
        <x:f>K301-L301</x:f>
        <x:v>17</x:v>
      </x:c>
      <x:c r="R301" s="9" t="n">
        <x:f>IF(AND(INDEX('Сводка'!$T$3:$T$397,U301)=0,INDEX('Сводка'!$T$3:$T$397,V301)=0),1,0)</x:f>
        <x:v>1</x:v>
      </x:c>
      <x:c r="S301" s="9" t="n">
        <x:f>IF(AND(R301=1,O301&lt;=$G$13),1,0)</x:f>
        <x:v>0</x:v>
      </x:c>
      <x:c r="T301" s="10" t="n">
        <x:f>EOMONTH(J301-'Сводка'!$B$11,-1)</x:f>
        <x:v>46142</x:v>
      </x:c>
      <x:c r="U301" s="4" t="n">
        <x:f>MATCH(J301,'Сводка'!$R$3:$R$397,0)</x:f>
        <x:v>312</x:v>
      </x:c>
      <x:c r="V301" s="4" t="n">
        <x:f>MATCH(J301-'Сводка'!$B$11,'Сводка'!$R$3:$R$397,0)</x:f>
        <x:v>311</x:v>
      </x:c>
      <x:c r="W301" s="4" t="n">
        <x:f>MATCH(T301,$J$388:$J$400,0)</x:f>
        <x:v>11</x:v>
      </x:c>
      <x:c r="X301" s="3"/>
      <x:c r="Y301" s="3"/>
      <x:c r="Z301" s="3"/>
    </x:row>
    <x:row r="302" ht="15" customHeight="1">
      <x:c r="A302" s="3"/>
      <x:c r="B302" s="3"/>
      <x:c r="C302" s="3"/>
      <x:c r="D302" s="3"/>
      <x:c r="E302" s="3"/>
      <x:c r="F302" s="3"/>
      <x:c r="G302" s="3"/>
      <x:c r="H302" s="3"/>
      <x:c r="I302" s="3"/>
      <x:c r="J302" s="10" t="n">
        <x:v>46153</x:v>
      </x:c>
      <x:c r="K302" s="8" t="n">
        <x:f>INDEX('Сводка'!$S$3:$S$397,U302)</x:f>
        <x:v>152</x:v>
      </x:c>
      <x:c r="L302" s="8" t="n">
        <x:f>INDEX('Сводка'!$S$3:$S$397,V302)</x:f>
        <x:v>137</x:v>
      </x:c>
      <x:c r="M302" s="8" t="n">
        <x:f>INDEX($K$388:$N$400,W302,1)+INDEX($K$388:$N$400,W302,2)*(2*(J302-$T$405)/(T302-$T$405)-1)^1+INDEX($K$388:$N$400,W302,3)*(2*(J302-$T$405)/(T302-$T$405)-1)^2+INDEX($K$388:$N$400,W302,4)*(2*(J302-$T$405)/(T302-$T$405)-1)^3+INDEX($O$388:$Z$400,W302,MONTH(J302))</x:f>
        <x:v>146.6610437378175</x:v>
      </x:c>
      <x:c r="N302" s="8" t="n">
        <x:f>K302-M302</x:f>
        <x:v>5.338956262182506</x:v>
      </x:c>
      <x:c r="O302" s="8" t="n">
        <x:f>ABS(N302)</x:f>
        <x:v>5.338956262182506</x:v>
      </x:c>
      <x:c r="P302" s="8" t="n">
        <x:f>N302^2</x:f>
        <x:v>28.5044539694978</x:v>
      </x:c>
      <x:c r="Q302" s="8" t="n">
        <x:f>K302-L302</x:f>
        <x:v>15</x:v>
      </x:c>
      <x:c r="R302" s="9" t="n">
        <x:f>IF(AND(INDEX('Сводка'!$T$3:$T$397,U302)=0,INDEX('Сводка'!$T$3:$T$397,V302)=0),1,0)</x:f>
        <x:v>1</x:v>
      </x:c>
      <x:c r="S302" s="9" t="n">
        <x:f>IF(AND(R302=1,O302&lt;=$G$13),1,0)</x:f>
        <x:v>1</x:v>
      </x:c>
      <x:c r="T302" s="10" t="n">
        <x:f>EOMONTH(J302-'Сводка'!$B$11,-1)</x:f>
        <x:v>46142</x:v>
      </x:c>
      <x:c r="U302" s="4" t="n">
        <x:f>MATCH(J302,'Сводка'!$R$3:$R$397,0)</x:f>
        <x:v>313</x:v>
      </x:c>
      <x:c r="V302" s="4" t="n">
        <x:f>MATCH(J302-'Сводка'!$B$11,'Сводка'!$R$3:$R$397,0)</x:f>
        <x:v>312</x:v>
      </x:c>
      <x:c r="W302" s="4" t="n">
        <x:f>MATCH(T302,$J$388:$J$400,0)</x:f>
        <x:v>11</x:v>
      </x:c>
      <x:c r="X302" s="3"/>
      <x:c r="Y302" s="3"/>
      <x:c r="Z302" s="3"/>
    </x:row>
    <x:row r="303" ht="15" customHeight="1">
      <x:c r="A303" s="3"/>
      <x:c r="B303" s="3"/>
      <x:c r="C303" s="3"/>
      <x:c r="D303" s="3"/>
      <x:c r="E303" s="3"/>
      <x:c r="F303" s="3"/>
      <x:c r="G303" s="3"/>
      <x:c r="H303" s="3"/>
      <x:c r="I303" s="3"/>
      <x:c r="J303" s="10" t="n">
        <x:v>46154</x:v>
      </x:c>
      <x:c r="K303" s="8" t="n">
        <x:f>INDEX('Сводка'!$S$3:$S$397,U303)</x:f>
        <x:v>160</x:v>
      </x:c>
      <x:c r="L303" s="8" t="n">
        <x:f>INDEX('Сводка'!$S$3:$S$397,V303)</x:f>
        <x:v>152</x:v>
      </x:c>
      <x:c r="M303" s="8" t="n">
        <x:f>INDEX($K$388:$N$400,W303,1)+INDEX($K$388:$N$400,W303,2)*(2*(J303-$T$405)/(T303-$T$405)-1)^1+INDEX($K$388:$N$400,W303,3)*(2*(J303-$T$405)/(T303-$T$405)-1)^2+INDEX($K$388:$N$400,W303,4)*(2*(J303-$T$405)/(T303-$T$405)-1)^3+INDEX($O$388:$Z$400,W303,MONTH(J303))</x:f>
        <x:v>146.63192233492978</x:v>
      </x:c>
      <x:c r="N303" s="8" t="n">
        <x:f>K303-M303</x:f>
        <x:v>13.368077665070217</x:v>
      </x:c>
      <x:c r="O303" s="8" t="n">
        <x:f>ABS(N303)</x:f>
        <x:v>13.368077665070217</x:v>
      </x:c>
      <x:c r="P303" s="8" t="n">
        <x:f>N303^2</x:f>
        <x:v>178.7055004593492</x:v>
      </x:c>
      <x:c r="Q303" s="8" t="n">
        <x:f>K303-L303</x:f>
        <x:v>8</x:v>
      </x:c>
      <x:c r="R303" s="9" t="n">
        <x:f>IF(AND(INDEX('Сводка'!$T$3:$T$397,U303)=0,INDEX('Сводка'!$T$3:$T$397,V303)=0),1,0)</x:f>
        <x:v>1</x:v>
      </x:c>
      <x:c r="S303" s="9" t="n">
        <x:f>IF(AND(R303=1,O303&lt;=$G$13),1,0)</x:f>
        <x:v>0</x:v>
      </x:c>
      <x:c r="T303" s="10" t="n">
        <x:f>EOMONTH(J303-'Сводка'!$B$11,-1)</x:f>
        <x:v>46142</x:v>
      </x:c>
      <x:c r="U303" s="4" t="n">
        <x:f>MATCH(J303,'Сводка'!$R$3:$R$397,0)</x:f>
        <x:v>314</x:v>
      </x:c>
      <x:c r="V303" s="4" t="n">
        <x:f>MATCH(J303-'Сводка'!$B$11,'Сводка'!$R$3:$R$397,0)</x:f>
        <x:v>313</x:v>
      </x:c>
      <x:c r="W303" s="4" t="n">
        <x:f>MATCH(T303,$J$388:$J$400,0)</x:f>
        <x:v>11</x:v>
      </x:c>
      <x:c r="X303" s="3"/>
      <x:c r="Y303" s="3"/>
      <x:c r="Z303" s="3"/>
    </x:row>
    <x:row r="304" ht="15" customHeight="1">
      <x:c r="A304" s="3"/>
      <x:c r="B304" s="3"/>
      <x:c r="C304" s="3"/>
      <x:c r="D304" s="3"/>
      <x:c r="E304" s="3"/>
      <x:c r="F304" s="3"/>
      <x:c r="G304" s="3"/>
      <x:c r="H304" s="3"/>
      <x:c r="I304" s="3"/>
      <x:c r="J304" s="10" t="n">
        <x:v>46155</x:v>
      </x:c>
      <x:c r="K304" s="8" t="n">
        <x:f>INDEX('Сводка'!$S$3:$S$397,U304)</x:f>
        <x:v>162</x:v>
      </x:c>
      <x:c r="L304" s="8" t="n">
        <x:f>INDEX('Сводка'!$S$3:$S$397,V304)</x:f>
        <x:v>160</x:v>
      </x:c>
      <x:c r="M304" s="8" t="n">
        <x:f>INDEX($K$388:$N$400,W304,1)+INDEX($K$388:$N$400,W304,2)*(2*(J304-$T$405)/(T304-$T$405)-1)^1+INDEX($K$388:$N$400,W304,3)*(2*(J304-$T$405)/(T304-$T$405)-1)^2+INDEX($K$388:$N$400,W304,4)*(2*(J304-$T$405)/(T304-$T$405)-1)^3+INDEX($O$388:$Z$400,W304,MONTH(J304))</x:f>
        <x:v>146.60278348750379</x:v>
      </x:c>
      <x:c r="N304" s="8" t="n">
        <x:f>K304-M304</x:f>
        <x:v>15.397216512496215</x:v>
      </x:c>
      <x:c r="O304" s="8" t="n">
        <x:f>ABS(N304)</x:f>
        <x:v>15.397216512496215</x:v>
      </x:c>
      <x:c r="P304" s="8" t="n">
        <x:f>N304^2</x:f>
        <x:v>237.07427633268608</x:v>
      </x:c>
      <x:c r="Q304" s="8" t="n">
        <x:f>K304-L304</x:f>
        <x:v>2</x:v>
      </x:c>
      <x:c r="R304" s="9" t="n">
        <x:f>IF(AND(INDEX('Сводка'!$T$3:$T$397,U304)=0,INDEX('Сводка'!$T$3:$T$397,V304)=0),1,0)</x:f>
        <x:v>1</x:v>
      </x:c>
      <x:c r="S304" s="9" t="n">
        <x:f>IF(AND(R304=1,O304&lt;=$G$13),1,0)</x:f>
        <x:v>0</x:v>
      </x:c>
      <x:c r="T304" s="10" t="n">
        <x:f>EOMONTH(J304-'Сводка'!$B$11,-1)</x:f>
        <x:v>46142</x:v>
      </x:c>
      <x:c r="U304" s="4" t="n">
        <x:f>MATCH(J304,'Сводка'!$R$3:$R$397,0)</x:f>
        <x:v>315</x:v>
      </x:c>
      <x:c r="V304" s="4" t="n">
        <x:f>MATCH(J304-'Сводка'!$B$11,'Сводка'!$R$3:$R$397,0)</x:f>
        <x:v>314</x:v>
      </x:c>
      <x:c r="W304" s="4" t="n">
        <x:f>MATCH(T304,$J$388:$J$400,0)</x:f>
        <x:v>11</x:v>
      </x:c>
      <x:c r="X304" s="3"/>
      <x:c r="Y304" s="3"/>
      <x:c r="Z304" s="3"/>
    </x:row>
    <x:row r="305" ht="15" customHeight="1">
      <x:c r="A305" s="3"/>
      <x:c r="B305" s="3"/>
      <x:c r="C305" s="3"/>
      <x:c r="D305" s="3"/>
      <x:c r="E305" s="3"/>
      <x:c r="F305" s="3"/>
      <x:c r="G305" s="3"/>
      <x:c r="H305" s="3"/>
      <x:c r="I305" s="3"/>
      <x:c r="J305" s="10" t="n">
        <x:v>46156</x:v>
      </x:c>
      <x:c r="K305" s="8" t="n">
        <x:f>INDEX('Сводка'!$S$3:$S$397,U305)</x:f>
        <x:v>161</x:v>
      </x:c>
      <x:c r="L305" s="8" t="n">
        <x:f>INDEX('Сводка'!$S$3:$S$397,V305)</x:f>
        <x:v>162</x:v>
      </x:c>
      <x:c r="M305" s="8" t="n">
        <x:f>INDEX($K$388:$N$400,W305,1)+INDEX($K$388:$N$400,W305,2)*(2*(J305-$T$405)/(T305-$T$405)-1)^1+INDEX($K$388:$N$400,W305,3)*(2*(J305-$T$405)/(T305-$T$405)-1)^2+INDEX($K$388:$N$400,W305,4)*(2*(J305-$T$405)/(T305-$T$405)-1)^3+INDEX($O$388:$Z$400,W305,MONTH(J305))</x:f>
        <x:v>146.57362719309504</x:v>
      </x:c>
      <x:c r="N305" s="8" t="n">
        <x:f>K305-M305</x:f>
        <x:v>14.426372806904965</x:v>
      </x:c>
      <x:c r="O305" s="8" t="n">
        <x:f>ABS(N305)</x:f>
        <x:v>14.426372806904965</x:v>
      </x:c>
      <x:c r="P305" s="8" t="n">
        <x:f>N305^2</x:f>
        <x:v>208.12023236380702</x:v>
      </x:c>
      <x:c r="Q305" s="8" t="n">
        <x:f>K305-L305</x:f>
        <x:v>-1</x:v>
      </x:c>
      <x:c r="R305" s="9" t="n">
        <x:f>IF(AND(INDEX('Сводка'!$T$3:$T$397,U305)=0,INDEX('Сводка'!$T$3:$T$397,V305)=0),1,0)</x:f>
        <x:v>1</x:v>
      </x:c>
      <x:c r="S305" s="9" t="n">
        <x:f>IF(AND(R305=1,O305&lt;=$G$13),1,0)</x:f>
        <x:v>0</x:v>
      </x:c>
      <x:c r="T305" s="10" t="n">
        <x:f>EOMONTH(J305-'Сводка'!$B$11,-1)</x:f>
        <x:v>46142</x:v>
      </x:c>
      <x:c r="U305" s="4" t="n">
        <x:f>MATCH(J305,'Сводка'!$R$3:$R$397,0)</x:f>
        <x:v>316</x:v>
      </x:c>
      <x:c r="V305" s="4" t="n">
        <x:f>MATCH(J305-'Сводка'!$B$11,'Сводка'!$R$3:$R$397,0)</x:f>
        <x:v>315</x:v>
      </x:c>
      <x:c r="W305" s="4" t="n">
        <x:f>MATCH(T305,$J$388:$J$400,0)</x:f>
        <x:v>11</x:v>
      </x:c>
      <x:c r="X305" s="3"/>
      <x:c r="Y305" s="3"/>
      <x:c r="Z305" s="3"/>
    </x:row>
    <x:row r="306" ht="15" customHeight="1">
      <x:c r="A306" s="3"/>
      <x:c r="B306" s="3"/>
      <x:c r="C306" s="3"/>
      <x:c r="D306" s="3"/>
      <x:c r="E306" s="3"/>
      <x:c r="F306" s="3"/>
      <x:c r="G306" s="3"/>
      <x:c r="H306" s="3"/>
      <x:c r="I306" s="3"/>
      <x:c r="J306" s="10" t="n">
        <x:v>46157</x:v>
      </x:c>
      <x:c r="K306" s="8" t="n">
        <x:f>INDEX('Сводка'!$S$3:$S$397,U306)</x:f>
        <x:v>154</x:v>
      </x:c>
      <x:c r="L306" s="8" t="n">
        <x:f>INDEX('Сводка'!$S$3:$S$397,V306)</x:f>
        <x:v>161</x:v>
      </x:c>
      <x:c r="M306" s="8" t="n">
        <x:f>INDEX($K$388:$N$400,W306,1)+INDEX($K$388:$N$400,W306,2)*(2*(J306-$T$405)/(T306-$T$405)-1)^1+INDEX($K$388:$N$400,W306,3)*(2*(J306-$T$405)/(T306-$T$405)-1)^2+INDEX($K$388:$N$400,W306,4)*(2*(J306-$T$405)/(T306-$T$405)-1)^3+INDEX($O$388:$Z$400,W306,MONTH(J306))</x:f>
        <x:v>146.5444534492595</x:v>
      </x:c>
      <x:c r="N306" s="8" t="n">
        <x:f>K306-M306</x:f>
        <x:v>7.455546550740507</x:v>
      </x:c>
      <x:c r="O306" s="8" t="n">
        <x:f>ABS(N306)</x:f>
        <x:v>7.455546550740507</x:v>
      </x:c>
      <x:c r="P306" s="8" t="n">
        <x:f>N306^2</x:f>
        <x:v>55.58517437025868</x:v>
      </x:c>
      <x:c r="Q306" s="8" t="n">
        <x:f>K306-L306</x:f>
        <x:v>-7</x:v>
      </x:c>
      <x:c r="R306" s="9" t="n">
        <x:f>IF(AND(INDEX('Сводка'!$T$3:$T$397,U306)=0,INDEX('Сводка'!$T$3:$T$397,V306)=0),1,0)</x:f>
        <x:v>1</x:v>
      </x:c>
      <x:c r="S306" s="9" t="n">
        <x:f>IF(AND(R306=1,O306&lt;=$G$13),1,0)</x:f>
        <x:v>0</x:v>
      </x:c>
      <x:c r="T306" s="10" t="n">
        <x:f>EOMONTH(J306-'Сводка'!$B$11,-1)</x:f>
        <x:v>46142</x:v>
      </x:c>
      <x:c r="U306" s="4" t="n">
        <x:f>MATCH(J306,'Сводка'!$R$3:$R$397,0)</x:f>
        <x:v>317</x:v>
      </x:c>
      <x:c r="V306" s="4" t="n">
        <x:f>MATCH(J306-'Сводка'!$B$11,'Сводка'!$R$3:$R$397,0)</x:f>
        <x:v>316</x:v>
      </x:c>
      <x:c r="W306" s="4" t="n">
        <x:f>MATCH(T306,$J$388:$J$400,0)</x:f>
        <x:v>11</x:v>
      </x:c>
      <x:c r="X306" s="3"/>
      <x:c r="Y306" s="3"/>
      <x:c r="Z306" s="3"/>
    </x:row>
    <x:row r="307" ht="15" customHeight="1">
      <x:c r="A307" s="3"/>
      <x:c r="B307" s="3"/>
      <x:c r="C307" s="3"/>
      <x:c r="D307" s="3"/>
      <x:c r="E307" s="3"/>
      <x:c r="F307" s="3"/>
      <x:c r="G307" s="3"/>
      <x:c r="H307" s="3"/>
      <x:c r="I307" s="3"/>
      <x:c r="J307" s="10" t="n">
        <x:v>46158</x:v>
      </x:c>
      <x:c r="K307" s="8" t="n">
        <x:f>INDEX('Сводка'!$S$3:$S$397,U307)</x:f>
        <x:v>148</x:v>
      </x:c>
      <x:c r="L307" s="8" t="n">
        <x:f>INDEX('Сводка'!$S$3:$S$397,V307)</x:f>
        <x:v>154</x:v>
      </x:c>
      <x:c r="M307" s="8" t="n">
        <x:f>INDEX($K$388:$N$400,W307,1)+INDEX($K$388:$N$400,W307,2)*(2*(J307-$T$405)/(T307-$T$405)-1)^1+INDEX($K$388:$N$400,W307,3)*(2*(J307-$T$405)/(T307-$T$405)-1)^2+INDEX($K$388:$N$400,W307,4)*(2*(J307-$T$405)/(T307-$T$405)-1)^3+INDEX($O$388:$Z$400,W307,MONTH(J307))</x:f>
        <x:v>146.51526225355292</x:v>
      </x:c>
      <x:c r="N307" s="8" t="n">
        <x:f>K307-M307</x:f>
        <x:v>1.484737746447081</x:v>
      </x:c>
      <x:c r="O307" s="8" t="n">
        <x:f>ABS(N307)</x:f>
        <x:v>1.484737746447081</x:v>
      </x:c>
      <x:c r="P307" s="8" t="n">
        <x:f>N307^2</x:f>
        <x:v>2.2044461757247564</x:v>
      </x:c>
      <x:c r="Q307" s="8" t="n">
        <x:f>K307-L307</x:f>
        <x:v>-6</x:v>
      </x:c>
      <x:c r="R307" s="9" t="n">
        <x:f>IF(AND(INDEX('Сводка'!$T$3:$T$397,U307)=0,INDEX('Сводка'!$T$3:$T$397,V307)=0),1,0)</x:f>
        <x:v>1</x:v>
      </x:c>
      <x:c r="S307" s="9" t="n">
        <x:f>IF(AND(R307=1,O307&lt;=$G$13),1,0)</x:f>
        <x:v>1</x:v>
      </x:c>
      <x:c r="T307" s="10" t="n">
        <x:f>EOMONTH(J307-'Сводка'!$B$11,-1)</x:f>
        <x:v>46142</x:v>
      </x:c>
      <x:c r="U307" s="4" t="n">
        <x:f>MATCH(J307,'Сводка'!$R$3:$R$397,0)</x:f>
        <x:v>318</x:v>
      </x:c>
      <x:c r="V307" s="4" t="n">
        <x:f>MATCH(J307-'Сводка'!$B$11,'Сводка'!$R$3:$R$397,0)</x:f>
        <x:v>317</x:v>
      </x:c>
      <x:c r="W307" s="4" t="n">
        <x:f>MATCH(T307,$J$388:$J$400,0)</x:f>
        <x:v>11</x:v>
      </x:c>
      <x:c r="X307" s="3"/>
      <x:c r="Y307" s="3"/>
      <x:c r="Z307" s="3"/>
    </x:row>
    <x:row r="308" ht="15" customHeight="1">
      <x:c r="A308" s="3"/>
      <x:c r="B308" s="3"/>
      <x:c r="C308" s="3"/>
      <x:c r="D308" s="3"/>
      <x:c r="E308" s="3"/>
      <x:c r="F308" s="3"/>
      <x:c r="G308" s="3"/>
      <x:c r="H308" s="3"/>
      <x:c r="I308" s="3"/>
      <x:c r="J308" s="10" t="n">
        <x:v>46159</x:v>
      </x:c>
      <x:c r="K308" s="8" t="n">
        <x:f>INDEX('Сводка'!$S$3:$S$397,U308)</x:f>
        <x:v>141</x:v>
      </x:c>
      <x:c r="L308" s="8" t="n">
        <x:f>INDEX('Сводка'!$S$3:$S$397,V308)</x:f>
        <x:v>148</x:v>
      </x:c>
      <x:c r="M308" s="8" t="n">
        <x:f>INDEX($K$388:$N$400,W308,1)+INDEX($K$388:$N$400,W308,2)*(2*(J308-$T$405)/(T308-$T$405)-1)^1+INDEX($K$388:$N$400,W308,3)*(2*(J308-$T$405)/(T308-$T$405)-1)^2+INDEX($K$388:$N$400,W308,4)*(2*(J308-$T$405)/(T308-$T$405)-1)^3+INDEX($O$388:$Z$400,W308,MONTH(J308))</x:f>
        <x:v>146.48605360353102</x:v>
      </x:c>
      <x:c r="N308" s="8" t="n">
        <x:f>K308-M308</x:f>
        <x:v>-5.486053603531019</x:v>
      </x:c>
      <x:c r="O308" s="8" t="n">
        <x:f>ABS(N308)</x:f>
        <x:v>5.486053603531019</x:v>
      </x:c>
      <x:c r="P308" s="8" t="n">
        <x:f>N308^2</x:f>
        <x:v>30.09678414081568</x:v>
      </x:c>
      <x:c r="Q308" s="8" t="n">
        <x:f>K308-L308</x:f>
        <x:v>-7</x:v>
      </x:c>
      <x:c r="R308" s="9" t="n">
        <x:f>IF(AND(INDEX('Сводка'!$T$3:$T$397,U308)=0,INDEX('Сводка'!$T$3:$T$397,V308)=0),1,0)</x:f>
        <x:v>1</x:v>
      </x:c>
      <x:c r="S308" s="9" t="n">
        <x:f>IF(AND(R308=1,O308&lt;=$G$13),1,0)</x:f>
        <x:v>1</x:v>
      </x:c>
      <x:c r="T308" s="10" t="n">
        <x:f>EOMONTH(J308-'Сводка'!$B$11,-1)</x:f>
        <x:v>46142</x:v>
      </x:c>
      <x:c r="U308" s="4" t="n">
        <x:f>MATCH(J308,'Сводка'!$R$3:$R$397,0)</x:f>
        <x:v>319</x:v>
      </x:c>
      <x:c r="V308" s="4" t="n">
        <x:f>MATCH(J308-'Сводка'!$B$11,'Сводка'!$R$3:$R$397,0)</x:f>
        <x:v>318</x:v>
      </x:c>
      <x:c r="W308" s="4" t="n">
        <x:f>MATCH(T308,$J$388:$J$400,0)</x:f>
        <x:v>11</x:v>
      </x:c>
      <x:c r="X308" s="3"/>
      <x:c r="Y308" s="3"/>
      <x:c r="Z308" s="3"/>
    </x:row>
    <x:row r="309" ht="15" customHeight="1">
      <x:c r="A309" s="3"/>
      <x:c r="B309" s="3"/>
      <x:c r="C309" s="3"/>
      <x:c r="D309" s="3"/>
      <x:c r="E309" s="3"/>
      <x:c r="F309" s="3"/>
      <x:c r="G309" s="3"/>
      <x:c r="H309" s="3"/>
      <x:c r="I309" s="3"/>
      <x:c r="J309" s="10" t="n">
        <x:v>46160</x:v>
      </x:c>
      <x:c r="K309" s="8" t="n">
        <x:f>INDEX('Сводка'!$S$3:$S$397,U309)</x:f>
        <x:v>139</x:v>
      </x:c>
      <x:c r="L309" s="8" t="n">
        <x:f>INDEX('Сводка'!$S$3:$S$397,V309)</x:f>
        <x:v>141</x:v>
      </x:c>
      <x:c r="M309" s="8" t="n">
        <x:f>INDEX($K$388:$N$400,W309,1)+INDEX($K$388:$N$400,W309,2)*(2*(J309-$T$405)/(T309-$T$405)-1)^1+INDEX($K$388:$N$400,W309,3)*(2*(J309-$T$405)/(T309-$T$405)-1)^2+INDEX($K$388:$N$400,W309,4)*(2*(J309-$T$405)/(T309-$T$405)-1)^3+INDEX($O$388:$Z$400,W309,MONTH(J309))</x:f>
        <x:v>146.45682749674958</x:v>
      </x:c>
      <x:c r="N309" s="8" t="n">
        <x:f>K309-M309</x:f>
        <x:v>-7.4568274967495825</x:v>
      </x:c>
      <x:c r="O309" s="8" t="n">
        <x:f>ABS(N309)</x:f>
        <x:v>7.4568274967495825</x:v>
      </x:c>
      <x:c r="P309" s="8" t="n">
        <x:f>N309^2</x:f>
        <x:v>55.60427631628065</x:v>
      </x:c>
      <x:c r="Q309" s="8" t="n">
        <x:f>K309-L309</x:f>
        <x:v>-2</x:v>
      </x:c>
      <x:c r="R309" s="9" t="n">
        <x:f>IF(AND(INDEX('Сводка'!$T$3:$T$397,U309)=0,INDEX('Сводка'!$T$3:$T$397,V309)=0),1,0)</x:f>
        <x:v>1</x:v>
      </x:c>
      <x:c r="S309" s="9" t="n">
        <x:f>IF(AND(R309=1,O309&lt;=$G$13),1,0)</x:f>
        <x:v>0</x:v>
      </x:c>
      <x:c r="T309" s="10" t="n">
        <x:f>EOMONTH(J309-'Сводка'!$B$11,-1)</x:f>
        <x:v>46142</x:v>
      </x:c>
      <x:c r="U309" s="4" t="n">
        <x:f>MATCH(J309,'Сводка'!$R$3:$R$397,0)</x:f>
        <x:v>320</x:v>
      </x:c>
      <x:c r="V309" s="4" t="n">
        <x:f>MATCH(J309-'Сводка'!$B$11,'Сводка'!$R$3:$R$397,0)</x:f>
        <x:v>319</x:v>
      </x:c>
      <x:c r="W309" s="4" t="n">
        <x:f>MATCH(T309,$J$388:$J$400,0)</x:f>
        <x:v>11</x:v>
      </x:c>
      <x:c r="X309" s="3"/>
      <x:c r="Y309" s="3"/>
      <x:c r="Z309" s="3"/>
    </x:row>
    <x:row r="310" ht="15" customHeight="1">
      <x:c r="A310" s="3"/>
      <x:c r="B310" s="3"/>
      <x:c r="C310" s="3"/>
      <x:c r="D310" s="3"/>
      <x:c r="E310" s="3"/>
      <x:c r="F310" s="3"/>
      <x:c r="G310" s="3"/>
      <x:c r="H310" s="3"/>
      <x:c r="I310" s="3"/>
      <x:c r="J310" s="10" t="n">
        <x:v>46161</x:v>
      </x:c>
      <x:c r="K310" s="8" t="n">
        <x:f>INDEX('Сводка'!$S$3:$S$397,U310)</x:f>
        <x:v>135</x:v>
      </x:c>
      <x:c r="L310" s="8" t="n">
        <x:f>INDEX('Сводка'!$S$3:$S$397,V310)</x:f>
        <x:v>139</x:v>
      </x:c>
      <x:c r="M310" s="8" t="n">
        <x:f>INDEX($K$388:$N$400,W310,1)+INDEX($K$388:$N$400,W310,2)*(2*(J310-$T$405)/(T310-$T$405)-1)^1+INDEX($K$388:$N$400,W310,3)*(2*(J310-$T$405)/(T310-$T$405)-1)^2+INDEX($K$388:$N$400,W310,4)*(2*(J310-$T$405)/(T310-$T$405)-1)^3+INDEX($O$388:$Z$400,W310,MONTH(J310))</x:f>
        <x:v>146.42758393076443</x:v>
      </x:c>
      <x:c r="N310" s="8" t="n">
        <x:f>K310-M310</x:f>
        <x:v>-11.427583930764428</x:v>
      </x:c>
      <x:c r="O310" s="8" t="n">
        <x:f>ABS(N310)</x:f>
        <x:v>11.427583930764428</x:v>
      </x:c>
      <x:c r="P310" s="8" t="n">
        <x:f>N310^2</x:f>
        <x:v>130.58967449466536</x:v>
      </x:c>
      <x:c r="Q310" s="8" t="n">
        <x:f>K310-L310</x:f>
        <x:v>-4</x:v>
      </x:c>
      <x:c r="R310" s="9" t="n">
        <x:f>IF(AND(INDEX('Сводка'!$T$3:$T$397,U310)=0,INDEX('Сводка'!$T$3:$T$397,V310)=0),1,0)</x:f>
        <x:v>1</x:v>
      </x:c>
      <x:c r="S310" s="9" t="n">
        <x:f>IF(AND(R310=1,O310&lt;=$G$13),1,0)</x:f>
        <x:v>0</x:v>
      </x:c>
      <x:c r="T310" s="10" t="n">
        <x:f>EOMONTH(J310-'Сводка'!$B$11,-1)</x:f>
        <x:v>46142</x:v>
      </x:c>
      <x:c r="U310" s="4" t="n">
        <x:f>MATCH(J310,'Сводка'!$R$3:$R$397,0)</x:f>
        <x:v>321</x:v>
      </x:c>
      <x:c r="V310" s="4" t="n">
        <x:f>MATCH(J310-'Сводка'!$B$11,'Сводка'!$R$3:$R$397,0)</x:f>
        <x:v>320</x:v>
      </x:c>
      <x:c r="W310" s="4" t="n">
        <x:f>MATCH(T310,$J$388:$J$400,0)</x:f>
        <x:v>11</x:v>
      </x:c>
      <x:c r="X310" s="3"/>
      <x:c r="Y310" s="3"/>
      <x:c r="Z310" s="3"/>
    </x:row>
    <x:row r="311" ht="15" customHeight="1">
      <x:c r="A311" s="3"/>
      <x:c r="B311" s="3"/>
      <x:c r="C311" s="3"/>
      <x:c r="D311" s="3"/>
      <x:c r="E311" s="3"/>
      <x:c r="F311" s="3"/>
      <x:c r="G311" s="3"/>
      <x:c r="H311" s="3"/>
      <x:c r="I311" s="3"/>
      <x:c r="J311" s="10" t="n">
        <x:v>46162</x:v>
      </x:c>
      <x:c r="K311" s="8" t="n">
        <x:f>INDEX('Сводка'!$S$3:$S$397,U311)</x:f>
        <x:v>135</x:v>
      </x:c>
      <x:c r="L311" s="8" t="n">
        <x:f>INDEX('Сводка'!$S$3:$S$397,V311)</x:f>
        <x:v>135</x:v>
      </x:c>
      <x:c r="M311" s="8" t="n">
        <x:f>INDEX($K$388:$N$400,W311,1)+INDEX($K$388:$N$400,W311,2)*(2*(J311-$T$405)/(T311-$T$405)-1)^1+INDEX($K$388:$N$400,W311,3)*(2*(J311-$T$405)/(T311-$T$405)-1)^2+INDEX($K$388:$N$400,W311,4)*(2*(J311-$T$405)/(T311-$T$405)-1)^3+INDEX($O$388:$Z$400,W311,MONTH(J311))</x:f>
        <x:v>146.3983229031314</x:v>
      </x:c>
      <x:c r="N311" s="8" t="n">
        <x:f>K311-M311</x:f>
        <x:v>-11.398322903131401</x:v>
      </x:c>
      <x:c r="O311" s="8" t="n">
        <x:f>ABS(N311)</x:f>
        <x:v>11.398322903131401</x:v>
      </x:c>
      <x:c r="P311" s="8" t="n">
        <x:f>N311^2</x:f>
        <x:v>129.92176500404986</x:v>
      </x:c>
      <x:c r="Q311" s="8" t="n">
        <x:f>K311-L311</x:f>
        <x:v>0</x:v>
      </x:c>
      <x:c r="R311" s="9" t="n">
        <x:f>IF(AND(INDEX('Сводка'!$T$3:$T$397,U311)=0,INDEX('Сводка'!$T$3:$T$397,V311)=0),1,0)</x:f>
        <x:v>1</x:v>
      </x:c>
      <x:c r="S311" s="9" t="n">
        <x:f>IF(AND(R311=1,O311&lt;=$G$13),1,0)</x:f>
        <x:v>0</x:v>
      </x:c>
      <x:c r="T311" s="10" t="n">
        <x:f>EOMONTH(J311-'Сводка'!$B$11,-1)</x:f>
        <x:v>46142</x:v>
      </x:c>
      <x:c r="U311" s="4" t="n">
        <x:f>MATCH(J311,'Сводка'!$R$3:$R$397,0)</x:f>
        <x:v>322</x:v>
      </x:c>
      <x:c r="V311" s="4" t="n">
        <x:f>MATCH(J311-'Сводка'!$B$11,'Сводка'!$R$3:$R$397,0)</x:f>
        <x:v>321</x:v>
      </x:c>
      <x:c r="W311" s="4" t="n">
        <x:f>MATCH(T311,$J$388:$J$400,0)</x:f>
        <x:v>11</x:v>
      </x:c>
      <x:c r="X311" s="3"/>
      <x:c r="Y311" s="3"/>
      <x:c r="Z311" s="3"/>
    </x:row>
    <x:row r="312" ht="15" customHeight="1">
      <x:c r="A312" s="3"/>
      <x:c r="B312" s="3"/>
      <x:c r="C312" s="3"/>
      <x:c r="D312" s="3"/>
      <x:c r="E312" s="3"/>
      <x:c r="F312" s="3"/>
      <x:c r="G312" s="3"/>
      <x:c r="H312" s="3"/>
      <x:c r="I312" s="3"/>
      <x:c r="J312" s="10" t="n">
        <x:v>46163</x:v>
      </x:c>
      <x:c r="K312" s="8" t="n">
        <x:f>INDEX('Сводка'!$S$3:$S$397,U312)</x:f>
        <x:v>134</x:v>
      </x:c>
      <x:c r="L312" s="8" t="n">
        <x:f>INDEX('Сводка'!$S$3:$S$397,V312)</x:f>
        <x:v>135</x:v>
      </x:c>
      <x:c r="M312" s="8" t="n">
        <x:f>INDEX($K$388:$N$400,W312,1)+INDEX($K$388:$N$400,W312,2)*(2*(J312-$T$405)/(T312-$T$405)-1)^1+INDEX($K$388:$N$400,W312,3)*(2*(J312-$T$405)/(T312-$T$405)-1)^2+INDEX($K$388:$N$400,W312,4)*(2*(J312-$T$405)/(T312-$T$405)-1)^3+INDEX($O$388:$Z$400,W312,MONTH(J312))</x:f>
        <x:v>146.36904441140612</x:v>
      </x:c>
      <x:c r="N312" s="8" t="n">
        <x:f>K312-M312</x:f>
        <x:v>-12.369044411406122</x:v>
      </x:c>
      <x:c r="O312" s="8" t="n">
        <x:f>ABS(N312)</x:f>
        <x:v>12.369044411406122</x:v>
      </x:c>
      <x:c r="P312" s="8" t="n">
        <x:f>N312^2</x:f>
        <x:v>152.993259651337</x:v>
      </x:c>
      <x:c r="Q312" s="8" t="n">
        <x:f>K312-L312</x:f>
        <x:v>-1</x:v>
      </x:c>
      <x:c r="R312" s="9" t="n">
        <x:f>IF(AND(INDEX('Сводка'!$T$3:$T$397,U312)=0,INDEX('Сводка'!$T$3:$T$397,V312)=0),1,0)</x:f>
        <x:v>1</x:v>
      </x:c>
      <x:c r="S312" s="9" t="n">
        <x:f>IF(AND(R312=1,O312&lt;=$G$13),1,0)</x:f>
        <x:v>0</x:v>
      </x:c>
      <x:c r="T312" s="10" t="n">
        <x:f>EOMONTH(J312-'Сводка'!$B$11,-1)</x:f>
        <x:v>46142</x:v>
      </x:c>
      <x:c r="U312" s="4" t="n">
        <x:f>MATCH(J312,'Сводка'!$R$3:$R$397,0)</x:f>
        <x:v>323</x:v>
      </x:c>
      <x:c r="V312" s="4" t="n">
        <x:f>MATCH(J312-'Сводка'!$B$11,'Сводка'!$R$3:$R$397,0)</x:f>
        <x:v>322</x:v>
      </x:c>
      <x:c r="W312" s="4" t="n">
        <x:f>MATCH(T312,$J$388:$J$400,0)</x:f>
        <x:v>11</x:v>
      </x:c>
      <x:c r="X312" s="3"/>
      <x:c r="Y312" s="3"/>
      <x:c r="Z312" s="3"/>
    </x:row>
    <x:row r="313" ht="15" customHeight="1">
      <x:c r="A313" s="3"/>
      <x:c r="B313" s="3"/>
      <x:c r="C313" s="3"/>
      <x:c r="D313" s="3"/>
      <x:c r="E313" s="3"/>
      <x:c r="F313" s="3"/>
      <x:c r="G313" s="3"/>
      <x:c r="H313" s="3"/>
      <x:c r="I313" s="3"/>
      <x:c r="J313" s="10" t="n">
        <x:v>46164</x:v>
      </x:c>
      <x:c r="K313" s="8" t="n">
        <x:f>INDEX('Сводка'!$S$3:$S$397,U313)</x:f>
        <x:v>131</x:v>
      </x:c>
      <x:c r="L313" s="8" t="n">
        <x:f>INDEX('Сводка'!$S$3:$S$397,V313)</x:f>
        <x:v>134</x:v>
      </x:c>
      <x:c r="M313" s="8" t="n">
        <x:f>INDEX($K$388:$N$400,W313,1)+INDEX($K$388:$N$400,W313,2)*(2*(J313-$T$405)/(T313-$T$405)-1)^1+INDEX($K$388:$N$400,W313,3)*(2*(J313-$T$405)/(T313-$T$405)-1)^2+INDEX($K$388:$N$400,W313,4)*(2*(J313-$T$405)/(T313-$T$405)-1)^3+INDEX($O$388:$Z$400,W313,MONTH(J313))</x:f>
        <x:v>146.33974845314447</x:v>
      </x:c>
      <x:c r="N313" s="8" t="n">
        <x:f>K313-M313</x:f>
        <x:v>-15.339748453144466</x:v>
      </x:c>
      <x:c r="O313" s="8" t="n">
        <x:f>ABS(N313)</x:f>
        <x:v>15.339748453144466</x:v>
      </x:c>
      <x:c r="P313" s="8" t="n">
        <x:f>N313^2</x:f>
        <x:v>235.30788260574803</x:v>
      </x:c>
      <x:c r="Q313" s="8" t="n">
        <x:f>K313-L313</x:f>
        <x:v>-3</x:v>
      </x:c>
      <x:c r="R313" s="9" t="n">
        <x:f>IF(AND(INDEX('Сводка'!$T$3:$T$397,U313)=0,INDEX('Сводка'!$T$3:$T$397,V313)=0),1,0)</x:f>
        <x:v>1</x:v>
      </x:c>
      <x:c r="S313" s="9" t="n">
        <x:f>IF(AND(R313=1,O313&lt;=$G$13),1,0)</x:f>
        <x:v>0</x:v>
      </x:c>
      <x:c r="T313" s="10" t="n">
        <x:f>EOMONTH(J313-'Сводка'!$B$11,-1)</x:f>
        <x:v>46142</x:v>
      </x:c>
      <x:c r="U313" s="4" t="n">
        <x:f>MATCH(J313,'Сводка'!$R$3:$R$397,0)</x:f>
        <x:v>324</x:v>
      </x:c>
      <x:c r="V313" s="4" t="n">
        <x:f>MATCH(J313-'Сводка'!$B$11,'Сводка'!$R$3:$R$397,0)</x:f>
        <x:v>323</x:v>
      </x:c>
      <x:c r="W313" s="4" t="n">
        <x:f>MATCH(T313,$J$388:$J$400,0)</x:f>
        <x:v>11</x:v>
      </x:c>
      <x:c r="X313" s="3"/>
      <x:c r="Y313" s="3"/>
      <x:c r="Z313" s="3"/>
    </x:row>
    <x:row r="314" ht="15" customHeight="1">
      <x:c r="A314" s="3"/>
      <x:c r="B314" s="3"/>
      <x:c r="C314" s="3"/>
      <x:c r="D314" s="3"/>
      <x:c r="E314" s="3"/>
      <x:c r="F314" s="3"/>
      <x:c r="G314" s="3"/>
      <x:c r="H314" s="3"/>
      <x:c r="I314" s="3"/>
      <x:c r="J314" s="10" t="n">
        <x:v>46165</x:v>
      </x:c>
      <x:c r="K314" s="8" t="n">
        <x:f>INDEX('Сводка'!$S$3:$S$397,U314)</x:f>
        <x:v>126</x:v>
      </x:c>
      <x:c r="L314" s="8" t="n">
        <x:f>INDEX('Сводка'!$S$3:$S$397,V314)</x:f>
        <x:v>131</x:v>
      </x:c>
      <x:c r="M314" s="8" t="n">
        <x:f>INDEX($K$388:$N$400,W314,1)+INDEX($K$388:$N$400,W314,2)*(2*(J314-$T$405)/(T314-$T$405)-1)^1+INDEX($K$388:$N$400,W314,3)*(2*(J314-$T$405)/(T314-$T$405)-1)^2+INDEX($K$388:$N$400,W314,4)*(2*(J314-$T$405)/(T314-$T$405)-1)^3+INDEX($O$388:$Z$400,W314,MONTH(J314))</x:f>
        <x:v>146.31043502590228</x:v>
      </x:c>
      <x:c r="N314" s="8" t="n">
        <x:f>K314-M314</x:f>
        <x:v>-20.31043502590228</x:v>
      </x:c>
      <x:c r="O314" s="8" t="n">
        <x:f>ABS(N314)</x:f>
        <x:v>20.31043502590228</x:v>
      </x:c>
      <x:c r="P314" s="8" t="n">
        <x:f>N314^2</x:f>
        <x:v>412.51377094139815</x:v>
      </x:c>
      <x:c r="Q314" s="8" t="n">
        <x:f>K314-L314</x:f>
        <x:v>-5</x:v>
      </x:c>
      <x:c r="R314" s="9" t="n">
        <x:f>IF(AND(INDEX('Сводка'!$T$3:$T$397,U314)=0,INDEX('Сводка'!$T$3:$T$397,V314)=0),1,0)</x:f>
        <x:v>1</x:v>
      </x:c>
      <x:c r="S314" s="9" t="n">
        <x:f>IF(AND(R314=1,O314&lt;=$G$13),1,0)</x:f>
        <x:v>0</x:v>
      </x:c>
      <x:c r="T314" s="10" t="n">
        <x:f>EOMONTH(J314-'Сводка'!$B$11,-1)</x:f>
        <x:v>46142</x:v>
      </x:c>
      <x:c r="U314" s="4" t="n">
        <x:f>MATCH(J314,'Сводка'!$R$3:$R$397,0)</x:f>
        <x:v>325</x:v>
      </x:c>
      <x:c r="V314" s="4" t="n">
        <x:f>MATCH(J314-'Сводка'!$B$11,'Сводка'!$R$3:$R$397,0)</x:f>
        <x:v>324</x:v>
      </x:c>
      <x:c r="W314" s="4" t="n">
        <x:f>MATCH(T314,$J$388:$J$400,0)</x:f>
        <x:v>11</x:v>
      </x:c>
      <x:c r="X314" s="3"/>
      <x:c r="Y314" s="3"/>
      <x:c r="Z314" s="3"/>
    </x:row>
    <x:row r="315" ht="15" customHeight="1">
      <x:c r="A315" s="3"/>
      <x:c r="B315" s="3"/>
      <x:c r="C315" s="3"/>
      <x:c r="D315" s="3"/>
      <x:c r="E315" s="3"/>
      <x:c r="F315" s="3"/>
      <x:c r="G315" s="3"/>
      <x:c r="H315" s="3"/>
      <x:c r="I315" s="3"/>
      <x:c r="J315" s="10" t="n">
        <x:v>46166</x:v>
      </x:c>
      <x:c r="K315" s="8" t="n">
        <x:f>INDEX('Сводка'!$S$3:$S$397,U315)</x:f>
        <x:v>119</x:v>
      </x:c>
      <x:c r="L315" s="8" t="n">
        <x:f>INDEX('Сводка'!$S$3:$S$397,V315)</x:f>
        <x:v>126</x:v>
      </x:c>
      <x:c r="M315" s="8" t="n">
        <x:f>INDEX($K$388:$N$400,W315,1)+INDEX($K$388:$N$400,W315,2)*(2*(J315-$T$405)/(T315-$T$405)-1)^1+INDEX($K$388:$N$400,W315,3)*(2*(J315-$T$405)/(T315-$T$405)-1)^2+INDEX($K$388:$N$400,W315,4)*(2*(J315-$T$405)/(T315-$T$405)-1)^3+INDEX($O$388:$Z$400,W315,MONTH(J315))</x:f>
        <x:v>146.28110412723518</x:v>
      </x:c>
      <x:c r="N315" s="8" t="n">
        <x:f>K315-M315</x:f>
        <x:v>-27.28110412723518</x:v>
      </x:c>
      <x:c r="O315" s="8" t="n">
        <x:f>ABS(N315)</x:f>
        <x:v>27.28110412723518</x:v>
      </x:c>
      <x:c r="P315" s="8" t="n">
        <x:f>N315^2</x:f>
        <x:v>744.2586424010484</x:v>
      </x:c>
      <x:c r="Q315" s="8" t="n">
        <x:f>K315-L315</x:f>
        <x:v>-7</x:v>
      </x:c>
      <x:c r="R315" s="9" t="n">
        <x:f>IF(AND(INDEX('Сводка'!$T$3:$T$397,U315)=0,INDEX('Сводка'!$T$3:$T$397,V315)=0),1,0)</x:f>
        <x:v>1</x:v>
      </x:c>
      <x:c r="S315" s="9" t="n">
        <x:f>IF(AND(R315=1,O315&lt;=$G$13),1,0)</x:f>
        <x:v>0</x:v>
      </x:c>
      <x:c r="T315" s="10" t="n">
        <x:f>EOMONTH(J315-'Сводка'!$B$11,-1)</x:f>
        <x:v>46142</x:v>
      </x:c>
      <x:c r="U315" s="4" t="n">
        <x:f>MATCH(J315,'Сводка'!$R$3:$R$397,0)</x:f>
        <x:v>326</x:v>
      </x:c>
      <x:c r="V315" s="4" t="n">
        <x:f>MATCH(J315-'Сводка'!$B$11,'Сводка'!$R$3:$R$397,0)</x:f>
        <x:v>325</x:v>
      </x:c>
      <x:c r="W315" s="4" t="n">
        <x:f>MATCH(T315,$J$388:$J$400,0)</x:f>
        <x:v>11</x:v>
      </x:c>
      <x:c r="X315" s="3"/>
      <x:c r="Y315" s="3"/>
      <x:c r="Z315" s="3"/>
    </x:row>
    <x:row r="316" ht="15" customHeight="1">
      <x:c r="A316" s="3"/>
      <x:c r="B316" s="3"/>
      <x:c r="C316" s="3"/>
      <x:c r="D316" s="3"/>
      <x:c r="E316" s="3"/>
      <x:c r="F316" s="3"/>
      <x:c r="G316" s="3"/>
      <x:c r="H316" s="3"/>
      <x:c r="I316" s="3"/>
      <x:c r="J316" s="10" t="n">
        <x:v>46167</x:v>
      </x:c>
      <x:c r="K316" s="8" t="n">
        <x:f>INDEX('Сводка'!$S$3:$S$397,U316)</x:f>
        <x:v>114</x:v>
      </x:c>
      <x:c r="L316" s="8" t="n">
        <x:f>INDEX('Сводка'!$S$3:$S$397,V316)</x:f>
        <x:v>119</x:v>
      </x:c>
      <x:c r="M316" s="8" t="n">
        <x:f>INDEX($K$388:$N$400,W316,1)+INDEX($K$388:$N$400,W316,2)*(2*(J316-$T$405)/(T316-$T$405)-1)^1+INDEX($K$388:$N$400,W316,3)*(2*(J316-$T$405)/(T316-$T$405)-1)^2+INDEX($K$388:$N$400,W316,4)*(2*(J316-$T$405)/(T316-$T$405)-1)^3+INDEX($O$388:$Z$400,W316,MONTH(J316))</x:f>
        <x:v>146.251755754699</x:v>
      </x:c>
      <x:c r="N316" s="8" t="n">
        <x:f>K316-M316</x:f>
        <x:v>-32.25175575469899</x:v>
      </x:c>
      <x:c r="O316" s="8" t="n">
        <x:f>ABS(N316)</x:f>
        <x:v>32.25175575469899</x:v>
      </x:c>
      <x:c r="P316" s="8" t="n">
        <x:f>N316^2</x:f>
        <x:v>1040.1757492607594</x:v>
      </x:c>
      <x:c r="Q316" s="8" t="n">
        <x:f>K316-L316</x:f>
        <x:v>-5</x:v>
      </x:c>
      <x:c r="R316" s="9" t="n">
        <x:f>IF(AND(INDEX('Сводка'!$T$3:$T$397,U316)=0,INDEX('Сводка'!$T$3:$T$397,V316)=0),1,0)</x:f>
        <x:v>1</x:v>
      </x:c>
      <x:c r="S316" s="9" t="n">
        <x:f>IF(AND(R316=1,O316&lt;=$G$13),1,0)</x:f>
        <x:v>0</x:v>
      </x:c>
      <x:c r="T316" s="10" t="n">
        <x:f>EOMONTH(J316-'Сводка'!$B$11,-1)</x:f>
        <x:v>46142</x:v>
      </x:c>
      <x:c r="U316" s="4" t="n">
        <x:f>MATCH(J316,'Сводка'!$R$3:$R$397,0)</x:f>
        <x:v>327</x:v>
      </x:c>
      <x:c r="V316" s="4" t="n">
        <x:f>MATCH(J316-'Сводка'!$B$11,'Сводка'!$R$3:$R$397,0)</x:f>
        <x:v>326</x:v>
      </x:c>
      <x:c r="W316" s="4" t="n">
        <x:f>MATCH(T316,$J$388:$J$400,0)</x:f>
        <x:v>11</x:v>
      </x:c>
      <x:c r="X316" s="3"/>
      <x:c r="Y316" s="3"/>
      <x:c r="Z316" s="3"/>
    </x:row>
    <x:row r="317" ht="15" customHeight="1">
      <x:c r="A317" s="3"/>
      <x:c r="B317" s="3"/>
      <x:c r="C317" s="3"/>
      <x:c r="D317" s="3"/>
      <x:c r="E317" s="3"/>
      <x:c r="F317" s="3"/>
      <x:c r="G317" s="3"/>
      <x:c r="H317" s="3"/>
      <x:c r="I317" s="3"/>
      <x:c r="J317" s="10" t="n">
        <x:v>46168</x:v>
      </x:c>
      <x:c r="K317" s="8" t="n">
        <x:f>INDEX('Сводка'!$S$3:$S$397,U317)</x:f>
        <x:v>106</x:v>
      </x:c>
      <x:c r="L317" s="8" t="n">
        <x:f>INDEX('Сводка'!$S$3:$S$397,V317)</x:f>
        <x:v>114</x:v>
      </x:c>
      <x:c r="M317" s="8" t="n">
        <x:f>INDEX($K$388:$N$400,W317,1)+INDEX($K$388:$N$400,W317,2)*(2*(J317-$T$405)/(T317-$T$405)-1)^1+INDEX($K$388:$N$400,W317,3)*(2*(J317-$T$405)/(T317-$T$405)-1)^2+INDEX($K$388:$N$400,W317,4)*(2*(J317-$T$405)/(T317-$T$405)-1)^3+INDEX($O$388:$Z$400,W317,MONTH(J317))</x:f>
        <x:v>146.22238990584958</x:v>
      </x:c>
      <x:c r="N317" s="8" t="n">
        <x:f>K317-M317</x:f>
        <x:v>-40.22238990584958</x:v>
      </x:c>
      <x:c r="O317" s="8" t="n">
        <x:f>ABS(N317)</x:f>
        <x:v>40.22238990584958</x:v>
      </x:c>
      <x:c r="P317" s="8" t="n">
        <x:f>N317^2</x:f>
        <x:v>1617.8406497381902</x:v>
      </x:c>
      <x:c r="Q317" s="8" t="n">
        <x:f>K317-L317</x:f>
        <x:v>-8</x:v>
      </x:c>
      <x:c r="R317" s="9" t="n">
        <x:f>IF(AND(INDEX('Сводка'!$T$3:$T$397,U317)=0,INDEX('Сводка'!$T$3:$T$397,V317)=0),1,0)</x:f>
        <x:v>1</x:v>
      </x:c>
      <x:c r="S317" s="9" t="n">
        <x:f>IF(AND(R317=1,O317&lt;=$G$13),1,0)</x:f>
        <x:v>0</x:v>
      </x:c>
      <x:c r="T317" s="10" t="n">
        <x:f>EOMONTH(J317-'Сводка'!$B$11,-1)</x:f>
        <x:v>46142</x:v>
      </x:c>
      <x:c r="U317" s="4" t="n">
        <x:f>MATCH(J317,'Сводка'!$R$3:$R$397,0)</x:f>
        <x:v>328</x:v>
      </x:c>
      <x:c r="V317" s="4" t="n">
        <x:f>MATCH(J317-'Сводка'!$B$11,'Сводка'!$R$3:$R$397,0)</x:f>
        <x:v>327</x:v>
      </x:c>
      <x:c r="W317" s="4" t="n">
        <x:f>MATCH(T317,$J$388:$J$400,0)</x:f>
        <x:v>11</x:v>
      </x:c>
      <x:c r="X317" s="3"/>
      <x:c r="Y317" s="3"/>
      <x:c r="Z317" s="3"/>
    </x:row>
    <x:row r="318" ht="15" customHeight="1">
      <x:c r="A318" s="3"/>
      <x:c r="B318" s="3"/>
      <x:c r="C318" s="3"/>
      <x:c r="D318" s="3"/>
      <x:c r="E318" s="3"/>
      <x:c r="F318" s="3"/>
      <x:c r="G318" s="3"/>
      <x:c r="H318" s="3"/>
      <x:c r="I318" s="3"/>
      <x:c r="J318" s="10" t="n">
        <x:v>46169</x:v>
      </x:c>
      <x:c r="K318" s="8" t="n">
        <x:f>INDEX('Сводка'!$S$3:$S$397,U318)</x:f>
        <x:v>101</x:v>
      </x:c>
      <x:c r="L318" s="8" t="n">
        <x:f>INDEX('Сводка'!$S$3:$S$397,V318)</x:f>
        <x:v>106</x:v>
      </x:c>
      <x:c r="M318" s="8" t="n">
        <x:f>INDEX($K$388:$N$400,W318,1)+INDEX($K$388:$N$400,W318,2)*(2*(J318-$T$405)/(T318-$T$405)-1)^1+INDEX($K$388:$N$400,W318,3)*(2*(J318-$T$405)/(T318-$T$405)-1)^2+INDEX($K$388:$N$400,W318,4)*(2*(J318-$T$405)/(T318-$T$405)-1)^3+INDEX($O$388:$Z$400,W318,MONTH(J318))</x:f>
        <x:v>146.1930065782427</x:v>
      </x:c>
      <x:c r="N318" s="8" t="n">
        <x:f>K318-M318</x:f>
        <x:v>-45.19300657824269</x:v>
      </x:c>
      <x:c r="O318" s="8" t="n">
        <x:f>ABS(N318)</x:f>
        <x:v>45.19300657824269</x:v>
      </x:c>
      <x:c r="P318" s="8" t="n">
        <x:f>N318^2</x:f>
        <x:v>2042.4078435810868</x:v>
      </x:c>
      <x:c r="Q318" s="8" t="n">
        <x:f>K318-L318</x:f>
        <x:v>-5</x:v>
      </x:c>
      <x:c r="R318" s="9" t="n">
        <x:f>IF(AND(INDEX('Сводка'!$T$3:$T$397,U318)=0,INDEX('Сводка'!$T$3:$T$397,V318)=0),1,0)</x:f>
        <x:v>1</x:v>
      </x:c>
      <x:c r="S318" s="9" t="n">
        <x:f>IF(AND(R318=1,O318&lt;=$G$13),1,0)</x:f>
        <x:v>0</x:v>
      </x:c>
      <x:c r="T318" s="10" t="n">
        <x:f>EOMONTH(J318-'Сводка'!$B$11,-1)</x:f>
        <x:v>46142</x:v>
      </x:c>
      <x:c r="U318" s="4" t="n">
        <x:f>MATCH(J318,'Сводка'!$R$3:$R$397,0)</x:f>
        <x:v>329</x:v>
      </x:c>
      <x:c r="V318" s="4" t="n">
        <x:f>MATCH(J318-'Сводка'!$B$11,'Сводка'!$R$3:$R$397,0)</x:f>
        <x:v>328</x:v>
      </x:c>
      <x:c r="W318" s="4" t="n">
        <x:f>MATCH(T318,$J$388:$J$400,0)</x:f>
        <x:v>11</x:v>
      </x:c>
      <x:c r="X318" s="3"/>
      <x:c r="Y318" s="3"/>
      <x:c r="Z318" s="3"/>
    </x:row>
    <x:row r="319" ht="15" customHeight="1">
      <x:c r="A319" s="3"/>
      <x:c r="B319" s="3"/>
      <x:c r="C319" s="3"/>
      <x:c r="D319" s="3"/>
      <x:c r="E319" s="3"/>
      <x:c r="F319" s="3"/>
      <x:c r="G319" s="3"/>
      <x:c r="H319" s="3"/>
      <x:c r="I319" s="3"/>
      <x:c r="J319" s="10" t="n">
        <x:v>46170</x:v>
      </x:c>
      <x:c r="K319" s="8" t="n">
        <x:f>INDEX('Сводка'!$S$3:$S$397,U319)</x:f>
        <x:v>95</x:v>
      </x:c>
      <x:c r="L319" s="8" t="n">
        <x:f>INDEX('Сводка'!$S$3:$S$397,V319)</x:f>
        <x:v>101</x:v>
      </x:c>
      <x:c r="M319" s="8" t="n">
        <x:f>INDEX($K$388:$N$400,W319,1)+INDEX($K$388:$N$400,W319,2)*(2*(J319-$T$405)/(T319-$T$405)-1)^1+INDEX($K$388:$N$400,W319,3)*(2*(J319-$T$405)/(T319-$T$405)-1)^2+INDEX($K$388:$N$400,W319,4)*(2*(J319-$T$405)/(T319-$T$405)-1)^3+INDEX($O$388:$Z$400,W319,MONTH(J319))</x:f>
        <x:v>146.16360576943404</x:v>
      </x:c>
      <x:c r="N319" s="8" t="n">
        <x:f>K319-M319</x:f>
        <x:v>-51.16360576943404</x:v>
      </x:c>
      <x:c r="O319" s="8" t="n">
        <x:f>ABS(N319)</x:f>
        <x:v>51.16360576943404</x:v>
      </x:c>
      <x:c r="P319" s="8" t="n">
        <x:f>N319^2</x:f>
        <x:v>2617.7145553300643</x:v>
      </x:c>
      <x:c r="Q319" s="8" t="n">
        <x:f>K319-L319</x:f>
        <x:v>-6</x:v>
      </x:c>
      <x:c r="R319" s="9" t="n">
        <x:f>IF(AND(INDEX('Сводка'!$T$3:$T$397,U319)=0,INDEX('Сводка'!$T$3:$T$397,V319)=0),1,0)</x:f>
        <x:v>1</x:v>
      </x:c>
      <x:c r="S319" s="9" t="n">
        <x:f>IF(AND(R319=1,O319&lt;=$G$13),1,0)</x:f>
        <x:v>0</x:v>
      </x:c>
      <x:c r="T319" s="10" t="n">
        <x:f>EOMONTH(J319-'Сводка'!$B$11,-1)</x:f>
        <x:v>46142</x:v>
      </x:c>
      <x:c r="U319" s="4" t="n">
        <x:f>MATCH(J319,'Сводка'!$R$3:$R$397,0)</x:f>
        <x:v>330</x:v>
      </x:c>
      <x:c r="V319" s="4" t="n">
        <x:f>MATCH(J319-'Сводка'!$B$11,'Сводка'!$R$3:$R$397,0)</x:f>
        <x:v>329</x:v>
      </x:c>
      <x:c r="W319" s="4" t="n">
        <x:f>MATCH(T319,$J$388:$J$400,0)</x:f>
        <x:v>11</x:v>
      </x:c>
      <x:c r="X319" s="3"/>
      <x:c r="Y319" s="3"/>
      <x:c r="Z319" s="3"/>
    </x:row>
    <x:row r="320" ht="15" customHeight="1">
      <x:c r="A320" s="3"/>
      <x:c r="B320" s="3"/>
      <x:c r="C320" s="3"/>
      <x:c r="D320" s="3"/>
      <x:c r="E320" s="3"/>
      <x:c r="F320" s="3"/>
      <x:c r="G320" s="3"/>
      <x:c r="H320" s="3"/>
      <x:c r="I320" s="3"/>
      <x:c r="J320" s="10" t="n">
        <x:v>46171</x:v>
      </x:c>
      <x:c r="K320" s="8" t="n">
        <x:f>INDEX('Сводка'!$S$3:$S$397,U320)</x:f>
        <x:v>85</x:v>
      </x:c>
      <x:c r="L320" s="8" t="n">
        <x:f>INDEX('Сводка'!$S$3:$S$397,V320)</x:f>
        <x:v>95</x:v>
      </x:c>
      <x:c r="M320" s="8" t="n">
        <x:f>INDEX($K$388:$N$400,W320,1)+INDEX($K$388:$N$400,W320,2)*(2*(J320-$T$405)/(T320-$T$405)-1)^1+INDEX($K$388:$N$400,W320,3)*(2*(J320-$T$405)/(T320-$T$405)-1)^2+INDEX($K$388:$N$400,W320,4)*(2*(J320-$T$405)/(T320-$T$405)-1)^3+INDEX($O$388:$Z$400,W320,MONTH(J320))</x:f>
        <x:v>146.13418747697946</x:v>
      </x:c>
      <x:c r="N320" s="8" t="n">
        <x:f>K320-M320</x:f>
        <x:v>-61.13418747697946</x:v>
      </x:c>
      <x:c r="O320" s="8" t="n">
        <x:f>ABS(N320)</x:f>
        <x:v>61.13418747697946</x:v>
      </x:c>
      <x:c r="P320" s="8" t="n">
        <x:f>N320^2</x:f>
        <x:v>3737.3888784704727</x:v>
      </x:c>
      <x:c r="Q320" s="8" t="n">
        <x:f>K320-L320</x:f>
        <x:v>-10</x:v>
      </x:c>
      <x:c r="R320" s="9" t="n">
        <x:f>IF(AND(INDEX('Сводка'!$T$3:$T$397,U320)=0,INDEX('Сводка'!$T$3:$T$397,V320)=0),1,0)</x:f>
        <x:v>1</x:v>
      </x:c>
      <x:c r="S320" s="9" t="n">
        <x:f>IF(AND(R320=1,O320&lt;=$G$13),1,0)</x:f>
        <x:v>0</x:v>
      </x:c>
      <x:c r="T320" s="10" t="n">
        <x:f>EOMONTH(J320-'Сводка'!$B$11,-1)</x:f>
        <x:v>46142</x:v>
      </x:c>
      <x:c r="U320" s="4" t="n">
        <x:f>MATCH(J320,'Сводка'!$R$3:$R$397,0)</x:f>
        <x:v>331</x:v>
      </x:c>
      <x:c r="V320" s="4" t="n">
        <x:f>MATCH(J320-'Сводка'!$B$11,'Сводка'!$R$3:$R$397,0)</x:f>
        <x:v>330</x:v>
      </x:c>
      <x:c r="W320" s="4" t="n">
        <x:f>MATCH(T320,$J$388:$J$400,0)</x:f>
        <x:v>11</x:v>
      </x:c>
      <x:c r="X320" s="3"/>
      <x:c r="Y320" s="3"/>
      <x:c r="Z320" s="3"/>
    </x:row>
    <x:row r="321" ht="15" customHeight="1">
      <x:c r="A321" s="3"/>
      <x:c r="B321" s="3"/>
      <x:c r="C321" s="3"/>
      <x:c r="D321" s="3"/>
      <x:c r="E321" s="3"/>
      <x:c r="F321" s="3"/>
      <x:c r="G321" s="3"/>
      <x:c r="H321" s="3"/>
      <x:c r="I321" s="3"/>
      <x:c r="J321" s="10" t="n">
        <x:v>46172</x:v>
      </x:c>
      <x:c r="K321" s="8" t="n">
        <x:f>INDEX('Сводка'!$S$3:$S$397,U321)</x:f>
        <x:v>77</x:v>
      </x:c>
      <x:c r="L321" s="8" t="n">
        <x:f>INDEX('Сводка'!$S$3:$S$397,V321)</x:f>
        <x:v>85</x:v>
      </x:c>
      <x:c r="M321" s="8" t="n">
        <x:f>INDEX($K$388:$N$400,W321,1)+INDEX($K$388:$N$400,W321,2)*(2*(J321-$T$405)/(T321-$T$405)-1)^1+INDEX($K$388:$N$400,W321,3)*(2*(J321-$T$405)/(T321-$T$405)-1)^2+INDEX($K$388:$N$400,W321,4)*(2*(J321-$T$405)/(T321-$T$405)-1)^3+INDEX($O$388:$Z$400,W321,MONTH(J321))</x:f>
        <x:v>146.1047516984348</x:v>
      </x:c>
      <x:c r="N321" s="8" t="n">
        <x:f>K321-M321</x:f>
        <x:v>-69.1047516984348</x:v>
      </x:c>
      <x:c r="O321" s="8" t="n">
        <x:f>ABS(N321)</x:f>
        <x:v>69.1047516984348</x:v>
      </x:c>
      <x:c r="P321" s="8" t="n">
        <x:f>N321^2</x:f>
        <x:v>4775.4667073023265</x:v>
      </x:c>
      <x:c r="Q321" s="8" t="n">
        <x:f>K321-L321</x:f>
        <x:v>-8</x:v>
      </x:c>
      <x:c r="R321" s="9" t="n">
        <x:f>IF(AND(INDEX('Сводка'!$T$3:$T$397,U321)=0,INDEX('Сводка'!$T$3:$T$397,V321)=0),1,0)</x:f>
        <x:v>1</x:v>
      </x:c>
      <x:c r="S321" s="9" t="n">
        <x:f>IF(AND(R321=1,O321&lt;=$G$13),1,0)</x:f>
        <x:v>0</x:v>
      </x:c>
      <x:c r="T321" s="10" t="n">
        <x:f>EOMONTH(J321-'Сводка'!$B$11,-1)</x:f>
        <x:v>46142</x:v>
      </x:c>
      <x:c r="U321" s="4" t="n">
        <x:f>MATCH(J321,'Сводка'!$R$3:$R$397,0)</x:f>
        <x:v>332</x:v>
      </x:c>
      <x:c r="V321" s="4" t="n">
        <x:f>MATCH(J321-'Сводка'!$B$11,'Сводка'!$R$3:$R$397,0)</x:f>
        <x:v>331</x:v>
      </x:c>
      <x:c r="W321" s="4" t="n">
        <x:f>MATCH(T321,$J$388:$J$400,0)</x:f>
        <x:v>11</x:v>
      </x:c>
      <x:c r="X321" s="3"/>
      <x:c r="Y321" s="3"/>
      <x:c r="Z321" s="3"/>
    </x:row>
    <x:row r="322" ht="15" customHeight="1">
      <x:c r="A322" s="3"/>
      <x:c r="B322" s="3"/>
      <x:c r="C322" s="3"/>
      <x:c r="D322" s="3"/>
      <x:c r="E322" s="3"/>
      <x:c r="F322" s="3"/>
      <x:c r="G322" s="3"/>
      <x:c r="H322" s="3"/>
      <x:c r="I322" s="3"/>
      <x:c r="J322" s="10" t="n">
        <x:v>46173</x:v>
      </x:c>
      <x:c r="K322" s="8" t="n">
        <x:f>INDEX('Сводка'!$S$3:$S$397,U322)</x:f>
        <x:v>70</x:v>
      </x:c>
      <x:c r="L322" s="8" t="n">
        <x:f>INDEX('Сводка'!$S$3:$S$397,V322)</x:f>
        <x:v>77</x:v>
      </x:c>
      <x:c r="M322" s="8" t="n">
        <x:f>INDEX($K$388:$N$400,W322,1)+INDEX($K$388:$N$400,W322,2)*(2*(J322-$T$405)/(T322-$T$405)-1)^1+INDEX($K$388:$N$400,W322,3)*(2*(J322-$T$405)/(T322-$T$405)-1)^2+INDEX($K$388:$N$400,W322,4)*(2*(J322-$T$405)/(T322-$T$405)-1)^3+INDEX($O$388:$Z$400,W322,MONTH(J322))</x:f>
        <x:v>146.07529843135572</x:v>
      </x:c>
      <x:c r="N322" s="8" t="n">
        <x:f>K322-M322</x:f>
        <x:v>-76.07529843135572</x:v>
      </x:c>
      <x:c r="O322" s="8" t="n">
        <x:f>ABS(N322)</x:f>
        <x:v>76.07529843135572</x:v>
      </x:c>
      <x:c r="P322" s="8" t="n">
        <x:f>N322^2</x:f>
        <x:v>5787.451031419834</x:v>
      </x:c>
      <x:c r="Q322" s="8" t="n">
        <x:f>K322-L322</x:f>
        <x:v>-7</x:v>
      </x:c>
      <x:c r="R322" s="9" t="n">
        <x:f>IF(AND(INDEX('Сводка'!$T$3:$T$397,U322)=0,INDEX('Сводка'!$T$3:$T$397,V322)=0),1,0)</x:f>
        <x:v>1</x:v>
      </x:c>
      <x:c r="S322" s="9" t="n">
        <x:f>IF(AND(R322=1,O322&lt;=$G$13),1,0)</x:f>
        <x:v>0</x:v>
      </x:c>
      <x:c r="T322" s="10" t="n">
        <x:f>EOMONTH(J322-'Сводка'!$B$11,-1)</x:f>
        <x:v>46142</x:v>
      </x:c>
      <x:c r="U322" s="4" t="n">
        <x:f>MATCH(J322,'Сводка'!$R$3:$R$397,0)</x:f>
        <x:v>333</x:v>
      </x:c>
      <x:c r="V322" s="4" t="n">
        <x:f>MATCH(J322-'Сводка'!$B$11,'Сводка'!$R$3:$R$397,0)</x:f>
        <x:v>332</x:v>
      </x:c>
      <x:c r="W322" s="4" t="n">
        <x:f>MATCH(T322,$J$388:$J$400,0)</x:f>
        <x:v>11</x:v>
      </x:c>
      <x:c r="X322" s="3"/>
      <x:c r="Y322" s="3"/>
      <x:c r="Z322" s="3"/>
    </x:row>
    <x:row r="323" ht="15" customHeight="1">
      <x:c r="A323" s="3"/>
      <x:c r="B323" s="3"/>
      <x:c r="C323" s="3"/>
      <x:c r="D323" s="3"/>
      <x:c r="E323" s="3"/>
      <x:c r="F323" s="3"/>
      <x:c r="G323" s="3"/>
      <x:c r="H323" s="3"/>
      <x:c r="I323" s="3"/>
      <x:c r="J323" s="10" t="n">
        <x:v>46174</x:v>
      </x:c>
      <x:c r="K323" s="8" t="n">
        <x:f>INDEX('Сводка'!$S$3:$S$397,U323)</x:f>
        <x:v>64</x:v>
      </x:c>
      <x:c r="L323" s="8" t="n">
        <x:f>INDEX('Сводка'!$S$3:$S$397,V323)</x:f>
        <x:v>70</x:v>
      </x:c>
      <x:c r="M323" s="8" t="n">
        <x:f>INDEX($K$388:$N$400,W323,1)+INDEX($K$388:$N$400,W323,2)*(2*(J323-$T$405)/(T323-$T$405)-1)^1+INDEX($K$388:$N$400,W323,3)*(2*(J323-$T$405)/(T323-$T$405)-1)^2+INDEX($K$388:$N$400,W323,4)*(2*(J323-$T$405)/(T323-$T$405)-1)^3+INDEX($O$388:$Z$400,W323,MONTH(J323))</x:f>
        <x:v>169.82685613508608</x:v>
      </x:c>
      <x:c r="N323" s="8" t="n">
        <x:f>K323-M323</x:f>
        <x:v>-105.82685613508608</x:v>
      </x:c>
      <x:c r="O323" s="8" t="n">
        <x:f>ABS(N323)</x:f>
        <x:v>105.82685613508608</x:v>
      </x:c>
      <x:c r="P323" s="8" t="n">
        <x:f>N323^2</x:f>
        <x:v>11199.323479436205</x:v>
      </x:c>
      <x:c r="Q323" s="8" t="n">
        <x:f>K323-L323</x:f>
        <x:v>-6</x:v>
      </x:c>
      <x:c r="R323" s="9" t="n">
        <x:f>IF(AND(INDEX('Сводка'!$T$3:$T$397,U323)=0,INDEX('Сводка'!$T$3:$T$397,V323)=0),1,0)</x:f>
        <x:v>1</x:v>
      </x:c>
      <x:c r="S323" s="9" t="n">
        <x:f>IF(AND(R323=1,O323&lt;=$G$13),1,0)</x:f>
        <x:v>0</x:v>
      </x:c>
      <x:c r="T323" s="10" t="n">
        <x:f>EOMONTH(J323-'Сводка'!$B$11,-1)</x:f>
        <x:v>46142</x:v>
      </x:c>
      <x:c r="U323" s="4" t="n">
        <x:f>MATCH(J323,'Сводка'!$R$3:$R$397,0)</x:f>
        <x:v>334</x:v>
      </x:c>
      <x:c r="V323" s="4" t="n">
        <x:f>MATCH(J323-'Сводка'!$B$11,'Сводка'!$R$3:$R$397,0)</x:f>
        <x:v>333</x:v>
      </x:c>
      <x:c r="W323" s="4" t="n">
        <x:f>MATCH(T323,$J$388:$J$400,0)</x:f>
        <x:v>11</x:v>
      </x:c>
      <x:c r="X323" s="3"/>
      <x:c r="Y323" s="3"/>
      <x:c r="Z323" s="3"/>
    </x:row>
    <x:row r="324" ht="15" customHeight="1">
      <x:c r="A324" s="3"/>
      <x:c r="B324" s="3"/>
      <x:c r="C324" s="3"/>
      <x:c r="D324" s="3"/>
      <x:c r="E324" s="3"/>
      <x:c r="F324" s="3"/>
      <x:c r="G324" s="3"/>
      <x:c r="H324" s="3"/>
      <x:c r="I324" s="3"/>
      <x:c r="J324" s="10" t="n">
        <x:v>46175</x:v>
      </x:c>
      <x:c r="K324" s="8" t="n">
        <x:f>INDEX('Сводка'!$S$3:$S$397,U324)</x:f>
        <x:v>62</x:v>
      </x:c>
      <x:c r="L324" s="8" t="n">
        <x:f>INDEX('Сводка'!$S$3:$S$397,V324)</x:f>
        <x:v>64</x:v>
      </x:c>
      <x:c r="M324" s="8" t="n">
        <x:f>INDEX($K$388:$N$400,W324,1)+INDEX($K$388:$N$400,W324,2)*(2*(J324-$T$405)/(T324-$T$405)-1)^1+INDEX($K$388:$N$400,W324,3)*(2*(J324-$T$405)/(T324-$T$405)-1)^2+INDEX($K$388:$N$400,W324,4)*(2*(J324-$T$405)/(T324-$T$405)-1)^3+INDEX($O$388:$Z$400,W324,MONTH(J324))</x:f>
        <x:v>168.0734902012404</x:v>
      </x:c>
      <x:c r="N324" s="8" t="n">
        <x:f>K324-M324</x:f>
        <x:v>-106.07349020124039</x:v>
      </x:c>
      <x:c r="O324" s="8" t="n">
        <x:f>ABS(N324)</x:f>
        <x:v>106.07349020124039</x:v>
      </x:c>
      <x:c r="P324" s="8" t="n">
        <x:f>N324^2</x:f>
        <x:v>11251.58532347264</x:v>
      </x:c>
      <x:c r="Q324" s="8" t="n">
        <x:f>K324-L324</x:f>
        <x:v>-2</x:v>
      </x:c>
      <x:c r="R324" s="9" t="n">
        <x:f>IF(AND(INDEX('Сводка'!$T$3:$T$397,U324)=0,INDEX('Сводка'!$T$3:$T$397,V324)=0),1,0)</x:f>
        <x:v>1</x:v>
      </x:c>
      <x:c r="S324" s="9" t="n">
        <x:f>IF(AND(R324=1,O324&lt;=$G$13),1,0)</x:f>
        <x:v>0</x:v>
      </x:c>
      <x:c r="T324" s="10" t="n">
        <x:f>EOMONTH(J324-'Сводка'!$B$11,-1)</x:f>
        <x:v>46173</x:v>
      </x:c>
      <x:c r="U324" s="4" t="n">
        <x:f>MATCH(J324,'Сводка'!$R$3:$R$397,0)</x:f>
        <x:v>335</x:v>
      </x:c>
      <x:c r="V324" s="4" t="n">
        <x:f>MATCH(J324-'Сводка'!$B$11,'Сводка'!$R$3:$R$397,0)</x:f>
        <x:v>334</x:v>
      </x:c>
      <x:c r="W324" s="4" t="n">
        <x:f>MATCH(T324,$J$388:$J$400,0)</x:f>
        <x:v>12</x:v>
      </x:c>
      <x:c r="X324" s="3"/>
      <x:c r="Y324" s="3"/>
      <x:c r="Z324" s="3"/>
    </x:row>
    <x:row r="325" ht="15" customHeight="1">
      <x:c r="A325" s="3"/>
      <x:c r="B325" s="3"/>
      <x:c r="C325" s="3"/>
      <x:c r="D325" s="3"/>
      <x:c r="E325" s="3"/>
      <x:c r="F325" s="3"/>
      <x:c r="G325" s="3"/>
      <x:c r="H325" s="3"/>
      <x:c r="I325" s="3"/>
      <x:c r="J325" s="10" t="n">
        <x:v>46176</x:v>
      </x:c>
      <x:c r="K325" s="8" t="n">
        <x:f>INDEX('Сводка'!$S$3:$S$397,U325)</x:f>
        <x:v>61</x:v>
      </x:c>
      <x:c r="L325" s="8" t="n">
        <x:f>INDEX('Сводка'!$S$3:$S$397,V325)</x:f>
        <x:v>62</x:v>
      </x:c>
      <x:c r="M325" s="8" t="n">
        <x:f>INDEX($K$388:$N$400,W325,1)+INDEX($K$388:$N$400,W325,2)*(2*(J325-$T$405)/(T325-$T$405)-1)^1+INDEX($K$388:$N$400,W325,3)*(2*(J325-$T$405)/(T325-$T$405)-1)^2+INDEX($K$388:$N$400,W325,4)*(2*(J325-$T$405)/(T325-$T$405)-1)^3+INDEX($O$388:$Z$400,W325,MONTH(J325))</x:f>
        <x:v>168.0424829861049</x:v>
      </x:c>
      <x:c r="N325" s="8" t="n">
        <x:f>K325-M325</x:f>
        <x:v>-107.04248298610489</x:v>
      </x:c>
      <x:c r="O325" s="8" t="n">
        <x:f>ABS(N325)</x:f>
        <x:v>107.04248298610489</x:v>
      </x:c>
      <x:c r="P325" s="8" t="n">
        <x:f>N325^2</x:f>
        <x:v>11458.093163830554</x:v>
      </x:c>
      <x:c r="Q325" s="8" t="n">
        <x:f>K325-L325</x:f>
        <x:v>-1</x:v>
      </x:c>
      <x:c r="R325" s="9" t="n">
        <x:f>IF(AND(INDEX('Сводка'!$T$3:$T$397,U325)=0,INDEX('Сводка'!$T$3:$T$397,V325)=0),1,0)</x:f>
        <x:v>1</x:v>
      </x:c>
      <x:c r="S325" s="9" t="n">
        <x:f>IF(AND(R325=1,O325&lt;=$G$13),1,0)</x:f>
        <x:v>0</x:v>
      </x:c>
      <x:c r="T325" s="10" t="n">
        <x:f>EOMONTH(J325-'Сводка'!$B$11,-1)</x:f>
        <x:v>46173</x:v>
      </x:c>
      <x:c r="U325" s="4" t="n">
        <x:f>MATCH(J325,'Сводка'!$R$3:$R$397,0)</x:f>
        <x:v>336</x:v>
      </x:c>
      <x:c r="V325" s="4" t="n">
        <x:f>MATCH(J325-'Сводка'!$B$11,'Сводка'!$R$3:$R$397,0)</x:f>
        <x:v>335</x:v>
      </x:c>
      <x:c r="W325" s="4" t="n">
        <x:f>MATCH(T325,$J$388:$J$400,0)</x:f>
        <x:v>12</x:v>
      </x:c>
      <x:c r="X325" s="3"/>
      <x:c r="Y325" s="3"/>
      <x:c r="Z325" s="3"/>
    </x:row>
    <x:row r="326" ht="15" customHeight="1">
      <x:c r="A326" s="3"/>
      <x:c r="B326" s="3"/>
      <x:c r="C326" s="3"/>
      <x:c r="D326" s="3"/>
      <x:c r="E326" s="3"/>
      <x:c r="F326" s="3"/>
      <x:c r="G326" s="3"/>
      <x:c r="H326" s="3"/>
      <x:c r="I326" s="3"/>
      <x:c r="J326" s="10" t="n">
        <x:v>46177</x:v>
      </x:c>
      <x:c r="K326" s="8" t="n">
        <x:f>INDEX('Сводка'!$S$3:$S$397,U326)</x:f>
        <x:v>75</x:v>
      </x:c>
      <x:c r="L326" s="8" t="n">
        <x:f>INDEX('Сводка'!$S$3:$S$397,V326)</x:f>
        <x:v>61</x:v>
      </x:c>
      <x:c r="M326" s="8" t="n">
        <x:f>INDEX($K$388:$N$400,W326,1)+INDEX($K$388:$N$400,W326,2)*(2*(J326-$T$405)/(T326-$T$405)-1)^1+INDEX($K$388:$N$400,W326,3)*(2*(J326-$T$405)/(T326-$T$405)-1)^2+INDEX($K$388:$N$400,W326,4)*(2*(J326-$T$405)/(T326-$T$405)-1)^3+INDEX($O$388:$Z$400,W326,MONTH(J326))</x:f>
        <x:v>168.0114576037135</x:v>
      </x:c>
      <x:c r="N326" s="8" t="n">
        <x:f>K326-M326</x:f>
        <x:v>-93.0114576037135</x:v>
      </x:c>
      <x:c r="O326" s="8" t="n">
        <x:f>ABS(N326)</x:f>
        <x:v>93.0114576037135</x:v>
      </x:c>
      <x:c r="P326" s="8" t="n">
        <x:f>N326^2</x:f>
        <x:v>8651.131245567392</x:v>
      </x:c>
      <x:c r="Q326" s="8" t="n">
        <x:f>K326-L326</x:f>
        <x:v>14</x:v>
      </x:c>
      <x:c r="R326" s="9" t="n">
        <x:f>IF(AND(INDEX('Сводка'!$T$3:$T$397,U326)=0,INDEX('Сводка'!$T$3:$T$397,V326)=0),1,0)</x:f>
        <x:v>1</x:v>
      </x:c>
      <x:c r="S326" s="9" t="n">
        <x:f>IF(AND(R326=1,O326&lt;=$G$13),1,0)</x:f>
        <x:v>0</x:v>
      </x:c>
      <x:c r="T326" s="10" t="n">
        <x:f>EOMONTH(J326-'Сводка'!$B$11,-1)</x:f>
        <x:v>46173</x:v>
      </x:c>
      <x:c r="U326" s="4" t="n">
        <x:f>MATCH(J326,'Сводка'!$R$3:$R$397,0)</x:f>
        <x:v>337</x:v>
      </x:c>
      <x:c r="V326" s="4" t="n">
        <x:f>MATCH(J326-'Сводка'!$B$11,'Сводка'!$R$3:$R$397,0)</x:f>
        <x:v>336</x:v>
      </x:c>
      <x:c r="W326" s="4" t="n">
        <x:f>MATCH(T326,$J$388:$J$400,0)</x:f>
        <x:v>12</x:v>
      </x:c>
      <x:c r="X326" s="3"/>
      <x:c r="Y326" s="3"/>
      <x:c r="Z326" s="3"/>
    </x:row>
    <x:row r="327" ht="15" customHeight="1">
      <x:c r="A327" s="3"/>
      <x:c r="B327" s="3"/>
      <x:c r="C327" s="3"/>
      <x:c r="D327" s="3"/>
      <x:c r="E327" s="3"/>
      <x:c r="F327" s="3"/>
      <x:c r="G327" s="3"/>
      <x:c r="H327" s="3"/>
      <x:c r="I327" s="3"/>
      <x:c r="J327" s="10" t="n">
        <x:v>46178</x:v>
      </x:c>
      <x:c r="K327" s="8" t="n">
        <x:f>INDEX('Сводка'!$S$3:$S$397,U327)</x:f>
        <x:v>94</x:v>
      </x:c>
      <x:c r="L327" s="8" t="n">
        <x:f>INDEX('Сводка'!$S$3:$S$397,V327)</x:f>
        <x:v>75</x:v>
      </x:c>
      <x:c r="M327" s="8" t="n">
        <x:f>INDEX($K$388:$N$400,W327,1)+INDEX($K$388:$N$400,W327,2)*(2*(J327-$T$405)/(T327-$T$405)-1)^1+INDEX($K$388:$N$400,W327,3)*(2*(J327-$T$405)/(T327-$T$405)-1)^2+INDEX($K$388:$N$400,W327,4)*(2*(J327-$T$405)/(T327-$T$405)-1)^3+INDEX($O$388:$Z$400,W327,MONTH(J327))</x:f>
        <x:v>167.98041405149115</x:v>
      </x:c>
      <x:c r="N327" s="8" t="n">
        <x:f>K327-M327</x:f>
        <x:v>-73.98041405149115</x:v>
      </x:c>
      <x:c r="O327" s="8" t="n">
        <x:f>ABS(N327)</x:f>
        <x:v>73.98041405149115</x:v>
      </x:c>
      <x:c r="P327" s="8" t="n">
        <x:f>N327^2</x:f>
        <x:v>5473.10166323007</x:v>
      </x:c>
      <x:c r="Q327" s="8" t="n">
        <x:f>K327-L327</x:f>
        <x:v>19</x:v>
      </x:c>
      <x:c r="R327" s="9" t="n">
        <x:f>IF(AND(INDEX('Сводка'!$T$3:$T$397,U327)=0,INDEX('Сводка'!$T$3:$T$397,V327)=0),1,0)</x:f>
        <x:v>1</x:v>
      </x:c>
      <x:c r="S327" s="9" t="n">
        <x:f>IF(AND(R327=1,O327&lt;=$G$13),1,0)</x:f>
        <x:v>0</x:v>
      </x:c>
      <x:c r="T327" s="10" t="n">
        <x:f>EOMONTH(J327-'Сводка'!$B$11,-1)</x:f>
        <x:v>46173</x:v>
      </x:c>
      <x:c r="U327" s="4" t="n">
        <x:f>MATCH(J327,'Сводка'!$R$3:$R$397,0)</x:f>
        <x:v>338</x:v>
      </x:c>
      <x:c r="V327" s="4" t="n">
        <x:f>MATCH(J327-'Сводка'!$B$11,'Сводка'!$R$3:$R$397,0)</x:f>
        <x:v>337</x:v>
      </x:c>
      <x:c r="W327" s="4" t="n">
        <x:f>MATCH(T327,$J$388:$J$400,0)</x:f>
        <x:v>12</x:v>
      </x:c>
      <x:c r="X327" s="3"/>
      <x:c r="Y327" s="3"/>
      <x:c r="Z327" s="3"/>
    </x:row>
    <x:row r="328" ht="15" customHeight="1">
      <x:c r="A328" s="3"/>
      <x:c r="B328" s="3"/>
      <x:c r="C328" s="3"/>
      <x:c r="D328" s="3"/>
      <x:c r="E328" s="3"/>
      <x:c r="F328" s="3"/>
      <x:c r="G328" s="3"/>
      <x:c r="H328" s="3"/>
      <x:c r="I328" s="3"/>
      <x:c r="J328" s="10" t="n">
        <x:v>46179</x:v>
      </x:c>
      <x:c r="K328" s="8" t="n">
        <x:f>INDEX('Сводка'!$S$3:$S$397,U328)</x:f>
        <x:v>116</x:v>
      </x:c>
      <x:c r="L328" s="8" t="n">
        <x:f>INDEX('Сводка'!$S$3:$S$397,V328)</x:f>
        <x:v>94</x:v>
      </x:c>
      <x:c r="M328" s="8" t="n">
        <x:f>INDEX($K$388:$N$400,W328,1)+INDEX($K$388:$N$400,W328,2)*(2*(J328-$T$405)/(T328-$T$405)-1)^1+INDEX($K$388:$N$400,W328,3)*(2*(J328-$T$405)/(T328-$T$405)-1)^2+INDEX($K$388:$N$400,W328,4)*(2*(J328-$T$405)/(T328-$T$405)-1)^3+INDEX($O$388:$Z$400,W328,MONTH(J328))</x:f>
        <x:v>167.94935232686305</x:v>
      </x:c>
      <x:c r="N328" s="8" t="n">
        <x:f>K328-M328</x:f>
        <x:v>-51.94935232686305</x:v>
      </x:c>
      <x:c r="O328" s="8" t="n">
        <x:f>ABS(N328)</x:f>
        <x:v>51.94935232686305</x:v>
      </x:c>
      <x:c r="P328" s="8" t="n">
        <x:f>N328^2</x:f>
        <x:v>2698.7352071805512</x:v>
      </x:c>
      <x:c r="Q328" s="8" t="n">
        <x:f>K328-L328</x:f>
        <x:v>22</x:v>
      </x:c>
      <x:c r="R328" s="9" t="n">
        <x:f>IF(AND(INDEX('Сводка'!$T$3:$T$397,U328)=0,INDEX('Сводка'!$T$3:$T$397,V328)=0),1,0)</x:f>
        <x:v>1</x:v>
      </x:c>
      <x:c r="S328" s="9" t="n">
        <x:f>IF(AND(R328=1,O328&lt;=$G$13),1,0)</x:f>
        <x:v>0</x:v>
      </x:c>
      <x:c r="T328" s="10" t="n">
        <x:f>EOMONTH(J328-'Сводка'!$B$11,-1)</x:f>
        <x:v>46173</x:v>
      </x:c>
      <x:c r="U328" s="4" t="n">
        <x:f>MATCH(J328,'Сводка'!$R$3:$R$397,0)</x:f>
        <x:v>339</x:v>
      </x:c>
      <x:c r="V328" s="4" t="n">
        <x:f>MATCH(J328-'Сводка'!$B$11,'Сводка'!$R$3:$R$397,0)</x:f>
        <x:v>338</x:v>
      </x:c>
      <x:c r="W328" s="4" t="n">
        <x:f>MATCH(T328,$J$388:$J$400,0)</x:f>
        <x:v>12</x:v>
      </x:c>
      <x:c r="X328" s="3"/>
      <x:c r="Y328" s="3"/>
      <x:c r="Z328" s="3"/>
    </x:row>
    <x:row r="329" ht="15" customHeight="1">
      <x:c r="A329" s="3"/>
      <x:c r="B329" s="3"/>
      <x:c r="C329" s="3"/>
      <x:c r="D329" s="3"/>
      <x:c r="E329" s="3"/>
      <x:c r="F329" s="3"/>
      <x:c r="G329" s="3"/>
      <x:c r="H329" s="3"/>
      <x:c r="I329" s="3"/>
      <x:c r="J329" s="10" t="n">
        <x:v>46180</x:v>
      </x:c>
      <x:c r="K329" s="8" t="n">
        <x:f>INDEX('Сводка'!$S$3:$S$397,U329)</x:f>
        <x:v>128</x:v>
      </x:c>
      <x:c r="L329" s="8" t="n">
        <x:f>INDEX('Сводка'!$S$3:$S$397,V329)</x:f>
        <x:v>116</x:v>
      </x:c>
      <x:c r="M329" s="8" t="n">
        <x:f>INDEX($K$388:$N$400,W329,1)+INDEX($K$388:$N$400,W329,2)*(2*(J329-$T$405)/(T329-$T$405)-1)^1+INDEX($K$388:$N$400,W329,3)*(2*(J329-$T$405)/(T329-$T$405)-1)^2+INDEX($K$388:$N$400,W329,4)*(2*(J329-$T$405)/(T329-$T$405)-1)^3+INDEX($O$388:$Z$400,W329,MONTH(J329))</x:f>
        <x:v>167.9182724272541</x:v>
      </x:c>
      <x:c r="N329" s="8" t="n">
        <x:f>K329-M329</x:f>
        <x:v>-39.918272427254095</x:v>
      </x:c>
      <x:c r="O329" s="8" t="n">
        <x:f>ABS(N329)</x:f>
        <x:v>39.918272427254095</x:v>
      </x:c>
      <x:c r="P329" s="8" t="n">
        <x:f>N329^2</x:f>
        <x:v>1593.4684735764745</x:v>
      </x:c>
      <x:c r="Q329" s="8" t="n">
        <x:f>K329-L329</x:f>
        <x:v>12</x:v>
      </x:c>
      <x:c r="R329" s="9" t="n">
        <x:f>IF(AND(INDEX('Сводка'!$T$3:$T$397,U329)=0,INDEX('Сводка'!$T$3:$T$397,V329)=0),1,0)</x:f>
        <x:v>1</x:v>
      </x:c>
      <x:c r="S329" s="9" t="n">
        <x:f>IF(AND(R329=1,O329&lt;=$G$13),1,0)</x:f>
        <x:v>0</x:v>
      </x:c>
      <x:c r="T329" s="10" t="n">
        <x:f>EOMONTH(J329-'Сводка'!$B$11,-1)</x:f>
        <x:v>46173</x:v>
      </x:c>
      <x:c r="U329" s="4" t="n">
        <x:f>MATCH(J329,'Сводка'!$R$3:$R$397,0)</x:f>
        <x:v>340</x:v>
      </x:c>
      <x:c r="V329" s="4" t="n">
        <x:f>MATCH(J329-'Сводка'!$B$11,'Сводка'!$R$3:$R$397,0)</x:f>
        <x:v>339</x:v>
      </x:c>
      <x:c r="W329" s="4" t="n">
        <x:f>MATCH(T329,$J$388:$J$400,0)</x:f>
        <x:v>12</x:v>
      </x:c>
      <x:c r="X329" s="3"/>
      <x:c r="Y329" s="3"/>
      <x:c r="Z329" s="3"/>
    </x:row>
    <x:row r="330" ht="15" customHeight="1">
      <x:c r="A330" s="3"/>
      <x:c r="B330" s="3"/>
      <x:c r="C330" s="3"/>
      <x:c r="D330" s="3"/>
      <x:c r="E330" s="3"/>
      <x:c r="F330" s="3"/>
      <x:c r="G330" s="3"/>
      <x:c r="H330" s="3"/>
      <x:c r="I330" s="3"/>
      <x:c r="J330" s="10" t="n">
        <x:v>46181</x:v>
      </x:c>
      <x:c r="K330" s="8" t="n">
        <x:f>INDEX('Сводка'!$S$3:$S$397,U330)</x:f>
        <x:v>132</x:v>
      </x:c>
      <x:c r="L330" s="8" t="n">
        <x:f>INDEX('Сводка'!$S$3:$S$397,V330)</x:f>
        <x:v>128</x:v>
      </x:c>
      <x:c r="M330" s="8" t="n">
        <x:f>INDEX($K$388:$N$400,W330,1)+INDEX($K$388:$N$400,W330,2)*(2*(J330-$T$405)/(T330-$T$405)-1)^1+INDEX($K$388:$N$400,W330,3)*(2*(J330-$T$405)/(T330-$T$405)-1)^2+INDEX($K$388:$N$400,W330,4)*(2*(J330-$T$405)/(T330-$T$405)-1)^3+INDEX($O$388:$Z$400,W330,MONTH(J330))</x:f>
        <x:v>167.88717435008942</x:v>
      </x:c>
      <x:c r="N330" s="8" t="n">
        <x:f>K330-M330</x:f>
        <x:v>-35.887174350089424</x:v>
      </x:c>
      <x:c r="O330" s="8" t="n">
        <x:f>ABS(N330)</x:f>
        <x:v>35.887174350089424</x:v>
      </x:c>
      <x:c r="P330" s="8" t="n">
        <x:f>N330^2</x:f>
        <x:v>1287.8892828337164</x:v>
      </x:c>
      <x:c r="Q330" s="8" t="n">
        <x:f>K330-L330</x:f>
        <x:v>4</x:v>
      </x:c>
      <x:c r="R330" s="9" t="n">
        <x:f>IF(AND(INDEX('Сводка'!$T$3:$T$397,U330)=0,INDEX('Сводка'!$T$3:$T$397,V330)=0),1,0)</x:f>
        <x:v>1</x:v>
      </x:c>
      <x:c r="S330" s="9" t="n">
        <x:f>IF(AND(R330=1,O330&lt;=$G$13),1,0)</x:f>
        <x:v>0</x:v>
      </x:c>
      <x:c r="T330" s="10" t="n">
        <x:f>EOMONTH(J330-'Сводка'!$B$11,-1)</x:f>
        <x:v>46173</x:v>
      </x:c>
      <x:c r="U330" s="4" t="n">
        <x:f>MATCH(J330,'Сводка'!$R$3:$R$397,0)</x:f>
        <x:v>341</x:v>
      </x:c>
      <x:c r="V330" s="4" t="n">
        <x:f>MATCH(J330-'Сводка'!$B$11,'Сводка'!$R$3:$R$397,0)</x:f>
        <x:v>340</x:v>
      </x:c>
      <x:c r="W330" s="4" t="n">
        <x:f>MATCH(T330,$J$388:$J$400,0)</x:f>
        <x:v>12</x:v>
      </x:c>
      <x:c r="X330" s="3"/>
      <x:c r="Y330" s="3"/>
      <x:c r="Z330" s="3"/>
    </x:row>
    <x:row r="331" ht="15" customHeight="1">
      <x:c r="A331" s="3"/>
      <x:c r="B331" s="3"/>
      <x:c r="C331" s="3"/>
      <x:c r="D331" s="3"/>
      <x:c r="E331" s="3"/>
      <x:c r="F331" s="3"/>
      <x:c r="G331" s="3"/>
      <x:c r="H331" s="3"/>
      <x:c r="I331" s="3"/>
      <x:c r="J331" s="10" t="n">
        <x:v>46182</x:v>
      </x:c>
      <x:c r="K331" s="8" t="n">
        <x:f>INDEX('Сводка'!$S$3:$S$397,U331)</x:f>
        <x:v>131</x:v>
      </x:c>
      <x:c r="L331" s="8" t="n">
        <x:f>INDEX('Сводка'!$S$3:$S$397,V331)</x:f>
        <x:v>132</x:v>
      </x:c>
      <x:c r="M331" s="8" t="n">
        <x:f>INDEX($K$388:$N$400,W331,1)+INDEX($K$388:$N$400,W331,2)*(2*(J331-$T$405)/(T331-$T$405)-1)^1+INDEX($K$388:$N$400,W331,3)*(2*(J331-$T$405)/(T331-$T$405)-1)^2+INDEX($K$388:$N$400,W331,4)*(2*(J331-$T$405)/(T331-$T$405)-1)^3+INDEX($O$388:$Z$400,W331,MONTH(J331))</x:f>
        <x:v>167.85605809279403</x:v>
      </x:c>
      <x:c r="N331" s="8" t="n">
        <x:f>K331-M331</x:f>
        <x:v>-36.85605809279403</x:v>
      </x:c>
      <x:c r="O331" s="8" t="n">
        <x:f>ABS(N331)</x:f>
        <x:v>36.85605809279403</x:v>
      </x:c>
      <x:c r="P331" s="8" t="n">
        <x:f>N331^2</x:f>
        <x:v>1358.3690181394084</x:v>
      </x:c>
      <x:c r="Q331" s="8" t="n">
        <x:f>K331-L331</x:f>
        <x:v>-1</x:v>
      </x:c>
      <x:c r="R331" s="9" t="n">
        <x:f>IF(AND(INDEX('Сводка'!$T$3:$T$397,U331)=0,INDEX('Сводка'!$T$3:$T$397,V331)=0),1,0)</x:f>
        <x:v>1</x:v>
      </x:c>
      <x:c r="S331" s="9" t="n">
        <x:f>IF(AND(R331=1,O331&lt;=$G$13),1,0)</x:f>
        <x:v>0</x:v>
      </x:c>
      <x:c r="T331" s="10" t="n">
        <x:f>EOMONTH(J331-'Сводка'!$B$11,-1)</x:f>
        <x:v>46173</x:v>
      </x:c>
      <x:c r="U331" s="4" t="n">
        <x:f>MATCH(J331,'Сводка'!$R$3:$R$397,0)</x:f>
        <x:v>342</x:v>
      </x:c>
      <x:c r="V331" s="4" t="n">
        <x:f>MATCH(J331-'Сводка'!$B$11,'Сводка'!$R$3:$R$397,0)</x:f>
        <x:v>341</x:v>
      </x:c>
      <x:c r="W331" s="4" t="n">
        <x:f>MATCH(T331,$J$388:$J$400,0)</x:f>
        <x:v>12</x:v>
      </x:c>
      <x:c r="X331" s="3"/>
      <x:c r="Y331" s="3"/>
      <x:c r="Z331" s="3"/>
    </x:row>
    <x:row r="332" ht="15" customHeight="1">
      <x:c r="A332" s="3"/>
      <x:c r="B332" s="3"/>
      <x:c r="C332" s="3"/>
      <x:c r="D332" s="3"/>
      <x:c r="E332" s="3"/>
      <x:c r="F332" s="3"/>
      <x:c r="G332" s="3"/>
      <x:c r="H332" s="3"/>
      <x:c r="I332" s="3"/>
      <x:c r="J332" s="10" t="n">
        <x:v>46183</x:v>
      </x:c>
      <x:c r="K332" s="8" t="n">
        <x:f>INDEX('Сводка'!$S$3:$S$397,U332)</x:f>
        <x:v>128</x:v>
      </x:c>
      <x:c r="L332" s="8" t="n">
        <x:f>INDEX('Сводка'!$S$3:$S$397,V332)</x:f>
        <x:v>131</x:v>
      </x:c>
      <x:c r="M332" s="8" t="n">
        <x:f>INDEX($K$388:$N$400,W332,1)+INDEX($K$388:$N$400,W332,2)*(2*(J332-$T$405)/(T332-$T$405)-1)^1+INDEX($K$388:$N$400,W332,3)*(2*(J332-$T$405)/(T332-$T$405)-1)^2+INDEX($K$388:$N$400,W332,4)*(2*(J332-$T$405)/(T332-$T$405)-1)^3+INDEX($O$388:$Z$400,W332,MONTH(J332))</x:f>
        <x:v>167.8249236527929</x:v>
      </x:c>
      <x:c r="N332" s="8" t="n">
        <x:f>K332-M332</x:f>
        <x:v>-39.824923652792904</x:v>
      </x:c>
      <x:c r="O332" s="8" t="n">
        <x:f>ABS(N332)</x:f>
        <x:v>39.824923652792904</x:v>
      </x:c>
      <x:c r="P332" s="8" t="n">
        <x:f>N332^2</x:f>
        <x:v>1586.0245439507837</x:v>
      </x:c>
      <x:c r="Q332" s="8" t="n">
        <x:f>K332-L332</x:f>
        <x:v>-3</x:v>
      </x:c>
      <x:c r="R332" s="9" t="n">
        <x:f>IF(AND(INDEX('Сводка'!$T$3:$T$397,U332)=0,INDEX('Сводка'!$T$3:$T$397,V332)=0),1,0)</x:f>
        <x:v>1</x:v>
      </x:c>
      <x:c r="S332" s="9" t="n">
        <x:f>IF(AND(R332=1,O332&lt;=$G$13),1,0)</x:f>
        <x:v>0</x:v>
      </x:c>
      <x:c r="T332" s="10" t="n">
        <x:f>EOMONTH(J332-'Сводка'!$B$11,-1)</x:f>
        <x:v>46173</x:v>
      </x:c>
      <x:c r="U332" s="4" t="n">
        <x:f>MATCH(J332,'Сводка'!$R$3:$R$397,0)</x:f>
        <x:v>343</x:v>
      </x:c>
      <x:c r="V332" s="4" t="n">
        <x:f>MATCH(J332-'Сводка'!$B$11,'Сводка'!$R$3:$R$397,0)</x:f>
        <x:v>342</x:v>
      </x:c>
      <x:c r="W332" s="4" t="n">
        <x:f>MATCH(T332,$J$388:$J$400,0)</x:f>
        <x:v>12</x:v>
      </x:c>
      <x:c r="X332" s="3"/>
      <x:c r="Y332" s="3"/>
      <x:c r="Z332" s="3"/>
    </x:row>
    <x:row r="333" ht="15" customHeight="1">
      <x:c r="A333" s="3"/>
      <x:c r="B333" s="3"/>
      <x:c r="C333" s="3"/>
      <x:c r="D333" s="3"/>
      <x:c r="E333" s="3"/>
      <x:c r="F333" s="3"/>
      <x:c r="G333" s="3"/>
      <x:c r="H333" s="3"/>
      <x:c r="I333" s="3"/>
      <x:c r="J333" s="10" t="n">
        <x:v>46184</x:v>
      </x:c>
      <x:c r="K333" s="8" t="n">
        <x:f>INDEX('Сводка'!$S$3:$S$397,U333)</x:f>
        <x:v>128</x:v>
      </x:c>
      <x:c r="L333" s="8" t="n">
        <x:f>INDEX('Сводка'!$S$3:$S$397,V333)</x:f>
        <x:v>128</x:v>
      </x:c>
      <x:c r="M333" s="8" t="n">
        <x:f>INDEX($K$388:$N$400,W333,1)+INDEX($K$388:$N$400,W333,2)*(2*(J333-$T$405)/(T333-$T$405)-1)^1+INDEX($K$388:$N$400,W333,3)*(2*(J333-$T$405)/(T333-$T$405)-1)^2+INDEX($K$388:$N$400,W333,4)*(2*(J333-$T$405)/(T333-$T$405)-1)^3+INDEX($O$388:$Z$400,W333,MONTH(J333))</x:f>
        <x:v>167.79377102751113</x:v>
      </x:c>
      <x:c r="N333" s="8" t="n">
        <x:f>K333-M333</x:f>
        <x:v>-39.79377102751113</x:v>
      </x:c>
      <x:c r="O333" s="8" t="n">
        <x:f>ABS(N333)</x:f>
        <x:v>39.79377102751113</x:v>
      </x:c>
      <x:c r="P333" s="8" t="n">
        <x:f>N333^2</x:f>
        <x:v>1583.544212589984</x:v>
      </x:c>
      <x:c r="Q333" s="8" t="n">
        <x:f>K333-L333</x:f>
        <x:v>0</x:v>
      </x:c>
      <x:c r="R333" s="9" t="n">
        <x:f>IF(AND(INDEX('Сводка'!$T$3:$T$397,U333)=0,INDEX('Сводка'!$T$3:$T$397,V333)=0),1,0)</x:f>
        <x:v>1</x:v>
      </x:c>
      <x:c r="S333" s="9" t="n">
        <x:f>IF(AND(R333=1,O333&lt;=$G$13),1,0)</x:f>
        <x:v>0</x:v>
      </x:c>
      <x:c r="T333" s="10" t="n">
        <x:f>EOMONTH(J333-'Сводка'!$B$11,-1)</x:f>
        <x:v>46173</x:v>
      </x:c>
      <x:c r="U333" s="4" t="n">
        <x:f>MATCH(J333,'Сводка'!$R$3:$R$397,0)</x:f>
        <x:v>344</x:v>
      </x:c>
      <x:c r="V333" s="4" t="n">
        <x:f>MATCH(J333-'Сводка'!$B$11,'Сводка'!$R$3:$R$397,0)</x:f>
        <x:v>343</x:v>
      </x:c>
      <x:c r="W333" s="4" t="n">
        <x:f>MATCH(T333,$J$388:$J$400,0)</x:f>
        <x:v>12</x:v>
      </x:c>
      <x:c r="X333" s="3"/>
      <x:c r="Y333" s="3"/>
      <x:c r="Z333" s="3"/>
    </x:row>
    <x:row r="334" ht="15" customHeight="1">
      <x:c r="A334" s="3"/>
      <x:c r="B334" s="3"/>
      <x:c r="C334" s="3"/>
      <x:c r="D334" s="3"/>
      <x:c r="E334" s="3"/>
      <x:c r="F334" s="3"/>
      <x:c r="G334" s="3"/>
      <x:c r="H334" s="3"/>
      <x:c r="I334" s="3"/>
      <x:c r="J334" s="10" t="n">
        <x:v>46185</x:v>
      </x:c>
      <x:c r="K334" s="8" t="n">
        <x:f>INDEX('Сводка'!$S$3:$S$397,U334)</x:f>
        <x:v>123</x:v>
      </x:c>
      <x:c r="L334" s="8" t="n">
        <x:f>INDEX('Сводка'!$S$3:$S$397,V334)</x:f>
        <x:v>128</x:v>
      </x:c>
      <x:c r="M334" s="8" t="n">
        <x:f>INDEX($K$388:$N$400,W334,1)+INDEX($K$388:$N$400,W334,2)*(2*(J334-$T$405)/(T334-$T$405)-1)^1+INDEX($K$388:$N$400,W334,3)*(2*(J334-$T$405)/(T334-$T$405)-1)^2+INDEX($K$388:$N$400,W334,4)*(2*(J334-$T$405)/(T334-$T$405)-1)^3+INDEX($O$388:$Z$400,W334,MONTH(J334))</x:f>
        <x:v>167.7626002143738</x:v>
      </x:c>
      <x:c r="N334" s="8" t="n">
        <x:f>K334-M334</x:f>
        <x:v>-44.762600214373805</x:v>
      </x:c>
      <x:c r="O334" s="8" t="n">
        <x:f>ABS(N334)</x:f>
        <x:v>44.762600214373805</x:v>
      </x:c>
      <x:c r="P334" s="8" t="n">
        <x:f>N334^2</x:f>
        <x:v>2003.6903779518577</x:v>
      </x:c>
      <x:c r="Q334" s="8" t="n">
        <x:f>K334-L334</x:f>
        <x:v>-5</x:v>
      </x:c>
      <x:c r="R334" s="9" t="n">
        <x:f>IF(AND(INDEX('Сводка'!$T$3:$T$397,U334)=0,INDEX('Сводка'!$T$3:$T$397,V334)=0),1,0)</x:f>
        <x:v>1</x:v>
      </x:c>
      <x:c r="S334" s="9" t="n">
        <x:f>IF(AND(R334=1,O334&lt;=$G$13),1,0)</x:f>
        <x:v>0</x:v>
      </x:c>
      <x:c r="T334" s="10" t="n">
        <x:f>EOMONTH(J334-'Сводка'!$B$11,-1)</x:f>
        <x:v>46173</x:v>
      </x:c>
      <x:c r="U334" s="4" t="n">
        <x:f>MATCH(J334,'Сводка'!$R$3:$R$397,0)</x:f>
        <x:v>345</x:v>
      </x:c>
      <x:c r="V334" s="4" t="n">
        <x:f>MATCH(J334-'Сводка'!$B$11,'Сводка'!$R$3:$R$397,0)</x:f>
        <x:v>344</x:v>
      </x:c>
      <x:c r="W334" s="4" t="n">
        <x:f>MATCH(T334,$J$388:$J$400,0)</x:f>
        <x:v>12</x:v>
      </x:c>
      <x:c r="X334" s="3"/>
      <x:c r="Y334" s="3"/>
      <x:c r="Z334" s="3"/>
    </x:row>
    <x:row r="335" ht="15" customHeight="1">
      <x:c r="A335" s="3"/>
      <x:c r="B335" s="3"/>
      <x:c r="C335" s="3"/>
      <x:c r="D335" s="3"/>
      <x:c r="E335" s="3"/>
      <x:c r="F335" s="3"/>
      <x:c r="G335" s="3"/>
      <x:c r="H335" s="3"/>
      <x:c r="I335" s="3"/>
      <x:c r="J335" s="10" t="n">
        <x:v>46186</x:v>
      </x:c>
      <x:c r="K335" s="8" t="n">
        <x:f>INDEX('Сводка'!$S$3:$S$397,U335)</x:f>
        <x:v>128</x:v>
      </x:c>
      <x:c r="L335" s="8" t="n">
        <x:f>INDEX('Сводка'!$S$3:$S$397,V335)</x:f>
        <x:v>123</x:v>
      </x:c>
      <x:c r="M335" s="8" t="n">
        <x:f>INDEX($K$388:$N$400,W335,1)+INDEX($K$388:$N$400,W335,2)*(2*(J335-$T$405)/(T335-$T$405)-1)^1+INDEX($K$388:$N$400,W335,3)*(2*(J335-$T$405)/(T335-$T$405)-1)^2+INDEX($K$388:$N$400,W335,4)*(2*(J335-$T$405)/(T335-$T$405)-1)^3+INDEX($O$388:$Z$400,W335,MONTH(J335))</x:f>
        <x:v>167.7314112108058</x:v>
      </x:c>
      <x:c r="N335" s="8" t="n">
        <x:f>K335-M335</x:f>
        <x:v>-39.73141121080579</x:v>
      </x:c>
      <x:c r="O335" s="8" t="n">
        <x:f>ABS(N335)</x:f>
        <x:v>39.73141121080579</x:v>
      </x:c>
      <x:c r="P335" s="8" t="n">
        <x:f>N335^2</x:f>
        <x:v>1578.5850368021438</x:v>
      </x:c>
      <x:c r="Q335" s="8" t="n">
        <x:f>K335-L335</x:f>
        <x:v>5</x:v>
      </x:c>
      <x:c r="R335" s="9" t="n">
        <x:f>IF(AND(INDEX('Сводка'!$T$3:$T$397,U335)=0,INDEX('Сводка'!$T$3:$T$397,V335)=0),1,0)</x:f>
        <x:v>1</x:v>
      </x:c>
      <x:c r="S335" s="9" t="n">
        <x:f>IF(AND(R335=1,O335&lt;=$G$13),1,0)</x:f>
        <x:v>0</x:v>
      </x:c>
      <x:c r="T335" s="10" t="n">
        <x:f>EOMONTH(J335-'Сводка'!$B$11,-1)</x:f>
        <x:v>46173</x:v>
      </x:c>
      <x:c r="U335" s="4" t="n">
        <x:f>MATCH(J335,'Сводка'!$R$3:$R$397,0)</x:f>
        <x:v>346</x:v>
      </x:c>
      <x:c r="V335" s="4" t="n">
        <x:f>MATCH(J335-'Сводка'!$B$11,'Сводка'!$R$3:$R$397,0)</x:f>
        <x:v>345</x:v>
      </x:c>
      <x:c r="W335" s="4" t="n">
        <x:f>MATCH(T335,$J$388:$J$400,0)</x:f>
        <x:v>12</x:v>
      </x:c>
      <x:c r="X335" s="3"/>
      <x:c r="Y335" s="3"/>
      <x:c r="Z335" s="3"/>
    </x:row>
    <x:row r="336" ht="15" customHeight="1">
      <x:c r="A336" s="3"/>
      <x:c r="B336" s="3"/>
      <x:c r="C336" s="3"/>
      <x:c r="D336" s="3"/>
      <x:c r="E336" s="3"/>
      <x:c r="F336" s="3"/>
      <x:c r="G336" s="3"/>
      <x:c r="H336" s="3"/>
      <x:c r="I336" s="3"/>
      <x:c r="J336" s="10" t="n">
        <x:v>46187</x:v>
      </x:c>
      <x:c r="K336" s="8" t="n">
        <x:f>INDEX('Сводка'!$S$3:$S$397,U336)</x:f>
        <x:v>138</x:v>
      </x:c>
      <x:c r="L336" s="8" t="n">
        <x:f>INDEX('Сводка'!$S$3:$S$397,V336)</x:f>
        <x:v>128</x:v>
      </x:c>
      <x:c r="M336" s="8" t="n">
        <x:f>INDEX($K$388:$N$400,W336,1)+INDEX($K$388:$N$400,W336,2)*(2*(J336-$T$405)/(T336-$T$405)-1)^1+INDEX($K$388:$N$400,W336,3)*(2*(J336-$T$405)/(T336-$T$405)-1)^2+INDEX($K$388:$N$400,W336,4)*(2*(J336-$T$405)/(T336-$T$405)-1)^3+INDEX($O$388:$Z$400,W336,MONTH(J336))</x:f>
        <x:v>167.70020401423227</x:v>
      </x:c>
      <x:c r="N336" s="8" t="n">
        <x:f>K336-M336</x:f>
        <x:v>-29.70020401423227</x:v>
      </x:c>
      <x:c r="O336" s="8" t="n">
        <x:f>ABS(N336)</x:f>
        <x:v>29.70020401423227</x:v>
      </x:c>
      <x:c r="P336" s="8" t="n">
        <x:f>N336^2</x:f>
        <x:v>882.1021184870186</x:v>
      </x:c>
      <x:c r="Q336" s="8" t="n">
        <x:f>K336-L336</x:f>
        <x:v>10</x:v>
      </x:c>
      <x:c r="R336" s="9" t="n">
        <x:f>IF(AND(INDEX('Сводка'!$T$3:$T$397,U336)=0,INDEX('Сводка'!$T$3:$T$397,V336)=0),1,0)</x:f>
        <x:v>1</x:v>
      </x:c>
      <x:c r="S336" s="9" t="n">
        <x:f>IF(AND(R336=1,O336&lt;=$G$13),1,0)</x:f>
        <x:v>0</x:v>
      </x:c>
      <x:c r="T336" s="10" t="n">
        <x:f>EOMONTH(J336-'Сводка'!$B$11,-1)</x:f>
        <x:v>46173</x:v>
      </x:c>
      <x:c r="U336" s="4" t="n">
        <x:f>MATCH(J336,'Сводка'!$R$3:$R$397,0)</x:f>
        <x:v>347</x:v>
      </x:c>
      <x:c r="V336" s="4" t="n">
        <x:f>MATCH(J336-'Сводка'!$B$11,'Сводка'!$R$3:$R$397,0)</x:f>
        <x:v>346</x:v>
      </x:c>
      <x:c r="W336" s="4" t="n">
        <x:f>MATCH(T336,$J$388:$J$400,0)</x:f>
        <x:v>12</x:v>
      </x:c>
      <x:c r="X336" s="3"/>
      <x:c r="Y336" s="3"/>
      <x:c r="Z336" s="3"/>
    </x:row>
    <x:row r="337" ht="15" customHeight="1">
      <x:c r="A337" s="3"/>
      <x:c r="B337" s="3"/>
      <x:c r="C337" s="3"/>
      <x:c r="D337" s="3"/>
      <x:c r="E337" s="3"/>
      <x:c r="F337" s="3"/>
      <x:c r="G337" s="3"/>
      <x:c r="H337" s="3"/>
      <x:c r="I337" s="3"/>
      <x:c r="J337" s="10" t="n">
        <x:v>46188</x:v>
      </x:c>
      <x:c r="K337" s="8" t="n">
        <x:f>INDEX('Сводка'!$S$3:$S$397,U337)</x:f>
        <x:v>147</x:v>
      </x:c>
      <x:c r="L337" s="8" t="n">
        <x:f>INDEX('Сводка'!$S$3:$S$397,V337)</x:f>
        <x:v>138</x:v>
      </x:c>
      <x:c r="M337" s="8" t="n">
        <x:f>INDEX($K$388:$N$400,W337,1)+INDEX($K$388:$N$400,W337,2)*(2*(J337-$T$405)/(T337-$T$405)-1)^1+INDEX($K$388:$N$400,W337,3)*(2*(J337-$T$405)/(T337-$T$405)-1)^2+INDEX($K$388:$N$400,W337,4)*(2*(J337-$T$405)/(T337-$T$405)-1)^3+INDEX($O$388:$Z$400,W337,MONTH(J337))</x:f>
        <x:v>167.66897862207827</x:v>
      </x:c>
      <x:c r="N337" s="8" t="n">
        <x:f>K337-M337</x:f>
        <x:v>-20.66897862207827</x:v>
      </x:c>
      <x:c r="O337" s="8" t="n">
        <x:f>ABS(N337)</x:f>
        <x:v>20.66897862207827</x:v>
      </x:c>
      <x:c r="P337" s="8" t="n">
        <x:f>N337^2</x:f>
        <x:v>427.20667727992856</x:v>
      </x:c>
      <x:c r="Q337" s="8" t="n">
        <x:f>K337-L337</x:f>
        <x:v>9</x:v>
      </x:c>
      <x:c r="R337" s="9" t="n">
        <x:f>IF(AND(INDEX('Сводка'!$T$3:$T$397,U337)=0,INDEX('Сводка'!$T$3:$T$397,V337)=0),1,0)</x:f>
        <x:v>1</x:v>
      </x:c>
      <x:c r="S337" s="9" t="n">
        <x:f>IF(AND(R337=1,O337&lt;=$G$13),1,0)</x:f>
        <x:v>0</x:v>
      </x:c>
      <x:c r="T337" s="10" t="n">
        <x:f>EOMONTH(J337-'Сводка'!$B$11,-1)</x:f>
        <x:v>46173</x:v>
      </x:c>
      <x:c r="U337" s="4" t="n">
        <x:f>MATCH(J337,'Сводка'!$R$3:$R$397,0)</x:f>
        <x:v>348</x:v>
      </x:c>
      <x:c r="V337" s="4" t="n">
        <x:f>MATCH(J337-'Сводка'!$B$11,'Сводка'!$R$3:$R$397,0)</x:f>
        <x:v>347</x:v>
      </x:c>
      <x:c r="W337" s="4" t="n">
        <x:f>MATCH(T337,$J$388:$J$400,0)</x:f>
        <x:v>12</x:v>
      </x:c>
      <x:c r="X337" s="3"/>
      <x:c r="Y337" s="3"/>
      <x:c r="Z337" s="3"/>
    </x:row>
    <x:row r="338" ht="15" customHeight="1">
      <x:c r="A338" s="3"/>
      <x:c r="B338" s="3"/>
      <x:c r="C338" s="3"/>
      <x:c r="D338" s="3"/>
      <x:c r="E338" s="3"/>
      <x:c r="F338" s="3"/>
      <x:c r="G338" s="3"/>
      <x:c r="H338" s="3"/>
      <x:c r="I338" s="3"/>
      <x:c r="J338" s="10" t="n">
        <x:v>46189</x:v>
      </x:c>
      <x:c r="K338" s="8" t="n">
        <x:f>INDEX('Сводка'!$S$3:$S$397,U338)</x:f>
        <x:v>154</x:v>
      </x:c>
      <x:c r="L338" s="8" t="n">
        <x:f>INDEX('Сводка'!$S$3:$S$397,V338)</x:f>
        <x:v>147</x:v>
      </x:c>
      <x:c r="M338" s="8" t="n">
        <x:f>INDEX($K$388:$N$400,W338,1)+INDEX($K$388:$N$400,W338,2)*(2*(J338-$T$405)/(T338-$T$405)-1)^1+INDEX($K$388:$N$400,W338,3)*(2*(J338-$T$405)/(T338-$T$405)-1)^2+INDEX($K$388:$N$400,W338,4)*(2*(J338-$T$405)/(T338-$T$405)-1)^3+INDEX($O$388:$Z$400,W338,MONTH(J338))</x:f>
        <x:v>167.63773503176873</x:v>
      </x:c>
      <x:c r="N338" s="8" t="n">
        <x:f>K338-M338</x:f>
        <x:v>-13.637735031768727</x:v>
      </x:c>
      <x:c r="O338" s="8" t="n">
        <x:f>ABS(N338)</x:f>
        <x:v>13.637735031768727</x:v>
      </x:c>
      <x:c r="P338" s="8" t="n">
        <x:f>N338^2</x:f>
        <x:v>185.98781679673198</x:v>
      </x:c>
      <x:c r="Q338" s="8" t="n">
        <x:f>K338-L338</x:f>
        <x:v>7</x:v>
      </x:c>
      <x:c r="R338" s="9" t="n">
        <x:f>IF(AND(INDEX('Сводка'!$T$3:$T$397,U338)=0,INDEX('Сводка'!$T$3:$T$397,V338)=0),1,0)</x:f>
        <x:v>1</x:v>
      </x:c>
      <x:c r="S338" s="9" t="n">
        <x:f>IF(AND(R338=1,O338&lt;=$G$13),1,0)</x:f>
        <x:v>0</x:v>
      </x:c>
      <x:c r="T338" s="10" t="n">
        <x:f>EOMONTH(J338-'Сводка'!$B$11,-1)</x:f>
        <x:v>46173</x:v>
      </x:c>
      <x:c r="U338" s="4" t="n">
        <x:f>MATCH(J338,'Сводка'!$R$3:$R$397,0)</x:f>
        <x:v>349</x:v>
      </x:c>
      <x:c r="V338" s="4" t="n">
        <x:f>MATCH(J338-'Сводка'!$B$11,'Сводка'!$R$3:$R$397,0)</x:f>
        <x:v>348</x:v>
      </x:c>
      <x:c r="W338" s="4" t="n">
        <x:f>MATCH(T338,$J$388:$J$400,0)</x:f>
        <x:v>12</x:v>
      </x:c>
      <x:c r="X338" s="3"/>
      <x:c r="Y338" s="3"/>
      <x:c r="Z338" s="3"/>
    </x:row>
    <x:row r="339" ht="15" customHeight="1">
      <x:c r="A339" s="3"/>
      <x:c r="B339" s="3"/>
      <x:c r="C339" s="3"/>
      <x:c r="D339" s="3"/>
      <x:c r="E339" s="3"/>
      <x:c r="F339" s="3"/>
      <x:c r="G339" s="3"/>
      <x:c r="H339" s="3"/>
      <x:c r="I339" s="3"/>
      <x:c r="J339" s="10" t="n">
        <x:v>46190</x:v>
      </x:c>
      <x:c r="K339" s="8" t="n">
        <x:f>INDEX('Сводка'!$S$3:$S$397,U339)</x:f>
        <x:v>158</x:v>
      </x:c>
      <x:c r="L339" s="8" t="n">
        <x:f>INDEX('Сводка'!$S$3:$S$397,V339)</x:f>
        <x:v>154</x:v>
      </x:c>
      <x:c r="M339" s="8" t="n">
        <x:f>INDEX($K$388:$N$400,W339,1)+INDEX($K$388:$N$400,W339,2)*(2*(J339-$T$405)/(T339-$T$405)-1)^1+INDEX($K$388:$N$400,W339,3)*(2*(J339-$T$405)/(T339-$T$405)-1)^2+INDEX($K$388:$N$400,W339,4)*(2*(J339-$T$405)/(T339-$T$405)-1)^3+INDEX($O$388:$Z$400,W339,MONTH(J339))</x:f>
        <x:v>167.6064732407288</x:v>
      </x:c>
      <x:c r="N339" s="8" t="n">
        <x:f>K339-M339</x:f>
        <x:v>-9.606473240728803</x:v>
      </x:c>
      <x:c r="O339" s="8" t="n">
        <x:f>ABS(N339)</x:f>
        <x:v>9.606473240728803</x:v>
      </x:c>
      <x:c r="P339" s="8" t="n">
        <x:f>N339^2</x:f>
        <x:v>92.28432812483855</x:v>
      </x:c>
      <x:c r="Q339" s="8" t="n">
        <x:f>K339-L339</x:f>
        <x:v>4</x:v>
      </x:c>
      <x:c r="R339" s="9" t="n">
        <x:f>IF(AND(INDEX('Сводка'!$T$3:$T$397,U339)=0,INDEX('Сводка'!$T$3:$T$397,V339)=0),1,0)</x:f>
        <x:v>1</x:v>
      </x:c>
      <x:c r="S339" s="9" t="n">
        <x:f>IF(AND(R339=1,O339&lt;=$G$13),1,0)</x:f>
        <x:v>0</x:v>
      </x:c>
      <x:c r="T339" s="10" t="n">
        <x:f>EOMONTH(J339-'Сводка'!$B$11,-1)</x:f>
        <x:v>46173</x:v>
      </x:c>
      <x:c r="U339" s="4" t="n">
        <x:f>MATCH(J339,'Сводка'!$R$3:$R$397,0)</x:f>
        <x:v>350</x:v>
      </x:c>
      <x:c r="V339" s="4" t="n">
        <x:f>MATCH(J339-'Сводка'!$B$11,'Сводка'!$R$3:$R$397,0)</x:f>
        <x:v>349</x:v>
      </x:c>
      <x:c r="W339" s="4" t="n">
        <x:f>MATCH(T339,$J$388:$J$400,0)</x:f>
        <x:v>12</x:v>
      </x:c>
      <x:c r="X339" s="3"/>
      <x:c r="Y339" s="3"/>
      <x:c r="Z339" s="3"/>
    </x:row>
    <x:row r="340" ht="15" customHeight="1">
      <x:c r="A340" s="3"/>
      <x:c r="B340" s="3"/>
      <x:c r="C340" s="3"/>
      <x:c r="D340" s="3"/>
      <x:c r="E340" s="3"/>
      <x:c r="F340" s="3"/>
      <x:c r="G340" s="3"/>
      <x:c r="H340" s="3"/>
      <x:c r="I340" s="3"/>
      <x:c r="J340" s="10" t="n">
        <x:v>46191</x:v>
      </x:c>
      <x:c r="K340" s="8" t="n">
        <x:f>INDEX('Сводка'!$S$3:$S$397,U340)</x:f>
        <x:v>166</x:v>
      </x:c>
      <x:c r="L340" s="8" t="n">
        <x:f>INDEX('Сводка'!$S$3:$S$397,V340)</x:f>
        <x:v>158</x:v>
      </x:c>
      <x:c r="M340" s="8" t="n">
        <x:f>INDEX($K$388:$N$400,W340,1)+INDEX($K$388:$N$400,W340,2)*(2*(J340-$T$405)/(T340-$T$405)-1)^1+INDEX($K$388:$N$400,W340,3)*(2*(J340-$T$405)/(T340-$T$405)-1)^2+INDEX($K$388:$N$400,W340,4)*(2*(J340-$T$405)/(T340-$T$405)-1)^3+INDEX($O$388:$Z$400,W340,MONTH(J340))</x:f>
        <x:v>167.5751932463834</x:v>
      </x:c>
      <x:c r="N340" s="8" t="n">
        <x:f>K340-M340</x:f>
        <x:v>-1.5751932463834066</x:v>
      </x:c>
      <x:c r="O340" s="8" t="n">
        <x:f>ABS(N340)</x:f>
        <x:v>1.5751932463834066</x:v>
      </x:c>
      <x:c r="P340" s="8" t="n">
        <x:f>N340^2</x:f>
        <x:v>2.4812337634518955</x:v>
      </x:c>
      <x:c r="Q340" s="8" t="n">
        <x:f>K340-L340</x:f>
        <x:v>8</x:v>
      </x:c>
      <x:c r="R340" s="9" t="n">
        <x:f>IF(AND(INDEX('Сводка'!$T$3:$T$397,U340)=0,INDEX('Сводка'!$T$3:$T$397,V340)=0),1,0)</x:f>
        <x:v>1</x:v>
      </x:c>
      <x:c r="S340" s="9" t="n">
        <x:f>IF(AND(R340=1,O340&lt;=$G$13),1,0)</x:f>
        <x:v>1</x:v>
      </x:c>
      <x:c r="T340" s="10" t="n">
        <x:f>EOMONTH(J340-'Сводка'!$B$11,-1)</x:f>
        <x:v>46173</x:v>
      </x:c>
      <x:c r="U340" s="4" t="n">
        <x:f>MATCH(J340,'Сводка'!$R$3:$R$397,0)</x:f>
        <x:v>351</x:v>
      </x:c>
      <x:c r="V340" s="4" t="n">
        <x:f>MATCH(J340-'Сводка'!$B$11,'Сводка'!$R$3:$R$397,0)</x:f>
        <x:v>350</x:v>
      </x:c>
      <x:c r="W340" s="4" t="n">
        <x:f>MATCH(T340,$J$388:$J$400,0)</x:f>
        <x:v>12</x:v>
      </x:c>
      <x:c r="X340" s="3"/>
      <x:c r="Y340" s="3"/>
      <x:c r="Z340" s="3"/>
    </x:row>
    <x:row r="341" ht="15" customHeight="1">
      <x:c r="A341" s="3"/>
      <x:c r="B341" s="3"/>
      <x:c r="C341" s="3"/>
      <x:c r="D341" s="3"/>
      <x:c r="E341" s="3"/>
      <x:c r="F341" s="3"/>
      <x:c r="G341" s="3"/>
      <x:c r="H341" s="3"/>
      <x:c r="I341" s="3"/>
      <x:c r="J341" s="10" t="n">
        <x:v>46192</x:v>
      </x:c>
      <x:c r="K341" s="8" t="n">
        <x:f>INDEX('Сводка'!$S$3:$S$397,U341)</x:f>
        <x:v>170</x:v>
      </x:c>
      <x:c r="L341" s="8" t="n">
        <x:f>INDEX('Сводка'!$S$3:$S$397,V341)</x:f>
        <x:v>166</x:v>
      </x:c>
      <x:c r="M341" s="8" t="n">
        <x:f>INDEX($K$388:$N$400,W341,1)+INDEX($K$388:$N$400,W341,2)*(2*(J341-$T$405)/(T341-$T$405)-1)^1+INDEX($K$388:$N$400,W341,3)*(2*(J341-$T$405)/(T341-$T$405)-1)^2+INDEX($K$388:$N$400,W341,4)*(2*(J341-$T$405)/(T341-$T$405)-1)^3+INDEX($O$388:$Z$400,W341,MONTH(J341))</x:f>
        <x:v>167.5438950461577</x:v>
      </x:c>
      <x:c r="N341" s="8" t="n">
        <x:f>K341-M341</x:f>
        <x:v>2.456104953842299</x:v>
      </x:c>
      <x:c r="O341" s="8" t="n">
        <x:f>ABS(N341)</x:f>
        <x:v>2.456104953842299</x:v>
      </x:c>
      <x:c r="P341" s="8" t="n">
        <x:f>N341^2</x:f>
        <x:v>6.032451544288683</x:v>
      </x:c>
      <x:c r="Q341" s="8" t="n">
        <x:f>K341-L341</x:f>
        <x:v>4</x:v>
      </x:c>
      <x:c r="R341" s="9" t="n">
        <x:f>IF(AND(INDEX('Сводка'!$T$3:$T$397,U341)=0,INDEX('Сводка'!$T$3:$T$397,V341)=0),1,0)</x:f>
        <x:v>1</x:v>
      </x:c>
      <x:c r="S341" s="9" t="n">
        <x:f>IF(AND(R341=1,O341&lt;=$G$13),1,0)</x:f>
        <x:v>1</x:v>
      </x:c>
      <x:c r="T341" s="10" t="n">
        <x:f>EOMONTH(J341-'Сводка'!$B$11,-1)</x:f>
        <x:v>46173</x:v>
      </x:c>
      <x:c r="U341" s="4" t="n">
        <x:f>MATCH(J341,'Сводка'!$R$3:$R$397,0)</x:f>
        <x:v>352</x:v>
      </x:c>
      <x:c r="V341" s="4" t="n">
        <x:f>MATCH(J341-'Сводка'!$B$11,'Сводка'!$R$3:$R$397,0)</x:f>
        <x:v>351</x:v>
      </x:c>
      <x:c r="W341" s="4" t="n">
        <x:f>MATCH(T341,$J$388:$J$400,0)</x:f>
        <x:v>12</x:v>
      </x:c>
      <x:c r="X341" s="3"/>
      <x:c r="Y341" s="3"/>
      <x:c r="Z341" s="3"/>
    </x:row>
    <x:row r="342" ht="15" customHeight="1">
      <x:c r="A342" s="3"/>
      <x:c r="B342" s="3"/>
      <x:c r="C342" s="3"/>
      <x:c r="D342" s="3"/>
      <x:c r="E342" s="3"/>
      <x:c r="F342" s="3"/>
      <x:c r="G342" s="3"/>
      <x:c r="H342" s="3"/>
      <x:c r="I342" s="3"/>
      <x:c r="J342" s="10" t="n">
        <x:v>46193</x:v>
      </x:c>
      <x:c r="K342" s="8" t="n">
        <x:f>INDEX('Сводка'!$S$3:$S$397,U342)</x:f>
        <x:v>171</x:v>
      </x:c>
      <x:c r="L342" s="8" t="n">
        <x:f>INDEX('Сводка'!$S$3:$S$397,V342)</x:f>
        <x:v>170</x:v>
      </x:c>
      <x:c r="M342" s="8" t="n">
        <x:f>INDEX($K$388:$N$400,W342,1)+INDEX($K$388:$N$400,W342,2)*(2*(J342-$T$405)/(T342-$T$405)-1)^1+INDEX($K$388:$N$400,W342,3)*(2*(J342-$T$405)/(T342-$T$405)-1)^2+INDEX($K$388:$N$400,W342,4)*(2*(J342-$T$405)/(T342-$T$405)-1)^3+INDEX($O$388:$Z$400,W342,MONTH(J342))</x:f>
        <x:v>167.51257863747668</x:v>
      </x:c>
      <x:c r="N342" s="8" t="n">
        <x:f>K342-M342</x:f>
        <x:v>3.487421362523321</x:v>
      </x:c>
      <x:c r="O342" s="8" t="n">
        <x:f>ABS(N342)</x:f>
        <x:v>3.487421362523321</x:v>
      </x:c>
      <x:c r="P342" s="8" t="n">
        <x:f>N342^2</x:f>
        <x:v>12.162107759784018</x:v>
      </x:c>
      <x:c r="Q342" s="8" t="n">
        <x:f>K342-L342</x:f>
        <x:v>1</x:v>
      </x:c>
      <x:c r="R342" s="9" t="n">
        <x:f>IF(AND(INDEX('Сводка'!$T$3:$T$397,U342)=0,INDEX('Сводка'!$T$3:$T$397,V342)=0),1,0)</x:f>
        <x:v>1</x:v>
      </x:c>
      <x:c r="S342" s="9" t="n">
        <x:f>IF(AND(R342=1,O342&lt;=$G$13),1,0)</x:f>
        <x:v>1</x:v>
      </x:c>
      <x:c r="T342" s="10" t="n">
        <x:f>EOMONTH(J342-'Сводка'!$B$11,-1)</x:f>
        <x:v>46173</x:v>
      </x:c>
      <x:c r="U342" s="4" t="n">
        <x:f>MATCH(J342,'Сводка'!$R$3:$R$397,0)</x:f>
        <x:v>353</x:v>
      </x:c>
      <x:c r="V342" s="4" t="n">
        <x:f>MATCH(J342-'Сводка'!$B$11,'Сводка'!$R$3:$R$397,0)</x:f>
        <x:v>352</x:v>
      </x:c>
      <x:c r="W342" s="4" t="n">
        <x:f>MATCH(T342,$J$388:$J$400,0)</x:f>
        <x:v>12</x:v>
      </x:c>
      <x:c r="X342" s="3"/>
      <x:c r="Y342" s="3"/>
      <x:c r="Z342" s="3"/>
    </x:row>
    <x:row r="343" ht="15" customHeight="1">
      <x:c r="A343" s="3"/>
      <x:c r="B343" s="3"/>
      <x:c r="C343" s="3"/>
      <x:c r="D343" s="3"/>
      <x:c r="E343" s="3"/>
      <x:c r="F343" s="3"/>
      <x:c r="G343" s="3"/>
      <x:c r="H343" s="3"/>
      <x:c r="I343" s="3"/>
      <x:c r="J343" s="10" t="n">
        <x:v>46194</x:v>
      </x:c>
      <x:c r="K343" s="8" t="n">
        <x:f>INDEX('Сводка'!$S$3:$S$397,U343)</x:f>
        <x:v>169</x:v>
      </x:c>
      <x:c r="L343" s="8" t="n">
        <x:f>INDEX('Сводка'!$S$3:$S$397,V343)</x:f>
        <x:v>171</x:v>
      </x:c>
      <x:c r="M343" s="8" t="n">
        <x:f>INDEX($K$388:$N$400,W343,1)+INDEX($K$388:$N$400,W343,2)*(2*(J343-$T$405)/(T343-$T$405)-1)^1+INDEX($K$388:$N$400,W343,3)*(2*(J343-$T$405)/(T343-$T$405)-1)^2+INDEX($K$388:$N$400,W343,4)*(2*(J343-$T$405)/(T343-$T$405)-1)^3+INDEX($O$388:$Z$400,W343,MONTH(J343))</x:f>
        <x:v>167.48124401776522</x:v>
      </x:c>
      <x:c r="N343" s="8" t="n">
        <x:f>K343-M343</x:f>
        <x:v>1.5187559822347794</x:v>
      </x:c>
      <x:c r="O343" s="8" t="n">
        <x:f>ABS(N343)</x:f>
        <x:v>1.5187559822347794</x:v>
      </x:c>
      <x:c r="P343" s="8" t="n">
        <x:f>N343^2</x:f>
        <x:v>2.3066197335739296</x:v>
      </x:c>
      <x:c r="Q343" s="8" t="n">
        <x:f>K343-L343</x:f>
        <x:v>-2</x:v>
      </x:c>
      <x:c r="R343" s="9" t="n">
        <x:f>IF(AND(INDEX('Сводка'!$T$3:$T$397,U343)=0,INDEX('Сводка'!$T$3:$T$397,V343)=0),1,0)</x:f>
        <x:v>1</x:v>
      </x:c>
      <x:c r="S343" s="9" t="n">
        <x:f>IF(AND(R343=1,O343&lt;=$G$13),1,0)</x:f>
        <x:v>1</x:v>
      </x:c>
      <x:c r="T343" s="10" t="n">
        <x:f>EOMONTH(J343-'Сводка'!$B$11,-1)</x:f>
        <x:v>46173</x:v>
      </x:c>
      <x:c r="U343" s="4" t="n">
        <x:f>MATCH(J343,'Сводка'!$R$3:$R$397,0)</x:f>
        <x:v>354</x:v>
      </x:c>
      <x:c r="V343" s="4" t="n">
        <x:f>MATCH(J343-'Сводка'!$B$11,'Сводка'!$R$3:$R$397,0)</x:f>
        <x:v>353</x:v>
      </x:c>
      <x:c r="W343" s="4" t="n">
        <x:f>MATCH(T343,$J$388:$J$400,0)</x:f>
        <x:v>12</x:v>
      </x:c>
      <x:c r="X343" s="3"/>
      <x:c r="Y343" s="3"/>
      <x:c r="Z343" s="3"/>
    </x:row>
    <x:row r="344" ht="15" customHeight="1">
      <x:c r="A344" s="3"/>
      <x:c r="B344" s="3"/>
      <x:c r="C344" s="3"/>
      <x:c r="D344" s="3"/>
      <x:c r="E344" s="3"/>
      <x:c r="F344" s="3"/>
      <x:c r="G344" s="3"/>
      <x:c r="H344" s="3"/>
      <x:c r="I344" s="3"/>
      <x:c r="J344" s="10" t="n">
        <x:v>46195</x:v>
      </x:c>
      <x:c r="K344" s="8" t="n">
        <x:f>INDEX('Сводка'!$S$3:$S$397,U344)</x:f>
        <x:v>168</x:v>
      </x:c>
      <x:c r="L344" s="8" t="n">
        <x:f>INDEX('Сводка'!$S$3:$S$397,V344)</x:f>
        <x:v>169</x:v>
      </x:c>
      <x:c r="M344" s="8" t="n">
        <x:f>INDEX($K$388:$N$400,W344,1)+INDEX($K$388:$N$400,W344,2)*(2*(J344-$T$405)/(T344-$T$405)-1)^1+INDEX($K$388:$N$400,W344,3)*(2*(J344-$T$405)/(T344-$T$405)-1)^2+INDEX($K$388:$N$400,W344,4)*(2*(J344-$T$405)/(T344-$T$405)-1)^3+INDEX($O$388:$Z$400,W344,MONTH(J344))</x:f>
        <x:v>167.4498911844486</x:v>
      </x:c>
      <x:c r="N344" s="8" t="n">
        <x:f>K344-M344</x:f>
        <x:v>0.5501088155513969</x:v>
      </x:c>
      <x:c r="O344" s="8" t="n">
        <x:f>ABS(N344)</x:f>
        <x:v>0.5501088155513969</x:v>
      </x:c>
      <x:c r="P344" s="8" t="n">
        <x:f>N344^2</x:f>
        <x:v>0.30261970894736084</x:v>
      </x:c>
      <x:c r="Q344" s="8" t="n">
        <x:f>K344-L344</x:f>
        <x:v>-1</x:v>
      </x:c>
      <x:c r="R344" s="9" t="n">
        <x:f>IF(AND(INDEX('Сводка'!$T$3:$T$397,U344)=0,INDEX('Сводка'!$T$3:$T$397,V344)=0),1,0)</x:f>
        <x:v>1</x:v>
      </x:c>
      <x:c r="S344" s="9" t="n">
        <x:f>IF(AND(R344=1,O344&lt;=$G$13),1,0)</x:f>
        <x:v>1</x:v>
      </x:c>
      <x:c r="T344" s="10" t="n">
        <x:f>EOMONTH(J344-'Сводка'!$B$11,-1)</x:f>
        <x:v>46173</x:v>
      </x:c>
      <x:c r="U344" s="4" t="n">
        <x:f>MATCH(J344,'Сводка'!$R$3:$R$397,0)</x:f>
        <x:v>355</x:v>
      </x:c>
      <x:c r="V344" s="4" t="n">
        <x:f>MATCH(J344-'Сводка'!$B$11,'Сводка'!$R$3:$R$397,0)</x:f>
        <x:v>354</x:v>
      </x:c>
      <x:c r="W344" s="4" t="n">
        <x:f>MATCH(T344,$J$388:$J$400,0)</x:f>
        <x:v>12</x:v>
      </x:c>
      <x:c r="X344" s="3"/>
      <x:c r="Y344" s="3"/>
      <x:c r="Z344" s="3"/>
    </x:row>
    <x:row r="345" ht="15" customHeight="1">
      <x:c r="A345" s="3"/>
      <x:c r="B345" s="3"/>
      <x:c r="C345" s="3"/>
      <x:c r="D345" s="3"/>
      <x:c r="E345" s="3"/>
      <x:c r="F345" s="3"/>
      <x:c r="G345" s="3"/>
      <x:c r="H345" s="3"/>
      <x:c r="I345" s="3"/>
      <x:c r="J345" s="10" t="n">
        <x:v>46196</x:v>
      </x:c>
      <x:c r="K345" s="8" t="n">
        <x:f>INDEX('Сводка'!$S$3:$S$397,U345)</x:f>
        <x:v>159</x:v>
      </x:c>
      <x:c r="L345" s="8" t="n">
        <x:f>INDEX('Сводка'!$S$3:$S$397,V345)</x:f>
        <x:v>168</x:v>
      </x:c>
      <x:c r="M345" s="8" t="n">
        <x:f>INDEX($K$388:$N$400,W345,1)+INDEX($K$388:$N$400,W345,2)*(2*(J345-$T$405)/(T345-$T$405)-1)^1+INDEX($K$388:$N$400,W345,3)*(2*(J345-$T$405)/(T345-$T$405)-1)^2+INDEX($K$388:$N$400,W345,4)*(2*(J345-$T$405)/(T345-$T$405)-1)^3+INDEX($O$388:$Z$400,W345,MONTH(J345))</x:f>
        <x:v>167.4185201349518</x:v>
      </x:c>
      <x:c r="N345" s="8" t="n">
        <x:f>K345-M345</x:f>
        <x:v>-8.418520134951791</x:v>
      </x:c>
      <x:c r="O345" s="8" t="n">
        <x:f>ABS(N345)</x:f>
        <x:v>8.418520134951791</x:v>
      </x:c>
      <x:c r="P345" s="8" t="n">
        <x:f>N345^2</x:f>
        <x:v>70.87148126258872</x:v>
      </x:c>
      <x:c r="Q345" s="8" t="n">
        <x:f>K345-L345</x:f>
        <x:v>-9</x:v>
      </x:c>
      <x:c r="R345" s="9" t="n">
        <x:f>IF(AND(INDEX('Сводка'!$T$3:$T$397,U345)=0,INDEX('Сводка'!$T$3:$T$397,V345)=0),1,0)</x:f>
        <x:v>1</x:v>
      </x:c>
      <x:c r="S345" s="9" t="n">
        <x:f>IF(AND(R345=1,O345&lt;=$G$13),1,0)</x:f>
        <x:v>0</x:v>
      </x:c>
      <x:c r="T345" s="10" t="n">
        <x:f>EOMONTH(J345-'Сводка'!$B$11,-1)</x:f>
        <x:v>46173</x:v>
      </x:c>
      <x:c r="U345" s="4" t="n">
        <x:f>MATCH(J345,'Сводка'!$R$3:$R$397,0)</x:f>
        <x:v>356</x:v>
      </x:c>
      <x:c r="V345" s="4" t="n">
        <x:f>MATCH(J345-'Сводка'!$B$11,'Сводка'!$R$3:$R$397,0)</x:f>
        <x:v>355</x:v>
      </x:c>
      <x:c r="W345" s="4" t="n">
        <x:f>MATCH(T345,$J$388:$J$400,0)</x:f>
        <x:v>12</x:v>
      </x:c>
      <x:c r="X345" s="3"/>
      <x:c r="Y345" s="3"/>
      <x:c r="Z345" s="3"/>
    </x:row>
    <x:row r="346" ht="15" customHeight="1">
      <x:c r="A346" s="3"/>
      <x:c r="B346" s="3"/>
      <x:c r="C346" s="3"/>
      <x:c r="D346" s="3"/>
      <x:c r="E346" s="3"/>
      <x:c r="F346" s="3"/>
      <x:c r="G346" s="3"/>
      <x:c r="H346" s="3"/>
      <x:c r="I346" s="3"/>
      <x:c r="J346" s="10" t="n">
        <x:v>46197</x:v>
      </x:c>
      <x:c r="K346" s="8" t="n">
        <x:f>INDEX('Сводка'!$S$3:$S$397,U346)</x:f>
        <x:v>151</x:v>
      </x:c>
      <x:c r="L346" s="8" t="n">
        <x:f>INDEX('Сводка'!$S$3:$S$397,V346)</x:f>
        <x:v>159</x:v>
      </x:c>
      <x:c r="M346" s="8" t="n">
        <x:f>INDEX($K$388:$N$400,W346,1)+INDEX($K$388:$N$400,W346,2)*(2*(J346-$T$405)/(T346-$T$405)-1)^1+INDEX($K$388:$N$400,W346,3)*(2*(J346-$T$405)/(T346-$T$405)-1)^2+INDEX($K$388:$N$400,W346,4)*(2*(J346-$T$405)/(T346-$T$405)-1)^3+INDEX($O$388:$Z$400,W346,MONTH(J346))</x:f>
        <x:v>167.38713086669964</x:v>
      </x:c>
      <x:c r="N346" s="8" t="n">
        <x:f>K346-M346</x:f>
        <x:v>-16.387130866699636</x:v>
      </x:c>
      <x:c r="O346" s="8" t="n">
        <x:f>ABS(N346)</x:f>
        <x:v>16.387130866699636</x:v>
      </x:c>
      <x:c r="P346" s="8" t="n">
        <x:f>N346^2</x:f>
        <x:v>268.53805804233997</x:v>
      </x:c>
      <x:c r="Q346" s="8" t="n">
        <x:f>K346-L346</x:f>
        <x:v>-8</x:v>
      </x:c>
      <x:c r="R346" s="9" t="n">
        <x:f>IF(AND(INDEX('Сводка'!$T$3:$T$397,U346)=0,INDEX('Сводка'!$T$3:$T$397,V346)=0),1,0)</x:f>
        <x:v>1</x:v>
      </x:c>
      <x:c r="S346" s="9" t="n">
        <x:f>IF(AND(R346=1,O346&lt;=$G$13),1,0)</x:f>
        <x:v>0</x:v>
      </x:c>
      <x:c r="T346" s="10" t="n">
        <x:f>EOMONTH(J346-'Сводка'!$B$11,-1)</x:f>
        <x:v>46173</x:v>
      </x:c>
      <x:c r="U346" s="4" t="n">
        <x:f>MATCH(J346,'Сводка'!$R$3:$R$397,0)</x:f>
        <x:v>357</x:v>
      </x:c>
      <x:c r="V346" s="4" t="n">
        <x:f>MATCH(J346-'Сводка'!$B$11,'Сводка'!$R$3:$R$397,0)</x:f>
        <x:v>356</x:v>
      </x:c>
      <x:c r="W346" s="4" t="n">
        <x:f>MATCH(T346,$J$388:$J$400,0)</x:f>
        <x:v>12</x:v>
      </x:c>
      <x:c r="X346" s="3"/>
      <x:c r="Y346" s="3"/>
      <x:c r="Z346" s="3"/>
    </x:row>
    <x:row r="347" ht="15" customHeight="1">
      <x:c r="A347" s="3"/>
      <x:c r="B347" s="3"/>
      <x:c r="C347" s="3"/>
      <x:c r="D347" s="3"/>
      <x:c r="E347" s="3"/>
      <x:c r="F347" s="3"/>
      <x:c r="G347" s="3"/>
      <x:c r="H347" s="3"/>
      <x:c r="I347" s="3"/>
      <x:c r="J347" s="10" t="n">
        <x:v>46198</x:v>
      </x:c>
      <x:c r="K347" s="8" t="n">
        <x:f>INDEX('Сводка'!$S$3:$S$397,U347)</x:f>
        <x:v>144</x:v>
      </x:c>
      <x:c r="L347" s="8" t="n">
        <x:f>INDEX('Сводка'!$S$3:$S$397,V347)</x:f>
        <x:v>151</x:v>
      </x:c>
      <x:c r="M347" s="8" t="n">
        <x:f>INDEX($K$388:$N$400,W347,1)+INDEX($K$388:$N$400,W347,2)*(2*(J347-$T$405)/(T347-$T$405)-1)^1+INDEX($K$388:$N$400,W347,3)*(2*(J347-$T$405)/(T347-$T$405)-1)^2+INDEX($K$388:$N$400,W347,4)*(2*(J347-$T$405)/(T347-$T$405)-1)^3+INDEX($O$388:$Z$400,W347,MONTH(J347))</x:f>
        <x:v>167.3557233771174</x:v>
      </x:c>
      <x:c r="N347" s="8" t="n">
        <x:f>K347-M347</x:f>
        <x:v>-23.355723377117414</x:v>
      </x:c>
      <x:c r="O347" s="8" t="n">
        <x:f>ABS(N347)</x:f>
        <x:v>23.355723377117414</x:v>
      </x:c>
      <x:c r="P347" s="8" t="n">
        <x:f>N347^2</x:f>
        <x:v>545.4898144684289</x:v>
      </x:c>
      <x:c r="Q347" s="8" t="n">
        <x:f>K347-L347</x:f>
        <x:v>-7</x:v>
      </x:c>
      <x:c r="R347" s="9" t="n">
        <x:f>IF(AND(INDEX('Сводка'!$T$3:$T$397,U347)=0,INDEX('Сводка'!$T$3:$T$397,V347)=0),1,0)</x:f>
        <x:v>1</x:v>
      </x:c>
      <x:c r="S347" s="9" t="n">
        <x:f>IF(AND(R347=1,O347&lt;=$G$13),1,0)</x:f>
        <x:v>0</x:v>
      </x:c>
      <x:c r="T347" s="10" t="n">
        <x:f>EOMONTH(J347-'Сводка'!$B$11,-1)</x:f>
        <x:v>46173</x:v>
      </x:c>
      <x:c r="U347" s="4" t="n">
        <x:f>MATCH(J347,'Сводка'!$R$3:$R$397,0)</x:f>
        <x:v>358</x:v>
      </x:c>
      <x:c r="V347" s="4" t="n">
        <x:f>MATCH(J347-'Сводка'!$B$11,'Сводка'!$R$3:$R$397,0)</x:f>
        <x:v>357</x:v>
      </x:c>
      <x:c r="W347" s="4" t="n">
        <x:f>MATCH(T347,$J$388:$J$400,0)</x:f>
        <x:v>12</x:v>
      </x:c>
      <x:c r="X347" s="3"/>
      <x:c r="Y347" s="3"/>
      <x:c r="Z347" s="3"/>
    </x:row>
    <x:row r="348" ht="15" customHeight="1">
      <x:c r="A348" s="3"/>
      <x:c r="B348" s="3"/>
      <x:c r="C348" s="3"/>
      <x:c r="D348" s="3"/>
      <x:c r="E348" s="3"/>
      <x:c r="F348" s="3"/>
      <x:c r="G348" s="3"/>
      <x:c r="H348" s="3"/>
      <x:c r="I348" s="3"/>
      <x:c r="J348" s="10" t="n">
        <x:v>46199</x:v>
      </x:c>
      <x:c r="K348" s="8" t="n">
        <x:f>INDEX('Сводка'!$S$3:$S$397,U348)</x:f>
        <x:v>139</x:v>
      </x:c>
      <x:c r="L348" s="8" t="n">
        <x:f>INDEX('Сводка'!$S$3:$S$397,V348)</x:f>
        <x:v>144</x:v>
      </x:c>
      <x:c r="M348" s="8" t="n">
        <x:f>INDEX($K$388:$N$400,W348,1)+INDEX($K$388:$N$400,W348,2)*(2*(J348-$T$405)/(T348-$T$405)-1)^1+INDEX($K$388:$N$400,W348,3)*(2*(J348-$T$405)/(T348-$T$405)-1)^2+INDEX($K$388:$N$400,W348,4)*(2*(J348-$T$405)/(T348-$T$405)-1)^3+INDEX($O$388:$Z$400,W348,MONTH(J348))</x:f>
        <x:v>167.32429766363003</x:v>
      </x:c>
      <x:c r="N348" s="8" t="n">
        <x:f>K348-M348</x:f>
        <x:v>-28.324297663630034</x:v>
      </x:c>
      <x:c r="O348" s="8" t="n">
        <x:f>ABS(N348)</x:f>
        <x:v>28.324297663630034</x:v>
      </x:c>
      <x:c r="P348" s="8" t="n">
        <x:f>N348^2</x:f>
        <x:v>802.2658381379179</x:v>
      </x:c>
      <x:c r="Q348" s="8" t="n">
        <x:f>K348-L348</x:f>
        <x:v>-5</x:v>
      </x:c>
      <x:c r="R348" s="9" t="n">
        <x:f>IF(AND(INDEX('Сводка'!$T$3:$T$397,U348)=0,INDEX('Сводка'!$T$3:$T$397,V348)=0),1,0)</x:f>
        <x:v>1</x:v>
      </x:c>
      <x:c r="S348" s="9" t="n">
        <x:f>IF(AND(R348=1,O348&lt;=$G$13),1,0)</x:f>
        <x:v>0</x:v>
      </x:c>
      <x:c r="T348" s="10" t="n">
        <x:f>EOMONTH(J348-'Сводка'!$B$11,-1)</x:f>
        <x:v>46173</x:v>
      </x:c>
      <x:c r="U348" s="4" t="n">
        <x:f>MATCH(J348,'Сводка'!$R$3:$R$397,0)</x:f>
        <x:v>359</x:v>
      </x:c>
      <x:c r="V348" s="4" t="n">
        <x:f>MATCH(J348-'Сводка'!$B$11,'Сводка'!$R$3:$R$397,0)</x:f>
        <x:v>358</x:v>
      </x:c>
      <x:c r="W348" s="4" t="n">
        <x:f>MATCH(T348,$J$388:$J$400,0)</x:f>
        <x:v>12</x:v>
      </x:c>
      <x:c r="X348" s="3"/>
      <x:c r="Y348" s="3"/>
      <x:c r="Z348" s="3"/>
    </x:row>
    <x:row r="349" ht="15" customHeight="1">
      <x:c r="A349" s="3"/>
      <x:c r="B349" s="3"/>
      <x:c r="C349" s="3"/>
      <x:c r="D349" s="3"/>
      <x:c r="E349" s="3"/>
      <x:c r="F349" s="3"/>
      <x:c r="G349" s="3"/>
      <x:c r="H349" s="3"/>
      <x:c r="I349" s="3"/>
      <x:c r="J349" s="10" t="n">
        <x:v>46200</x:v>
      </x:c>
      <x:c r="K349" s="8" t="n">
        <x:f>INDEX('Сводка'!$S$3:$S$397,U349)</x:f>
        <x:v>136</x:v>
      </x:c>
      <x:c r="L349" s="8" t="n">
        <x:f>INDEX('Сводка'!$S$3:$S$397,V349)</x:f>
        <x:v>139</x:v>
      </x:c>
      <x:c r="M349" s="8" t="n">
        <x:f>INDEX($K$388:$N$400,W349,1)+INDEX($K$388:$N$400,W349,2)*(2*(J349-$T$405)/(T349-$T$405)-1)^1+INDEX($K$388:$N$400,W349,3)*(2*(J349-$T$405)/(T349-$T$405)-1)^2+INDEX($K$388:$N$400,W349,4)*(2*(J349-$T$405)/(T349-$T$405)-1)^3+INDEX($O$388:$Z$400,W349,MONTH(J349))</x:f>
        <x:v>167.29285372366263</x:v>
      </x:c>
      <x:c r="N349" s="8" t="n">
        <x:f>K349-M349</x:f>
        <x:v>-31.29285372366263</x:v>
      </x:c>
      <x:c r="O349" s="8" t="n">
        <x:f>ABS(N349)</x:f>
        <x:v>31.29285372366263</x:v>
      </x:c>
      <x:c r="P349" s="8" t="n">
        <x:f>N349^2</x:f>
        <x:v>979.2426941705462</x:v>
      </x:c>
      <x:c r="Q349" s="8" t="n">
        <x:f>K349-L349</x:f>
        <x:v>-3</x:v>
      </x:c>
      <x:c r="R349" s="9" t="n">
        <x:f>IF(AND(INDEX('Сводка'!$T$3:$T$397,U349)=0,INDEX('Сводка'!$T$3:$T$397,V349)=0),1,0)</x:f>
        <x:v>1</x:v>
      </x:c>
      <x:c r="S349" s="9" t="n">
        <x:f>IF(AND(R349=1,O349&lt;=$G$13),1,0)</x:f>
        <x:v>0</x:v>
      </x:c>
      <x:c r="T349" s="10" t="n">
        <x:f>EOMONTH(J349-'Сводка'!$B$11,-1)</x:f>
        <x:v>46173</x:v>
      </x:c>
      <x:c r="U349" s="4" t="n">
        <x:f>MATCH(J349,'Сводка'!$R$3:$R$397,0)</x:f>
        <x:v>360</x:v>
      </x:c>
      <x:c r="V349" s="4" t="n">
        <x:f>MATCH(J349-'Сводка'!$B$11,'Сводка'!$R$3:$R$397,0)</x:f>
        <x:v>359</x:v>
      </x:c>
      <x:c r="W349" s="4" t="n">
        <x:f>MATCH(T349,$J$388:$J$400,0)</x:f>
        <x:v>12</x:v>
      </x:c>
      <x:c r="X349" s="3"/>
      <x:c r="Y349" s="3"/>
      <x:c r="Z349" s="3"/>
    </x:row>
    <x:row r="350" ht="15" customHeight="1">
      <x:c r="A350" s="3"/>
      <x:c r="B350" s="3"/>
      <x:c r="C350" s="3"/>
      <x:c r="D350" s="3"/>
      <x:c r="E350" s="3"/>
      <x:c r="F350" s="3"/>
      <x:c r="G350" s="3"/>
      <x:c r="H350" s="3"/>
      <x:c r="I350" s="3"/>
      <x:c r="J350" s="10" t="n">
        <x:v>46201</x:v>
      </x:c>
      <x:c r="K350" s="8" t="n">
        <x:f>INDEX('Сводка'!$S$3:$S$397,U350)</x:f>
        <x:v>127</x:v>
      </x:c>
      <x:c r="L350" s="8" t="n">
        <x:f>INDEX('Сводка'!$S$3:$S$397,V350)</x:f>
        <x:v>136</x:v>
      </x:c>
      <x:c r="M350" s="8" t="n">
        <x:f>INDEX($K$388:$N$400,W350,1)+INDEX($K$388:$N$400,W350,2)*(2*(J350-$T$405)/(T350-$T$405)-1)^1+INDEX($K$388:$N$400,W350,3)*(2*(J350-$T$405)/(T350-$T$405)-1)^2+INDEX($K$388:$N$400,W350,4)*(2*(J350-$T$405)/(T350-$T$405)-1)^3+INDEX($O$388:$Z$400,W350,MONTH(J350))</x:f>
        <x:v>167.26139155464014</x:v>
      </x:c>
      <x:c r="N350" s="8" t="n">
        <x:f>K350-M350</x:f>
        <x:v>-40.26139155464014</x:v>
      </x:c>
      <x:c r="O350" s="8" t="n">
        <x:f>ABS(N350)</x:f>
        <x:v>40.26139155464014</x:v>
      </x:c>
      <x:c r="P350" s="8" t="n">
        <x:f>N350^2</x:f>
        <x:v>1620.9796499160484</x:v>
      </x:c>
      <x:c r="Q350" s="8" t="n">
        <x:f>K350-L350</x:f>
        <x:v>-9</x:v>
      </x:c>
      <x:c r="R350" s="9" t="n">
        <x:f>IF(AND(INDEX('Сводка'!$T$3:$T$397,U350)=0,INDEX('Сводка'!$T$3:$T$397,V350)=0),1,0)</x:f>
        <x:v>1</x:v>
      </x:c>
      <x:c r="S350" s="9" t="n">
        <x:f>IF(AND(R350=1,O350&lt;=$G$13),1,0)</x:f>
        <x:v>0</x:v>
      </x:c>
      <x:c r="T350" s="10" t="n">
        <x:f>EOMONTH(J350-'Сводка'!$B$11,-1)</x:f>
        <x:v>46173</x:v>
      </x:c>
      <x:c r="U350" s="4" t="n">
        <x:f>MATCH(J350,'Сводка'!$R$3:$R$397,0)</x:f>
        <x:v>361</x:v>
      </x:c>
      <x:c r="V350" s="4" t="n">
        <x:f>MATCH(J350-'Сводка'!$B$11,'Сводка'!$R$3:$R$397,0)</x:f>
        <x:v>360</x:v>
      </x:c>
      <x:c r="W350" s="4" t="n">
        <x:f>MATCH(T350,$J$388:$J$400,0)</x:f>
        <x:v>12</x:v>
      </x:c>
      <x:c r="X350" s="3"/>
      <x:c r="Y350" s="3"/>
      <x:c r="Z350" s="3"/>
    </x:row>
    <x:row r="351" ht="15" customHeight="1">
      <x:c r="A351" s="3"/>
      <x:c r="B351" s="3"/>
      <x:c r="C351" s="3"/>
      <x:c r="D351" s="3"/>
      <x:c r="E351" s="3"/>
      <x:c r="F351" s="3"/>
      <x:c r="G351" s="3"/>
      <x:c r="H351" s="3"/>
      <x:c r="I351" s="3"/>
      <x:c r="J351" s="10" t="n">
        <x:v>46202</x:v>
      </x:c>
      <x:c r="K351" s="8" t="n">
        <x:f>INDEX('Сводка'!$S$3:$S$397,U351)</x:f>
        <x:v>122</x:v>
      </x:c>
      <x:c r="L351" s="8" t="n">
        <x:f>INDEX('Сводка'!$S$3:$S$397,V351)</x:f>
        <x:v>127</x:v>
      </x:c>
      <x:c r="M351" s="8" t="n">
        <x:f>INDEX($K$388:$N$400,W351,1)+INDEX($K$388:$N$400,W351,2)*(2*(J351-$T$405)/(T351-$T$405)-1)^1+INDEX($K$388:$N$400,W351,3)*(2*(J351-$T$405)/(T351-$T$405)-1)^2+INDEX($K$388:$N$400,W351,4)*(2*(J351-$T$405)/(T351-$T$405)-1)^3+INDEX($O$388:$Z$400,W351,MONTH(J351))</x:f>
        <x:v>167.22991115398756</x:v>
      </x:c>
      <x:c r="N351" s="8" t="n">
        <x:f>K351-M351</x:f>
        <x:v>-45.22991115398756</x:v>
      </x:c>
      <x:c r="O351" s="8" t="n">
        <x:f>ABS(N351)</x:f>
        <x:v>45.22991115398756</x:v>
      </x:c>
      <x:c r="P351" s="8" t="n">
        <x:f>N351^2</x:f>
        <x:v>2045.7448629976082</x:v>
      </x:c>
      <x:c r="Q351" s="8" t="n">
        <x:f>K351-L351</x:f>
        <x:v>-5</x:v>
      </x:c>
      <x:c r="R351" s="9" t="n">
        <x:f>IF(AND(INDEX('Сводка'!$T$3:$T$397,U351)=0,INDEX('Сводка'!$T$3:$T$397,V351)=0),1,0)</x:f>
        <x:v>1</x:v>
      </x:c>
      <x:c r="S351" s="9" t="n">
        <x:f>IF(AND(R351=1,O351&lt;=$G$13),1,0)</x:f>
        <x:v>0</x:v>
      </x:c>
      <x:c r="T351" s="10" t="n">
        <x:f>EOMONTH(J351-'Сводка'!$B$11,-1)</x:f>
        <x:v>46173</x:v>
      </x:c>
      <x:c r="U351" s="4" t="n">
        <x:f>MATCH(J351,'Сводка'!$R$3:$R$397,0)</x:f>
        <x:v>362</x:v>
      </x:c>
      <x:c r="V351" s="4" t="n">
        <x:f>MATCH(J351-'Сводка'!$B$11,'Сводка'!$R$3:$R$397,0)</x:f>
        <x:v>361</x:v>
      </x:c>
      <x:c r="W351" s="4" t="n">
        <x:f>MATCH(T351,$J$388:$J$400,0)</x:f>
        <x:v>12</x:v>
      </x:c>
      <x:c r="X351" s="3"/>
      <x:c r="Y351" s="3"/>
      <x:c r="Z351" s="3"/>
    </x:row>
    <x:row r="352" ht="15" customHeight="1">
      <x:c r="A352" s="3"/>
      <x:c r="B352" s="3"/>
      <x:c r="C352" s="3"/>
      <x:c r="D352" s="3"/>
      <x:c r="E352" s="3"/>
      <x:c r="F352" s="3"/>
      <x:c r="G352" s="3"/>
      <x:c r="H352" s="3"/>
      <x:c r="I352" s="3"/>
      <x:c r="J352" s="10" t="n">
        <x:v>46203</x:v>
      </x:c>
      <x:c r="K352" s="8" t="n">
        <x:f>INDEX('Сводка'!$S$3:$S$397,U352)</x:f>
        <x:v>116</x:v>
      </x:c>
      <x:c r="L352" s="8" t="n">
        <x:f>INDEX('Сводка'!$S$3:$S$397,V352)</x:f>
        <x:v>122</x:v>
      </x:c>
      <x:c r="M352" s="8" t="n">
        <x:f>INDEX($K$388:$N$400,W352,1)+INDEX($K$388:$N$400,W352,2)*(2*(J352-$T$405)/(T352-$T$405)-1)^1+INDEX($K$388:$N$400,W352,3)*(2*(J352-$T$405)/(T352-$T$405)-1)^2+INDEX($K$388:$N$400,W352,4)*(2*(J352-$T$405)/(T352-$T$405)-1)^3+INDEX($O$388:$Z$400,W352,MONTH(J352))</x:f>
        <x:v>167.1984125191301</x:v>
      </x:c>
      <x:c r="N352" s="8" t="n">
        <x:f>K352-M352</x:f>
        <x:v>-51.1984125191301</x:v>
      </x:c>
      <x:c r="O352" s="8" t="n">
        <x:f>ABS(N352)</x:f>
        <x:v>51.1984125191301</x:v>
      </x:c>
      <x:c r="P352" s="8" t="n">
        <x:f>N352^2</x:f>
        <x:v>2621.277444479018</x:v>
      </x:c>
      <x:c r="Q352" s="8" t="n">
        <x:f>K352-L352</x:f>
        <x:v>-6</x:v>
      </x:c>
      <x:c r="R352" s="9" t="n">
        <x:f>IF(AND(INDEX('Сводка'!$T$3:$T$397,U352)=0,INDEX('Сводка'!$T$3:$T$397,V352)=0),1,0)</x:f>
        <x:v>1</x:v>
      </x:c>
      <x:c r="S352" s="9" t="n">
        <x:f>IF(AND(R352=1,O352&lt;=$G$13),1,0)</x:f>
        <x:v>0</x:v>
      </x:c>
      <x:c r="T352" s="10" t="n">
        <x:f>EOMONTH(J352-'Сводка'!$B$11,-1)</x:f>
        <x:v>46173</x:v>
      </x:c>
      <x:c r="U352" s="4" t="n">
        <x:f>MATCH(J352,'Сводка'!$R$3:$R$397,0)</x:f>
        <x:v>363</x:v>
      </x:c>
      <x:c r="V352" s="4" t="n">
        <x:f>MATCH(J352-'Сводка'!$B$11,'Сводка'!$R$3:$R$397,0)</x:f>
        <x:v>362</x:v>
      </x:c>
      <x:c r="W352" s="4" t="n">
        <x:f>MATCH(T352,$J$388:$J$400,0)</x:f>
        <x:v>12</x:v>
      </x:c>
      <x:c r="X352" s="3"/>
      <x:c r="Y352" s="3"/>
      <x:c r="Z352" s="3"/>
    </x:row>
    <x:row r="353" ht="15" customHeight="1">
      <x:c r="A353" s="3"/>
      <x:c r="B353" s="3"/>
      <x:c r="C353" s="3"/>
      <x:c r="D353" s="3"/>
      <x:c r="E353" s="3"/>
      <x:c r="F353" s="3"/>
      <x:c r="G353" s="3"/>
      <x:c r="H353" s="3"/>
      <x:c r="I353" s="3"/>
      <x:c r="J353" s="10" t="n">
        <x:v>46204</x:v>
      </x:c>
      <x:c r="K353" s="8" t="n">
        <x:f>INDEX('Сводка'!$S$3:$S$397,U353)</x:f>
        <x:v>110</x:v>
      </x:c>
      <x:c r="L353" s="8" t="n">
        <x:f>INDEX('Сводка'!$S$3:$S$397,V353)</x:f>
        <x:v>116</x:v>
      </x:c>
      <x:c r="M353" s="8" t="n">
        <x:f>INDEX($K$388:$N$400,W353,1)+INDEX($K$388:$N$400,W353,2)*(2*(J353-$T$405)/(T353-$T$405)-1)^1+INDEX($K$388:$N$400,W353,3)*(2*(J353-$T$405)/(T353-$T$405)-1)^2+INDEX($K$388:$N$400,W353,4)*(2*(J353-$T$405)/(T353-$T$405)-1)^3+INDEX($O$388:$Z$400,W353,MONTH(J353))</x:f>
        <x:v>200.36290299539604</x:v>
      </x:c>
      <x:c r="N353" s="8" t="n">
        <x:f>K353-M353</x:f>
        <x:v>-90.36290299539604</x:v>
      </x:c>
      <x:c r="O353" s="8" t="n">
        <x:f>ABS(N353)</x:f>
        <x:v>90.36290299539604</x:v>
      </x:c>
      <x:c r="P353" s="8" t="n">
        <x:f>N353^2</x:f>
        <x:v>8165.454237755355</x:v>
      </x:c>
      <x:c r="Q353" s="8" t="n">
        <x:f>K353-L353</x:f>
        <x:v>-6</x:v>
      </x:c>
      <x:c r="R353" s="9" t="n">
        <x:f>IF(AND(INDEX('Сводка'!$T$3:$T$397,U353)=0,INDEX('Сводка'!$T$3:$T$397,V353)=0),1,0)</x:f>
        <x:v>1</x:v>
      </x:c>
      <x:c r="S353" s="9" t="n">
        <x:f>IF(AND(R353=1,O353&lt;=$G$13),1,0)</x:f>
        <x:v>0</x:v>
      </x:c>
      <x:c r="T353" s="10" t="n">
        <x:f>EOMONTH(J353-'Сводка'!$B$11,-1)</x:f>
        <x:v>46173</x:v>
      </x:c>
      <x:c r="U353" s="4" t="n">
        <x:f>MATCH(J353,'Сводка'!$R$3:$R$397,0)</x:f>
        <x:v>364</x:v>
      </x:c>
      <x:c r="V353" s="4" t="n">
        <x:f>MATCH(J353-'Сводка'!$B$11,'Сводка'!$R$3:$R$397,0)</x:f>
        <x:v>363</x:v>
      </x:c>
      <x:c r="W353" s="4" t="n">
        <x:f>MATCH(T353,$J$388:$J$400,0)</x:f>
        <x:v>12</x:v>
      </x:c>
      <x:c r="X353" s="3"/>
      <x:c r="Y353" s="3"/>
      <x:c r="Z353" s="3"/>
    </x:row>
    <x:row r="354" ht="15" customHeight="1">
      <x:c r="A354" s="3"/>
      <x:c r="B354" s="3"/>
      <x:c r="C354" s="3"/>
      <x:c r="D354" s="3"/>
      <x:c r="E354" s="3"/>
      <x:c r="F354" s="3"/>
      <x:c r="G354" s="3"/>
      <x:c r="H354" s="3"/>
      <x:c r="I354" s="3"/>
      <x:c r="J354" s="10" t="n">
        <x:v>46205</x:v>
      </x:c>
      <x:c r="K354" s="8" t="n">
        <x:f>INDEX('Сводка'!$S$3:$S$397,U354)</x:f>
        <x:v>105</x:v>
      </x:c>
      <x:c r="L354" s="8" t="n">
        <x:f>INDEX('Сводка'!$S$3:$S$397,V354)</x:f>
        <x:v>110</x:v>
      </x:c>
      <x:c r="M354" s="8" t="n">
        <x:f>INDEX($K$388:$N$400,W354,1)+INDEX($K$388:$N$400,W354,2)*(2*(J354-$T$405)/(T354-$T$405)-1)^1+INDEX($K$388:$N$400,W354,3)*(2*(J354-$T$405)/(T354-$T$405)-1)^2+INDEX($K$388:$N$400,W354,4)*(2*(J354-$T$405)/(T354-$T$405)-1)^3+INDEX($O$388:$Z$400,W354,MONTH(J354))</x:f>
        <x:v>198.4018555107239</x:v>
      </x:c>
      <x:c r="N354" s="8" t="n">
        <x:f>K354-M354</x:f>
        <x:v>-93.40185551072389</x:v>
      </x:c>
      <x:c r="O354" s="8" t="n">
        <x:f>ABS(N354)</x:f>
        <x:v>93.40185551072389</x:v>
      </x:c>
      <x:c r="P354" s="8" t="n">
        <x:f>N354^2</x:f>
        <x:v>8723.906612846144</x:v>
      </x:c>
      <x:c r="Q354" s="8" t="n">
        <x:f>K354-L354</x:f>
        <x:v>-5</x:v>
      </x:c>
      <x:c r="R354" s="9" t="n">
        <x:f>IF(AND(INDEX('Сводка'!$T$3:$T$397,U354)=0,INDEX('Сводка'!$T$3:$T$397,V354)=0),1,0)</x:f>
        <x:v>1</x:v>
      </x:c>
      <x:c r="S354" s="9" t="n">
        <x:f>IF(AND(R354=1,O354&lt;=$G$13),1,0)</x:f>
        <x:v>0</x:v>
      </x:c>
      <x:c r="T354" s="10" t="n">
        <x:f>EOMONTH(J354-'Сводка'!$B$11,-1)</x:f>
        <x:v>46203</x:v>
      </x:c>
      <x:c r="U354" s="4" t="n">
        <x:f>MATCH(J354,'Сводка'!$R$3:$R$397,0)</x:f>
        <x:v>365</x:v>
      </x:c>
      <x:c r="V354" s="4" t="n">
        <x:f>MATCH(J354-'Сводка'!$B$11,'Сводка'!$R$3:$R$397,0)</x:f>
        <x:v>364</x:v>
      </x:c>
      <x:c r="W354" s="4" t="n">
        <x:f>MATCH(T354,$J$388:$J$400,0)</x:f>
        <x:v>13</x:v>
      </x:c>
      <x:c r="X354" s="3"/>
      <x:c r="Y354" s="3"/>
      <x:c r="Z354" s="3"/>
    </x:row>
    <x:row r="355" ht="15" customHeight="1">
      <x:c r="A355" s="3"/>
      <x:c r="B355" s="3"/>
      <x:c r="C355" s="3"/>
      <x:c r="D355" s="3"/>
      <x:c r="E355" s="3"/>
      <x:c r="F355" s="3"/>
      <x:c r="G355" s="3"/>
      <x:c r="H355" s="3"/>
      <x:c r="I355" s="3"/>
      <x:c r="J355" s="10" t="n">
        <x:v>46206</x:v>
      </x:c>
      <x:c r="K355" s="8" t="n">
        <x:f>INDEX('Сводка'!$S$3:$S$397,U355)</x:f>
        <x:v>105</x:v>
      </x:c>
      <x:c r="L355" s="8" t="n">
        <x:f>INDEX('Сводка'!$S$3:$S$397,V355)</x:f>
        <x:v>105</x:v>
      </x:c>
      <x:c r="M355" s="8" t="n">
        <x:f>INDEX($K$388:$N$400,W355,1)+INDEX($K$388:$N$400,W355,2)*(2*(J355-$T$405)/(T355-$T$405)-1)^1+INDEX($K$388:$N$400,W355,3)*(2*(J355-$T$405)/(T355-$T$405)-1)^2+INDEX($K$388:$N$400,W355,4)*(2*(J355-$T$405)/(T355-$T$405)-1)^3+INDEX($O$388:$Z$400,W355,MONTH(J355))</x:f>
        <x:v>198.36862415013732</x:v>
      </x:c>
      <x:c r="N355" s="8" t="n">
        <x:f>K355-M355</x:f>
        <x:v>-93.36862415013732</x:v>
      </x:c>
      <x:c r="O355" s="8" t="n">
        <x:f>ABS(N355)</x:f>
        <x:v>93.36862415013732</x:v>
      </x:c>
      <x:c r="P355" s="8" t="n">
        <x:f>N355^2</x:f>
        <x:v>8717.699975689606</x:v>
      </x:c>
      <x:c r="Q355" s="8" t="n">
        <x:f>K355-L355</x:f>
        <x:v>0</x:v>
      </x:c>
      <x:c r="R355" s="9" t="n">
        <x:f>IF(AND(INDEX('Сводка'!$T$3:$T$397,U355)=0,INDEX('Сводка'!$T$3:$T$397,V355)=0),1,0)</x:f>
        <x:v>1</x:v>
      </x:c>
      <x:c r="S355" s="9" t="n">
        <x:f>IF(AND(R355=1,O355&lt;=$G$13),1,0)</x:f>
        <x:v>0</x:v>
      </x:c>
      <x:c r="T355" s="10" t="n">
        <x:f>EOMONTH(J355-'Сводка'!$B$11,-1)</x:f>
        <x:v>46203</x:v>
      </x:c>
      <x:c r="U355" s="4" t="n">
        <x:f>MATCH(J355,'Сводка'!$R$3:$R$397,0)</x:f>
        <x:v>366</x:v>
      </x:c>
      <x:c r="V355" s="4" t="n">
        <x:f>MATCH(J355-'Сводка'!$B$11,'Сводка'!$R$3:$R$397,0)</x:f>
        <x:v>365</x:v>
      </x:c>
      <x:c r="W355" s="4" t="n">
        <x:f>MATCH(T355,$J$388:$J$400,0)</x:f>
        <x:v>13</x:v>
      </x:c>
      <x:c r="X355" s="3"/>
      <x:c r="Y355" s="3"/>
      <x:c r="Z355" s="3"/>
    </x:row>
    <x:row r="356" ht="15" customHeight="1">
      <x:c r="A356" s="3"/>
      <x:c r="B356" s="3"/>
      <x:c r="C356" s="3"/>
      <x:c r="D356" s="3"/>
      <x:c r="E356" s="3"/>
      <x:c r="F356" s="3"/>
      <x:c r="G356" s="3"/>
      <x:c r="H356" s="3"/>
      <x:c r="I356" s="3"/>
      <x:c r="J356" s="10" t="n">
        <x:v>46207</x:v>
      </x:c>
      <x:c r="K356" s="8" t="n">
        <x:f>INDEX('Сводка'!$S$3:$S$397,U356)</x:f>
        <x:v>121</x:v>
      </x:c>
      <x:c r="L356" s="8" t="n">
        <x:f>INDEX('Сводка'!$S$3:$S$397,V356)</x:f>
        <x:v>105</x:v>
      </x:c>
      <x:c r="M356" s="8" t="n">
        <x:f>INDEX($K$388:$N$400,W356,1)+INDEX($K$388:$N$400,W356,2)*(2*(J356-$T$405)/(T356-$T$405)-1)^1+INDEX($K$388:$N$400,W356,3)*(2*(J356-$T$405)/(T356-$T$405)-1)^2+INDEX($K$388:$N$400,W356,4)*(2*(J356-$T$405)/(T356-$T$405)-1)^3+INDEX($O$388:$Z$400,W356,MONTH(J356))</x:f>
        <x:v>198.3353738019095</x:v>
      </x:c>
      <x:c r="N356" s="8" t="n">
        <x:f>K356-M356</x:f>
        <x:v>-77.3353738019095</x:v>
      </x:c>
      <x:c r="O356" s="8" t="n">
        <x:f>ABS(N356)</x:f>
        <x:v>77.3353738019095</x:v>
      </x:c>
      <x:c r="P356" s="8" t="n">
        <x:f>N356^2</x:f>
        <x:v>5980.76004108107</x:v>
      </x:c>
      <x:c r="Q356" s="8" t="n">
        <x:f>K356-L356</x:f>
        <x:v>16</x:v>
      </x:c>
      <x:c r="R356" s="9" t="n">
        <x:f>IF(AND(INDEX('Сводка'!$T$3:$T$397,U356)=0,INDEX('Сводка'!$T$3:$T$397,V356)=0),1,0)</x:f>
        <x:v>1</x:v>
      </x:c>
      <x:c r="S356" s="9" t="n">
        <x:f>IF(AND(R356=1,O356&lt;=$G$13),1,0)</x:f>
        <x:v>0</x:v>
      </x:c>
      <x:c r="T356" s="10" t="n">
        <x:f>EOMONTH(J356-'Сводка'!$B$11,-1)</x:f>
        <x:v>46203</x:v>
      </x:c>
      <x:c r="U356" s="4" t="n">
        <x:f>MATCH(J356,'Сводка'!$R$3:$R$397,0)</x:f>
        <x:v>367</x:v>
      </x:c>
      <x:c r="V356" s="4" t="n">
        <x:f>MATCH(J356-'Сводка'!$B$11,'Сводка'!$R$3:$R$397,0)</x:f>
        <x:v>366</x:v>
      </x:c>
      <x:c r="W356" s="4" t="n">
        <x:f>MATCH(T356,$J$388:$J$400,0)</x:f>
        <x:v>13</x:v>
      </x:c>
      <x:c r="X356" s="3"/>
      <x:c r="Y356" s="3"/>
      <x:c r="Z356" s="3"/>
    </x:row>
    <x:row r="357" ht="15" customHeight="1">
      <x:c r="A357" s="3"/>
      <x:c r="B357" s="3"/>
      <x:c r="C357" s="3"/>
      <x:c r="D357" s="3"/>
      <x:c r="E357" s="3"/>
      <x:c r="F357" s="3"/>
      <x:c r="G357" s="3"/>
      <x:c r="H357" s="3"/>
      <x:c r="I357" s="3"/>
      <x:c r="J357" s="10" t="n">
        <x:v>46208</x:v>
      </x:c>
      <x:c r="K357" s="8" t="n">
        <x:f>INDEX('Сводка'!$S$3:$S$397,U357)</x:f>
        <x:v>138</x:v>
      </x:c>
      <x:c r="L357" s="8" t="n">
        <x:f>INDEX('Сводка'!$S$3:$S$397,V357)</x:f>
        <x:v>121</x:v>
      </x:c>
      <x:c r="M357" s="8" t="n">
        <x:f>INDEX($K$388:$N$400,W357,1)+INDEX($K$388:$N$400,W357,2)*(2*(J357-$T$405)/(T357-$T$405)-1)^1+INDEX($K$388:$N$400,W357,3)*(2*(J357-$T$405)/(T357-$T$405)-1)^2+INDEX($K$388:$N$400,W357,4)*(2*(J357-$T$405)/(T357-$T$405)-1)^3+INDEX($O$388:$Z$400,W357,MONTH(J357))</x:f>
        <x:v>198.3021044633212</x:v>
      </x:c>
      <x:c r="N357" s="8" t="n">
        <x:f>K357-M357</x:f>
        <x:v>-60.3021044633212</x:v>
      </x:c>
      <x:c r="O357" s="8" t="n">
        <x:f>ABS(N357)</x:f>
        <x:v>60.3021044633212</x:v>
      </x:c>
      <x:c r="P357" s="8" t="n">
        <x:f>N357^2</x:f>
        <x:v>3636.3438027053026</x:v>
      </x:c>
      <x:c r="Q357" s="8" t="n">
        <x:f>K357-L357</x:f>
        <x:v>17</x:v>
      </x:c>
      <x:c r="R357" s="9" t="n">
        <x:f>IF(AND(INDEX('Сводка'!$T$3:$T$397,U357)=0,INDEX('Сводка'!$T$3:$T$397,V357)=0),1,0)</x:f>
        <x:v>1</x:v>
      </x:c>
      <x:c r="S357" s="9" t="n">
        <x:f>IF(AND(R357=1,O357&lt;=$G$13),1,0)</x:f>
        <x:v>0</x:v>
      </x:c>
      <x:c r="T357" s="10" t="n">
        <x:f>EOMONTH(J357-'Сводка'!$B$11,-1)</x:f>
        <x:v>46203</x:v>
      </x:c>
      <x:c r="U357" s="4" t="n">
        <x:f>MATCH(J357,'Сводка'!$R$3:$R$397,0)</x:f>
        <x:v>368</x:v>
      </x:c>
      <x:c r="V357" s="4" t="n">
        <x:f>MATCH(J357-'Сводка'!$B$11,'Сводка'!$R$3:$R$397,0)</x:f>
        <x:v>367</x:v>
      </x:c>
      <x:c r="W357" s="4" t="n">
        <x:f>MATCH(T357,$J$388:$J$400,0)</x:f>
        <x:v>13</x:v>
      </x:c>
      <x:c r="X357" s="3"/>
      <x:c r="Y357" s="3"/>
      <x:c r="Z357" s="3"/>
    </x:row>
    <x:row r="358" ht="15" customHeight="1">
      <x:c r="A358" s="3"/>
      <x:c r="B358" s="3"/>
      <x:c r="C358" s="3"/>
      <x:c r="D358" s="3"/>
      <x:c r="E358" s="3"/>
      <x:c r="F358" s="3"/>
      <x:c r="G358" s="3"/>
      <x:c r="H358" s="3"/>
      <x:c r="I358" s="3"/>
      <x:c r="J358" s="10" t="n">
        <x:v>46209</x:v>
      </x:c>
      <x:c r="K358" s="8" t="n">
        <x:f>INDEX('Сводка'!$S$3:$S$397,U358)</x:f>
        <x:v>149</x:v>
      </x:c>
      <x:c r="L358" s="8" t="n">
        <x:f>INDEX('Сводка'!$S$3:$S$397,V358)</x:f>
        <x:v>138</x:v>
      </x:c>
      <x:c r="M358" s="8" t="n">
        <x:f>INDEX($K$388:$N$400,W358,1)+INDEX($K$388:$N$400,W358,2)*(2*(J358-$T$405)/(T358-$T$405)-1)^1+INDEX($K$388:$N$400,W358,3)*(2*(J358-$T$405)/(T358-$T$405)-1)^2+INDEX($K$388:$N$400,W358,4)*(2*(J358-$T$405)/(T358-$T$405)-1)^3+INDEX($O$388:$Z$400,W358,MONTH(J358))</x:f>
        <x:v>198.26881613165295</x:v>
      </x:c>
      <x:c r="N358" s="8" t="n">
        <x:f>K358-M358</x:f>
        <x:v>-49.268816131652954</x:v>
      </x:c>
      <x:c r="O358" s="8" t="n">
        <x:f>ABS(N358)</x:f>
        <x:v>49.268816131652954</x:v>
      </x:c>
      <x:c r="P358" s="8" t="n">
        <x:f>N358^2</x:f>
        <x:v>2427.4162430146266</x:v>
      </x:c>
      <x:c r="Q358" s="8" t="n">
        <x:f>K358-L358</x:f>
        <x:v>11</x:v>
      </x:c>
      <x:c r="R358" s="9" t="n">
        <x:f>IF(AND(INDEX('Сводка'!$T$3:$T$397,U358)=0,INDEX('Сводка'!$T$3:$T$397,V358)=0),1,0)</x:f>
        <x:v>1</x:v>
      </x:c>
      <x:c r="S358" s="9" t="n">
        <x:f>IF(AND(R358=1,O358&lt;=$G$13),1,0)</x:f>
        <x:v>0</x:v>
      </x:c>
      <x:c r="T358" s="10" t="n">
        <x:f>EOMONTH(J358-'Сводка'!$B$11,-1)</x:f>
        <x:v>46203</x:v>
      </x:c>
      <x:c r="U358" s="4" t="n">
        <x:f>MATCH(J358,'Сводка'!$R$3:$R$397,0)</x:f>
        <x:v>369</x:v>
      </x:c>
      <x:c r="V358" s="4" t="n">
        <x:f>MATCH(J358-'Сводка'!$B$11,'Сводка'!$R$3:$R$397,0)</x:f>
        <x:v>368</x:v>
      </x:c>
      <x:c r="W358" s="4" t="n">
        <x:f>MATCH(T358,$J$388:$J$400,0)</x:f>
        <x:v>13</x:v>
      </x:c>
      <x:c r="X358" s="3"/>
      <x:c r="Y358" s="3"/>
      <x:c r="Z358" s="3"/>
    </x:row>
    <x:row r="359" ht="15" customHeight="1">
      <x:c r="A359" s="3"/>
      <x:c r="B359" s="3"/>
      <x:c r="C359" s="3"/>
      <x:c r="D359" s="3"/>
      <x:c r="E359" s="3"/>
      <x:c r="F359" s="3"/>
      <x:c r="G359" s="3"/>
      <x:c r="H359" s="3"/>
      <x:c r="I359" s="3"/>
      <x:c r="J359" s="10" t="n">
        <x:v>46210</x:v>
      </x:c>
      <x:c r="K359" s="8" t="n">
        <x:f>INDEX('Сводка'!$S$3:$S$397,U359)</x:f>
        <x:v>158</x:v>
      </x:c>
      <x:c r="L359" s="8" t="n">
        <x:f>INDEX('Сводка'!$S$3:$S$397,V359)</x:f>
        <x:v>149</x:v>
      </x:c>
      <x:c r="M359" s="8" t="n">
        <x:f>INDEX($K$388:$N$400,W359,1)+INDEX($K$388:$N$400,W359,2)*(2*(J359-$T$405)/(T359-$T$405)-1)^1+INDEX($K$388:$N$400,W359,3)*(2*(J359-$T$405)/(T359-$T$405)-1)^2+INDEX($K$388:$N$400,W359,4)*(2*(J359-$T$405)/(T359-$T$405)-1)^3+INDEX($O$388:$Z$400,W359,MONTH(J359))</x:f>
        <x:v>198.2355088041856</x:v>
      </x:c>
      <x:c r="N359" s="8" t="n">
        <x:f>K359-M359</x:f>
        <x:v>-40.2355088041856</x:v>
      </x:c>
      <x:c r="O359" s="8" t="n">
        <x:f>ABS(N359)</x:f>
        <x:v>40.2355088041856</x:v>
      </x:c>
      <x:c r="P359" s="8" t="n">
        <x:f>N359^2</x:f>
        <x:v>1618.896168731697</x:v>
      </x:c>
      <x:c r="Q359" s="8" t="n">
        <x:f>K359-L359</x:f>
        <x:v>9</x:v>
      </x:c>
      <x:c r="R359" s="9" t="n">
        <x:f>IF(AND(INDEX('Сводка'!$T$3:$T$397,U359)=0,INDEX('Сводка'!$T$3:$T$397,V359)=0),1,0)</x:f>
        <x:v>1</x:v>
      </x:c>
      <x:c r="S359" s="9" t="n">
        <x:f>IF(AND(R359=1,O359&lt;=$G$13),1,0)</x:f>
        <x:v>0</x:v>
      </x:c>
      <x:c r="T359" s="10" t="n">
        <x:f>EOMONTH(J359-'Сводка'!$B$11,-1)</x:f>
        <x:v>46203</x:v>
      </x:c>
      <x:c r="U359" s="4" t="n">
        <x:f>MATCH(J359,'Сводка'!$R$3:$R$397,0)</x:f>
        <x:v>370</x:v>
      </x:c>
      <x:c r="V359" s="4" t="n">
        <x:f>MATCH(J359-'Сводка'!$B$11,'Сводка'!$R$3:$R$397,0)</x:f>
        <x:v>369</x:v>
      </x:c>
      <x:c r="W359" s="4" t="n">
        <x:f>MATCH(T359,$J$388:$J$400,0)</x:f>
        <x:v>13</x:v>
      </x:c>
      <x:c r="X359" s="3"/>
      <x:c r="Y359" s="3"/>
      <x:c r="Z359" s="3"/>
    </x:row>
    <x:row r="360" ht="15" customHeight="1">
      <x:c r="A360" s="3"/>
      <x:c r="B360" s="3"/>
      <x:c r="C360" s="3"/>
      <x:c r="D360" s="3"/>
      <x:c r="E360" s="3"/>
      <x:c r="F360" s="3"/>
      <x:c r="G360" s="3"/>
      <x:c r="H360" s="3"/>
      <x:c r="I360" s="3"/>
      <x:c r="J360" s="10" t="n">
        <x:v>46211</x:v>
      </x:c>
      <x:c r="K360" s="8" t="n">
        <x:f>INDEX('Сводка'!$S$3:$S$397,U360)</x:f>
        <x:v>166</x:v>
      </x:c>
      <x:c r="L360" s="8" t="n">
        <x:f>INDEX('Сводка'!$S$3:$S$397,V360)</x:f>
        <x:v>158</x:v>
      </x:c>
      <x:c r="M360" s="8" t="n">
        <x:f>INDEX($K$388:$N$400,W360,1)+INDEX($K$388:$N$400,W360,2)*(2*(J360-$T$405)/(T360-$T$405)-1)^1+INDEX($K$388:$N$400,W360,3)*(2*(J360-$T$405)/(T360-$T$405)-1)^2+INDEX($K$388:$N$400,W360,4)*(2*(J360-$T$405)/(T360-$T$405)-1)^3+INDEX($O$388:$Z$400,W360,MONTH(J360))</x:f>
        <x:v>198.2021824781996</x:v>
      </x:c>
      <x:c r="N360" s="8" t="n">
        <x:f>K360-M360</x:f>
        <x:v>-32.2021824781996</x:v>
      </x:c>
      <x:c r="O360" s="8" t="n">
        <x:f>ABS(N360)</x:f>
        <x:v>32.2021824781996</x:v>
      </x:c>
      <x:c r="P360" s="8" t="n">
        <x:f>N360^2</x:f>
        <x:v>1036.9805563592656</x:v>
      </x:c>
      <x:c r="Q360" s="8" t="n">
        <x:f>K360-L360</x:f>
        <x:v>8</x:v>
      </x:c>
      <x:c r="R360" s="9" t="n">
        <x:f>IF(AND(INDEX('Сводка'!$T$3:$T$397,U360)=0,INDEX('Сводка'!$T$3:$T$397,V360)=0),1,0)</x:f>
        <x:v>1</x:v>
      </x:c>
      <x:c r="S360" s="9" t="n">
        <x:f>IF(AND(R360=1,O360&lt;=$G$13),1,0)</x:f>
        <x:v>0</x:v>
      </x:c>
      <x:c r="T360" s="10" t="n">
        <x:f>EOMONTH(J360-'Сводка'!$B$11,-1)</x:f>
        <x:v>46203</x:v>
      </x:c>
      <x:c r="U360" s="4" t="n">
        <x:f>MATCH(J360,'Сводка'!$R$3:$R$397,0)</x:f>
        <x:v>371</x:v>
      </x:c>
      <x:c r="V360" s="4" t="n">
        <x:f>MATCH(J360-'Сводка'!$B$11,'Сводка'!$R$3:$R$397,0)</x:f>
        <x:v>370</x:v>
      </x:c>
      <x:c r="W360" s="4" t="n">
        <x:f>MATCH(T360,$J$388:$J$400,0)</x:f>
        <x:v>13</x:v>
      </x:c>
      <x:c r="X360" s="3"/>
      <x:c r="Y360" s="3"/>
      <x:c r="Z360" s="3"/>
    </x:row>
    <x:row r="361" ht="15" customHeight="1">
      <x:c r="A361" s="3"/>
      <x:c r="B361" s="3"/>
      <x:c r="C361" s="3"/>
      <x:c r="D361" s="3"/>
      <x:c r="E361" s="3"/>
      <x:c r="F361" s="3"/>
      <x:c r="G361" s="3"/>
      <x:c r="H361" s="3"/>
      <x:c r="I361" s="3"/>
      <x:c r="J361" s="10" t="n">
        <x:v>46212</x:v>
      </x:c>
      <x:c r="K361" s="8" t="n">
        <x:f>INDEX('Сводка'!$S$3:$S$397,U361)</x:f>
        <x:v>174</x:v>
      </x:c>
      <x:c r="L361" s="8" t="n">
        <x:f>INDEX('Сводка'!$S$3:$S$397,V361)</x:f>
        <x:v>166</x:v>
      </x:c>
      <x:c r="M361" s="8" t="n">
        <x:f>INDEX($K$388:$N$400,W361,1)+INDEX($K$388:$N$400,W361,2)*(2*(J361-$T$405)/(T361-$T$405)-1)^1+INDEX($K$388:$N$400,W361,3)*(2*(J361-$T$405)/(T361-$T$405)-1)^2+INDEX($K$388:$N$400,W361,4)*(2*(J361-$T$405)/(T361-$T$405)-1)^3+INDEX($O$388:$Z$400,W361,MONTH(J361))</x:f>
        <x:v>198.1688371509757</x:v>
      </x:c>
      <x:c r="N361" s="8" t="n">
        <x:f>K361-M361</x:f>
        <x:v>-24.16883715097569</x:v>
      </x:c>
      <x:c r="O361" s="8" t="n">
        <x:f>ABS(N361)</x:f>
        <x:v>24.16883715097569</x:v>
      </x:c>
      <x:c r="P361" s="8" t="n">
        <x:f>N361^2</x:f>
        <x:v>584.1326892303828</x:v>
      </x:c>
      <x:c r="Q361" s="8" t="n">
        <x:f>K361-L361</x:f>
        <x:v>8</x:v>
      </x:c>
      <x:c r="R361" s="9" t="n">
        <x:f>IF(AND(INDEX('Сводка'!$T$3:$T$397,U361)=0,INDEX('Сводка'!$T$3:$T$397,V361)=0),1,0)</x:f>
        <x:v>1</x:v>
      </x:c>
      <x:c r="S361" s="9" t="n">
        <x:f>IF(AND(R361=1,O361&lt;=$G$13),1,0)</x:f>
        <x:v>0</x:v>
      </x:c>
      <x:c r="T361" s="10" t="n">
        <x:f>EOMONTH(J361-'Сводка'!$B$11,-1)</x:f>
        <x:v>46203</x:v>
      </x:c>
      <x:c r="U361" s="4" t="n">
        <x:f>MATCH(J361,'Сводка'!$R$3:$R$397,0)</x:f>
        <x:v>372</x:v>
      </x:c>
      <x:c r="V361" s="4" t="n">
        <x:f>MATCH(J361-'Сводка'!$B$11,'Сводка'!$R$3:$R$397,0)</x:f>
        <x:v>371</x:v>
      </x:c>
      <x:c r="W361" s="4" t="n">
        <x:f>MATCH(T361,$J$388:$J$400,0)</x:f>
        <x:v>13</x:v>
      </x:c>
      <x:c r="X361" s="3"/>
      <x:c r="Y361" s="3"/>
      <x:c r="Z361" s="3"/>
    </x:row>
    <x:row r="362" ht="15" customHeight="1">
      <x:c r="A362" s="3"/>
      <x:c r="B362" s="3"/>
      <x:c r="C362" s="3"/>
      <x:c r="D362" s="3"/>
      <x:c r="E362" s="3"/>
      <x:c r="F362" s="3"/>
      <x:c r="G362" s="3"/>
      <x:c r="H362" s="3"/>
      <x:c r="I362" s="3"/>
      <x:c r="J362" s="10" t="n">
        <x:v>46213</x:v>
      </x:c>
      <x:c r="K362" s="8" t="n">
        <x:f>INDEX('Сводка'!$S$3:$S$397,U362)</x:f>
        <x:v>180</x:v>
      </x:c>
      <x:c r="L362" s="8" t="n">
        <x:f>INDEX('Сводка'!$S$3:$S$397,V362)</x:f>
        <x:v>174</x:v>
      </x:c>
      <x:c r="M362" s="8" t="n">
        <x:f>INDEX($K$388:$N$400,W362,1)+INDEX($K$388:$N$400,W362,2)*(2*(J362-$T$405)/(T362-$T$405)-1)^1+INDEX($K$388:$N$400,W362,3)*(2*(J362-$T$405)/(T362-$T$405)-1)^2+INDEX($K$388:$N$400,W362,4)*(2*(J362-$T$405)/(T362-$T$405)-1)^3+INDEX($O$388:$Z$400,W362,MONTH(J362))</x:f>
        <x:v>198.13547281979464</x:v>
      </x:c>
      <x:c r="N362" s="8" t="n">
        <x:f>K362-M362</x:f>
        <x:v>-18.135472819794643</x:v>
      </x:c>
      <x:c r="O362" s="8" t="n">
        <x:f>ABS(N362)</x:f>
        <x:v>18.135472819794643</x:v>
      </x:c>
      <x:c r="P362" s="8" t="n">
        <x:f>N362^2</x:f>
        <x:v>328.89537439751024</x:v>
      </x:c>
      <x:c r="Q362" s="8" t="n">
        <x:f>K362-L362</x:f>
        <x:v>6</x:v>
      </x:c>
      <x:c r="R362" s="9" t="n">
        <x:f>IF(AND(INDEX('Сводка'!$T$3:$T$397,U362)=0,INDEX('Сводка'!$T$3:$T$397,V362)=0),1,0)</x:f>
        <x:v>1</x:v>
      </x:c>
      <x:c r="S362" s="9" t="n">
        <x:f>IF(AND(R362=1,O362&lt;=$G$13),1,0)</x:f>
        <x:v>0</x:v>
      </x:c>
      <x:c r="T362" s="10" t="n">
        <x:f>EOMONTH(J362-'Сводка'!$B$11,-1)</x:f>
        <x:v>46203</x:v>
      </x:c>
      <x:c r="U362" s="4" t="n">
        <x:f>MATCH(J362,'Сводка'!$R$3:$R$397,0)</x:f>
        <x:v>373</x:v>
      </x:c>
      <x:c r="V362" s="4" t="n">
        <x:f>MATCH(J362-'Сводка'!$B$11,'Сводка'!$R$3:$R$397,0)</x:f>
        <x:v>372</x:v>
      </x:c>
      <x:c r="W362" s="4" t="n">
        <x:f>MATCH(T362,$J$388:$J$400,0)</x:f>
        <x:v>13</x:v>
      </x:c>
      <x:c r="X362" s="3"/>
      <x:c r="Y362" s="3"/>
      <x:c r="Z362" s="3"/>
    </x:row>
    <x:row r="363" ht="15" customHeight="1">
      <x:c r="A363" s="3"/>
      <x:c r="B363" s="3"/>
      <x:c r="C363" s="3"/>
      <x:c r="D363" s="3"/>
      <x:c r="E363" s="3"/>
      <x:c r="F363" s="3"/>
      <x:c r="G363" s="3"/>
      <x:c r="H363" s="3"/>
      <x:c r="I363" s="3"/>
      <x:c r="J363" s="10" t="n">
        <x:v>46214</x:v>
      </x:c>
      <x:c r="K363" s="8" t="n">
        <x:f>INDEX('Сводка'!$S$3:$S$397,U363)</x:f>
        <x:v>181</x:v>
      </x:c>
      <x:c r="L363" s="8" t="n">
        <x:f>INDEX('Сводка'!$S$3:$S$397,V363)</x:f>
        <x:v>180</x:v>
      </x:c>
      <x:c r="M363" s="8" t="n">
        <x:f>INDEX($K$388:$N$400,W363,1)+INDEX($K$388:$N$400,W363,2)*(2*(J363-$T$405)/(T363-$T$405)-1)^1+INDEX($K$388:$N$400,W363,3)*(2*(J363-$T$405)/(T363-$T$405)-1)^2+INDEX($K$388:$N$400,W363,4)*(2*(J363-$T$405)/(T363-$T$405)-1)^3+INDEX($O$388:$Z$400,W363,MONTH(J363))</x:f>
        <x:v>198.1020894819369</x:v>
      </x:c>
      <x:c r="N363" s="8" t="n">
        <x:f>K363-M363</x:f>
        <x:v>-17.1020894819369</x:v>
      </x:c>
      <x:c r="O363" s="8" t="n">
        <x:f>ABS(N363)</x:f>
        <x:v>17.1020894819369</x:v>
      </x:c>
      <x:c r="P363" s="8" t="n">
        <x:f>N363^2</x:f>
        <x:v>292.48146464817677</x:v>
      </x:c>
      <x:c r="Q363" s="8" t="n">
        <x:f>K363-L363</x:f>
        <x:v>1</x:v>
      </x:c>
      <x:c r="R363" s="9" t="n">
        <x:f>IF(AND(INDEX('Сводка'!$T$3:$T$397,U363)=0,INDEX('Сводка'!$T$3:$T$397,V363)=0),1,0)</x:f>
        <x:v>1</x:v>
      </x:c>
      <x:c r="S363" s="9" t="n">
        <x:f>IF(AND(R363=1,O363&lt;=$G$13),1,0)</x:f>
        <x:v>0</x:v>
      </x:c>
      <x:c r="T363" s="10" t="n">
        <x:f>EOMONTH(J363-'Сводка'!$B$11,-1)</x:f>
        <x:v>46203</x:v>
      </x:c>
      <x:c r="U363" s="4" t="n">
        <x:f>MATCH(J363,'Сводка'!$R$3:$R$397,0)</x:f>
        <x:v>374</x:v>
      </x:c>
      <x:c r="V363" s="4" t="n">
        <x:f>MATCH(J363-'Сводка'!$B$11,'Сводка'!$R$3:$R$397,0)</x:f>
        <x:v>373</x:v>
      </x:c>
      <x:c r="W363" s="4" t="n">
        <x:f>MATCH(T363,$J$388:$J$400,0)</x:f>
        <x:v>13</x:v>
      </x:c>
      <x:c r="X363" s="3"/>
      <x:c r="Y363" s="3"/>
      <x:c r="Z363" s="3"/>
    </x:row>
    <x:row r="364" ht="15" customHeight="1">
      <x:c r="A364" s="3"/>
      <x:c r="B364" s="3"/>
      <x:c r="C364" s="3"/>
      <x:c r="D364" s="3"/>
      <x:c r="E364" s="3"/>
      <x:c r="F364" s="3"/>
      <x:c r="G364" s="3"/>
      <x:c r="H364" s="3"/>
      <x:c r="I364" s="3"/>
      <x:c r="J364" s="10" t="n">
        <x:v>46215</x:v>
      </x:c>
      <x:c r="K364" s="8" t="n">
        <x:f>INDEX('Сводка'!$S$3:$S$397,U364)</x:f>
        <x:v>179</x:v>
      </x:c>
      <x:c r="L364" s="8" t="n">
        <x:f>INDEX('Сводка'!$S$3:$S$397,V364)</x:f>
        <x:v>181</x:v>
      </x:c>
      <x:c r="M364" s="8" t="n">
        <x:f>INDEX($K$388:$N$400,W364,1)+INDEX($K$388:$N$400,W364,2)*(2*(J364-$T$405)/(T364-$T$405)-1)^1+INDEX($K$388:$N$400,W364,3)*(2*(J364-$T$405)/(T364-$T$405)-1)^2+INDEX($K$388:$N$400,W364,4)*(2*(J364-$T$405)/(T364-$T$405)-1)^3+INDEX($O$388:$Z$400,W364,MONTH(J364))</x:f>
        <x:v>198.06868713468327</x:v>
      </x:c>
      <x:c r="N364" s="8" t="n">
        <x:f>K364-M364</x:f>
        <x:v>-19.068687134683273</x:v>
      </x:c>
      <x:c r="O364" s="8" t="n">
        <x:f>ABS(N364)</x:f>
        <x:v>19.068687134683273</x:v>
      </x:c>
      <x:c r="P364" s="8" t="n">
        <x:f>N364^2</x:f>
        <x:v>363.6148290404354</x:v>
      </x:c>
      <x:c r="Q364" s="8" t="n">
        <x:f>K364-L364</x:f>
        <x:v>-2</x:v>
      </x:c>
      <x:c r="R364" s="9" t="n">
        <x:f>IF(AND(INDEX('Сводка'!$T$3:$T$397,U364)=0,INDEX('Сводка'!$T$3:$T$397,V364)=0),1,0)</x:f>
        <x:v>1</x:v>
      </x:c>
      <x:c r="S364" s="9" t="n">
        <x:f>IF(AND(R364=1,O364&lt;=$G$13),1,0)</x:f>
        <x:v>0</x:v>
      </x:c>
      <x:c r="T364" s="10" t="n">
        <x:f>EOMONTH(J364-'Сводка'!$B$11,-1)</x:f>
        <x:v>46203</x:v>
      </x:c>
      <x:c r="U364" s="4" t="n">
        <x:f>MATCH(J364,'Сводка'!$R$3:$R$397,0)</x:f>
        <x:v>375</x:v>
      </x:c>
      <x:c r="V364" s="4" t="n">
        <x:f>MATCH(J364-'Сводка'!$B$11,'Сводка'!$R$3:$R$397,0)</x:f>
        <x:v>374</x:v>
      </x:c>
      <x:c r="W364" s="4" t="n">
        <x:f>MATCH(T364,$J$388:$J$400,0)</x:f>
        <x:v>13</x:v>
      </x:c>
      <x:c r="X364" s="3"/>
      <x:c r="Y364" s="3"/>
      <x:c r="Z364" s="3"/>
    </x:row>
    <x:row r="365" ht="15" customHeight="1">
      <x:c r="A365" s="3"/>
      <x:c r="B365" s="3"/>
      <x:c r="C365" s="3"/>
      <x:c r="D365" s="3"/>
      <x:c r="E365" s="3"/>
      <x:c r="F365" s="3"/>
      <x:c r="G365" s="3"/>
      <x:c r="H365" s="3"/>
      <x:c r="I365" s="3"/>
      <x:c r="J365" s="10" t="n">
        <x:v>46216</x:v>
      </x:c>
      <x:c r="K365" s="8" t="n">
        <x:f>INDEX('Сводка'!$S$3:$S$397,U365)</x:f>
        <x:v>182</x:v>
      </x:c>
      <x:c r="L365" s="8" t="n">
        <x:f>INDEX('Сводка'!$S$3:$S$397,V365)</x:f>
        <x:v>179</x:v>
      </x:c>
      <x:c r="M365" s="8" t="n">
        <x:f>INDEX($K$388:$N$400,W365,1)+INDEX($K$388:$N$400,W365,2)*(2*(J365-$T$405)/(T365-$T$405)-1)^1+INDEX($K$388:$N$400,W365,3)*(2*(J365-$T$405)/(T365-$T$405)-1)^2+INDEX($K$388:$N$400,W365,4)*(2*(J365-$T$405)/(T365-$T$405)-1)^3+INDEX($O$388:$Z$400,W365,MONTH(J365))</x:f>
        <x:v>198.03526577531437</x:v>
      </x:c>
      <x:c r="N365" s="8" t="n">
        <x:f>K365-M365</x:f>
        <x:v>-16.03526577531437</x:v>
      </x:c>
      <x:c r="O365" s="8" t="n">
        <x:f>ABS(N365)</x:f>
        <x:v>16.03526577531437</x:v>
      </x:c>
      <x:c r="P365" s="8" t="n">
        <x:f>N365^2</x:f>
        <x:v>257.12974848496845</x:v>
      </x:c>
      <x:c r="Q365" s="8" t="n">
        <x:f>K365-L365</x:f>
        <x:v>3</x:v>
      </x:c>
      <x:c r="R365" s="9" t="n">
        <x:f>IF(AND(INDEX('Сводка'!$T$3:$T$397,U365)=0,INDEX('Сводка'!$T$3:$T$397,V365)=0),1,0)</x:f>
        <x:v>1</x:v>
      </x:c>
      <x:c r="S365" s="9" t="n">
        <x:f>IF(AND(R365=1,O365&lt;=$G$13),1,0)</x:f>
        <x:v>0</x:v>
      </x:c>
      <x:c r="T365" s="10" t="n">
        <x:f>EOMONTH(J365-'Сводка'!$B$11,-1)</x:f>
        <x:v>46203</x:v>
      </x:c>
      <x:c r="U365" s="4" t="n">
        <x:f>MATCH(J365,'Сводка'!$R$3:$R$397,0)</x:f>
        <x:v>376</x:v>
      </x:c>
      <x:c r="V365" s="4" t="n">
        <x:f>MATCH(J365-'Сводка'!$B$11,'Сводка'!$R$3:$R$397,0)</x:f>
        <x:v>375</x:v>
      </x:c>
      <x:c r="W365" s="4" t="n">
        <x:f>MATCH(T365,$J$388:$J$400,0)</x:f>
        <x:v>13</x:v>
      </x:c>
      <x:c r="X365" s="3"/>
      <x:c r="Y365" s="3"/>
      <x:c r="Z365" s="3"/>
    </x:row>
    <x:row r="366" ht="15" customHeight="1">
      <x:c r="A366" s="3"/>
      <x:c r="B366" s="3"/>
      <x:c r="C366" s="3"/>
      <x:c r="D366" s="3"/>
      <x:c r="E366" s="3"/>
      <x:c r="F366" s="3"/>
      <x:c r="G366" s="3"/>
      <x:c r="H366" s="3"/>
      <x:c r="I366" s="3"/>
      <x:c r="J366" s="10" t="n">
        <x:v>46217</x:v>
      </x:c>
      <x:c r="K366" s="8" t="n">
        <x:f>INDEX('Сводка'!$S$3:$S$397,U366)</x:f>
        <x:v>191</x:v>
      </x:c>
      <x:c r="L366" s="8" t="n">
        <x:f>INDEX('Сводка'!$S$3:$S$397,V366)</x:f>
        <x:v>182</x:v>
      </x:c>
      <x:c r="M366" s="8" t="n">
        <x:f>INDEX($K$388:$N$400,W366,1)+INDEX($K$388:$N$400,W366,2)*(2*(J366-$T$405)/(T366-$T$405)-1)^1+INDEX($K$388:$N$400,W366,3)*(2*(J366-$T$405)/(T366-$T$405)-1)^2+INDEX($K$388:$N$400,W366,4)*(2*(J366-$T$405)/(T366-$T$405)-1)^3+INDEX($O$388:$Z$400,W366,MONTH(J366))</x:f>
        <x:v>198.0018254011109</x:v>
      </x:c>
      <x:c r="N366" s="8" t="n">
        <x:f>K366-M366</x:f>
        <x:v>-7.001825401110892</x:v>
      </x:c>
      <x:c r="O366" s="8" t="n">
        <x:f>ABS(N366)</x:f>
        <x:v>7.001825401110892</x:v>
      </x:c>
      <x:c r="P366" s="8" t="n">
        <x:f>N366^2</x:f>
        <x:v>49.025558947641706</x:v>
      </x:c>
      <x:c r="Q366" s="8" t="n">
        <x:f>K366-L366</x:f>
        <x:v>9</x:v>
      </x:c>
      <x:c r="R366" s="9" t="n">
        <x:f>IF(AND(INDEX('Сводка'!$T$3:$T$397,U366)=0,INDEX('Сводка'!$T$3:$T$397,V366)=0),1,0)</x:f>
        <x:v>1</x:v>
      </x:c>
      <x:c r="S366" s="9" t="n">
        <x:f>IF(AND(R366=1,O366&lt;=$G$13),1,0)</x:f>
        <x:v>1</x:v>
      </x:c>
      <x:c r="T366" s="10" t="n">
        <x:f>EOMONTH(J366-'Сводка'!$B$11,-1)</x:f>
        <x:v>46203</x:v>
      </x:c>
      <x:c r="U366" s="4" t="n">
        <x:f>MATCH(J366,'Сводка'!$R$3:$R$397,0)</x:f>
        <x:v>377</x:v>
      </x:c>
      <x:c r="V366" s="4" t="n">
        <x:f>MATCH(J366-'Сводка'!$B$11,'Сводка'!$R$3:$R$397,0)</x:f>
        <x:v>376</x:v>
      </x:c>
      <x:c r="W366" s="4" t="n">
        <x:f>MATCH(T366,$J$388:$J$400,0)</x:f>
        <x:v>13</x:v>
      </x:c>
      <x:c r="X366" s="3"/>
      <x:c r="Y366" s="3"/>
      <x:c r="Z366" s="3"/>
    </x:row>
    <x:row r="367" ht="15" customHeight="1">
      <x:c r="A367" s="3"/>
      <x:c r="B367" s="3"/>
      <x:c r="C367" s="3"/>
      <x:c r="D367" s="3"/>
      <x:c r="E367" s="3"/>
      <x:c r="F367" s="3"/>
      <x:c r="G367" s="3"/>
      <x:c r="H367" s="3"/>
      <x:c r="I367" s="3"/>
      <x:c r="J367" s="10" t="n">
        <x:v>46218</x:v>
      </x:c>
      <x:c r="K367" s="8" t="n">
        <x:f>INDEX('Сводка'!$S$3:$S$397,U367)</x:f>
        <x:v>206</x:v>
      </x:c>
      <x:c r="L367" s="8" t="n">
        <x:f>INDEX('Сводка'!$S$3:$S$397,V367)</x:f>
        <x:v>191</x:v>
      </x:c>
      <x:c r="M367" s="8" t="n">
        <x:f>INDEX($K$388:$N$400,W367,1)+INDEX($K$388:$N$400,W367,2)*(2*(J367-$T$405)/(T367-$T$405)-1)^1+INDEX($K$388:$N$400,W367,3)*(2*(J367-$T$405)/(T367-$T$405)-1)^2+INDEX($K$388:$N$400,W367,4)*(2*(J367-$T$405)/(T367-$T$405)-1)^3+INDEX($O$388:$Z$400,W367,MONTH(J367))</x:f>
        <x:v>197.9683660093534</x:v>
      </x:c>
      <x:c r="N367" s="8" t="n">
        <x:f>K367-M367</x:f>
        <x:v>8.031633990646611</x:v>
      </x:c>
      <x:c r="O367" s="8" t="n">
        <x:f>ABS(N367)</x:f>
        <x:v>8.031633990646611</x:v>
      </x:c>
      <x:c r="P367" s="8" t="n">
        <x:f>N367^2</x:f>
        <x:v>64.50714455971001</x:v>
      </x:c>
      <x:c r="Q367" s="8" t="n">
        <x:f>K367-L367</x:f>
        <x:v>15</x:v>
      </x:c>
      <x:c r="R367" s="9" t="n">
        <x:f>IF(AND(INDEX('Сводка'!$T$3:$T$397,U367)=0,INDEX('Сводка'!$T$3:$T$397,V367)=0),1,0)</x:f>
        <x:v>1</x:v>
      </x:c>
      <x:c r="S367" s="9" t="n">
        <x:f>IF(AND(R367=1,O367&lt;=$G$13),1,0)</x:f>
        <x:v>0</x:v>
      </x:c>
      <x:c r="T367" s="10" t="n">
        <x:f>EOMONTH(J367-'Сводка'!$B$11,-1)</x:f>
        <x:v>46203</x:v>
      </x:c>
      <x:c r="U367" s="4" t="n">
        <x:f>MATCH(J367,'Сводка'!$R$3:$R$397,0)</x:f>
        <x:v>378</x:v>
      </x:c>
      <x:c r="V367" s="4" t="n">
        <x:f>MATCH(J367-'Сводка'!$B$11,'Сводка'!$R$3:$R$397,0)</x:f>
        <x:v>377</x:v>
      </x:c>
      <x:c r="W367" s="4" t="n">
        <x:f>MATCH(T367,$J$388:$J$400,0)</x:f>
        <x:v>13</x:v>
      </x:c>
      <x:c r="X367" s="3"/>
      <x:c r="Y367" s="3"/>
      <x:c r="Z367" s="3"/>
    </x:row>
    <x:row r="368" ht="15" customHeight="1">
      <x:c r="A368" s="3"/>
      <x:c r="B368" s="3"/>
      <x:c r="C368" s="3"/>
      <x:c r="D368" s="3"/>
      <x:c r="E368" s="3"/>
      <x:c r="F368" s="3"/>
      <x:c r="G368" s="3"/>
      <x:c r="H368" s="3"/>
      <x:c r="I368" s="3"/>
      <x:c r="J368" s="10" t="n">
        <x:v>46219</x:v>
      </x:c>
      <x:c r="K368" s="8" t="n">
        <x:f>INDEX('Сводка'!$S$3:$S$397,U368)</x:f>
        <x:v>225</x:v>
      </x:c>
      <x:c r="L368" s="8" t="n">
        <x:f>INDEX('Сводка'!$S$3:$S$397,V368)</x:f>
        <x:v>206</x:v>
      </x:c>
      <x:c r="M368" s="8" t="n">
        <x:f>INDEX($K$388:$N$400,W368,1)+INDEX($K$388:$N$400,W368,2)*(2*(J368-$T$405)/(T368-$T$405)-1)^1+INDEX($K$388:$N$400,W368,3)*(2*(J368-$T$405)/(T368-$T$405)-1)^2+INDEX($K$388:$N$400,W368,4)*(2*(J368-$T$405)/(T368-$T$405)-1)^3+INDEX($O$388:$Z$400,W368,MONTH(J368))</x:f>
        <x:v>197.9348875973227</x:v>
      </x:c>
      <x:c r="N368" s="8" t="n">
        <x:f>K368-M368</x:f>
        <x:v>27.0651124026773</x:v>
      </x:c>
      <x:c r="O368" s="8" t="n">
        <x:f>ABS(N368)</x:f>
        <x:v>27.0651124026773</x:v>
      </x:c>
      <x:c r="P368" s="8" t="n">
        <x:f>N368^2</x:f>
        <x:v>732.5203093695567</x:v>
      </x:c>
      <x:c r="Q368" s="8" t="n">
        <x:f>K368-L368</x:f>
        <x:v>19</x:v>
      </x:c>
      <x:c r="R368" s="9" t="n">
        <x:f>IF(AND(INDEX('Сводка'!$T$3:$T$397,U368)=0,INDEX('Сводка'!$T$3:$T$397,V368)=0),1,0)</x:f>
        <x:v>1</x:v>
      </x:c>
      <x:c r="S368" s="9" t="n">
        <x:f>IF(AND(R368=1,O368&lt;=$G$13),1,0)</x:f>
        <x:v>0</x:v>
      </x:c>
      <x:c r="T368" s="10" t="n">
        <x:f>EOMONTH(J368-'Сводка'!$B$11,-1)</x:f>
        <x:v>46203</x:v>
      </x:c>
      <x:c r="U368" s="4" t="n">
        <x:f>MATCH(J368,'Сводка'!$R$3:$R$397,0)</x:f>
        <x:v>379</x:v>
      </x:c>
      <x:c r="V368" s="4" t="n">
        <x:f>MATCH(J368-'Сводка'!$B$11,'Сводка'!$R$3:$R$397,0)</x:f>
        <x:v>378</x:v>
      </x:c>
      <x:c r="W368" s="4" t="n">
        <x:f>MATCH(T368,$J$388:$J$400,0)</x:f>
        <x:v>13</x:v>
      </x:c>
      <x:c r="X368" s="3"/>
      <x:c r="Y368" s="3"/>
      <x:c r="Z368" s="3"/>
    </x:row>
    <x:row r="369" ht="15" customHeight="1">
      <x:c r="A369" s="3"/>
      <x:c r="B369" s="3"/>
      <x:c r="C369" s="3"/>
      <x:c r="D369" s="3"/>
      <x:c r="E369" s="3"/>
      <x:c r="F369" s="3"/>
      <x:c r="G369" s="3"/>
      <x:c r="H369" s="3"/>
      <x:c r="I369" s="3"/>
      <x:c r="J369" s="10" t="n">
        <x:v>46220</x:v>
      </x:c>
      <x:c r="K369" s="8" t="n">
        <x:f>INDEX('Сводка'!$S$3:$S$397,U369)</x:f>
        <x:v>245</x:v>
      </x:c>
      <x:c r="L369" s="8" t="n">
        <x:f>INDEX('Сводка'!$S$3:$S$397,V369)</x:f>
        <x:v>225</x:v>
      </x:c>
      <x:c r="M369" s="8" t="n">
        <x:f>INDEX($K$388:$N$400,W369,1)+INDEX($K$388:$N$400,W369,2)*(2*(J369-$T$405)/(T369-$T$405)-1)^1+INDEX($K$388:$N$400,W369,3)*(2*(J369-$T$405)/(T369-$T$405)-1)^2+INDEX($K$388:$N$400,W369,4)*(2*(J369-$T$405)/(T369-$T$405)-1)^3+INDEX($O$388:$Z$400,W369,MONTH(J369))</x:f>
        <x:v>197.9013901622993</x:v>
      </x:c>
      <x:c r="N369" s="8" t="n">
        <x:f>K369-M369</x:f>
        <x:v>47.09860983770071</x:v>
      </x:c>
      <x:c r="O369" s="8" t="n">
        <x:f>ABS(N369)</x:f>
        <x:v>47.09860983770071</x:v>
      </x:c>
      <x:c r="P369" s="8" t="n">
        <x:f>N369^2</x:f>
        <x:v>2218.2790486439576</x:v>
      </x:c>
      <x:c r="Q369" s="8" t="n">
        <x:f>K369-L369</x:f>
        <x:v>20</x:v>
      </x:c>
      <x:c r="R369" s="9" t="n">
        <x:f>IF(AND(INDEX('Сводка'!$T$3:$T$397,U369)=0,INDEX('Сводка'!$T$3:$T$397,V369)=0),1,0)</x:f>
        <x:v>1</x:v>
      </x:c>
      <x:c r="S369" s="9" t="n">
        <x:f>IF(AND(R369=1,O369&lt;=$G$13),1,0)</x:f>
        <x:v>0</x:v>
      </x:c>
      <x:c r="T369" s="10" t="n">
        <x:f>EOMONTH(J369-'Сводка'!$B$11,-1)</x:f>
        <x:v>46203</x:v>
      </x:c>
      <x:c r="U369" s="4" t="n">
        <x:f>MATCH(J369,'Сводка'!$R$3:$R$397,0)</x:f>
        <x:v>380</x:v>
      </x:c>
      <x:c r="V369" s="4" t="n">
        <x:f>MATCH(J369-'Сводка'!$B$11,'Сводка'!$R$3:$R$397,0)</x:f>
        <x:v>379</x:v>
      </x:c>
      <x:c r="W369" s="4" t="n">
        <x:f>MATCH(T369,$J$388:$J$400,0)</x:f>
        <x:v>13</x:v>
      </x:c>
      <x:c r="X369" s="3"/>
      <x:c r="Y369" s="3"/>
      <x:c r="Z369" s="3"/>
    </x:row>
    <x:row r="370" ht="15" customHeight="1">
      <x:c r="A370" s="3"/>
      <x:c r="B370" s="3"/>
      <x:c r="C370" s="3"/>
      <x:c r="D370" s="3"/>
      <x:c r="E370" s="3"/>
      <x:c r="F370" s="3"/>
      <x:c r="G370" s="3"/>
      <x:c r="H370" s="3"/>
      <x:c r="I370" s="3"/>
      <x:c r="J370" s="10" t="n">
        <x:v>46221</x:v>
      </x:c>
      <x:c r="K370" s="8" t="n">
        <x:f>INDEX('Сводка'!$S$3:$S$397,U370)</x:f>
        <x:v>266</x:v>
      </x:c>
      <x:c r="L370" s="8" t="n">
        <x:f>INDEX('Сводка'!$S$3:$S$397,V370)</x:f>
        <x:v>245</x:v>
      </x:c>
      <x:c r="M370" s="8" t="n">
        <x:f>INDEX($K$388:$N$400,W370,1)+INDEX($K$388:$N$400,W370,2)*(2*(J370-$T$405)/(T370-$T$405)-1)^1+INDEX($K$388:$N$400,W370,3)*(2*(J370-$T$405)/(T370-$T$405)-1)^2+INDEX($K$388:$N$400,W370,4)*(2*(J370-$T$405)/(T370-$T$405)-1)^3+INDEX($O$388:$Z$400,W370,MONTH(J370))</x:f>
        <x:v>197.86787370156395</x:v>
      </x:c>
      <x:c r="N370" s="8" t="n">
        <x:f>K370-M370</x:f>
        <x:v>68.13212629843605</x:v>
      </x:c>
      <x:c r="O370" s="8" t="n">
        <x:f>ABS(N370)</x:f>
        <x:v>68.13212629843605</x:v>
      </x:c>
      <x:c r="P370" s="8" t="n">
        <x:f>N370^2</x:f>
        <x:v>4641.986633946041</x:v>
      </x:c>
      <x:c r="Q370" s="8" t="n">
        <x:f>K370-L370</x:f>
        <x:v>21</x:v>
      </x:c>
      <x:c r="R370" s="9" t="n">
        <x:f>IF(AND(INDEX('Сводка'!$T$3:$T$397,U370)=0,INDEX('Сводка'!$T$3:$T$397,V370)=0),1,0)</x:f>
        <x:v>1</x:v>
      </x:c>
      <x:c r="S370" s="9" t="n">
        <x:f>IF(AND(R370=1,O370&lt;=$G$13),1,0)</x:f>
        <x:v>0</x:v>
      </x:c>
      <x:c r="T370" s="10" t="n">
        <x:f>EOMONTH(J370-'Сводка'!$B$11,-1)</x:f>
        <x:v>46203</x:v>
      </x:c>
      <x:c r="U370" s="4" t="n">
        <x:f>MATCH(J370,'Сводка'!$R$3:$R$397,0)</x:f>
        <x:v>381</x:v>
      </x:c>
      <x:c r="V370" s="4" t="n">
        <x:f>MATCH(J370-'Сводка'!$B$11,'Сводка'!$R$3:$R$397,0)</x:f>
        <x:v>380</x:v>
      </x:c>
      <x:c r="W370" s="4" t="n">
        <x:f>MATCH(T370,$J$388:$J$400,0)</x:f>
        <x:v>13</x:v>
      </x:c>
      <x:c r="X370" s="3"/>
      <x:c r="Y370" s="3"/>
      <x:c r="Z370" s="3"/>
    </x:row>
    <x:row r="371" ht="15" customHeight="1">
      <x:c r="A371" s="3"/>
      <x:c r="B371" s="3"/>
      <x:c r="C371" s="3"/>
      <x:c r="D371" s="3"/>
      <x:c r="E371" s="3"/>
      <x:c r="F371" s="3"/>
      <x:c r="G371" s="3"/>
      <x:c r="H371" s="3"/>
      <x:c r="I371" s="3"/>
      <x:c r="J371" s="10" t="n">
        <x:v>46222</x:v>
      </x:c>
      <x:c r="K371" s="8" t="n">
        <x:f>INDEX('Сводка'!$S$3:$S$397,U371)</x:f>
        <x:v>281</x:v>
      </x:c>
      <x:c r="L371" s="8" t="n">
        <x:f>INDEX('Сводка'!$S$3:$S$397,V371)</x:f>
        <x:v>266</x:v>
      </x:c>
      <x:c r="M371" s="8" t="n">
        <x:f>INDEX($K$388:$N$400,W371,1)+INDEX($K$388:$N$400,W371,2)*(2*(J371-$T$405)/(T371-$T$405)-1)^1+INDEX($K$388:$N$400,W371,3)*(2*(J371-$T$405)/(T371-$T$405)-1)^2+INDEX($K$388:$N$400,W371,4)*(2*(J371-$T$405)/(T371-$T$405)-1)^3+INDEX($O$388:$Z$400,W371,MONTH(J371))</x:f>
        <x:v>197.83433821239728</x:v>
      </x:c>
      <x:c r="N371" s="8" t="n">
        <x:f>K371-M371</x:f>
        <x:v>83.16566178760272</x:v>
      </x:c>
      <x:c r="O371" s="8" t="n">
        <x:f>ABS(N371)</x:f>
        <x:v>83.16566178760272</x:v>
      </x:c>
      <x:c r="P371" s="8" t="n">
        <x:f>N371^2</x:f>
        <x:v>6916.527300569923</x:v>
      </x:c>
      <x:c r="Q371" s="8" t="n">
        <x:f>K371-L371</x:f>
        <x:v>15</x:v>
      </x:c>
      <x:c r="R371" s="9" t="n">
        <x:f>IF(AND(INDEX('Сводка'!$T$3:$T$397,U371)=0,INDEX('Сводка'!$T$3:$T$397,V371)=0),1,0)</x:f>
        <x:v>1</x:v>
      </x:c>
      <x:c r="S371" s="9" t="n">
        <x:f>IF(AND(R371=1,O371&lt;=$G$13),1,0)</x:f>
        <x:v>0</x:v>
      </x:c>
      <x:c r="T371" s="10" t="n">
        <x:f>EOMONTH(J371-'Сводка'!$B$11,-1)</x:f>
        <x:v>46203</x:v>
      </x:c>
      <x:c r="U371" s="4" t="n">
        <x:f>MATCH(J371,'Сводка'!$R$3:$R$397,0)</x:f>
        <x:v>382</x:v>
      </x:c>
      <x:c r="V371" s="4" t="n">
        <x:f>MATCH(J371-'Сводка'!$B$11,'Сводка'!$R$3:$R$397,0)</x:f>
        <x:v>381</x:v>
      </x:c>
      <x:c r="W371" s="4" t="n">
        <x:f>MATCH(T371,$J$388:$J$400,0)</x:f>
        <x:v>13</x:v>
      </x:c>
      <x:c r="X371" s="3"/>
      <x:c r="Y371" s="3"/>
      <x:c r="Z371" s="3"/>
    </x:row>
    <x:row r="372" ht="15" customHeight="1">
      <x:c r="A372" s="3"/>
      <x:c r="B372" s="3"/>
      <x:c r="C372" s="3"/>
      <x:c r="D372" s="3"/>
      <x:c r="E372" s="3"/>
      <x:c r="F372" s="3"/>
      <x:c r="G372" s="3"/>
      <x:c r="H372" s="3"/>
      <x:c r="I372" s="3"/>
      <x:c r="J372" s="10" t="n">
        <x:v>46223</x:v>
      </x:c>
      <x:c r="K372" s="8" t="n">
        <x:f>INDEX('Сводка'!$S$3:$S$397,U372)</x:f>
        <x:v>292</x:v>
      </x:c>
      <x:c r="L372" s="8" t="n">
        <x:f>INDEX('Сводка'!$S$3:$S$397,V372)</x:f>
        <x:v>281</x:v>
      </x:c>
      <x:c r="M372" s="8" t="n">
        <x:f>INDEX($K$388:$N$400,W372,1)+INDEX($K$388:$N$400,W372,2)*(2*(J372-$T$405)/(T372-$T$405)-1)^1+INDEX($K$388:$N$400,W372,3)*(2*(J372-$T$405)/(T372-$T$405)-1)^2+INDEX($K$388:$N$400,W372,4)*(2*(J372-$T$405)/(T372-$T$405)-1)^3+INDEX($O$388:$Z$400,W372,MONTH(J372))</x:f>
        <x:v>197.8007836920799</x:v>
      </x:c>
      <x:c r="N372" s="8" t="n">
        <x:f>K372-M372</x:f>
        <x:v>94.1992163079201</x:v>
      </x:c>
      <x:c r="O372" s="8" t="n">
        <x:f>ABS(N372)</x:f>
        <x:v>94.1992163079201</x:v>
      </x:c>
      <x:c r="P372" s="8" t="n">
        <x:f>N372^2</x:f>
        <x:v>8873.492353026319</x:v>
      </x:c>
      <x:c r="Q372" s="8" t="n">
        <x:f>K372-L372</x:f>
        <x:v>11</x:v>
      </x:c>
      <x:c r="R372" s="9" t="n">
        <x:f>IF(AND(INDEX('Сводка'!$T$3:$T$397,U372)=0,INDEX('Сводка'!$T$3:$T$397,V372)=0),1,0)</x:f>
        <x:v>1</x:v>
      </x:c>
      <x:c r="S372" s="9" t="n">
        <x:f>IF(AND(R372=1,O372&lt;=$G$13),1,0)</x:f>
        <x:v>0</x:v>
      </x:c>
      <x:c r="T372" s="10" t="n">
        <x:f>EOMONTH(J372-'Сводка'!$B$11,-1)</x:f>
        <x:v>46203</x:v>
      </x:c>
      <x:c r="U372" s="4" t="n">
        <x:f>MATCH(J372,'Сводка'!$R$3:$R$397,0)</x:f>
        <x:v>383</x:v>
      </x:c>
      <x:c r="V372" s="4" t="n">
        <x:f>MATCH(J372-'Сводка'!$B$11,'Сводка'!$R$3:$R$397,0)</x:f>
        <x:v>382</x:v>
      </x:c>
      <x:c r="W372" s="4" t="n">
        <x:f>MATCH(T372,$J$388:$J$400,0)</x:f>
        <x:v>13</x:v>
      </x:c>
      <x:c r="X372" s="3"/>
      <x:c r="Y372" s="3"/>
      <x:c r="Z372" s="3"/>
    </x:row>
    <x:row r="373" ht="15" customHeight="1">
      <x:c r="A373" s="3"/>
      <x:c r="B373" s="3"/>
      <x:c r="C373" s="3"/>
      <x:c r="D373" s="3"/>
      <x:c r="E373" s="3"/>
      <x:c r="F373" s="3"/>
      <x:c r="G373" s="3"/>
      <x:c r="H373" s="3"/>
      <x:c r="I373" s="3"/>
      <x:c r="J373" s="10" t="n">
        <x:v>46224</x:v>
      </x:c>
      <x:c r="K373" s="8" t="n">
        <x:f>INDEX('Сводка'!$S$3:$S$397,U373)</x:f>
        <x:v>303</x:v>
      </x:c>
      <x:c r="L373" s="8" t="n">
        <x:f>INDEX('Сводка'!$S$3:$S$397,V373)</x:f>
        <x:v>292</x:v>
      </x:c>
      <x:c r="M373" s="8" t="n">
        <x:f>INDEX($K$388:$N$400,W373,1)+INDEX($K$388:$N$400,W373,2)*(2*(J373-$T$405)/(T373-$T$405)-1)^1+INDEX($K$388:$N$400,W373,3)*(2*(J373-$T$405)/(T373-$T$405)-1)^2+INDEX($K$388:$N$400,W373,4)*(2*(J373-$T$405)/(T373-$T$405)-1)^3+INDEX($O$388:$Z$400,W373,MONTH(J373))</x:f>
        <x:v>197.76721013789256</x:v>
      </x:c>
      <x:c r="N373" s="8" t="n">
        <x:f>K373-M373</x:f>
        <x:v>105.23278986210744</x:v>
      </x:c>
      <x:c r="O373" s="8" t="n">
        <x:f>ABS(N373)</x:f>
        <x:v>105.23278986210744</x:v>
      </x:c>
      <x:c r="P373" s="8" t="n">
        <x:f>N373^2</x:f>
        <x:v>11073.940062162463</x:v>
      </x:c>
      <x:c r="Q373" s="8" t="n">
        <x:f>K373-L373</x:f>
        <x:v>11</x:v>
      </x:c>
      <x:c r="R373" s="9" t="n">
        <x:f>IF(AND(INDEX('Сводка'!$T$3:$T$397,U373)=0,INDEX('Сводка'!$T$3:$T$397,V373)=0),1,0)</x:f>
        <x:v>1</x:v>
      </x:c>
      <x:c r="S373" s="9" t="n">
        <x:f>IF(AND(R373=1,O373&lt;=$G$13),1,0)</x:f>
        <x:v>0</x:v>
      </x:c>
      <x:c r="T373" s="10" t="n">
        <x:f>EOMONTH(J373-'Сводка'!$B$11,-1)</x:f>
        <x:v>46203</x:v>
      </x:c>
      <x:c r="U373" s="4" t="n">
        <x:f>MATCH(J373,'Сводка'!$R$3:$R$397,0)</x:f>
        <x:v>384</x:v>
      </x:c>
      <x:c r="V373" s="4" t="n">
        <x:f>MATCH(J373-'Сводка'!$B$11,'Сводка'!$R$3:$R$397,0)</x:f>
        <x:v>383</x:v>
      </x:c>
      <x:c r="W373" s="4" t="n">
        <x:f>MATCH(T373,$J$388:$J$400,0)</x:f>
        <x:v>13</x:v>
      </x:c>
      <x:c r="X373" s="3"/>
      <x:c r="Y373" s="3"/>
      <x:c r="Z373" s="3"/>
    </x:row>
    <x:row r="374" ht="15" customHeight="1">
      <x:c r="A374" s="3"/>
      <x:c r="B374" s="3"/>
      <x:c r="C374" s="3"/>
      <x:c r="D374" s="3"/>
      <x:c r="E374" s="3"/>
      <x:c r="F374" s="3"/>
      <x:c r="G374" s="3"/>
      <x:c r="H374" s="3"/>
      <x:c r="I374" s="3"/>
      <x:c r="J374" s="10" t="n">
        <x:v>46225</x:v>
      </x:c>
      <x:c r="K374" s="8" t="n">
        <x:f>INDEX('Сводка'!$S$3:$S$397,U374)</x:f>
        <x:v>311</x:v>
      </x:c>
      <x:c r="L374" s="8" t="n">
        <x:f>INDEX('Сводка'!$S$3:$S$397,V374)</x:f>
        <x:v>303</x:v>
      </x:c>
      <x:c r="M374" s="8" t="n">
        <x:f>INDEX($K$388:$N$400,W374,1)+INDEX($K$388:$N$400,W374,2)*(2*(J374-$T$405)/(T374-$T$405)-1)^1+INDEX($K$388:$N$400,W374,3)*(2*(J374-$T$405)/(T374-$T$405)-1)^2+INDEX($K$388:$N$400,W374,4)*(2*(J374-$T$405)/(T374-$T$405)-1)^3+INDEX($O$388:$Z$400,W374,MONTH(J374))</x:f>
        <x:v>197.73361754711587</x:v>
      </x:c>
      <x:c r="N374" s="8" t="n">
        <x:f>K374-M374</x:f>
        <x:v>113.26638245288413</x:v>
      </x:c>
      <x:c r="O374" s="8" t="n">
        <x:f>ABS(N374)</x:f>
        <x:v>113.26638245288413</x:v>
      </x:c>
      <x:c r="P374" s="8" t="n">
        <x:f>N374^2</x:f>
        <x:v>12829.273393963018</x:v>
      </x:c>
      <x:c r="Q374" s="8" t="n">
        <x:f>K374-L374</x:f>
        <x:v>8</x:v>
      </x:c>
      <x:c r="R374" s="9" t="n">
        <x:f>IF(AND(INDEX('Сводка'!$T$3:$T$397,U374)=0,INDEX('Сводка'!$T$3:$T$397,V374)=0),1,0)</x:f>
        <x:v>1</x:v>
      </x:c>
      <x:c r="S374" s="9" t="n">
        <x:f>IF(AND(R374=1,O374&lt;=$G$13),1,0)</x:f>
        <x:v>0</x:v>
      </x:c>
      <x:c r="T374" s="10" t="n">
        <x:f>EOMONTH(J374-'Сводка'!$B$11,-1)</x:f>
        <x:v>46203</x:v>
      </x:c>
      <x:c r="U374" s="4" t="n">
        <x:f>MATCH(J374,'Сводка'!$R$3:$R$397,0)</x:f>
        <x:v>385</x:v>
      </x:c>
      <x:c r="V374" s="4" t="n">
        <x:f>MATCH(J374-'Сводка'!$B$11,'Сводка'!$R$3:$R$397,0)</x:f>
        <x:v>384</x:v>
      </x:c>
      <x:c r="W374" s="4" t="n">
        <x:f>MATCH(T374,$J$388:$J$400,0)</x:f>
        <x:v>13</x:v>
      </x:c>
      <x:c r="X374" s="3"/>
      <x:c r="Y374" s="3"/>
      <x:c r="Z374" s="3"/>
    </x:row>
    <x:row r="375" ht="15" customHeight="1">
      <x:c r="A375" s="3"/>
      <x:c r="B375" s="3"/>
      <x:c r="C375" s="3"/>
      <x:c r="D375" s="3"/>
      <x:c r="E375" s="3"/>
      <x:c r="F375" s="3"/>
      <x:c r="G375" s="3"/>
      <x:c r="H375" s="3"/>
      <x:c r="I375" s="3"/>
      <x:c r="J375" s="10" t="n">
        <x:v>46226</x:v>
      </x:c>
      <x:c r="K375" s="8" t="n">
        <x:f>INDEX('Сводка'!$S$3:$S$397,U375)</x:f>
        <x:v>328</x:v>
      </x:c>
      <x:c r="L375" s="8" t="n">
        <x:f>INDEX('Сводка'!$S$3:$S$397,V375)</x:f>
        <x:v>311</x:v>
      </x:c>
      <x:c r="M375" s="8" t="n">
        <x:f>INDEX($K$388:$N$400,W375,1)+INDEX($K$388:$N$400,W375,2)*(2*(J375-$T$405)/(T375-$T$405)-1)^1+INDEX($K$388:$N$400,W375,3)*(2*(J375-$T$405)/(T375-$T$405)-1)^2+INDEX($K$388:$N$400,W375,4)*(2*(J375-$T$405)/(T375-$T$405)-1)^3+INDEX($O$388:$Z$400,W375,MONTH(J375))</x:f>
        <x:v>197.7000059170305</x:v>
      </x:c>
      <x:c r="N375" s="8" t="n">
        <x:f>K375-M375</x:f>
        <x:v>130.2999940829695</x:v>
      </x:c>
      <x:c r="O375" s="8" t="n">
        <x:f>ABS(N375)</x:f>
        <x:v>130.2999940829695</x:v>
      </x:c>
      <x:c r="P375" s="8" t="n">
        <x:f>N375^2</x:f>
        <x:v>16978.088458021888</x:v>
      </x:c>
      <x:c r="Q375" s="8" t="n">
        <x:f>K375-L375</x:f>
        <x:v>17</x:v>
      </x:c>
      <x:c r="R375" s="9" t="n">
        <x:f>IF(AND(INDEX('Сводка'!$T$3:$T$397,U375)=0,INDEX('Сводка'!$T$3:$T$397,V375)=0),1,0)</x:f>
        <x:v>1</x:v>
      </x:c>
      <x:c r="S375" s="9" t="n">
        <x:f>IF(AND(R375=1,O375&lt;=$G$13),1,0)</x:f>
        <x:v>0</x:v>
      </x:c>
      <x:c r="T375" s="10" t="n">
        <x:f>EOMONTH(J375-'Сводка'!$B$11,-1)</x:f>
        <x:v>46203</x:v>
      </x:c>
      <x:c r="U375" s="4" t="n">
        <x:f>MATCH(J375,'Сводка'!$R$3:$R$397,0)</x:f>
        <x:v>386</x:v>
      </x:c>
      <x:c r="V375" s="4" t="n">
        <x:f>MATCH(J375-'Сводка'!$B$11,'Сводка'!$R$3:$R$397,0)</x:f>
        <x:v>385</x:v>
      </x:c>
      <x:c r="W375" s="4" t="n">
        <x:f>MATCH(T375,$J$388:$J$400,0)</x:f>
        <x:v>13</x:v>
      </x:c>
      <x:c r="X375" s="3"/>
      <x:c r="Y375" s="3"/>
      <x:c r="Z375" s="3"/>
    </x:row>
    <x:row r="376" ht="15" customHeight="1">
      <x:c r="A376" s="3"/>
      <x:c r="B376" s="3"/>
      <x:c r="C376" s="3"/>
      <x:c r="D376" s="3"/>
      <x:c r="E376" s="3"/>
      <x:c r="F376" s="3"/>
      <x:c r="G376" s="3"/>
      <x:c r="H376" s="3"/>
      <x:c r="I376" s="3"/>
      <x:c r="J376" s="10" t="n">
        <x:v>46227</x:v>
      </x:c>
      <x:c r="K376" s="8" t="n">
        <x:f>INDEX('Сводка'!$S$3:$S$397,U376)</x:f>
        <x:v>340</x:v>
      </x:c>
      <x:c r="L376" s="8" t="n">
        <x:f>INDEX('Сводка'!$S$3:$S$397,V376)</x:f>
        <x:v>328</x:v>
      </x:c>
      <x:c r="M376" s="8" t="n">
        <x:f>INDEX($K$388:$N$400,W376,1)+INDEX($K$388:$N$400,W376,2)*(2*(J376-$T$405)/(T376-$T$405)-1)^1+INDEX($K$388:$N$400,W376,3)*(2*(J376-$T$405)/(T376-$T$405)-1)^2+INDEX($K$388:$N$400,W376,4)*(2*(J376-$T$405)/(T376-$T$405)-1)^3+INDEX($O$388:$Z$400,W376,MONTH(J376))</x:f>
        <x:v>197.66637524491716</x:v>
      </x:c>
      <x:c r="N376" s="8" t="n">
        <x:f>K376-M376</x:f>
        <x:v>142.33362475508284</x:v>
      </x:c>
      <x:c r="O376" s="8" t="n">
        <x:f>ABS(N376)</x:f>
        <x:v>142.33362475508284</x:v>
      </x:c>
      <x:c r="P376" s="8" t="n">
        <x:f>N376^2</x:f>
        <x:v>20258.86073592073</x:v>
      </x:c>
      <x:c r="Q376" s="8" t="n">
        <x:f>K376-L376</x:f>
        <x:v>12</x:v>
      </x:c>
      <x:c r="R376" s="9" t="n">
        <x:f>IF(AND(INDEX('Сводка'!$T$3:$T$397,U376)=0,INDEX('Сводка'!$T$3:$T$397,V376)=0),1,0)</x:f>
        <x:v>1</x:v>
      </x:c>
      <x:c r="S376" s="9" t="n">
        <x:f>IF(AND(R376=1,O376&lt;=$G$13),1,0)</x:f>
        <x:v>0</x:v>
      </x:c>
      <x:c r="T376" s="10" t="n">
        <x:f>EOMONTH(J376-'Сводка'!$B$11,-1)</x:f>
        <x:v>46203</x:v>
      </x:c>
      <x:c r="U376" s="4" t="n">
        <x:f>MATCH(J376,'Сводка'!$R$3:$R$397,0)</x:f>
        <x:v>387</x:v>
      </x:c>
      <x:c r="V376" s="4" t="n">
        <x:f>MATCH(J376-'Сводка'!$B$11,'Сводка'!$R$3:$R$397,0)</x:f>
        <x:v>386</x:v>
      </x:c>
      <x:c r="W376" s="4" t="n">
        <x:f>MATCH(T376,$J$388:$J$400,0)</x:f>
        <x:v>13</x:v>
      </x:c>
      <x:c r="X376" s="3"/>
      <x:c r="Y376" s="3"/>
      <x:c r="Z376" s="3"/>
    </x:row>
    <x:row r="377" ht="15" customHeight="1">
      <x:c r="A377" s="3"/>
      <x:c r="B377" s="3"/>
      <x:c r="C377" s="3"/>
      <x:c r="D377" s="3"/>
      <x:c r="E377" s="3"/>
      <x:c r="F377" s="3"/>
      <x:c r="G377" s="3"/>
      <x:c r="H377" s="3"/>
      <x:c r="I377" s="3"/>
      <x:c r="J377" s="10" t="n">
        <x:v>46228</x:v>
      </x:c>
      <x:c r="K377" s="8" t="n">
        <x:f>INDEX('Сводка'!$S$3:$S$397,U377)</x:f>
        <x:v>350</x:v>
      </x:c>
      <x:c r="L377" s="8" t="n">
        <x:f>INDEX('Сводка'!$S$3:$S$397,V377)</x:f>
        <x:v>340</x:v>
      </x:c>
      <x:c r="M377" s="8" t="n">
        <x:f>INDEX($K$388:$N$400,W377,1)+INDEX($K$388:$N$400,W377,2)*(2*(J377-$T$405)/(T377-$T$405)-1)^1+INDEX($K$388:$N$400,W377,3)*(2*(J377-$T$405)/(T377-$T$405)-1)^2+INDEX($K$388:$N$400,W377,4)*(2*(J377-$T$405)/(T377-$T$405)-1)^3+INDEX($O$388:$Z$400,W377,MONTH(J377))</x:f>
        <x:v>197.63272552805637</x:v>
      </x:c>
      <x:c r="N377" s="8" t="n">
        <x:f>K377-M377</x:f>
        <x:v>152.36727447194363</x:v>
      </x:c>
      <x:c r="O377" s="8" t="n">
        <x:f>ABS(N377)</x:f>
        <x:v>152.36727447194363</x:v>
      </x:c>
      <x:c r="P377" s="8" t="n">
        <x:f>N377^2</x:f>
        <x:v>23215.786330008606</x:v>
      </x:c>
      <x:c r="Q377" s="8" t="n">
        <x:f>K377-L377</x:f>
        <x:v>10</x:v>
      </x:c>
      <x:c r="R377" s="9" t="n">
        <x:f>IF(AND(INDEX('Сводка'!$T$3:$T$397,U377)=0,INDEX('Сводка'!$T$3:$T$397,V377)=0),1,0)</x:f>
        <x:v>1</x:v>
      </x:c>
      <x:c r="S377" s="9" t="n">
        <x:f>IF(AND(R377=1,O377&lt;=$G$13),1,0)</x:f>
        <x:v>0</x:v>
      </x:c>
      <x:c r="T377" s="10" t="n">
        <x:f>EOMONTH(J377-'Сводка'!$B$11,-1)</x:f>
        <x:v>46203</x:v>
      </x:c>
      <x:c r="U377" s="4" t="n">
        <x:f>MATCH(J377,'Сводка'!$R$3:$R$397,0)</x:f>
        <x:v>388</x:v>
      </x:c>
      <x:c r="V377" s="4" t="n">
        <x:f>MATCH(J377-'Сводка'!$B$11,'Сводка'!$R$3:$R$397,0)</x:f>
        <x:v>387</x:v>
      </x:c>
      <x:c r="W377" s="4" t="n">
        <x:f>MATCH(T377,$J$388:$J$400,0)</x:f>
        <x:v>13</x:v>
      </x:c>
      <x:c r="X377" s="3"/>
      <x:c r="Y377" s="3"/>
      <x:c r="Z377" s="3"/>
    </x:row>
    <x:row r="378" ht="15" customHeight="1">
      <x:c r="A378" s="3"/>
      <x:c r="B378" s="3"/>
      <x:c r="C378" s="3"/>
      <x:c r="D378" s="3"/>
      <x:c r="E378" s="3"/>
      <x:c r="F378" s="3"/>
      <x:c r="G378" s="3"/>
      <x:c r="H378" s="3"/>
      <x:c r="I378" s="3"/>
      <x:c r="J378" s="10" t="n">
        <x:v>46229</x:v>
      </x:c>
      <x:c r="K378" s="8" t="n">
        <x:f>INDEX('Сводка'!$S$3:$S$397,U378)</x:f>
        <x:v>361</x:v>
      </x:c>
      <x:c r="L378" s="8" t="n">
        <x:f>INDEX('Сводка'!$S$3:$S$397,V378)</x:f>
        <x:v>350</x:v>
      </x:c>
      <x:c r="M378" s="8" t="n">
        <x:f>INDEX($K$388:$N$400,W378,1)+INDEX($K$388:$N$400,W378,2)*(2*(J378-$T$405)/(T378-$T$405)-1)^1+INDEX($K$388:$N$400,W378,3)*(2*(J378-$T$405)/(T378-$T$405)-1)^2+INDEX($K$388:$N$400,W378,4)*(2*(J378-$T$405)/(T378-$T$405)-1)^3+INDEX($O$388:$Z$400,W378,MONTH(J378))</x:f>
        <x:v>197.59905676372887</x:v>
      </x:c>
      <x:c r="N378" s="8" t="n">
        <x:f>K378-M378</x:f>
        <x:v>163.40094323627113</x:v>
      </x:c>
      <x:c r="O378" s="8" t="n">
        <x:f>ABS(N378)</x:f>
        <x:v>163.40094323627113</x:v>
      </x:c>
      <x:c r="P378" s="8" t="n">
        <x:f>N378^2</x:f>
        <x:v>26699.8682505031</x:v>
      </x:c>
      <x:c r="Q378" s="8" t="n">
        <x:f>K378-L378</x:f>
        <x:v>11</x:v>
      </x:c>
      <x:c r="R378" s="9" t="n">
        <x:f>IF(AND(INDEX('Сводка'!$T$3:$T$397,U378)=0,INDEX('Сводка'!$T$3:$T$397,V378)=0),1,0)</x:f>
        <x:v>1</x:v>
      </x:c>
      <x:c r="S378" s="9" t="n">
        <x:f>IF(AND(R378=1,O378&lt;=$G$13),1,0)</x:f>
        <x:v>0</x:v>
      </x:c>
      <x:c r="T378" s="10" t="n">
        <x:f>EOMONTH(J378-'Сводка'!$B$11,-1)</x:f>
        <x:v>46203</x:v>
      </x:c>
      <x:c r="U378" s="4" t="n">
        <x:f>MATCH(J378,'Сводка'!$R$3:$R$397,0)</x:f>
        <x:v>389</x:v>
      </x:c>
      <x:c r="V378" s="4" t="n">
        <x:f>MATCH(J378-'Сводка'!$B$11,'Сводка'!$R$3:$R$397,0)</x:f>
        <x:v>388</x:v>
      </x:c>
      <x:c r="W378" s="4" t="n">
        <x:f>MATCH(T378,$J$388:$J$400,0)</x:f>
        <x:v>13</x:v>
      </x:c>
      <x:c r="X378" s="3"/>
      <x:c r="Y378" s="3"/>
      <x:c r="Z378" s="3"/>
    </x:row>
    <x:row r="379" ht="15" customHeight="1">
      <x:c r="A379" s="3"/>
      <x:c r="B379" s="3"/>
      <x:c r="C379" s="3"/>
      <x:c r="D379" s="3"/>
      <x:c r="E379" s="3"/>
      <x:c r="F379" s="3"/>
      <x:c r="G379" s="3"/>
      <x:c r="H379" s="3"/>
      <x:c r="I379" s="3"/>
      <x:c r="J379" s="10" t="n">
        <x:v>46230</x:v>
      </x:c>
      <x:c r="K379" s="8" t="n">
        <x:f>INDEX('Сводка'!$S$3:$S$397,U379)</x:f>
        <x:v>369</x:v>
      </x:c>
      <x:c r="L379" s="8" t="n">
        <x:f>INDEX('Сводка'!$S$3:$S$397,V379)</x:f>
        <x:v>361</x:v>
      </x:c>
      <x:c r="M379" s="8" t="n">
        <x:f>INDEX($K$388:$N$400,W379,1)+INDEX($K$388:$N$400,W379,2)*(2*(J379-$T$405)/(T379-$T$405)-1)^1+INDEX($K$388:$N$400,W379,3)*(2*(J379-$T$405)/(T379-$T$405)-1)^2+INDEX($K$388:$N$400,W379,4)*(2*(J379-$T$405)/(T379-$T$405)-1)^3+INDEX($O$388:$Z$400,W379,MONTH(J379))</x:f>
        <x:v>197.56536894921538</x:v>
      </x:c>
      <x:c r="N379" s="8" t="n">
        <x:f>K379-M379</x:f>
        <x:v>171.43463105078462</x:v>
      </x:c>
      <x:c r="O379" s="8" t="n">
        <x:f>ABS(N379)</x:f>
        <x:v>171.43463105078462</x:v>
      </x:c>
      <x:c r="P379" s="8" t="n">
        <x:f>N379^2</x:f>
        <x:v>29389.832723518644</x:v>
      </x:c>
      <x:c r="Q379" s="8" t="n">
        <x:f>K379-L379</x:f>
        <x:v>8</x:v>
      </x:c>
      <x:c r="R379" s="9" t="n">
        <x:f>IF(AND(INDEX('Сводка'!$T$3:$T$397,U379)=0,INDEX('Сводка'!$T$3:$T$397,V379)=0),1,0)</x:f>
        <x:v>1</x:v>
      </x:c>
      <x:c r="S379" s="9" t="n">
        <x:f>IF(AND(R379=1,O379&lt;=$G$13),1,0)</x:f>
        <x:v>0</x:v>
      </x:c>
      <x:c r="T379" s="10" t="n">
        <x:f>EOMONTH(J379-'Сводка'!$B$11,-1)</x:f>
        <x:v>46203</x:v>
      </x:c>
      <x:c r="U379" s="4" t="n">
        <x:f>MATCH(J379,'Сводка'!$R$3:$R$397,0)</x:f>
        <x:v>390</x:v>
      </x:c>
      <x:c r="V379" s="4" t="n">
        <x:f>MATCH(J379-'Сводка'!$B$11,'Сводка'!$R$3:$R$397,0)</x:f>
        <x:v>389</x:v>
      </x:c>
      <x:c r="W379" s="4" t="n">
        <x:f>MATCH(T379,$J$388:$J$400,0)</x:f>
        <x:v>13</x:v>
      </x:c>
      <x:c r="X379" s="3"/>
      <x:c r="Y379" s="3"/>
      <x:c r="Z379" s="3"/>
    </x:row>
    <x:row r="380" ht="15" customHeight="1">
      <x:c r="A380" s="3"/>
      <x:c r="B380" s="3"/>
      <x:c r="C380" s="3"/>
      <x:c r="D380" s="3"/>
      <x:c r="E380" s="3"/>
      <x:c r="F380" s="3"/>
      <x:c r="G380" s="3"/>
      <x:c r="H380" s="3"/>
      <x:c r="I380" s="3"/>
      <x:c r="J380" s="10" t="n">
        <x:v>46231</x:v>
      </x:c>
      <x:c r="K380" s="8" t="n">
        <x:f>INDEX('Сводка'!$S$3:$S$397,U380)</x:f>
        <x:v>377</x:v>
      </x:c>
      <x:c r="L380" s="8" t="n">
        <x:f>INDEX('Сводка'!$S$3:$S$397,V380)</x:f>
        <x:v>369</x:v>
      </x:c>
      <x:c r="M380" s="8" t="n">
        <x:f>INDEX($K$388:$N$400,W380,1)+INDEX($K$388:$N$400,W380,2)*(2*(J380-$T$405)/(T380-$T$405)-1)^1+INDEX($K$388:$N$400,W380,3)*(2*(J380-$T$405)/(T380-$T$405)-1)^2+INDEX($K$388:$N$400,W380,4)*(2*(J380-$T$405)/(T380-$T$405)-1)^3+INDEX($O$388:$Z$400,W380,MONTH(J380))</x:f>
        <x:v>197.53166208179647</x:v>
      </x:c>
      <x:c r="N380" s="8" t="n">
        <x:f>K380-M380</x:f>
        <x:v>179.46833791820353</x:v>
      </x:c>
      <x:c r="O380" s="8" t="n">
        <x:f>ABS(N380)</x:f>
        <x:v>179.46833791820353</x:v>
      </x:c>
      <x:c r="P380" s="8" t="n">
        <x:f>N380^2</x:f>
        <x:v>32208.88431512249</x:v>
      </x:c>
      <x:c r="Q380" s="8" t="n">
        <x:f>K380-L380</x:f>
        <x:v>8</x:v>
      </x:c>
      <x:c r="R380" s="9" t="n">
        <x:f>IF(AND(INDEX('Сводка'!$T$3:$T$397,U380)=0,INDEX('Сводка'!$T$3:$T$397,V380)=0),1,0)</x:f>
        <x:v>1</x:v>
      </x:c>
      <x:c r="S380" s="9" t="n">
        <x:f>IF(AND(R380=1,O380&lt;=$G$13),1,0)</x:f>
        <x:v>0</x:v>
      </x:c>
      <x:c r="T380" s="10" t="n">
        <x:f>EOMONTH(J380-'Сводка'!$B$11,-1)</x:f>
        <x:v>46203</x:v>
      </x:c>
      <x:c r="U380" s="4" t="n">
        <x:f>MATCH(J380,'Сводка'!$R$3:$R$397,0)</x:f>
        <x:v>391</x:v>
      </x:c>
      <x:c r="V380" s="4" t="n">
        <x:f>MATCH(J380-'Сводка'!$B$11,'Сводка'!$R$3:$R$397,0)</x:f>
        <x:v>390</x:v>
      </x:c>
      <x:c r="W380" s="4" t="n">
        <x:f>MATCH(T380,$J$388:$J$400,0)</x:f>
        <x:v>13</x:v>
      </x:c>
      <x:c r="X380" s="3"/>
      <x:c r="Y380" s="3"/>
      <x:c r="Z380" s="3"/>
    </x:row>
    <x:row r="381" ht="15" customHeight="1">
      <x:c r="A381" s="3"/>
      <x:c r="B381" s="3"/>
      <x:c r="C381" s="3"/>
      <x:c r="D381" s="3"/>
      <x:c r="E381" s="3"/>
      <x:c r="F381" s="3"/>
      <x:c r="G381" s="3"/>
      <x:c r="H381" s="3"/>
      <x:c r="I381" s="3"/>
      <x:c r="J381" s="10" t="n">
        <x:v>46232</x:v>
      </x:c>
      <x:c r="K381" s="8" t="n">
        <x:f>INDEX('Сводка'!$S$3:$S$397,U381)</x:f>
        <x:v>385</x:v>
      </x:c>
      <x:c r="L381" s="8" t="n">
        <x:f>INDEX('Сводка'!$S$3:$S$397,V381)</x:f>
        <x:v>377</x:v>
      </x:c>
      <x:c r="M381" s="8" t="n">
        <x:f>INDEX($K$388:$N$400,W381,1)+INDEX($K$388:$N$400,W381,2)*(2*(J381-$T$405)/(T381-$T$405)-1)^1+INDEX($K$388:$N$400,W381,3)*(2*(J381-$T$405)/(T381-$T$405)-1)^2+INDEX($K$388:$N$400,W381,4)*(2*(J381-$T$405)/(T381-$T$405)-1)^3+INDEX($O$388:$Z$400,W381,MONTH(J381))</x:f>
        <x:v>197.49793615875285</x:v>
      </x:c>
      <x:c r="N381" s="8" t="n">
        <x:f>K381-M381</x:f>
        <x:v>187.50206384124715</x:v>
      </x:c>
      <x:c r="O381" s="8" t="n">
        <x:f>ABS(N381)</x:f>
        <x:v>187.50206384124715</x:v>
      </x:c>
      <x:c r="P381" s="8" t="n">
        <x:f>N381^2</x:f>
        <x:v>35157.02394472712</x:v>
      </x:c>
      <x:c r="Q381" s="8" t="n">
        <x:f>K381-L381</x:f>
        <x:v>8</x:v>
      </x:c>
      <x:c r="R381" s="9" t="n">
        <x:f>IF(AND(INDEX('Сводка'!$T$3:$T$397,U381)=0,INDEX('Сводка'!$T$3:$T$397,V381)=0),1,0)</x:f>
        <x:v>1</x:v>
      </x:c>
      <x:c r="S381" s="9" t="n">
        <x:f>IF(AND(R381=1,O381&lt;=$G$13),1,0)</x:f>
        <x:v>0</x:v>
      </x:c>
      <x:c r="T381" s="10" t="n">
        <x:f>EOMONTH(J381-'Сводка'!$B$11,-1)</x:f>
        <x:v>46203</x:v>
      </x:c>
      <x:c r="U381" s="4" t="n">
        <x:f>MATCH(J381,'Сводка'!$R$3:$R$397,0)</x:f>
        <x:v>392</x:v>
      </x:c>
      <x:c r="V381" s="4" t="n">
        <x:f>MATCH(J381-'Сводка'!$B$11,'Сводка'!$R$3:$R$397,0)</x:f>
        <x:v>391</x:v>
      </x:c>
      <x:c r="W381" s="4" t="n">
        <x:f>MATCH(T381,$J$388:$J$400,0)</x:f>
        <x:v>13</x:v>
      </x:c>
      <x:c r="X381" s="3"/>
      <x:c r="Y381" s="3"/>
      <x:c r="Z381" s="3"/>
    </x:row>
    <x:row r="382" ht="15" customHeight="1">
      <x:c r="A382" s="3"/>
      <x:c r="B382" s="3"/>
      <x:c r="C382" s="3"/>
      <x:c r="D382" s="3"/>
      <x:c r="E382" s="3"/>
      <x:c r="F382" s="3"/>
      <x:c r="G382" s="3"/>
      <x:c r="H382" s="3"/>
      <x:c r="I382" s="3"/>
      <x:c r="J382" s="10" t="n">
        <x:v>46233</x:v>
      </x:c>
      <x:c r="K382" s="8" t="n">
        <x:f>INDEX('Сводка'!$S$3:$S$397,U382)</x:f>
        <x:v>389</x:v>
      </x:c>
      <x:c r="L382" s="8" t="n">
        <x:f>INDEX('Сводка'!$S$3:$S$397,V382)</x:f>
        <x:v>385</x:v>
      </x:c>
      <x:c r="M382" s="8" t="n">
        <x:f>INDEX($K$388:$N$400,W382,1)+INDEX($K$388:$N$400,W382,2)*(2*(J382-$T$405)/(T382-$T$405)-1)^1+INDEX($K$388:$N$400,W382,3)*(2*(J382-$T$405)/(T382-$T$405)-1)^2+INDEX($K$388:$N$400,W382,4)*(2*(J382-$T$405)/(T382-$T$405)-1)^3+INDEX($O$388:$Z$400,W382,MONTH(J382))</x:f>
        <x:v>197.46419117736508</x:v>
      </x:c>
      <x:c r="N382" s="8" t="n">
        <x:f>K382-M382</x:f>
        <x:v>191.53580882263492</x:v>
      </x:c>
      <x:c r="O382" s="8" t="n">
        <x:f>ABS(N382)</x:f>
        <x:v>191.53580882263492</x:v>
      </x:c>
      <x:c r="P382" s="8" t="n">
        <x:f>N382^2</x:f>
        <x:v>36685.96606134095</x:v>
      </x:c>
      <x:c r="Q382" s="8" t="n">
        <x:f>K382-L382</x:f>
        <x:v>4</x:v>
      </x:c>
      <x:c r="R382" s="9" t="n">
        <x:f>IF(AND(INDEX('Сводка'!$T$3:$T$397,U382)=0,INDEX('Сводка'!$T$3:$T$397,V382)=0),1,0)</x:f>
        <x:v>1</x:v>
      </x:c>
      <x:c r="S382" s="9" t="n">
        <x:f>IF(AND(R382=1,O382&lt;=$G$13),1,0)</x:f>
        <x:v>0</x:v>
      </x:c>
      <x:c r="T382" s="10" t="n">
        <x:f>EOMONTH(J382-'Сводка'!$B$11,-1)</x:f>
        <x:v>46203</x:v>
      </x:c>
      <x:c r="U382" s="4" t="n">
        <x:f>MATCH(J382,'Сводка'!$R$3:$R$397,0)</x:f>
        <x:v>393</x:v>
      </x:c>
      <x:c r="V382" s="4" t="n">
        <x:f>MATCH(J382-'Сводка'!$B$11,'Сводка'!$R$3:$R$397,0)</x:f>
        <x:v>392</x:v>
      </x:c>
      <x:c r="W382" s="4" t="n">
        <x:f>MATCH(T382,$J$388:$J$400,0)</x:f>
        <x:v>13</x:v>
      </x:c>
      <x:c r="X382" s="3"/>
      <x:c r="Y382" s="3"/>
      <x:c r="Z382" s="3"/>
    </x:row>
    <x:row r="383" ht="15" customHeight="1">
      <x:c r="A383" s="3"/>
      <x:c r="B383" s="3"/>
      <x:c r="C383" s="3"/>
      <x:c r="D383" s="3"/>
      <x:c r="E383" s="3"/>
      <x:c r="F383" s="3"/>
      <x:c r="G383" s="3"/>
      <x:c r="H383" s="3"/>
      <x:c r="I383" s="3"/>
      <x:c r="J383" s="10" t="n">
        <x:v>46234</x:v>
      </x:c>
      <x:c r="K383" s="8" t="n">
        <x:f>INDEX('Сводка'!$S$3:$S$397,U383)</x:f>
        <x:v>399</x:v>
      </x:c>
      <x:c r="L383" s="8" t="n">
        <x:f>INDEX('Сводка'!$S$3:$S$397,V383)</x:f>
        <x:v>389</x:v>
      </x:c>
      <x:c r="M383" s="8" t="n">
        <x:f>INDEX($K$388:$N$400,W383,1)+INDEX($K$388:$N$400,W383,2)*(2*(J383-$T$405)/(T383-$T$405)-1)^1+INDEX($K$388:$N$400,W383,3)*(2*(J383-$T$405)/(T383-$T$405)-1)^2+INDEX($K$388:$N$400,W383,4)*(2*(J383-$T$405)/(T383-$T$405)-1)^3+INDEX($O$388:$Z$400,W383,MONTH(J383))</x:f>
        <x:v>197.4304271349139</x:v>
      </x:c>
      <x:c r="N383" s="8" t="n">
        <x:f>K383-M383</x:f>
        <x:v>201.5695728650861</x:v>
      </x:c>
      <x:c r="O383" s="8" t="n">
        <x:f>ABS(N383)</x:f>
        <x:v>201.5695728650861</x:v>
      </x:c>
      <x:c r="P383" s="8" t="n">
        <x:f>N383^2</x:f>
        <x:v>40630.29270501325</x:v>
      </x:c>
      <x:c r="Q383" s="8" t="n">
        <x:f>K383-L383</x:f>
        <x:v>10</x:v>
      </x:c>
      <x:c r="R383" s="9" t="n">
        <x:f>IF(AND(INDEX('Сводка'!$T$3:$T$397,U383)=0,INDEX('Сводка'!$T$3:$T$397,V383)=0),1,0)</x:f>
        <x:v>1</x:v>
      </x:c>
      <x:c r="S383" s="9" t="n">
        <x:f>IF(AND(R383=1,O383&lt;=$G$13),1,0)</x:f>
        <x:v>0</x:v>
      </x:c>
      <x:c r="T383" s="10" t="n">
        <x:f>EOMONTH(J383-'Сводка'!$B$11,-1)</x:f>
        <x:v>46203</x:v>
      </x:c>
      <x:c r="U383" s="4" t="n">
        <x:f>MATCH(J383,'Сводка'!$R$3:$R$397,0)</x:f>
        <x:v>394</x:v>
      </x:c>
      <x:c r="V383" s="4" t="n">
        <x:f>MATCH(J383-'Сводка'!$B$11,'Сводка'!$R$3:$R$397,0)</x:f>
        <x:v>393</x:v>
      </x:c>
      <x:c r="W383" s="4" t="n">
        <x:f>MATCH(T383,$J$388:$J$400,0)</x:f>
        <x:v>13</x:v>
      </x:c>
      <x:c r="X383" s="3"/>
      <x:c r="Y383" s="3"/>
      <x:c r="Z383" s="3"/>
    </x:row>
    <x:row r="384" ht="15" customHeight="1">
      <x:c r="A384" s="3"/>
      <x:c r="B384" s="3"/>
      <x:c r="C384" s="3"/>
      <x:c r="D384" s="3"/>
      <x:c r="E384" s="3"/>
      <x:c r="F384" s="3"/>
      <x:c r="G384" s="3"/>
      <x:c r="H384" s="3"/>
      <x:c r="I384" s="3"/>
      <x:c r="J384" s="10" t="n">
        <x:v>46235</x:v>
      </x:c>
      <x:c r="K384" s="8" t="n">
        <x:f>INDEX('Сводка'!$S$3:$S$397,U384)</x:f>
        <x:v>405</x:v>
      </x:c>
      <x:c r="L384" s="8" t="n">
        <x:f>INDEX('Сводка'!$S$3:$S$397,V384)</x:f>
        <x:v>399</x:v>
      </x:c>
      <x:c r="M384" s="8" t="n">
        <x:f>INDEX($K$388:$N$400,W384,1)+INDEX($K$388:$N$400,W384,2)*(2*(J384-$T$405)/(T384-$T$405)-1)^1+INDEX($K$388:$N$400,W384,3)*(2*(J384-$T$405)/(T384-$T$405)-1)^2+INDEX($K$388:$N$400,W384,4)*(2*(J384-$T$405)/(T384-$T$405)-1)^3+INDEX($O$388:$Z$400,W384,MONTH(J384))</x:f>
        <x:v>299.2960061585137</x:v>
      </x:c>
      <x:c r="N384" s="8" t="n">
        <x:f>K384-M384</x:f>
        <x:v>105.7039938414863</x:v>
      </x:c>
      <x:c r="O384" s="8" t="n">
        <x:f>ABS(N384)</x:f>
        <x:v>105.7039938414863</x:v>
      </x:c>
      <x:c r="P384" s="8" t="n">
        <x:f>N384^2</x:f>
        <x:v>11173.334314040972</x:v>
      </x:c>
      <x:c r="Q384" s="8" t="n">
        <x:f>K384-L384</x:f>
        <x:v>6</x:v>
      </x:c>
      <x:c r="R384" s="9" t="n">
        <x:f>IF(AND(INDEX('Сводка'!$T$3:$T$397,U384)=0,INDEX('Сводка'!$T$3:$T$397,V384)=0),1,0)</x:f>
        <x:v>1</x:v>
      </x:c>
      <x:c r="S384" s="9" t="n">
        <x:f>IF(AND(R384=1,O384&lt;=$G$13),1,0)</x:f>
        <x:v>0</x:v>
      </x:c>
      <x:c r="T384" s="10" t="n">
        <x:f>EOMONTH(J384-'Сводка'!$B$11,-1)</x:f>
        <x:v>46203</x:v>
      </x:c>
      <x:c r="U384" s="4" t="n">
        <x:f>MATCH(J384,'Сводка'!$R$3:$R$397,0)</x:f>
        <x:v>395</x:v>
      </x:c>
      <x:c r="V384" s="4" t="n">
        <x:f>MATCH(J384-'Сводка'!$B$11,'Сводка'!$R$3:$R$397,0)</x:f>
        <x:v>394</x:v>
      </x:c>
      <x:c r="W384" s="4" t="n">
        <x:f>MATCH(T384,$J$388:$J$400,0)</x:f>
        <x:v>13</x:v>
      </x:c>
      <x:c r="X384" s="3"/>
      <x:c r="Y384" s="3"/>
      <x:c r="Z384" s="3"/>
    </x:row>
    <x:row r="385" ht="15" customHeight="1">
      <x:c r="A385" s="3"/>
      <x:c r="B385" s="3"/>
      <x:c r="C385" s="3"/>
      <x:c r="D385" s="3"/>
      <x:c r="E385" s="3"/>
      <x:c r="F385" s="3"/>
      <x:c r="G385" s="3"/>
      <x:c r="H385" s="3"/>
      <x:c r="I385" s="3"/>
      <x:c r="J385" s="3"/>
      <x:c r="K385" s="3"/>
      <x:c r="L385" s="3"/>
      <x:c r="M385" s="3"/>
      <x:c r="N385" s="3"/>
      <x:c r="O385" s="3"/>
      <x:c r="P385" s="3"/>
      <x:c r="Q385" s="3"/>
      <x:c r="R385" s="3"/>
      <x:c r="S385" s="3"/>
      <x:c r="T385" s="3"/>
      <x:c r="U385" s="3"/>
      <x:c r="V385" s="3"/>
      <x:c r="W385" s="3"/>
      <x:c r="X385" s="3"/>
      <x:c r="Y385" s="3"/>
      <x:c r="Z385" s="3"/>
    </x:row>
    <x:row r="386" ht="15" customHeight="1">
      <x:c r="A386" s="3"/>
      <x:c r="B386" s="3"/>
      <x:c r="C386" s="3"/>
      <x:c r="D386" s="3"/>
      <x:c r="E386" s="3"/>
      <x:c r="F386" s="3"/>
      <x:c r="G386" s="3"/>
      <x:c r="H386" s="3"/>
      <x:c r="I386" s="3"/>
      <x:c r="J386" s="3"/>
      <x:c r="K386" s="3"/>
      <x:c r="L386" s="3"/>
      <x:c r="M386" s="3"/>
      <x:c r="N386" s="3"/>
      <x:c r="O386" s="3"/>
      <x:c r="P386" s="3"/>
      <x:c r="Q386" s="3"/>
      <x:c r="R386" s="3"/>
      <x:c r="S386" s="3"/>
      <x:c r="T386" s="3"/>
      <x:c r="U386" s="3"/>
      <x:c r="V386" s="3"/>
      <x:c r="W386" s="3"/>
      <x:c r="X386" s="3"/>
      <x:c r="Y386" s="3"/>
      <x:c r="Z386" s="3"/>
    </x:row>
    <x:row r="387" ht="30" customHeight="1">
      <x:c r="A387" s="3"/>
      <x:c r="B387" s="3"/>
      <x:c r="C387" s="3"/>
      <x:c r="D387" s="3"/>
      <x:c r="E387" s="3"/>
      <x:c r="F387" s="3"/>
      <x:c r="G387" s="3"/>
      <x:c r="H387" s="3"/>
      <x:c r="I387" s="3"/>
      <x:c r="J387" s="14" t="str">
        <x:v>Обучение до</x:v>
      </x:c>
      <x:c r="K387" s="14" t="str">
        <x:v>a0/a</x:v>
      </x:c>
      <x:c r="L387" s="14" t="str">
        <x:v>a1/b</x:v>
      </x:c>
      <x:c r="M387" s="14" t="str">
        <x:v>a2</x:v>
      </x:c>
      <x:c r="N387" s="14" t="str">
        <x:v>a3</x:v>
      </x:c>
      <x:c r="O387" s="14" t="str">
        <x:v>c1</x:v>
      </x:c>
      <x:c r="P387" s="14" t="str">
        <x:v>c2</x:v>
      </x:c>
      <x:c r="Q387" s="14" t="str">
        <x:v>c3</x:v>
      </x:c>
      <x:c r="R387" s="14" t="str">
        <x:v>c4</x:v>
      </x:c>
      <x:c r="S387" s="14" t="str">
        <x:v>c5</x:v>
      </x:c>
      <x:c r="T387" s="14" t="str">
        <x:v>c6</x:v>
      </x:c>
      <x:c r="U387" s="14" t="str">
        <x:v>c7</x:v>
      </x:c>
      <x:c r="V387" s="14" t="str">
        <x:v>c8</x:v>
      </x:c>
      <x:c r="W387" s="14" t="str">
        <x:v>c9</x:v>
      </x:c>
      <x:c r="X387" s="14" t="str">
        <x:v>c10</x:v>
      </x:c>
      <x:c r="Y387" s="14" t="str">
        <x:v>c11</x:v>
      </x:c>
      <x:c r="Z387" s="14" t="str">
        <x:v>c12</x:v>
      </x:c>
    </x:row>
    <x:row r="388" ht="15" customHeight="1">
      <x:c r="A388" s="3"/>
      <x:c r="B388" s="3"/>
      <x:c r="C388" s="3"/>
      <x:c r="D388" s="3"/>
      <x:c r="E388" s="3"/>
      <x:c r="F388" s="3"/>
      <x:c r="G388" s="3"/>
      <x:c r="H388" s="3"/>
      <x:c r="I388" s="3"/>
      <x:c r="J388" s="7" t="n">
        <x:v>45838</x:v>
      </x:c>
      <x:c r="K388" s="3" t="n">
        <x:v>80.99407955314054</x:v>
      </x:c>
      <x:c r="L388" s="3" t="n">
        <x:v>100.10985471041266</x:v>
      </x:c>
      <x:c r="M388" s="3" t="n">
        <x:v>-48.85753479333289</x:v>
      </x:c>
      <x:c r="N388" s="3" t="n">
        <x:v>-12.799098099353609</x:v>
      </x:c>
      <x:c r="O388" s="3" t="n">
        <x:v>-93.65020421165195</x:v>
      </x:c>
      <x:c r="P388" s="3" t="n">
        <x:v>-145.27202695912837</x:v>
      </x:c>
      <x:c r="Q388" s="3" t="n">
        <x:v>-157.61466388900112</x:v>
      </x:c>
      <x:c r="R388" s="3" t="n">
        <x:v>-42.28537449347494</x:v>
      </x:c>
      <x:c r="S388" s="3" t="n">
        <x:v>51.643334507880795</x:v>
      </x:c>
      <x:c r="T388" s="3" t="n">
        <x:v>75.3236987907792</x:v>
      </x:c>
      <x:c r="U388" s="3" t="n">
        <x:v>110.04340716533112</x:v>
      </x:c>
      <x:c r="V388" s="3" t="n">
        <x:v>212.88078396304192</x:v>
      </x:c>
      <x:c r="W388" s="3" t="n">
        <x:v>172.66989886339422</x:v>
      </x:c>
      <x:c r="X388" s="3" t="n">
        <x:v>19.049970009001495</x:v>
      </x:c>
      <x:c r="Y388" s="3" t="n">
        <x:v>-119.39736072809858</x:v>
      </x:c>
      <x:c r="Z388" s="3" t="n">
        <x:v>-83.39146301807381</x:v>
      </x:c>
    </x:row>
    <x:row r="389" ht="15" customHeight="1">
      <x:c r="A389" s="3"/>
      <x:c r="B389" s="3"/>
      <x:c r="C389" s="3"/>
      <x:c r="D389" s="3"/>
      <x:c r="E389" s="3"/>
      <x:c r="F389" s="3"/>
      <x:c r="G389" s="3"/>
      <x:c r="H389" s="3"/>
      <x:c r="I389" s="3"/>
      <x:c r="J389" s="7" t="n">
        <x:v>45869</x:v>
      </x:c>
      <x:c r="K389" s="3" t="n">
        <x:v>81.57516387174265</x:v>
      </x:c>
      <x:c r="L389" s="3" t="n">
        <x:v>101.13994262511332</x:v>
      </x:c>
      <x:c r="M389" s="3" t="n">
        <x:v>-50.496343540979936</x:v>
      </x:c>
      <x:c r="N389" s="3" t="n">
        <x:v>-15.427408308617759</x:v>
      </x:c>
      <x:c r="O389" s="3" t="n">
        <x:v>-93.5887453227998</x:v>
      </x:c>
      <x:c r="P389" s="3" t="n">
        <x:v>-145.19946371073712</x:v>
      </x:c>
      <x:c r="Q389" s="3" t="n">
        <x:v>-157.49787753671202</x:v>
      </x:c>
      <x:c r="R389" s="3" t="n">
        <x:v>-42.121844755261996</x:v>
      </x:c>
      <x:c r="S389" s="3" t="n">
        <x:v>51.82772356090107</x:v>
      </x:c>
      <x:c r="T389" s="3" t="n">
        <x:v>75.52105164992491</x:v>
      </x:c>
      <x:c r="U389" s="3" t="n">
        <x:v>108.58977584821903</x:v>
      </x:c>
      <x:c r="V389" s="3" t="n">
        <x:v>213.00423906862008</x:v>
      </x:c>
      <x:c r="W389" s="3" t="n">
        <x:v>172.80301520644534</x:v>
      </x:c>
      <x:c r="X389" s="3" t="n">
        <x:v>19.192499147696566</x:v>
      </x:c>
      <x:c r="Y389" s="3" t="n">
        <x:v>-119.24527659771287</x:v>
      </x:c>
      <x:c r="Z389" s="3" t="n">
        <x:v>-83.28509655858319</x:v>
      </x:c>
    </x:row>
    <x:row r="390" ht="15" customHeight="1">
      <x:c r="A390" s="3"/>
      <x:c r="B390" s="3"/>
      <x:c r="C390" s="3"/>
      <x:c r="D390" s="3"/>
      <x:c r="E390" s="3"/>
      <x:c r="F390" s="3"/>
      <x:c r="G390" s="3"/>
      <x:c r="H390" s="3"/>
      <x:c r="I390" s="3"/>
      <x:c r="J390" s="7" t="n">
        <x:v>45900</x:v>
      </x:c>
      <x:c r="K390" s="3" t="n">
        <x:v>82.27540113369515</x:v>
      </x:c>
      <x:c r="L390" s="3" t="n">
        <x:v>102.72596330536538</x:v>
      </x:c>
      <x:c r="M390" s="3" t="n">
        <x:v>-52.77890683622628</x:v>
      </x:c>
      <x:c r="N390" s="3" t="n">
        <x:v>-19.466645591942687</x:v>
      </x:c>
      <x:c r="O390" s="3" t="n">
        <x:v>-93.50504874503007</x:v>
      </x:c>
      <x:c r="P390" s="3" t="n">
        <x:v>-145.09897875841668</x:v>
      </x:c>
      <x:c r="Q390" s="3" t="n">
        <x:v>-157.33104760517978</x:v>
      </x:c>
      <x:c r="R390" s="3" t="n">
        <x:v>-41.88494621310635</x:v>
      </x:c>
      <x:c r="S390" s="3" t="n">
        <x:v>52.09620421999217</x:v>
      </x:c>
      <x:c r="T390" s="3" t="n">
        <x:v>75.8095507492719</x:v>
      </x:c>
      <x:c r="U390" s="3" t="n">
        <x:v>108.9044003094568</x:v>
      </x:c>
      <x:c r="V390" s="3" t="n">
        <x:v>210.77391083799117</x:v>
      </x:c>
      <x:c r="W390" s="3" t="n">
        <x:v>172.99464032254093</x:v>
      </x:c>
      <x:c r="X390" s="3" t="n">
        <x:v>19.398470839592722</x:v>
      </x:c>
      <x:c r="Y390" s="3" t="n">
        <x:v>-119.02474134508732</x:v>
      </x:c>
      <x:c r="Z390" s="3" t="n">
        <x:v>-83.13241461202558</x:v>
      </x:c>
    </x:row>
    <x:row r="391" ht="15" customHeight="1">
      <x:c r="A391" s="3"/>
      <x:c r="B391" s="3"/>
      <x:c r="C391" s="3"/>
      <x:c r="D391" s="3"/>
      <x:c r="E391" s="3"/>
      <x:c r="F391" s="3"/>
      <x:c r="G391" s="3"/>
      <x:c r="H391" s="3"/>
      <x:c r="I391" s="3"/>
      <x:c r="J391" s="7" t="n">
        <x:v>45930</x:v>
      </x:c>
      <x:c r="K391" s="3" t="n">
        <x:v>82.85690612794939</x:v>
      </x:c>
      <x:c r="L391" s="3" t="n">
        <x:v>103.79129379647776</x:v>
      </x:c>
      <x:c r="M391" s="3" t="n">
        <x:v>-54.54888737587494</x:v>
      </x:c>
      <x:c r="N391" s="3" t="n">
        <x:v>-22.299446010839215</x:v>
      </x:c>
      <x:c r="O391" s="3" t="n">
        <x:v>-93.44648666355022</x:v>
      </x:c>
      <x:c r="P391" s="3" t="n">
        <x:v>-145.02933078613677</x:v>
      </x:c>
      <x:c r="Q391" s="3" t="n">
        <x:v>-157.21771731640416</x:v>
      </x:c>
      <x:c r="R391" s="3" t="n">
        <x:v>-41.72539763453936</x:v>
      </x:c>
      <x:c r="S391" s="3" t="n">
        <x:v>52.276510507230704</x:v>
      </x:c>
      <x:c r="T391" s="3" t="n">
        <x:v>76.00316775450385</x:v>
      </x:c>
      <x:c r="U391" s="3" t="n">
        <x:v>109.1155399139203</x:v>
      </x:c>
      <x:c r="V391" s="3" t="n">
        <x:v>210.98994931900293</x:v>
      </x:c>
      <x:c r="W391" s="3" t="n">
        <x:v>171.4009097100019</x:v>
      </x:c>
      <x:c r="X391" s="3" t="n">
        <x:v>19.537382866175935</x:v>
      </x:c>
      <x:c r="Y391" s="3" t="n">
        <x:v>-118.87614613458219</x:v>
      </x:c>
      <x:c r="Z391" s="3" t="n">
        <x:v>-83.028381535623</x:v>
      </x:c>
    </x:row>
    <x:row r="392" ht="15" customHeight="1">
      <x:c r="A392" s="3"/>
      <x:c r="B392" s="3"/>
      <x:c r="C392" s="3"/>
      <x:c r="D392" s="3"/>
      <x:c r="E392" s="3"/>
      <x:c r="F392" s="3"/>
      <x:c r="G392" s="3"/>
      <x:c r="H392" s="3"/>
      <x:c r="I392" s="3"/>
      <x:c r="J392" s="7" t="n">
        <x:v>45961</x:v>
      </x:c>
      <x:c r="K392" s="3" t="n">
        <x:v>83.364166559408</x:v>
      </x:c>
      <x:c r="L392" s="3" t="n">
        <x:v>104.42830366982886</x:v>
      </x:c>
      <x:c r="M392" s="3" t="n">
        <x:v>-55.87900980613927</x:v>
      </x:c>
      <x:c r="N392" s="3" t="n">
        <x:v>-24.11165119051989</x:v>
      </x:c>
      <x:c r="O392" s="3" t="n">
        <x:v>-93.42002746203501</x:v>
      </x:c>
      <x:c r="P392" s="3" t="n">
        <x:v>-144.99663130331544</x:v>
      </x:c>
      <x:c r="Q392" s="3" t="n">
        <x:v>-157.1607157170813</x:v>
      </x:c>
      <x:c r="R392" s="3" t="n">
        <x:v>-41.6425878859097</x:v>
      </x:c>
      <x:c r="S392" s="3" t="n">
        <x:v>52.370890973249175</x:v>
      </x:c>
      <x:c r="T392" s="3" t="n">
        <x:v>76.10525915304304</x:v>
      </x:c>
      <x:c r="U392" s="3" t="n">
        <x:v>109.22792505782864</x:v>
      </x:c>
      <x:c r="V392" s="3" t="n">
        <x:v>211.1051450649617</x:v>
      </x:c>
      <x:c r="W392" s="3" t="n">
        <x:v>171.5230025161438</x:v>
      </x:c>
      <x:c r="X392" s="3" t="n">
        <x:v>18.66337925380667</x:v>
      </x:c>
      <x:c r="Y392" s="3" t="n">
        <x:v>-118.79946790031029</x:v>
      </x:c>
      <x:c r="Z392" s="3" t="n">
        <x:v>-82.97617175038131</x:v>
      </x:c>
    </x:row>
    <x:row r="393" ht="15" customHeight="1">
      <x:c r="A393" s="3"/>
      <x:c r="B393" s="3"/>
      <x:c r="C393" s="3"/>
      <x:c r="D393" s="3"/>
      <x:c r="E393" s="3"/>
      <x:c r="F393" s="3"/>
      <x:c r="G393" s="3"/>
      <x:c r="H393" s="3"/>
      <x:c r="I393" s="3"/>
      <x:c r="J393" s="7" t="n">
        <x:v>45991</x:v>
      </x:c>
      <x:c r="K393" s="3" t="n">
        <x:v>84.06525187885768</x:v>
      </x:c>
      <x:c r="L393" s="3" t="n">
        <x:v>106.02747886386467</x:v>
      </x:c>
      <x:c r="M393" s="3" t="n">
        <x:v>-58.32439448872931</x:v>
      </x:c>
      <x:c r="N393" s="3" t="n">
        <x:v>-28.314169824726797</x:v>
      </x:c>
      <x:c r="O393" s="3" t="n">
        <x:v>-93.34477895636172</x:v>
      </x:c>
      <x:c r="P393" s="3" t="n">
        <x:v>-144.90579230903685</x:v>
      </x:c>
      <x:c r="Q393" s="3" t="n">
        <x:v>-157.0090248851874</x:v>
      </x:c>
      <x:c r="R393" s="3" t="n">
        <x:v>-41.42625234181718</x:v>
      </x:c>
      <x:c r="S393" s="3" t="n">
        <x:v>52.61611431931138</x:v>
      </x:c>
      <x:c r="T393" s="3" t="n">
        <x:v>76.36963541342072</x:v>
      </x:c>
      <x:c r="U393" s="3" t="n">
        <x:v>109.51794247694183</x:v>
      </x:c>
      <x:c r="V393" s="3" t="n">
        <x:v>211.40228814311183</x:v>
      </x:c>
      <x:c r="W393" s="3" t="n">
        <x:v>171.83734592776338</x:v>
      </x:c>
      <x:c r="X393" s="3" t="n">
        <x:v>18.994592648665925</x:v>
      </x:c>
      <x:c r="Y393" s="3" t="n">
        <x:v>-121.21516653933263</x:v>
      </x:c>
      <x:c r="Z393" s="3" t="n">
        <x:v>-82.83690389747926</x:v>
      </x:c>
    </x:row>
    <x:row r="394" ht="15" customHeight="1">
      <x:c r="A394" s="3"/>
      <x:c r="B394" s="3"/>
      <x:c r="C394" s="3"/>
      <x:c r="D394" s="3"/>
      <x:c r="E394" s="3"/>
      <x:c r="F394" s="3"/>
      <x:c r="G394" s="3"/>
      <x:c r="H394" s="3"/>
      <x:c r="I394" s="3"/>
      <x:c r="J394" s="7" t="n">
        <x:v>46022</x:v>
      </x:c>
      <x:c r="K394" s="3" t="n">
        <x:v>84.64670713624051</x:v>
      </x:c>
      <x:c r="L394" s="3" t="n">
        <x:v>106.9410254812089</x:v>
      </x:c>
      <x:c r="M394" s="3" t="n">
        <x:v>-60.17268562217233</x:v>
      </x:c>
      <x:c r="N394" s="3" t="n">
        <x:v>-30.99659139072081</x:v>
      </x:c>
      <x:c r="O394" s="3" t="n">
        <x:v>-93.29423088036232</x:v>
      </x:c>
      <x:c r="P394" s="3" t="n">
        <x:v>-144.8458117304175</x:v>
      </x:c>
      <x:c r="Q394" s="3" t="n">
        <x:v>-156.9120608508703</x:v>
      </x:c>
      <x:c r="R394" s="3" t="n">
        <x:v>-41.290027948454686</x:v>
      </x:c>
      <x:c r="S394" s="3" t="n">
        <x:v>52.769852022985326</x:v>
      </x:c>
      <x:c r="T394" s="3" t="n">
        <x:v>76.53483045016975</x:v>
      </x:c>
      <x:c r="U394" s="3" t="n">
        <x:v>109.6984530881595</x:v>
      </x:c>
      <x:c r="V394" s="3" t="n">
        <x:v>211.58713224918242</x:v>
      </x:c>
      <x:c r="W394" s="3" t="n">
        <x:v>172.03253378470194</x:v>
      </x:c>
      <x:c r="X394" s="3" t="n">
        <x:v>19.199908362627497</x:v>
      </x:c>
      <x:c r="Y394" s="3" t="n">
        <x:v>-121.00235830269952</x:v>
      </x:c>
      <x:c r="Z394" s="3" t="n">
        <x:v>-84.4782202450222</x:v>
      </x:c>
    </x:row>
    <x:row r="395" ht="15" customHeight="1">
      <x:c r="A395" s="3"/>
      <x:c r="B395" s="3"/>
      <x:c r="C395" s="3"/>
      <x:c r="D395" s="3"/>
      <x:c r="E395" s="3"/>
      <x:c r="F395" s="3"/>
      <x:c r="G395" s="3"/>
      <x:c r="H395" s="3"/>
      <x:c r="I395" s="3"/>
      <x:c r="J395" s="7" t="n">
        <x:v>46053</x:v>
      </x:c>
      <x:c r="K395" s="3" t="n">
        <x:v>85.16876426202171</x:v>
      </x:c>
      <x:c r="L395" s="3" t="n">
        <x:v>107.59869681348631</x:v>
      </x:c>
      <x:c r="M395" s="3" t="n">
        <x:v>-61.72777773184538</x:v>
      </x:c>
      <x:c r="N395" s="3" t="n">
        <x:v>-33.11768638902363</x:v>
      </x:c>
      <x:c r="O395" s="3" t="n">
        <x:v>-94.48989826857556</x:v>
      </x:c>
      <x:c r="P395" s="3" t="n">
        <x:v>-144.8109864507866</x:v>
      </x:c>
      <x:c r="Q395" s="3" t="n">
        <x:v>-156.8502875574506</x:v>
      </x:c>
      <x:c r="R395" s="3" t="n">
        <x:v>-41.19989052748044</x:v>
      </x:c>
      <x:c r="S395" s="3" t="n">
        <x:v>52.87322836686423</x:v>
      </x:c>
      <x:c r="T395" s="3" t="n">
        <x:v>76.64711171157144</x:v>
      </x:c>
      <x:c r="U395" s="3" t="n">
        <x:v>109.82204061442228</x:v>
      </x:c>
      <x:c r="V395" s="3" t="n">
        <x:v>211.71325331867945</x:v>
      </x:c>
      <x:c r="W395" s="3" t="n">
        <x:v>172.16635780717607</x:v>
      </x:c>
      <x:c r="X395" s="3" t="n">
        <x:v>19.341226239456624</x:v>
      </x:c>
      <x:c r="Y395" s="3" t="n">
        <x:v>-120.85542858958769</x:v>
      </x:c>
      <x:c r="Z395" s="3" t="n">
        <x:v>-84.35672666428914</x:v>
      </x:c>
    </x:row>
    <x:row r="396" ht="15" customHeight="1">
      <x:c r="A396" s="3"/>
      <x:c r="B396" s="3"/>
      <x:c r="C396" s="3"/>
      <x:c r="D396" s="3"/>
      <x:c r="E396" s="3"/>
      <x:c r="F396" s="3"/>
      <x:c r="G396" s="3"/>
      <x:c r="H396" s="3"/>
      <x:c r="I396" s="3"/>
      <x:c r="J396" s="7" t="n">
        <x:v>46081</x:v>
      </x:c>
      <x:c r="K396" s="3" t="n">
        <x:v>85.48671951268408</x:v>
      </x:c>
      <x:c r="L396" s="3" t="n">
        <x:v>107.42190908935359</x:v>
      </x:c>
      <x:c r="M396" s="3" t="n">
        <x:v>-62.29890482063363</x:v>
      </x:c>
      <x:c r="N396" s="3" t="n">
        <x:v>-33.12135860639217</x:v>
      </x:c>
      <x:c r="O396" s="3" t="n">
        <x:v>-94.50925102199821</x:v>
      </x:c>
      <x:c r="P396" s="3" t="n">
        <x:v>-144.57939437472677</x:v>
      </x:c>
      <x:c r="Q396" s="3" t="n">
        <x:v>-156.86223718865907</x:v>
      </x:c>
      <x:c r="R396" s="3" t="n">
        <x:v>-41.216660782641604</x:v>
      </x:c>
      <x:c r="S396" s="3" t="n">
        <x:v>52.854216500655234</x:v>
      </x:c>
      <x:c r="T396" s="3" t="n">
        <x:v>76.62657281086983</x:v>
      </x:c>
      <x:c r="U396" s="3" t="n">
        <x:v>109.79954463369413</x:v>
      </x:c>
      <x:c r="V396" s="3" t="n">
        <x:v>211.69031408570706</x:v>
      </x:c>
      <x:c r="W396" s="3" t="n">
        <x:v>172.14209830304296</x:v>
      </x:c>
      <x:c r="X396" s="3" t="n">
        <x:v>19.315678354305586</x:v>
      </x:c>
      <x:c r="Y396" s="3" t="n">
        <x:v>-120.88194050324232</x:v>
      </x:c>
      <x:c r="Z396" s="3" t="n">
        <x:v>-84.37894081700685</x:v>
      </x:c>
    </x:row>
    <x:row r="397" ht="15" customHeight="1">
      <x:c r="A397" s="3"/>
      <x:c r="B397" s="3"/>
      <x:c r="C397" s="3"/>
      <x:c r="D397" s="3"/>
      <x:c r="E397" s="3"/>
      <x:c r="F397" s="3"/>
      <x:c r="G397" s="3"/>
      <x:c r="H397" s="3"/>
      <x:c r="I397" s="3"/>
      <x:c r="J397" s="7" t="n">
        <x:v>46112</x:v>
      </x:c>
      <x:c r="K397" s="3" t="n">
        <x:v>85.90416020107483</x:v>
      </x:c>
      <x:c r="L397" s="3" t="n">
        <x:v>107.55743190452264</x:v>
      </x:c>
      <x:c r="M397" s="3" t="n">
        <x:v>-63.304480712354795</x:v>
      </x:c>
      <x:c r="N397" s="3" t="n">
        <x:v>-33.959647880667355</x:v>
      </x:c>
      <x:c r="O397" s="3" t="n">
        <x:v>-94.4845775427639</x:v>
      </x:c>
      <x:c r="P397" s="3" t="n">
        <x:v>-144.5529860234581</x:v>
      </x:c>
      <x:c r="Q397" s="3" t="n">
        <x:v>-157.16942204064236</x:v>
      </x:c>
      <x:c r="R397" s="3" t="n">
        <x:v>-41.196361735762856</x:v>
      </x:c>
      <x:c r="S397" s="3" t="n">
        <x:v>52.87771761248767</x:v>
      </x:c>
      <x:c r="T397" s="3" t="n">
        <x:v>76.65235136883057</x:v>
      </x:c>
      <x:c r="U397" s="3" t="n">
        <x:v>109.82831711682934</x:v>
      </x:c>
      <x:c r="V397" s="3" t="n">
        <x:v>211.71977407015754</x:v>
      </x:c>
      <x:c r="W397" s="3" t="n">
        <x:v>172.17351832049022</x:v>
      </x:c>
      <x:c r="X397" s="3" t="n">
        <x:v>19.34902873744247</x:v>
      </x:c>
      <x:c r="Y397" s="3" t="n">
        <x:v>-120.84714814435775</x:v>
      </x:c>
      <x:c r="Z397" s="3" t="n">
        <x:v>-84.35021173925279</x:v>
      </x:c>
    </x:row>
    <x:row r="398" ht="15" customHeight="1">
      <x:c r="A398" s="3"/>
      <x:c r="B398" s="3"/>
      <x:c r="C398" s="3"/>
      <x:c r="D398" s="3"/>
      <x:c r="E398" s="3"/>
      <x:c r="F398" s="3"/>
      <x:c r="G398" s="3"/>
      <x:c r="H398" s="3"/>
      <x:c r="I398" s="3"/>
      <x:c r="J398" s="7" t="n">
        <x:v>46142</x:v>
      </x:c>
      <x:c r="K398" s="3" t="n">
        <x:v>86.38539414586556</x:v>
      </x:c>
      <x:c r="L398" s="3" t="n">
        <x:v>108.07163464673363</x:v>
      </x:c>
      <x:c r="M398" s="3" t="n">
        <x:v>-64.70144428187123</x:v>
      </x:c>
      <x:c r="N398" s="3" t="n">
        <x:v>-35.71671291625859</x:v>
      </x:c>
      <x:c r="O398" s="3" t="n">
        <x:v>-94.41645578867103</x:v>
      </x:c>
      <x:c r="P398" s="3" t="n">
        <x:v>-144.48006715765095</x:v>
      </x:c>
      <x:c r="Q398" s="3" t="n">
        <x:v>-157.08000480824307</x:v>
      </x:c>
      <x:c r="R398" s="3" t="n">
        <x:v>-42.071663495597164</x:v>
      </x:c>
      <x:c r="S398" s="3" t="n">
        <x:v>52.941356934624956</x:v>
      </x:c>
      <x:c r="T398" s="3" t="n">
        <x:v>76.72238539641303</x:v>
      </x:c>
      <x:c r="U398" s="3" t="n">
        <x:v>109.90688248243927</x:v>
      </x:c>
      <x:c r="V398" s="3" t="n">
        <x:v>211.8003011657652</x:v>
      </x:c>
      <x:c r="W398" s="3" t="n">
        <x:v>172.259525595472</x:v>
      </x:c>
      <x:c r="X398" s="3" t="n">
        <x:v>19.440464683801263</x:v>
      </x:c>
      <x:c r="Y398" s="3" t="n">
        <x:v>-120.751659960767</x:v>
      </x:c>
      <x:c r="Z398" s="3" t="n">
        <x:v>-84.27106504758648</x:v>
      </x:c>
    </x:row>
    <x:row r="399" ht="15" customHeight="1">
      <x:c r="A399" s="3"/>
      <x:c r="B399" s="3"/>
      <x:c r="C399" s="3"/>
      <x:c r="D399" s="3"/>
      <x:c r="E399" s="3"/>
      <x:c r="F399" s="3"/>
      <x:c r="G399" s="3"/>
      <x:c r="H399" s="3"/>
      <x:c r="I399" s="3"/>
      <x:c r="J399" s="7" t="n">
        <x:v>46173</x:v>
      </x:c>
      <x:c r="K399" s="3" t="n">
        <x:v>86.92663671679826</x:v>
      </x:c>
      <x:c r="L399" s="3" t="n">
        <x:v>108.80311226757985</x:v>
      </x:c>
      <x:c r="M399" s="3" t="n">
        <x:v>-66.3817362024254</x:v>
      </x:c>
      <x:c r="N399" s="3" t="n">
        <x:v>-38.02246020433822</x:v>
      </x:c>
      <x:c r="O399" s="3" t="n">
        <x:v>-94.32928405628763</x:v>
      </x:c>
      <x:c r="P399" s="3" t="n">
        <x:v>-144.38666836633496</x:v>
      </x:c>
      <x:c r="Q399" s="3" t="n">
        <x:v>-156.96550227146585</x:v>
      </x:c>
      <x:c r="R399" s="3" t="n">
        <x:v>-41.935712065274295</x:v>
      </x:c>
      <x:c r="S399" s="3" t="n">
        <x:v>51.77440932677828</x:v>
      </x:c>
      <x:c r="T399" s="3" t="n">
        <x:v>76.80989756242911</x:v>
      </x:c>
      <x:c r="U399" s="3" t="n">
        <x:v>110.00590491033246</x:v>
      </x:c>
      <x:c r="V399" s="3" t="n">
        <x:v>211.90208515333254</x:v>
      </x:c>
      <x:c r="W399" s="3" t="n">
        <x:v>172.36852073985352</x:v>
      </x:c>
      <x:c r="X399" s="3" t="n">
        <x:v>19.556663661138415</x:v>
      </x:c>
      <x:c r="Y399" s="3" t="n">
        <x:v>-120.63009982948854</x:v>
      </x:c>
      <x:c r="Z399" s="3" t="n">
        <x:v>-84.17021476501304</x:v>
      </x:c>
    </x:row>
    <x:row r="400" ht="15" customHeight="1">
      <x:c r="A400" s="3"/>
      <x:c r="B400" s="3"/>
      <x:c r="C400" s="3"/>
      <x:c r="D400" s="3"/>
      <x:c r="E400" s="3"/>
      <x:c r="F400" s="3"/>
      <x:c r="G400" s="3"/>
      <x:c r="H400" s="3"/>
      <x:c r="I400" s="3"/>
      <x:c r="J400" s="7" t="n">
        <x:v>46203</x:v>
      </x:c>
      <x:c r="K400" s="3" t="n">
        <x:v>87.47590403220028</x:v>
      </x:c>
      <x:c r="L400" s="3" t="n">
        <x:v>109.62159348293272</x:v>
      </x:c>
      <x:c r="M400" s="3" t="n">
        <x:v>-68.18501492063557</x:v>
      </x:c>
      <x:c r="N400" s="3" t="n">
        <x:v>-40.561054318964004</x:v>
      </x:c>
      <x:c r="O400" s="3" t="n">
        <x:v>-94.23014540066431</x:v>
      </x:c>
      <x:c r="P400" s="3" t="n">
        <x:v>-144.28078721703196</x:v>
      </x:c>
      <x:c r="Q400" s="3" t="n">
        <x:v>-156.83688493837283</x:v>
      </x:c>
      <x:c r="R400" s="3" t="n">
        <x:v>-41.783899561654664</x:v>
      </x:c>
      <x:c r="S400" s="3" t="n">
        <x:v>51.9407632844203</x:v>
      </x:c>
      <x:c r="T400" s="3" t="n">
        <x:v>75.4321363144749</x:v>
      </x:c>
      <x:c r="U400" s="3" t="n">
        <x:v>110.11683300431747</x:v>
      </x:c>
      <x:c r="V400" s="3" t="n">
        <x:v>212.0161951341511</x:v>
      </x:c>
      <x:c r="W400" s="3" t="n">
        <x:v>172.49048702132166</x:v>
      </x:c>
      <x:c r="X400" s="3" t="n">
        <x:v>19.686515334360834</x:v>
      </x:c>
      <x:c r="Y400" s="3" t="n">
        <x:v>-120.49439592413853</x:v>
      </x:c>
      <x:c r="Z400" s="3" t="n">
        <x:v>-84.05681705118398</x:v>
      </x:c>
    </x:row>
    <x:row r="401" ht="15" customHeight="1">
      <x:c r="A401" s="3"/>
      <x:c r="B401" s="3"/>
      <x:c r="C401" s="3"/>
      <x:c r="D401" s="3"/>
      <x:c r="E401" s="3"/>
      <x:c r="F401" s="3"/>
      <x:c r="G401" s="3"/>
      <x:c r="H401" s="3"/>
      <x:c r="I401" s="3"/>
      <x:c r="J401" s="3"/>
      <x:c r="K401" s="3"/>
      <x:c r="L401" s="3"/>
      <x:c r="M401" s="3"/>
      <x:c r="N401" s="3"/>
      <x:c r="O401" s="3"/>
      <x:c r="P401" s="3"/>
      <x:c r="Q401" s="3"/>
      <x:c r="R401" s="3"/>
      <x:c r="S401" s="3"/>
      <x:c r="T401" s="3"/>
      <x:c r="U401" s="3"/>
      <x:c r="V401" s="3"/>
      <x:c r="W401" s="3"/>
      <x:c r="X401" s="3"/>
      <x:c r="Y401" s="3"/>
      <x:c r="Z401" s="3"/>
    </x:row>
    <x:row r="402" ht="15" customHeight="1">
      <x:c r="A402" s="3"/>
      <x:c r="B402" s="3"/>
      <x:c r="C402" s="3"/>
      <x:c r="D402" s="3"/>
      <x:c r="E402" s="3"/>
      <x:c r="F402" s="3"/>
      <x:c r="G402" s="3"/>
      <x:c r="H402" s="3"/>
      <x:c r="I402" s="3"/>
      <x:c r="J402" s="3"/>
      <x:c r="K402" s="3"/>
      <x:c r="L402" s="3"/>
      <x:c r="M402" s="3"/>
      <x:c r="N402" s="3"/>
      <x:c r="O402" s="3"/>
      <x:c r="P402" s="3"/>
      <x:c r="Q402" s="3"/>
      <x:c r="R402" s="3"/>
      <x:c r="S402" s="3"/>
      <x:c r="T402" s="3"/>
      <x:c r="U402" s="3"/>
      <x:c r="V402" s="3"/>
      <x:c r="W402" s="3"/>
      <x:c r="X402" s="3"/>
      <x:c r="Y402" s="3"/>
      <x:c r="Z402" s="3"/>
    </x:row>
    <x:row r="403" ht="15" customHeight="1">
      <x:c r="A403" s="3"/>
      <x:c r="B403" s="3"/>
      <x:c r="C403" s="3"/>
      <x:c r="D403" s="3"/>
      <x:c r="E403" s="3"/>
      <x:c r="F403" s="3"/>
      <x:c r="G403" s="3"/>
      <x:c r="H403" s="3"/>
      <x:c r="I403" s="3"/>
      <x:c r="J403" s="3" t="str">
        <x:v>n</x:v>
      </x:c>
      <x:c r="K403" s="3" t="n">
        <x:f>G11</x:f>
        <x:v>355</x:v>
      </x:c>
      <x:c r="L403" s="3"/>
      <x:c r="M403" s="3"/>
      <x:c r="N403" s="3"/>
      <x:c r="O403" s="3"/>
      <x:c r="P403" s="3"/>
      <x:c r="Q403" s="3"/>
      <x:c r="R403" s="3"/>
      <x:c r="S403" s="3" t="str">
        <x:v>s остатков</x:v>
      </x:c>
      <x:c r="T403" s="3" t="n">
        <x:v>108.60248826188872</x:v>
      </x:c>
      <x:c r="U403" s="3"/>
      <x:c r="V403" s="3"/>
      <x:c r="W403" s="3"/>
      <x:c r="X403" s="3"/>
      <x:c r="Y403" s="3"/>
      <x:c r="Z403" s="3"/>
    </x:row>
    <x:row r="404" ht="15" customHeight="1">
      <x:c r="A404" s="3"/>
      <x:c r="B404" s="3"/>
      <x:c r="C404" s="3"/>
      <x:c r="D404" s="3"/>
      <x:c r="E404" s="3"/>
      <x:c r="F404" s="3"/>
      <x:c r="G404" s="3"/>
      <x:c r="H404" s="3"/>
      <x:c r="I404" s="3"/>
      <x:c r="J404" s="3" t="str">
        <x:v>ΣH</x:v>
      </x:c>
      <x:c r="K404" s="3" t="n">
        <x:f>SUMPRODUCT($R$20:$R$384,$K$20:$K$384)</x:f>
        <x:v>28150</x:v>
      </x:c>
      <x:c r="L404" s="3"/>
      <x:c r="M404" s="3"/>
      <x:c r="N404" s="3"/>
      <x:c r="O404" s="3"/>
      <x:c r="P404" s="3"/>
      <x:c r="Q404" s="3"/>
      <x:c r="R404" s="3"/>
      <x:c r="S404" s="3" t="str">
        <x:v>t95</x:v>
      </x:c>
      <x:c r="T404" s="3" t="n">
        <x:v>1.9602405113731032</x:v>
      </x:c>
      <x:c r="U404" s="3"/>
      <x:c r="V404" s="3"/>
      <x:c r="W404" s="3"/>
      <x:c r="X404" s="3"/>
      <x:c r="Y404" s="3"/>
      <x:c r="Z404" s="3"/>
    </x:row>
    <x:row r="405" ht="15" customHeight="1">
      <x:c r="A405" s="3"/>
      <x:c r="B405" s="3"/>
      <x:c r="C405" s="3"/>
      <x:c r="D405" s="3"/>
      <x:c r="E405" s="3"/>
      <x:c r="F405" s="3"/>
      <x:c r="G405" s="3"/>
      <x:c r="H405" s="3"/>
      <x:c r="I405" s="3"/>
      <x:c r="J405" s="3" t="str">
        <x:v>SST</x:v>
      </x:c>
      <x:c r="K405" s="3" t="n">
        <x:f>SUMPRODUCT($R$20:$R$384,$K$20:$K$384,$K$20:$K$384)-K404^2/G11</x:f>
        <x:v>6276929.943661972</x:v>
      </x:c>
      <x:c r="L405" s="3"/>
      <x:c r="M405" s="3"/>
      <x:c r="N405" s="3"/>
      <x:c r="O405" s="3"/>
      <x:c r="P405" s="3"/>
      <x:c r="Q405" s="3"/>
      <x:c r="R405" s="3"/>
      <x:c r="S405" s="3" t="str">
        <x:v>Начало ряда</x:v>
      </x:c>
      <x:c r="T405" s="7" t="n">
        <x:v>37257</x:v>
      </x:c>
      <x:c r="U405" s="3"/>
      <x:c r="V405" s="3"/>
      <x:c r="W405" s="3"/>
      <x:c r="X405" s="3"/>
      <x:c r="Y405" s="3"/>
      <x:c r="Z405" s="3"/>
    </x:row>
    <x:row r="406" ht="15" customHeight="1">
      <x:c r="A406" s="3"/>
      <x:c r="B406" s="3"/>
      <x:c r="C406" s="3"/>
      <x:c r="D406" s="3"/>
      <x:c r="E406" s="3"/>
      <x:c r="F406" s="3"/>
      <x:c r="G406" s="3"/>
      <x:c r="H406" s="3"/>
      <x:c r="I406" s="3"/>
      <x:c r="J406" s="3" t="str">
        <x:v>ΣΔ</x:v>
      </x:c>
      <x:c r="K406" s="3" t="n">
        <x:f>SUMPRODUCT($R$20:$R$384,$Q$20:$Q$384)</x:f>
        <x:v>137</x:v>
      </x:c>
      <x:c r="L406" s="3"/>
      <x:c r="M406" s="3"/>
      <x:c r="N406" s="3"/>
      <x:c r="O406" s="3"/>
      <x:c r="P406" s="3"/>
      <x:c r="Q406" s="3"/>
      <x:c r="R406" s="3"/>
      <x:c r="S406" s="3" t="str">
        <x:v>Длина ряда</x:v>
      </x:c>
      <x:c r="T406" s="3" t="n">
        <x:v>8978</x:v>
      </x:c>
      <x:c r="U406" s="3"/>
      <x:c r="V406" s="3"/>
      <x:c r="W406" s="3"/>
      <x:c r="X406" s="3"/>
      <x:c r="Y406" s="3"/>
      <x:c r="Z406" s="3"/>
    </x:row>
    <x:row r="407" ht="15" customHeight="1">
      <x:c r="A407" s="3"/>
      <x:c r="B407" s="3"/>
      <x:c r="C407" s="3"/>
      <x:c r="D407" s="3"/>
      <x:c r="E407" s="3"/>
      <x:c r="F407" s="3"/>
      <x:c r="G407" s="3"/>
      <x:c r="H407" s="3"/>
      <x:c r="I407" s="3"/>
      <x:c r="J407" s="3" t="str">
        <x:v>SSΔ</x:v>
      </x:c>
      <x:c r="K407" s="3" t="n">
        <x:f>SUMPRODUCT($R$20:$R$384,$Q$20:$Q$384,$Q$20:$Q$384)-K406^2/G11</x:f>
        <x:v>42404.12957746479</x:v>
      </x:c>
      <x:c r="L407" s="3"/>
      <x:c r="M407" s="3"/>
      <x:c r="N407" s="3"/>
      <x:c r="O407" s="3"/>
      <x:c r="P407" s="3"/>
      <x:c r="Q407" s="3"/>
      <x:c r="R407" s="3"/>
      <x:c r="S407" s="3"/>
      <x:c r="T407" s="3"/>
      <x:c r="U407" s="3"/>
      <x:c r="V407" s="3"/>
      <x:c r="W407" s="3"/>
      <x:c r="X407" s="3"/>
      <x:c r="Y407" s="3"/>
      <x:c r="Z407" s="3"/>
    </x:row>
    <x:row r="408" ht="15" customHeight="1">
      <x:c r="A408" s="3"/>
      <x:c r="B408" s="3"/>
      <x:c r="C408" s="3"/>
      <x:c r="D408" s="3"/>
      <x:c r="E408" s="3"/>
      <x:c r="F408" s="3"/>
      <x:c r="G408" s="3"/>
      <x:c r="H408" s="3"/>
      <x:c r="I408" s="3"/>
      <x:c r="J408" s="3" t="str">
        <x:v>SSE</x:v>
      </x:c>
      <x:c r="K408" s="3" t="n">
        <x:f>SUMPRODUCT($R$20:$R$384,$P$20:$P$384)</x:f>
        <x:v>1416400.1984244892</x:v>
      </x:c>
      <x:c r="L408" s="3"/>
      <x:c r="M408" s="3"/>
      <x:c r="N408" s="3"/>
      <x:c r="O408" s="3"/>
      <x:c r="P408" s="3"/>
      <x:c r="Q408" s="3"/>
      <x:c r="R408" s="3"/>
      <x:c r="S408" s="3" t="str">
        <x:v>Cov базовых коэффициентов</x:v>
      </x:c>
      <x:c r="T408" s="3"/>
      <x:c r="U408" s="3"/>
      <x:c r="V408" s="3"/>
      <x:c r="W408" s="3"/>
      <x:c r="X408" s="3"/>
      <x:c r="Y408" s="3"/>
      <x:c r="Z408" s="3"/>
    </x:row>
    <x:row r="409" ht="15" customHeight="1">
      <x:c r="A409" s="3"/>
      <x:c r="B409" s="3"/>
      <x:c r="C409" s="3"/>
      <x:c r="D409" s="3"/>
      <x:c r="E409" s="3"/>
      <x:c r="F409" s="3"/>
      <x:c r="G409" s="3"/>
      <x:c r="H409" s="3"/>
      <x:c r="I409" s="3"/>
      <x:c r="J409" s="3"/>
      <x:c r="K409" s="3"/>
      <x:c r="L409" s="3"/>
      <x:c r="M409" s="3"/>
      <x:c r="N409" s="3"/>
      <x:c r="O409" s="3"/>
      <x:c r="P409" s="3"/>
      <x:c r="Q409" s="3"/>
      <x:c r="R409" s="3"/>
      <x:c r="S409" s="3" t="n">
        <x:v>2.996235762634339</x:v>
      </x:c>
      <x:c r="T409" s="3" t="n">
        <x:v>0.1468022642270407</x:v>
      </x:c>
      <x:c r="U409" s="3" t="n">
        <x:v>-4.966525474831611</x:v>
      </x:c>
      <x:c r="V409" s="3" t="n">
        <x:v>-0.16532481528794885</x:v>
      </x:c>
      <x:c r="W409" s="3"/>
      <x:c r="X409" s="3"/>
      <x:c r="Y409" s="3"/>
      <x:c r="Z409" s="3"/>
    </x:row>
    <x:row r="410" ht="15" customHeight="1">
      <x:c r="A410" s="3"/>
      <x:c r="B410" s="3"/>
      <x:c r="C410" s="3"/>
      <x:c r="D410" s="3"/>
      <x:c r="E410" s="3"/>
      <x:c r="F410" s="3"/>
      <x:c r="G410" s="3"/>
      <x:c r="H410" s="3"/>
      <x:c r="I410" s="3"/>
      <x:c r="J410" s="3"/>
      <x:c r="K410" s="3"/>
      <x:c r="L410" s="3"/>
      <x:c r="M410" s="3"/>
      <x:c r="N410" s="3"/>
      <x:c r="O410" s="3"/>
      <x:c r="P410" s="3"/>
      <x:c r="Q410" s="3"/>
      <x:c r="R410" s="3"/>
      <x:c r="S410" s="3" t="n">
        <x:v>0.14680226422704087</x:v>
      </x:c>
      <x:c r="T410" s="3" t="n">
        <x:v>25.805184585281392</x:v>
      </x:c>
      <x:c r="U410" s="3" t="n">
        <x:v>0.08792293731115669</x:v>
      </x:c>
      <x:c r="V410" s="3" t="n">
        <x:v>-35.79418306588577</x:v>
      </x:c>
      <x:c r="W410" s="3"/>
      <x:c r="X410" s="3"/>
      <x:c r="Y410" s="3"/>
      <x:c r="Z410" s="3"/>
    </x:row>
    <x:row r="411" ht="15" customHeight="1">
      <x:c r="A411" s="3"/>
      <x:c r="B411" s="3"/>
      <x:c r="C411" s="3"/>
      <x:c r="D411" s="3"/>
      <x:c r="E411" s="3"/>
      <x:c r="F411" s="3"/>
      <x:c r="G411" s="3"/>
      <x:c r="H411" s="3"/>
      <x:c r="I411" s="3"/>
      <x:c r="J411" s="3"/>
      <x:c r="K411" s="3"/>
      <x:c r="L411" s="3"/>
      <x:c r="M411" s="3"/>
      <x:c r="N411" s="3"/>
      <x:c r="O411" s="3"/>
      <x:c r="P411" s="3"/>
      <x:c r="Q411" s="3"/>
      <x:c r="R411" s="3"/>
      <x:c r="S411" s="3" t="n">
        <x:v>-4.96652547483161</x:v>
      </x:c>
      <x:c r="T411" s="3" t="n">
        <x:v>0.08792293731115666</x:v>
      </x:c>
      <x:c r="U411" s="3" t="n">
        <x:v>15.245274880680347</x:v>
      </x:c>
      <x:c r="V411" s="3" t="n">
        <x:v>0.026465240732561308</x:v>
      </x:c>
      <x:c r="W411" s="3"/>
      <x:c r="X411" s="3"/>
      <x:c r="Y411" s="3"/>
      <x:c r="Z411" s="3"/>
    </x:row>
    <x:row r="412" ht="15" customHeight="1">
      <x:c r="A412" s="3"/>
      <x:c r="B412" s="3"/>
      <x:c r="C412" s="3"/>
      <x:c r="D412" s="3"/>
      <x:c r="E412" s="3"/>
      <x:c r="F412" s="3"/>
      <x:c r="G412" s="3"/>
      <x:c r="H412" s="3"/>
      <x:c r="I412" s="3"/>
      <x:c r="J412" s="3"/>
      <x:c r="K412" s="3"/>
      <x:c r="L412" s="3"/>
      <x:c r="M412" s="3"/>
      <x:c r="N412" s="3"/>
      <x:c r="O412" s="3"/>
      <x:c r="P412" s="3"/>
      <x:c r="Q412" s="3"/>
      <x:c r="R412" s="3"/>
      <x:c r="S412" s="3" t="n">
        <x:v>-0.16532481528794887</x:v>
      </x:c>
      <x:c r="T412" s="3" t="n">
        <x:v>-35.79418306588577</x:v>
      </x:c>
      <x:c r="U412" s="3" t="n">
        <x:v>0.0264652407325613</x:v>
      </x:c>
      <x:c r="V412" s="3" t="n">
        <x:v>59.40690449425335</x:v>
      </x:c>
      <x:c r="W412" s="3"/>
      <x:c r="X412" s="3"/>
      <x:c r="Y412" s="3"/>
      <x:c r="Z412" s="3"/>
    </x:row>
    <x:row r="413" ht="15" customHeight="1">
      <x:c r="A413" s="3"/>
      <x:c r="B413" s="3"/>
      <x:c r="C413" s="3"/>
      <x:c r="D413" s="3"/>
      <x:c r="E413" s="3"/>
      <x:c r="F413" s="3"/>
      <x:c r="G413" s="3"/>
      <x:c r="H413" s="3"/>
      <x:c r="I413" s="3"/>
      <x:c r="J413" s="3"/>
      <x:c r="K413" s="3"/>
      <x:c r="L413" s="3"/>
      <x:c r="M413" s="3"/>
      <x:c r="N413" s="3"/>
      <x:c r="O413" s="3"/>
      <x:c r="P413" s="3"/>
      <x:c r="Q413" s="3"/>
      <x:c r="R413" s="3"/>
      <x:c r="S413" s="3"/>
      <x:c r="T413" s="3"/>
      <x:c r="U413" s="3"/>
      <x:c r="V413" s="3"/>
      <x:c r="W413" s="3"/>
      <x:c r="X413" s="3"/>
      <x:c r="Y413" s="3"/>
      <x:c r="Z413" s="3"/>
    </x:row>
    <x:row r="414" ht="15" customHeight="1">
      <x:c r="A414" s="3"/>
      <x:c r="B414" s="3"/>
      <x:c r="C414" s="3"/>
      <x:c r="D414" s="3"/>
      <x:c r="E414" s="3"/>
      <x:c r="F414" s="3"/>
      <x:c r="G414" s="3"/>
      <x:c r="H414" s="3"/>
      <x:c r="I414" s="3"/>
      <x:c r="J414" s="3"/>
      <x:c r="K414" s="3"/>
      <x:c r="L414" s="3"/>
      <x:c r="M414" s="3"/>
      <x:c r="N414" s="3"/>
      <x:c r="O414" s="3"/>
      <x:c r="P414" s="3"/>
      <x:c r="Q414" s="3"/>
      <x:c r="R414" s="3"/>
      <x:c r="S414" s="3"/>
      <x:c r="T414" s="3"/>
      <x:c r="U414" s="3"/>
      <x:c r="V414" s="3"/>
      <x:c r="W414" s="3"/>
      <x:c r="X414" s="3"/>
      <x:c r="Y414" s="3"/>
      <x:c r="Z414" s="3"/>
    </x:row>
    <x:row r="415" ht="30" customHeight="1">
      <x:c r="A415" s="3"/>
      <x:c r="B415" s="3"/>
      <x:c r="C415" s="3"/>
      <x:c r="D415" s="3"/>
      <x:c r="E415" s="3"/>
      <x:c r="F415" s="3"/>
      <x:c r="G415" s="3"/>
      <x:c r="H415" s="3"/>
      <x:c r="I415" s="3"/>
      <x:c r="J415" s="3"/>
      <x:c r="K415" s="3"/>
      <x:c r="L415" s="3"/>
      <x:c r="M415" s="3"/>
      <x:c r="N415" s="3"/>
      <x:c r="O415" s="3"/>
      <x:c r="P415" s="3"/>
      <x:c r="Q415" s="3"/>
      <x:c r="R415" s="3"/>
      <x:c r="S415" s="14" t="str">
        <x:v>Cov a0,cₘ</x:v>
      </x:c>
      <x:c r="T415" s="14" t="str">
        <x:v>Cov a1,cₘ</x:v>
      </x:c>
      <x:c r="U415" s="14" t="str">
        <x:v>Cov a2,cₘ</x:v>
      </x:c>
      <x:c r="V415" s="14" t="str">
        <x:v>Cov a3,cₘ</x:v>
      </x:c>
      <x:c r="W415" s="14" t="str">
        <x:v>Var cₘ</x:v>
      </x:c>
      <x:c r="X415" s="3"/>
      <x:c r="Y415" s="3"/>
      <x:c r="Z415" s="3"/>
    </x:row>
    <x:row r="416" ht="15" customHeight="1">
      <x:c r="A416" s="3"/>
      <x:c r="B416" s="3"/>
      <x:c r="C416" s="3"/>
      <x:c r="D416" s="3"/>
      <x:c r="E416" s="3"/>
      <x:c r="F416" s="3"/>
      <x:c r="G416" s="3"/>
      <x:c r="H416" s="3"/>
      <x:c r="I416" s="3"/>
      <x:c r="J416" s="3"/>
      <x:c r="K416" s="3"/>
      <x:c r="L416" s="3"/>
      <x:c r="M416" s="3"/>
      <x:c r="N416" s="3"/>
      <x:c r="O416" s="3"/>
      <x:c r="P416" s="3"/>
      <x:c r="Q416" s="3"/>
      <x:c r="R416" s="3"/>
      <x:c r="S416" s="3" t="n">
        <x:v>0.08575407281069881</x:v>
      </x:c>
      <x:c r="T416" s="3" t="n">
        <x:v>0.3181149627161976</x:v>
      </x:c>
      <x:c r="U416" s="3" t="n">
        <x:v>-0.04267721067045982</x:v>
      </x:c>
      <x:c r="V416" s="3" t="n">
        <x:v>0.10149409801140138</x:v>
      </x:c>
      <x:c r="W416" s="3" t="n">
        <x:v>15.822252202602431</x:v>
      </x:c>
      <x:c r="X416" s="3"/>
      <x:c r="Y416" s="3"/>
      <x:c r="Z416" s="3"/>
    </x:row>
    <x:row r="417" ht="15" customHeight="1">
      <x:c r="A417" s="3"/>
      <x:c r="B417" s="3"/>
      <x:c r="C417" s="3"/>
      <x:c r="D417" s="3"/>
      <x:c r="E417" s="3"/>
      <x:c r="F417" s="3"/>
      <x:c r="G417" s="3"/>
      <x:c r="H417" s="3"/>
      <x:c r="I417" s="3"/>
      <x:c r="J417" s="3"/>
      <x:c r="K417" s="3"/>
      <x:c r="L417" s="3"/>
      <x:c r="M417" s="3"/>
      <x:c r="N417" s="3"/>
      <x:c r="O417" s="3"/>
      <x:c r="P417" s="3"/>
      <x:c r="Q417" s="3"/>
      <x:c r="R417" s="3"/>
      <x:c r="S417" s="3" t="n">
        <x:v>0.20555639438614964</x:v>
      </x:c>
      <x:c r="T417" s="3" t="n">
        <x:v>0.31277222189255655</x:v>
      </x:c>
      <x:c r="U417" s="3" t="n">
        <x:v>-0.03983647314462582</x:v>
      </x:c>
      <x:c r="V417" s="3" t="n">
        <x:v>0.03356851005809617</x:v>
      </x:c>
      <x:c r="W417" s="3" t="n">
        <x:v>17.02863240643151</x:v>
      </x:c>
      <x:c r="X417" s="3"/>
      <x:c r="Y417" s="3"/>
      <x:c r="Z417" s="3"/>
    </x:row>
    <x:row r="418" ht="15" customHeight="1">
      <x:c r="A418" s="3"/>
      <x:c r="B418" s="3"/>
      <x:c r="C418" s="3"/>
      <x:c r="D418" s="3"/>
      <x:c r="E418" s="3"/>
      <x:c r="F418" s="3"/>
      <x:c r="G418" s="3"/>
      <x:c r="H418" s="3"/>
      <x:c r="I418" s="3"/>
      <x:c r="J418" s="3"/>
      <x:c r="K418" s="3"/>
      <x:c r="L418" s="3"/>
      <x:c r="M418" s="3"/>
      <x:c r="N418" s="3"/>
      <x:c r="O418" s="3"/>
      <x:c r="P418" s="3"/>
      <x:c r="Q418" s="3"/>
      <x:c r="R418" s="3"/>
      <x:c r="S418" s="3" t="n">
        <x:v>0.025739974468840666</x:v>
      </x:c>
      <x:c r="T418" s="3" t="n">
        <x:v>0.09019263581690737</x:v>
      </x:c>
      <x:c r="U418" s="3" t="n">
        <x:v>-0.11768515185930799</x:v>
      </x:c>
      <x:c r="V418" s="3" t="n">
        <x:v>0.07243969520424444</x:v>
      </x:c>
      <x:c r="W418" s="3" t="n">
        <x:v>14.994807499863803</x:v>
      </x:c>
      <x:c r="X418" s="3"/>
      <x:c r="Y418" s="3"/>
      <x:c r="Z418" s="3"/>
    </x:row>
    <x:row r="419" ht="15" customHeight="1">
      <x:c r="A419" s="3"/>
      <x:c r="B419" s="3"/>
      <x:c r="C419" s="3"/>
      <x:c r="D419" s="3"/>
      <x:c r="E419" s="3"/>
      <x:c r="F419" s="3"/>
      <x:c r="G419" s="3"/>
      <x:c r="H419" s="3"/>
      <x:c r="I419" s="3"/>
      <x:c r="J419" s="3"/>
      <x:c r="K419" s="3"/>
      <x:c r="L419" s="3"/>
      <x:c r="M419" s="3"/>
      <x:c r="N419" s="3"/>
      <x:c r="O419" s="3"/>
      <x:c r="P419" s="3"/>
      <x:c r="Q419" s="3"/>
      <x:c r="R419" s="3"/>
      <x:c r="S419" s="3" t="n">
        <x:v>0.033758284254799285</x:v>
      </x:c>
      <x:c r="T419" s="3" t="n">
        <x:v>-0.11671566172125106</x:v>
      </x:c>
      <x:c r="U419" s="3" t="n">
        <x:v>-0.24902459623087253</x:v>
      </x:c>
      <x:c r="V419" s="3" t="n">
        <x:v>0.12726279047710276</x:v>
      </x:c>
      <x:c r="W419" s="3" t="n">
        <x:v>14.68106176202117</x:v>
      </x:c>
      <x:c r="X419" s="3"/>
      <x:c r="Y419" s="3"/>
      <x:c r="Z419" s="3"/>
    </x:row>
    <x:row r="420" ht="15" customHeight="1">
      <x:c r="A420" s="3"/>
      <x:c r="B420" s="3"/>
      <x:c r="C420" s="3"/>
      <x:c r="D420" s="3"/>
      <x:c r="E420" s="3"/>
      <x:c r="F420" s="3"/>
      <x:c r="G420" s="3"/>
      <x:c r="H420" s="3"/>
      <x:c r="I420" s="3"/>
      <x:c r="J420" s="3"/>
      <x:c r="K420" s="3"/>
      <x:c r="L420" s="3"/>
      <x:c r="M420" s="3"/>
      <x:c r="N420" s="3"/>
      <x:c r="O420" s="3"/>
      <x:c r="P420" s="3"/>
      <x:c r="Q420" s="3"/>
      <x:c r="R420" s="3"/>
      <x:c r="S420" s="3" t="n">
        <x:v>-0.0073261434796381706</x:v>
      </x:c>
      <x:c r="T420" s="3" t="n">
        <x:v>-0.17411074528097845</x:v>
      </x:c>
      <x:c r="U420" s="3" t="n">
        <x:v>-0.20039543909035037</x:v>
      </x:c>
      <x:c r="V420" s="3" t="n">
        <x:v>-0.001807253557477422</x:v>
      </x:c>
      <x:c r="W420" s="3" t="n">
        <x:v>14.456216566549863</x:v>
      </x:c>
      <x:c r="X420" s="3"/>
      <x:c r="Y420" s="3"/>
      <x:c r="Z420" s="3"/>
    </x:row>
    <x:row r="421" ht="15" customHeight="1">
      <x:c r="A421" s="3"/>
      <x:c r="B421" s="3"/>
      <x:c r="C421" s="3"/>
      <x:c r="D421" s="3"/>
      <x:c r="E421" s="3"/>
      <x:c r="F421" s="3"/>
      <x:c r="G421" s="3"/>
      <x:c r="H421" s="3"/>
      <x:c r="I421" s="3"/>
      <x:c r="J421" s="3"/>
      <x:c r="K421" s="3"/>
      <x:c r="L421" s="3"/>
      <x:c r="M421" s="3"/>
      <x:c r="N421" s="3"/>
      <x:c r="O421" s="3"/>
      <x:c r="P421" s="3"/>
      <x:c r="Q421" s="3"/>
      <x:c r="R421" s="3"/>
      <x:c r="S421" s="3" t="n">
        <x:v>0.02047143250456506</x:v>
      </x:c>
      <x:c r="T421" s="3" t="n">
        <x:v>-0.05773680601960742</x:v>
      </x:c>
      <x:c r="U421" s="3" t="n">
        <x:v>-0.12588581216409367</x:v>
      </x:c>
      <x:c r="V421" s="3" t="n">
        <x:v>-0.2911287597257824</x:v>
      </x:c>
      <x:c r="W421" s="3" t="n">
        <x:v>14.985901130510015</x:v>
      </x:c>
      <x:c r="X421" s="3"/>
      <x:c r="Y421" s="3"/>
      <x:c r="Z421" s="3"/>
    </x:row>
    <x:row r="422" ht="15" customHeight="1">
      <x:c r="A422" s="3"/>
      <x:c r="B422" s="3"/>
      <x:c r="C422" s="3"/>
      <x:c r="D422" s="3"/>
      <x:c r="E422" s="3"/>
      <x:c r="F422" s="3"/>
      <x:c r="G422" s="3"/>
      <x:c r="H422" s="3"/>
      <x:c r="I422" s="3"/>
      <x:c r="J422" s="3"/>
      <x:c r="K422" s="3"/>
      <x:c r="L422" s="3"/>
      <x:c r="M422" s="3"/>
      <x:c r="N422" s="3"/>
      <x:c r="O422" s="3"/>
      <x:c r="P422" s="3"/>
      <x:c r="Q422" s="3"/>
      <x:c r="R422" s="3"/>
      <x:c r="S422" s="3" t="n">
        <x:v>-0.03820920421043867</x:v>
      </x:c>
      <x:c r="T422" s="3" t="n">
        <x:v>0.1266277676923976</x:v>
      </x:c>
      <x:c r="U422" s="3" t="n">
        <x:v>-0.14653933663035704</x:v>
      </x:c>
      <x:c r="V422" s="3" t="n">
        <x:v>-0.6011093980993888</x:v>
      </x:c>
      <x:c r="W422" s="3" t="n">
        <x:v>14.329339997159547</x:v>
      </x:c>
      <x:c r="X422" s="3"/>
      <x:c r="Y422" s="3"/>
      <x:c r="Z422" s="3"/>
    </x:row>
    <x:row r="423" ht="15" customHeight="1">
      <x:c r="A423" s="3"/>
      <x:c r="B423" s="3"/>
      <x:c r="C423" s="3"/>
      <x:c r="D423" s="3"/>
      <x:c r="E423" s="3"/>
      <x:c r="F423" s="3"/>
      <x:c r="G423" s="3"/>
      <x:c r="H423" s="3"/>
      <x:c r="I423" s="3"/>
      <x:c r="J423" s="3"/>
      <x:c r="K423" s="3"/>
      <x:c r="L423" s="3"/>
      <x:c r="M423" s="3"/>
      <x:c r="N423" s="3"/>
      <x:c r="O423" s="3"/>
      <x:c r="P423" s="3"/>
      <x:c r="Q423" s="3"/>
      <x:c r="R423" s="3"/>
      <x:c r="S423" s="3" t="n">
        <x:v>-0.09443070743659406</x:v>
      </x:c>
      <x:c r="T423" s="3" t="n">
        <x:v>-0.2641602186227739</x:v>
      </x:c>
      <x:c r="U423" s="3" t="n">
        <x:v>0.11561030503793142</x:v>
      </x:c>
      <x:c r="V423" s="3" t="n">
        <x:v>0.3977955668881718</x:v>
      </x:c>
      <x:c r="W423" s="3" t="n">
        <x:v>14.590678865391308</x:v>
      </x:c>
      <x:c r="X423" s="3"/>
      <x:c r="Y423" s="3"/>
      <x:c r="Z423" s="3"/>
    </x:row>
    <x:row r="424" ht="15" customHeight="1">
      <x:c r="A424" s="3"/>
      <x:c r="B424" s="3"/>
      <x:c r="C424" s="3"/>
      <x:c r="D424" s="3"/>
      <x:c r="E424" s="3"/>
      <x:c r="F424" s="3"/>
      <x:c r="G424" s="3"/>
      <x:c r="H424" s="3"/>
      <x:c r="I424" s="3"/>
      <x:c r="J424" s="3"/>
      <x:c r="K424" s="3"/>
      <x:c r="L424" s="3"/>
      <x:c r="M424" s="3"/>
      <x:c r="N424" s="3"/>
      <x:c r="O424" s="3"/>
      <x:c r="P424" s="3"/>
      <x:c r="Q424" s="3"/>
      <x:c r="R424" s="3"/>
      <x:c r="S424" s="3" t="n">
        <x:v>-0.055543376611407784</x:v>
      </x:c>
      <x:c r="T424" s="3" t="n">
        <x:v>-0.23630810686509426</x:v>
      </x:c>
      <x:c r="U424" s="3" t="n">
        <x:v>0.13620944797765858</x:v>
      </x:c>
      <x:c r="V424" s="3" t="n">
        <x:v>0.3002863944277944</x:v>
      </x:c>
      <x:c r="W424" s="3" t="n">
        <x:v>15.0498134509566</x:v>
      </x:c>
      <x:c r="X424" s="3"/>
      <x:c r="Y424" s="3"/>
      <x:c r="Z424" s="3"/>
    </x:row>
    <x:row r="425" ht="15" customHeight="1">
      <x:c r="A425" s="3"/>
      <x:c r="B425" s="3"/>
      <x:c r="C425" s="3"/>
      <x:c r="D425" s="3"/>
      <x:c r="E425" s="3"/>
      <x:c r="F425" s="3"/>
      <x:c r="G425" s="3"/>
      <x:c r="H425" s="3"/>
      <x:c r="I425" s="3"/>
      <x:c r="J425" s="3"/>
      <x:c r="K425" s="3"/>
      <x:c r="L425" s="3"/>
      <x:c r="M425" s="3"/>
      <x:c r="N425" s="3"/>
      <x:c r="O425" s="3"/>
      <x:c r="P425" s="3"/>
      <x:c r="Q425" s="3"/>
      <x:c r="R425" s="3"/>
      <x:c r="S425" s="3" t="n">
        <x:v>-0.09960717378700347</x:v>
      </x:c>
      <x:c r="T425" s="3" t="n">
        <x:v>-0.17561466903372566</x:v>
      </x:c>
      <x:c r="U425" s="3" t="n">
        <x:v>0.1301865545860637</x:v>
      </x:c>
      <x:c r="V425" s="3" t="n">
        <x:v>0.15923960676792576</x:v>
      </x:c>
      <x:c r="W425" s="3" t="n">
        <x:v>14.590059213647496</x:v>
      </x:c>
      <x:c r="X425" s="3"/>
      <x:c r="Y425" s="3"/>
      <x:c r="Z425" s="3"/>
    </x:row>
    <x:row r="426" ht="15" customHeight="1">
      <x:c r="A426" s="3"/>
      <x:c r="B426" s="3"/>
      <x:c r="C426" s="3"/>
      <x:c r="D426" s="3"/>
      <x:c r="E426" s="3"/>
      <x:c r="F426" s="3"/>
      <x:c r="G426" s="3"/>
      <x:c r="H426" s="3"/>
      <x:c r="I426" s="3"/>
      <x:c r="J426" s="3"/>
      <x:c r="K426" s="3"/>
      <x:c r="L426" s="3"/>
      <x:c r="M426" s="3"/>
      <x:c r="N426" s="3"/>
      <x:c r="O426" s="3"/>
      <x:c r="P426" s="3"/>
      <x:c r="Q426" s="3"/>
      <x:c r="R426" s="3"/>
      <x:c r="S426" s="3" t="n">
        <x:v>-0.05736145181169839</x:v>
      </x:c>
      <x:c r="T426" s="3" t="n">
        <x:v>-0.12745181375043171</x:v>
      </x:c>
      <x:c r="U426" s="3" t="n">
        <x:v>0.14110254632789468</x:v>
      </x:c>
      <x:c r="V426" s="3" t="n">
        <x:v>0.04082399265930888</x:v>
      </x:c>
      <x:c r="W426" s="3" t="n">
        <x:v>15.050209927824897</x:v>
      </x:c>
      <x:c r="X426" s="3"/>
      <x:c r="Y426" s="3"/>
      <x:c r="Z426" s="3"/>
    </x:row>
    <x:row r="427" ht="15" customHeight="1">
      <x:c r="A427" s="3"/>
      <x:c r="B427" s="3"/>
      <x:c r="C427" s="3"/>
      <x:c r="D427" s="3"/>
      <x:c r="E427" s="3"/>
      <x:c r="F427" s="3"/>
      <x:c r="G427" s="3"/>
      <x:c r="H427" s="3"/>
      <x:c r="I427" s="3"/>
      <x:c r="J427" s="3"/>
      <x:c r="K427" s="3"/>
      <x:c r="L427" s="3"/>
      <x:c r="M427" s="3"/>
      <x:c r="N427" s="3"/>
      <x:c r="O427" s="3"/>
      <x:c r="P427" s="3"/>
      <x:c r="Q427" s="3"/>
      <x:c r="R427" s="3"/>
      <x:c r="S427" s="3" t="n">
        <x:v>-0.01880210108827295</x:v>
      </x:c>
      <x:c r="T427" s="3" t="n">
        <x:v>0.30439043317580333</x:v>
      </x:c>
      <x:c r="U427" s="3" t="n">
        <x:v>0.3989351658605188</x:v>
      </x:c>
      <x:c r="V427" s="3" t="n">
        <x:v>-0.338865243111397</x:v>
      </x:c>
      <x:c r="W427" s="3" t="n">
        <x:v>16.237982740909832</x:v>
      </x:c>
      <x:c r="X427" s="3"/>
      <x:c r="Y427" s="3"/>
      <x:c r="Z427" s="3"/>
    </x:row>
  </x:sheetData>
  <x:pageMargins left="0.7" right="0.7" top="0.75" bottom="0.75" header="0.3" footer="0.3"/>
  <x:drawing xmlns:r="http://schemas.openxmlformats.org/officeDocument/2006/relationships" r:id="Rb1ea3b90595443bd"/>
</x:worksheet>
</file>

<file path=xl/worksheets/sheet4.xml><?xml version="1.0" encoding="utf-8"?>
<x:worksheet xmlns:x="http://schemas.openxmlformats.org/spreadsheetml/2006/main">
  <x:sheetPr>
    <x:tabColor rgb="FFFFFFFF"/>
  </x:sheetPr>
  <x:sheetViews>
    <x:sheetView showGridLines="1"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8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6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</x:cols>
  <x:sheetData>
    <x:row r="1" ht="15" customHeight="1">
      <x:c r="A1" s="3" t="str">
        <x:v>Степенная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15" customHeight="1">
      <x:c r="A2" s="3" t="str">
        <x:v>H=a·x^b+cₘ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</x:row>
    <x:row r="3" ht="30" customHeight="1">
      <x:c r="A3" s="14" t="str">
        <x:v>Коэф.</x:v>
      </x:c>
      <x:c r="B3" s="14" t="str">
        <x:v>Оценка</x:v>
      </x:c>
      <x:c r="C3" s="14" t="str">
        <x:v>SE</x:v>
      </x:c>
      <x:c r="D3" s="14" t="str">
        <x:v>Месяц</x:v>
      </x:c>
      <x:c r="E3" s="14" t="str">
        <x:v>cₘ, см</x:v>
      </x:c>
      <x:c r="F3" s="14" t="str">
        <x:v>Показатель</x:v>
      </x:c>
      <x:c r="G3" s="14" t="str">
        <x:v>Значение</x:v>
      </x:c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15" customHeight="1">
      <x:c r="A4" s="8" t="str">
        <x:v>a</x:v>
      </x:c>
      <x:c r="B4" s="16" t="n">
        <x:v>16.06327944255553</x:v>
      </x:c>
      <x:c r="C4" s="16" t="n">
        <x:f>SQRT(S409)</x:f>
        <x:v>1.3176741688278577</x:v>
      </x:c>
      <x:c r="D4" s="9" t="n">
        <x:v>1</x:v>
      </x:c>
      <x:c r="E4" s="16" t="n">
        <x:v>-95.65673281601853</x:v>
      </x:c>
      <x:c r="F4" s="8" t="str">
        <x:v>R² обучения</x:v>
      </x:c>
      <x:c r="G4" s="12" t="n">
        <x:v>0.5836477326108035</x:v>
      </x:c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</x:row>
    <x:row r="5" ht="15" customHeight="1">
      <x:c r="A5" s="8" t="str">
        <x:v>b</x:v>
      </x:c>
      <x:c r="B5" s="16" t="n">
        <x:v>0.985967829647677</x:v>
      </x:c>
      <x:c r="C5" s="16" t="n">
        <x:f>SQRT(T410)</x:f>
        <x:v>0.04369820164761162</x:v>
      </x:c>
      <x:c r="D5" s="9" t="n">
        <x:v>2</x:v>
      </x:c>
      <x:c r="E5" s="16" t="n">
        <x:v>-145.1036730434439</x:v>
      </x:c>
      <x:c r="F5" s="8" t="str">
        <x:v>MAE, см</x:v>
      </x:c>
      <x:c r="G5" s="8" t="n">
        <x:f>SUMPRODUCT($R$20:$R$384,$O$20:$O$384)/G11</x:f>
        <x:v>81.4488361343349</x:v>
      </x:c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</x:row>
    <x:row r="6" ht="15" customHeight="1">
      <x:c r="A6" s="3"/>
      <x:c r="B6" s="3"/>
      <x:c r="C6" s="3"/>
      <x:c r="D6" s="9" t="n">
        <x:v>3</x:v>
      </x:c>
      <x:c r="E6" s="16" t="n">
        <x:v>-158.03352874461464</x:v>
      </x:c>
      <x:c r="F6" s="8" t="str">
        <x:v>S (RMSE), см</x:v>
      </x:c>
      <x:c r="G6" s="8" t="n">
        <x:f>SQRT(K408/G11)</x:f>
        <x:v>89.78817625397453</x:v>
      </x:c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 ht="15" customHeight="1">
      <x:c r="A7" s="3"/>
      <x:c r="B7" s="3"/>
      <x:c r="C7" s="3"/>
      <x:c r="D7" s="9" t="n">
        <x:v>4</x:v>
      </x:c>
      <x:c r="E7" s="16" t="n">
        <x:v>-43.02074501681622</x:v>
      </x:c>
      <x:c r="F7" s="8" t="str">
        <x:v>NSE</x:v>
      </x:c>
      <x:c r="G7" s="12" t="n">
        <x:f>IF(K405=0,"н.д.",1-K408/K405)</x:f>
        <x:v>0.5440477403893776</x:v>
      </x:c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</x:row>
    <x:row r="8" ht="15" customHeight="1">
      <x:c r="A8" s="3"/>
      <x:c r="B8" s="3"/>
      <x:c r="C8" s="3"/>
      <x:c r="D8" s="9" t="n">
        <x:v>5</x:v>
      </x:c>
      <x:c r="E8" s="16" t="n">
        <x:v>51.24093312990295</x:v>
      </x:c>
      <x:c r="F8" s="8" t="str">
        <x:v>S/σΔ</x:v>
      </x:c>
      <x:c r="G8" s="12" t="n">
        <x:f>IF(G10=0,"н.д.",G6/G10)</x:f>
        <x:v>8.203830994085493</x:v>
      </x:c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</x:row>
    <x:row r="9" ht="15" customHeight="1">
      <x:c r="A9" s="3"/>
      <x:c r="B9" s="3"/>
      <x:c r="C9" s="3"/>
      <x:c r="D9" s="9" t="n">
        <x:v>6</x:v>
      </x:c>
      <x:c r="E9" s="16" t="n">
        <x:v>75.28328753270424</x:v>
      </x:c>
      <x:c r="F9" s="8" t="str">
        <x:v>P%</x:v>
      </x:c>
      <x:c r="G9" s="18" t="n">
        <x:f>SUM($S$20:$S$384)/G11</x:f>
        <x:v>0.011267605633802818</x:v>
      </x:c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  <x:c r="V9" s="3"/>
      <x:c r="W9" s="3"/>
      <x:c r="X9" s="3"/>
      <x:c r="Y9" s="3"/>
      <x:c r="Z9" s="3"/>
    </x:row>
    <x:row r="10" ht="15" customHeight="1">
      <x:c r="A10" s="3"/>
      <x:c r="B10" s="3"/>
      <x:c r="C10" s="3"/>
      <x:c r="D10" s="9" t="n">
        <x:v>7</x:v>
      </x:c>
      <x:c r="E10" s="16" t="n">
        <x:v>111.29315187735922</x:v>
      </x:c>
      <x:c r="F10" s="8" t="str">
        <x:v>σΔ, см</x:v>
      </x:c>
      <x:c r="G10" s="8" t="n">
        <x:f>IF(G11&gt;1,SQRT(MAX(0,K407)/(G11-1)),"н.д.")</x:f>
        <x:v>10.944664306067107</x:v>
      </x:c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</x:row>
    <x:row r="11" ht="15" customHeight="1">
      <x:c r="A11" s="3"/>
      <x:c r="B11" s="3"/>
      <x:c r="C11" s="3"/>
      <x:c r="D11" s="9" t="n">
        <x:v>8</x:v>
      </x:c>
      <x:c r="E11" s="16" t="n">
        <x:v>212.66178634819624</x:v>
      </x:c>
      <x:c r="F11" s="8" t="str">
        <x:v>n проверки</x:v>
      </x:c>
      <x:c r="G11" s="9" t="n">
        <x:f>SUM($R$20:$R$384)</x:f>
        <x:v>355</x:v>
      </x:c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3"/>
      <x:c r="S11" s="3"/>
      <x:c r="T11" s="3"/>
      <x:c r="U11" s="3"/>
      <x:c r="V11" s="3"/>
      <x:c r="W11" s="3"/>
      <x:c r="X11" s="3"/>
      <x:c r="Y11" s="3"/>
      <x:c r="Z11" s="3"/>
    </x:row>
    <x:row r="12" ht="15" customHeight="1">
      <x:c r="A12" s="3"/>
      <x:c r="B12" s="3"/>
      <x:c r="C12" s="3"/>
      <x:c r="D12" s="9" t="n">
        <x:v>9</x:v>
      </x:c>
      <x:c r="E12" s="16" t="n">
        <x:v>173.3100607401666</x:v>
      </x:c>
      <x:c r="F12" s="8" t="str">
        <x:v>Оценка, суток</x:v>
      </x:c>
      <x:c r="G12" s="9" t="n">
        <x:f>'Сводка'!$B$11</x:f>
        <x:v>1</x:v>
      </x:c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3"/>
      <x:c r="T12" s="3"/>
      <x:c r="U12" s="3"/>
      <x:c r="V12" s="3"/>
      <x:c r="W12" s="3"/>
      <x:c r="X12" s="3"/>
      <x:c r="Y12" s="3"/>
      <x:c r="Z12" s="3"/>
    </x:row>
    <x:row r="13" ht="15" customHeight="1">
      <x:c r="A13" s="3"/>
      <x:c r="B13" s="3"/>
      <x:c r="C13" s="3"/>
      <x:c r="D13" s="9" t="n">
        <x:v>10</x:v>
      </x:c>
      <x:c r="E13" s="16" t="n">
        <x:v>20.292449660995217</x:v>
      </x:c>
      <x:c r="F13" s="8" t="str">
        <x:v>δдоп, см</x:v>
      </x:c>
      <x:c r="G13" s="8" t="n">
        <x:f>'Сводка'!$B$14*G10</x:f>
        <x:v>7.376703742289231</x:v>
      </x:c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</x:row>
    <x:row r="14" ht="15" customHeight="1">
      <x:c r="A14" s="3"/>
      <x:c r="B14" s="3"/>
      <x:c r="C14" s="3"/>
      <x:c r="D14" s="9" t="n">
        <x:v>11</x:v>
      </x:c>
      <x:c r="E14" s="16" t="n">
        <x:v>-119.65882060433043</x:v>
      </x:c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</x:row>
    <x:row r="15" ht="15" customHeight="1">
      <x:c r="A15" s="3"/>
      <x:c r="B15" s="3"/>
      <x:c r="C15" s="3"/>
      <x:c r="D15" s="9" t="n">
        <x:v>12</x:v>
      </x:c>
      <x:c r="E15" s="16" t="n">
        <x:v>-82.60816906410072</x:v>
      </x:c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</x:row>
    <x:row r="16" ht="15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</x:row>
    <x:row r="17" ht="15" customHeight="1">
      <x:c r="A17" s="3" t="str">
        <x:v>Прогноз</x:v>
      </x:c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</x:row>
    <x:row r="18" ht="30" customHeight="1">
      <x:c r="A18" s="15" t="str">
        <x:v>Дата</x:v>
      </x:c>
      <x:c r="B18" s="15" t="str">
        <x:v>x</x:v>
      </x:c>
      <x:c r="C18" s="15" t="str">
        <x:v>u</x:v>
      </x:c>
      <x:c r="D18" s="15" t="str">
        <x:v>Прогноз, см</x:v>
      </x:c>
      <x:c r="E18" s="15" t="str">
        <x:v>SE прогноза</x:v>
      </x:c>
      <x:c r="F18" s="15" t="str">
        <x:v>Нижняя 95%</x:v>
      </x:c>
      <x:c r="G18" s="15" t="str">
        <x:v>Верхняя 95%</x:v>
      </x:c>
      <x:c r="H18" s="15" t="str">
        <x:v>SE среднего</x:v>
      </x:c>
      <x:c r="I18" s="3"/>
      <x:c r="J18" s="3" t="str">
        <x:v>Проверочные прогнозы</x:v>
      </x:c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</x:row>
    <x:row r="19" ht="30" customHeight="1">
      <x:c r="A19" s="10" t="n">
        <x:f>IF(1&lt;='Сводка'!$B$3,'Сводка'!$B$4+1,"")</x:f>
        <x:v>46236</x:v>
      </x:c>
      <x:c r="B19" s="19" t="n">
        <x:f>IF($A19="","",(A19-$T$405+1)/1000)</x:f>
        <x:v>8.98</x:v>
      </x:c>
      <x:c r="C19" s="19" t="n">
        <x:f>IF($A19="","",2*(A19-$T$405)/$T$406-1)</x:f>
        <x:v>1.000222766763199</x:v>
      </x:c>
      <x:c r="D19" s="8" t="n">
        <x:f>IF($A19="","",$B$4*B19^$B$5+INDEX($E$4:$E$15,MONTH(A19)))</x:f>
        <x:v>352.534826782374</x:v>
      </x:c>
      <x:c r="E19" s="8" t="n">
        <x:f>IF($A19="","",SQRT($T$403^2+H19^2))</x:f>
        <x:v>111.21167404670793</x:v>
      </x:c>
      <x:c r="F19" s="8" t="n">
        <x:f>IF($A19="","",D19-$T$404*E19)</x:f>
        <x:v>134.53320514625375</x:v>
      </x:c>
      <x:c r="G19" s="8" t="n">
        <x:f>IF($A19="","",D19+$T$404*E19)</x:f>
        <x:v>570.5364484184943</x:v>
      </x:c>
      <x:c r="H19" s="8" t="n">
        <x:f>IF($A19="","",SQRT(MAX(0,(B19^$B$5)*$S$409*(B19^$B$5)+(B19^$B$5)*$T$409*($B$4*B19^$B$5*LN(B19))+($B$4*B19^$B$5*LN(B19))*$S$410*(B19^$B$5)+($B$4*B19^$B$5*LN(B19))*$T$410*($B$4*B19^$B$5*LN(B19))+2*((B19^$B$5)*INDEX($S$416:$V$427,MONTH(A19),1)+($B$4*B19^$B$5*LN(B19))*INDEX($S$416:$V$427,MONTH(A19),2))+INDEX($W$416:$W$427,MONTH(A19)))))</x:f>
        <x:v>4.91705360286326</x:v>
      </x:c>
      <x:c r="I19" s="3"/>
      <x:c r="J19" s="15" t="str">
        <x:v>Дата</x:v>
      </x:c>
      <x:c r="K19" s="15" t="str">
        <x:v>Факт, см</x:v>
      </x:c>
      <x:c r="L19" s="15" t="str">
        <x:v>H начала</x:v>
      </x:c>
      <x:c r="M19" s="15" t="str">
        <x:v>Прогноз, см</x:v>
      </x:c>
      <x:c r="N19" s="15" t="str">
        <x:v>Ошибка</x:v>
      </x:c>
      <x:c r="O19" s="15" t="str">
        <x:v>|Ошибка|</x:v>
      </x:c>
      <x:c r="P19" s="15" t="str">
        <x:v>Ошибка²</x:v>
      </x:c>
      <x:c r="Q19" s="15" t="str">
        <x:v>ΔH</x:v>
      </x:c>
      <x:c r="R19" s="15" t="str">
        <x:v>Вес</x:v>
      </x:c>
      <x:c r="S19" s="15" t="str">
        <x:v>Оправдался</x:v>
      </x:c>
      <x:c r="T19" s="15" t="str">
        <x:v>Обучение до</x:v>
      </x:c>
      <x:c r="U19" s="14" t="str">
        <x:v>i факт</x:v>
      </x:c>
      <x:c r="V19" s="14" t="str">
        <x:v>i начало</x:v>
      </x:c>
      <x:c r="W19" s="14" t="str">
        <x:v>i fit</x:v>
      </x:c>
      <x:c r="X19" s="3"/>
      <x:c r="Y19" s="3"/>
      <x:c r="Z19" s="3"/>
    </x:row>
    <x:row r="20" ht="15" customHeight="1">
      <x:c r="A20" s="10" t="n">
        <x:f>IF(2&lt;='Сводка'!$B$3,'Сводка'!$B$4+2,"")</x:f>
        <x:v>46237</x:v>
      </x:c>
      <x:c r="B20" s="19" t="n">
        <x:f>IF($A20="","",(A20-$T$405+1)/1000)</x:f>
        <x:v>8.981</x:v>
      </x:c>
      <x:c r="C20" s="19" t="n">
        <x:f>IF($A20="","",2*(A20-$T$405)/$T$406-1)</x:f>
        <x:v>1.0004455335263978</x:v>
      </x:c>
      <x:c r="D20" s="8" t="n">
        <x:f>IF($A20="","",$B$4*B20^$B$5+INDEX($E$4:$E$15,MONTH(A20)))</x:f>
        <x:v>352.55018426682363</x:v>
      </x:c>
      <x:c r="E20" s="8" t="n">
        <x:f>IF($A20="","",SQRT($T$403^2+H20^2))</x:f>
        <x:v>111.21169613311498</x:v>
      </x:c>
      <x:c r="F20" s="8" t="n">
        <x:f>IF($A20="","",D20-$T$404*E20)</x:f>
        <x:v>134.54851933603493</x:v>
      </x:c>
      <x:c r="G20" s="8" t="n">
        <x:f>IF($A20="","",D20+$T$404*E20)</x:f>
        <x:v>570.5518491976123</x:v>
      </x:c>
      <x:c r="H20" s="8" t="n">
        <x:f>IF($A20="","",SQRT(MAX(0,(B20^$B$5)*$S$409*(B20^$B$5)+(B20^$B$5)*$T$409*($B$4*B20^$B$5*LN(B20))+($B$4*B20^$B$5*LN(B20))*$S$410*(B20^$B$5)+($B$4*B20^$B$5*LN(B20))*$T$410*($B$4*B20^$B$5*LN(B20))+2*((B20^$B$5)*INDEX($S$416:$V$427,MONTH(A20),1)+($B$4*B20^$B$5*LN(B20))*INDEX($S$416:$V$427,MONTH(A20),2))+INDEX($W$416:$W$427,MONTH(A20)))))</x:f>
        <x:v>4.917553117813929</x:v>
      </x:c>
      <x:c r="I20" s="3"/>
      <x:c r="J20" s="10" t="n">
        <x:v>45871</x:v>
      </x:c>
      <x:c r="K20" s="8" t="n">
        <x:f>INDEX('Сводка'!$S$3:$S$397,U20)</x:f>
        <x:v>211</x:v>
      </x:c>
      <x:c r="L20" s="8" t="n">
        <x:f>INDEX('Сводка'!$S$3:$S$397,V20)</x:f>
        <x:v>193</x:v>
      </x:c>
      <x:c r="M20" s="8" t="n">
        <x:f>INDEX($K$388:$N$400,W20,1)*((J20-$T$405+1)/1000)^INDEX($K$388:$N$400,W20,2)+INDEX($O$388:$Z$400,W20,MONTH(J20))</x:f>
        <x:v>363.1016810775153</x:v>
      </x:c>
      <x:c r="N20" s="8" t="n">
        <x:f>K20-M20</x:f>
        <x:v>-152.1016810775153</x:v>
      </x:c>
      <x:c r="O20" s="8" t="n">
        <x:f>ABS(N20)</x:f>
        <x:v>152.1016810775153</x:v>
      </x:c>
      <x:c r="P20" s="8" t="n">
        <x:f>N20^2</x:f>
        <x:v>23134.92138660618</x:v>
      </x:c>
      <x:c r="Q20" s="8" t="n">
        <x:f>K20-L20</x:f>
        <x:v>18</x:v>
      </x:c>
      <x:c r="R20" s="9" t="n">
        <x:f>IF(AND(INDEX('Сводка'!$T$3:$T$397,U20)=0,INDEX('Сводка'!$T$3:$T$397,V20)=0),1,0)</x:f>
        <x:v>1</x:v>
      </x:c>
      <x:c r="S20" s="9" t="n">
        <x:f>IF(AND(R20=1,O20&lt;=$G$13),1,0)</x:f>
        <x:v>0</x:v>
      </x:c>
      <x:c r="T20" s="10" t="n">
        <x:f>EOMONTH(J20-'Сводка'!$B$11,-1)</x:f>
        <x:v>45869</x:v>
      </x:c>
      <x:c r="U20" s="4" t="n">
        <x:f>MATCH(J20,'Сводка'!$R$3:$R$397,0)</x:f>
        <x:v>31</x:v>
      </x:c>
      <x:c r="V20" s="4" t="n">
        <x:f>MATCH(J20-'Сводка'!$B$11,'Сводка'!$R$3:$R$397,0)</x:f>
        <x:v>30</x:v>
      </x:c>
      <x:c r="W20" s="4" t="n">
        <x:f>MATCH(T20,$J$388:$J$400,0)</x:f>
        <x:v>2</x:v>
      </x:c>
      <x:c r="X20" s="3"/>
      <x:c r="Y20" s="3"/>
      <x:c r="Z20" s="3"/>
    </x:row>
    <x:row r="21" ht="15" customHeight="1">
      <x:c r="A21" s="10" t="n">
        <x:f>IF(3&lt;='Сводка'!$B$3,'Сводка'!$B$4+3,"")</x:f>
        <x:v>46238</x:v>
      </x:c>
      <x:c r="B21" s="19" t="n">
        <x:f>IF($A21="","",(A21-$T$405+1)/1000)</x:f>
        <x:v>8.982</x:v>
      </x:c>
      <x:c r="C21" s="19" t="n">
        <x:f>IF($A21="","",2*(A21-$T$405)/$T$406-1)</x:f>
        <x:v>1.0006683002895969</x:v>
      </x:c>
      <x:c r="D21" s="8" t="n">
        <x:f>IF($A21="","",$B$4*B21^$B$5+INDEX($E$4:$E$15,MONTH(A21)))</x:f>
        <x:v>352.5655417272783</x:v>
      </x:c>
      <x:c r="E21" s="8" t="n">
        <x:f>IF($A21="","",SQRT($T$403^2+H21^2))</x:f>
        <x:v>111.21171822895249</x:v>
      </x:c>
      <x:c r="F21" s="8" t="n">
        <x:f>IF($A21="","",D21-$T$404*E21)</x:f>
        <x:v>134.5638334833352</x:v>
      </x:c>
      <x:c r="G21" s="8" t="n">
        <x:f>IF($A21="","",D21+$T$404*E21)</x:f>
        <x:v>570.5672499712214</x:v>
      </x:c>
      <x:c r="H21" s="8" t="n">
        <x:f>IF($A21="","",SQRT(MAX(0,(B21^$B$5)*$S$409*(B21^$B$5)+(B21^$B$5)*$T$409*($B$4*B21^$B$5*LN(B21))+($B$4*B21^$B$5*LN(B21))*$S$410*(B21^$B$5)+($B$4*B21^$B$5*LN(B21))*$T$410*($B$4*B21^$B$5*LN(B21))+2*((B21^$B$5)*INDEX($S$416:$V$427,MONTH(A21),1)+($B$4*B21^$B$5*LN(B21))*INDEX($S$416:$V$427,MONTH(A21),2))+INDEX($W$416:$W$427,MONTH(A21)))))</x:f>
        <x:v>4.918052795379983</x:v>
      </x:c>
      <x:c r="I21" s="3"/>
      <x:c r="J21" s="10" t="n">
        <x:v>45872</x:v>
      </x:c>
      <x:c r="K21" s="8" t="n">
        <x:f>INDEX('Сводка'!$S$3:$S$397,U21)</x:f>
        <x:v>229</x:v>
      </x:c>
      <x:c r="L21" s="8" t="n">
        <x:f>INDEX('Сводка'!$S$3:$S$397,V21)</x:f>
        <x:v>211</x:v>
      </x:c>
      <x:c r="M21" s="8" t="n">
        <x:f>INDEX($K$388:$N$400,W21,1)*((J21-$T$405+1)/1000)^INDEX($K$388:$N$400,W21,2)+INDEX($O$388:$Z$400,W21,MONTH(J21))</x:f>
        <x:v>363.12120978391897</x:v>
      </x:c>
      <x:c r="N21" s="8" t="n">
        <x:f>K21-M21</x:f>
        <x:v>-134.12120978391897</x:v>
      </x:c>
      <x:c r="O21" s="8" t="n">
        <x:f>ABS(N21)</x:f>
        <x:v>134.12120978391897</x:v>
      </x:c>
      <x:c r="P21" s="8" t="n">
        <x:f>N21^2</x:f>
        <x:v>17988.498913902004</x:v>
      </x:c>
      <x:c r="Q21" s="8" t="n">
        <x:f>K21-L21</x:f>
        <x:v>18</x:v>
      </x:c>
      <x:c r="R21" s="9" t="n">
        <x:f>IF(AND(INDEX('Сводка'!$T$3:$T$397,U21)=0,INDEX('Сводка'!$T$3:$T$397,V21)=0),1,0)</x:f>
        <x:v>1</x:v>
      </x:c>
      <x:c r="S21" s="9" t="n">
        <x:f>IF(AND(R21=1,O21&lt;=$G$13),1,0)</x:f>
        <x:v>0</x:v>
      </x:c>
      <x:c r="T21" s="10" t="n">
        <x:f>EOMONTH(J21-'Сводка'!$B$11,-1)</x:f>
        <x:v>45869</x:v>
      </x:c>
      <x:c r="U21" s="4" t="n">
        <x:f>MATCH(J21,'Сводка'!$R$3:$R$397,0)</x:f>
        <x:v>32</x:v>
      </x:c>
      <x:c r="V21" s="4" t="n">
        <x:f>MATCH(J21-'Сводка'!$B$11,'Сводка'!$R$3:$R$397,0)</x:f>
        <x:v>31</x:v>
      </x:c>
      <x:c r="W21" s="4" t="n">
        <x:f>MATCH(T21,$J$388:$J$400,0)</x:f>
        <x:v>2</x:v>
      </x:c>
      <x:c r="X21" s="3"/>
      <x:c r="Y21" s="3"/>
      <x:c r="Z21" s="3"/>
    </x:row>
    <x:row r="22" ht="15" customHeight="1">
      <x:c r="A22" s="10" t="n">
        <x:f>IF(4&lt;='Сводка'!$B$3,'Сводка'!$B$4+4,"")</x:f>
        <x:v>46239</x:v>
      </x:c>
      <x:c r="B22" s="19" t="n">
        <x:f>IF($A22="","",(A22-$T$405+1)/1000)</x:f>
        <x:v>8.983</x:v>
      </x:c>
      <x:c r="C22" s="19" t="n">
        <x:f>IF($A22="","",2*(A22-$T$405)/$T$406-1)</x:f>
        <x:v>1.0008910670527955</x:v>
      </x:c>
      <x:c r="D22" s="8" t="n">
        <x:f>IF($A22="","",$B$4*B22^$B$5+INDEX($E$4:$E$15,MONTH(A22)))</x:f>
        <x:v>352.58089916374075</x:v>
      </x:c>
      <x:c r="E22" s="8" t="n">
        <x:f>IF($A22="","",SQRT($T$403^2+H22^2))</x:f>
        <x:v>111.21174033422211</x:v>
      </x:c>
      <x:c r="F22" s="8" t="n">
        <x:f>IF($A22="","",D22-$T$404*E22)</x:f>
        <x:v>134.57914758815406</x:v>
      </x:c>
      <x:c r="G22" s="8" t="n">
        <x:f>IF($A22="","",D22+$T$404*E22)</x:f>
        <x:v>570.5826507393274</x:v>
      </x:c>
      <x:c r="H22" s="8" t="n">
        <x:f>IF($A22="","",SQRT(MAX(0,(B22^$B$5)*$S$409*(B22^$B$5)+(B22^$B$5)*$T$409*($B$4*B22^$B$5*LN(B22))+($B$4*B22^$B$5*LN(B22))*$S$410*(B22^$B$5)+($B$4*B22^$B$5*LN(B22))*$T$410*($B$4*B22^$B$5*LN(B22))+2*((B22^$B$5)*INDEX($S$416:$V$427,MONTH(A22),1)+($B$4*B22^$B$5*LN(B22))*INDEX($S$416:$V$427,MONTH(A22),2))+INDEX($W$416:$W$427,MONTH(A22)))))</x:f>
        <x:v>4.918552635549049</x:v>
      </x:c>
      <x:c r="I22" s="3"/>
      <x:c r="J22" s="10" t="n">
        <x:v>45873</x:v>
      </x:c>
      <x:c r="K22" s="8" t="n">
        <x:f>INDEX('Сводка'!$S$3:$S$397,U22)</x:f>
        <x:v>243</x:v>
      </x:c>
      <x:c r="L22" s="8" t="n">
        <x:f>INDEX('Сводка'!$S$3:$S$397,V22)</x:f>
        <x:v>229</x:v>
      </x:c>
      <x:c r="M22" s="8" t="n">
        <x:f>INDEX($K$388:$N$400,W22,1)*((J22-$T$405+1)/1000)^INDEX($K$388:$N$400,W22,2)+INDEX($O$388:$Z$400,W22,MONTH(J22))</x:f>
        <x:v>363.1407387691318</x:v>
      </x:c>
      <x:c r="N22" s="8" t="n">
        <x:f>K22-M22</x:f>
        <x:v>-120.14073876913181</x:v>
      </x:c>
      <x:c r="O22" s="8" t="n">
        <x:f>ABS(N22)</x:f>
        <x:v>120.14073876913181</x:v>
      </x:c>
      <x:c r="P22" s="8" t="n">
        <x:f>N22^2</x:f>
        <x:v>14433.797111992772</x:v>
      </x:c>
      <x:c r="Q22" s="8" t="n">
        <x:f>K22-L22</x:f>
        <x:v>14</x:v>
      </x:c>
      <x:c r="R22" s="9" t="n">
        <x:f>IF(AND(INDEX('Сводка'!$T$3:$T$397,U22)=0,INDEX('Сводка'!$T$3:$T$397,V22)=0),1,0)</x:f>
        <x:v>1</x:v>
      </x:c>
      <x:c r="S22" s="9" t="n">
        <x:f>IF(AND(R22=1,O22&lt;=$G$13),1,0)</x:f>
        <x:v>0</x:v>
      </x:c>
      <x:c r="T22" s="10" t="n">
        <x:f>EOMONTH(J22-'Сводка'!$B$11,-1)</x:f>
        <x:v>45869</x:v>
      </x:c>
      <x:c r="U22" s="4" t="n">
        <x:f>MATCH(J22,'Сводка'!$R$3:$R$397,0)</x:f>
        <x:v>33</x:v>
      </x:c>
      <x:c r="V22" s="4" t="n">
        <x:f>MATCH(J22-'Сводка'!$B$11,'Сводка'!$R$3:$R$397,0)</x:f>
        <x:v>32</x:v>
      </x:c>
      <x:c r="W22" s="4" t="n">
        <x:f>MATCH(T22,$J$388:$J$400,0)</x:f>
        <x:v>2</x:v>
      </x:c>
      <x:c r="X22" s="3"/>
      <x:c r="Y22" s="3"/>
      <x:c r="Z22" s="3"/>
    </x:row>
    <x:row r="23" ht="15" customHeight="1">
      <x:c r="A23" s="10" t="n">
        <x:f>IF(5&lt;='Сводка'!$B$3,'Сводка'!$B$4+5,"")</x:f>
        <x:v>46240</x:v>
      </x:c>
      <x:c r="B23" s="19" t="n">
        <x:f>IF($A23="","",(A23-$T$405+1)/1000)</x:f>
        <x:v>8.984</x:v>
      </x:c>
      <x:c r="C23" s="19" t="n">
        <x:f>IF($A23="","",2*(A23-$T$405)/$T$406-1)</x:f>
        <x:v>1.0011138338159946</x:v>
      </x:c>
      <x:c r="D23" s="8" t="n">
        <x:f>IF($A23="","",$B$4*B23^$B$5+INDEX($E$4:$E$15,MONTH(A23)))</x:f>
        <x:v>352.5962565762136</x:v>
      </x:c>
      <x:c r="E23" s="8" t="n">
        <x:f>IF($A23="","",SQRT($T$403^2+H23^2))</x:f>
        <x:v>111.21176244892548</x:v>
      </x:c>
      <x:c r="F23" s="8" t="n">
        <x:f>IF($A23="","",D23-$T$404*E23)</x:f>
        <x:v>134.59446165049087</x:v>
      </x:c>
      <x:c r="G23" s="8" t="n">
        <x:f>IF($A23="","",D23+$T$404*E23)</x:f>
        <x:v>570.5980515019363</x:v>
      </x:c>
      <x:c r="H23" s="8" t="n">
        <x:f>IF($A23="","",SQRT(MAX(0,(B23^$B$5)*$S$409*(B23^$B$5)+(B23^$B$5)*$T$409*($B$4*B23^$B$5*LN(B23))+($B$4*B23^$B$5*LN(B23))*$S$410*(B23^$B$5)+($B$4*B23^$B$5*LN(B23))*$T$410*($B$4*B23^$B$5*LN(B23))+2*((B23^$B$5)*INDEX($S$416:$V$427,MONTH(A23),1)+($B$4*B23^$B$5*LN(B23))*INDEX($S$416:$V$427,MONTH(A23),2))+INDEX($W$416:$W$427,MONTH(A23)))))</x:f>
        <x:v>4.919052638308761</x:v>
      </x:c>
      <x:c r="I23" s="3"/>
      <x:c r="J23" s="10" t="n">
        <x:v>45874</x:v>
      </x:c>
      <x:c r="K23" s="8" t="n">
        <x:f>INDEX('Сводка'!$S$3:$S$397,U23)</x:f>
        <x:v>249</x:v>
      </x:c>
      <x:c r="L23" s="8" t="n">
        <x:f>INDEX('Сводка'!$S$3:$S$397,V23)</x:f>
        <x:v>243</x:v>
      </x:c>
      <x:c r="M23" s="8" t="n">
        <x:f>INDEX($K$388:$N$400,W23,1)*((J23-$T$405+1)/1000)^INDEX($K$388:$N$400,W23,2)+INDEX($O$388:$Z$400,W23,MONTH(J23))</x:f>
        <x:v>363.1602680331255</x:v>
      </x:c>
      <x:c r="N23" s="8" t="n">
        <x:f>K23-M23</x:f>
        <x:v>-114.16026803312548</x:v>
      </x:c>
      <x:c r="O23" s="8" t="n">
        <x:f>ABS(N23)</x:f>
        <x:v>114.16026803312548</x:v>
      </x:c>
      <x:c r="P23" s="8" t="n">
        <x:f>N23^2</x:f>
        <x:v>13032.566797395051</x:v>
      </x:c>
      <x:c r="Q23" s="8" t="n">
        <x:f>K23-L23</x:f>
        <x:v>6</x:v>
      </x:c>
      <x:c r="R23" s="9" t="n">
        <x:f>IF(AND(INDEX('Сводка'!$T$3:$T$397,U23)=0,INDEX('Сводка'!$T$3:$T$397,V23)=0),1,0)</x:f>
        <x:v>1</x:v>
      </x:c>
      <x:c r="S23" s="9" t="n">
        <x:f>IF(AND(R23=1,O23&lt;=$G$13),1,0)</x:f>
        <x:v>0</x:v>
      </x:c>
      <x:c r="T23" s="10" t="n">
        <x:f>EOMONTH(J23-'Сводка'!$B$11,-1)</x:f>
        <x:v>45869</x:v>
      </x:c>
      <x:c r="U23" s="4" t="n">
        <x:f>MATCH(J23,'Сводка'!$R$3:$R$397,0)</x:f>
        <x:v>34</x:v>
      </x:c>
      <x:c r="V23" s="4" t="n">
        <x:f>MATCH(J23-'Сводка'!$B$11,'Сводка'!$R$3:$R$397,0)</x:f>
        <x:v>33</x:v>
      </x:c>
      <x:c r="W23" s="4" t="n">
        <x:f>MATCH(T23,$J$388:$J$400,0)</x:f>
        <x:v>2</x:v>
      </x:c>
      <x:c r="X23" s="3"/>
      <x:c r="Y23" s="3"/>
      <x:c r="Z23" s="3"/>
    </x:row>
    <x:row r="24" ht="15" customHeight="1">
      <x:c r="A24" s="10" t="n">
        <x:f>IF(6&lt;='Сводка'!$B$3,'Сводка'!$B$4+6,"")</x:f>
        <x:v>46241</x:v>
      </x:c>
      <x:c r="B24" s="19" t="n">
        <x:f>IF($A24="","",(A24-$T$405+1)/1000)</x:f>
        <x:v>8.985</x:v>
      </x:c>
      <x:c r="C24" s="19" t="n">
        <x:f>IF($A24="","",2*(A24-$T$405)/$T$406-1)</x:f>
        <x:v>1.0013366005791937</x:v>
      </x:c>
      <x:c r="D24" s="8" t="n">
        <x:f>IF($A24="","",$B$4*B24^$B$5+INDEX($E$4:$E$15,MONTH(A24)))</x:f>
        <x:v>352.6116139646997</x:v>
      </x:c>
      <x:c r="E24" s="8" t="n">
        <x:f>IF($A24="","",SQRT($T$403^2+H24^2))</x:f>
        <x:v>111.21178457306424</x:v>
      </x:c>
      <x:c r="F24" s="8" t="n">
        <x:f>IF($A24="","",D24-$T$404*E24)</x:f>
        <x:v>134.60977567034536</x:v>
      </x:c>
      <x:c r="G24" s="8" t="n">
        <x:f>IF($A24="","",D24+$T$404*E24)</x:f>
        <x:v>570.613452259054</x:v>
      </x:c>
      <x:c r="H24" s="8" t="n">
        <x:f>IF($A24="","",SQRT(MAX(0,(B24^$B$5)*$S$409*(B24^$B$5)+(B24^$B$5)*$T$409*($B$4*B24^$B$5*LN(B24))+($B$4*B24^$B$5*LN(B24))*$S$410*(B24^$B$5)+($B$4*B24^$B$5*LN(B24))*$T$410*($B$4*B24^$B$5*LN(B24))+2*((B24^$B$5)*INDEX($S$416:$V$427,MONTH(A24),1)+($B$4*B24^$B$5*LN(B24))*INDEX($S$416:$V$427,MONTH(A24),2))+INDEX($W$416:$W$427,MONTH(A24)))))</x:f>
        <x:v>4.919552803646717</x:v>
      </x:c>
      <x:c r="I24" s="3"/>
      <x:c r="J24" s="10" t="n">
        <x:v>45875</x:v>
      </x:c>
      <x:c r="K24" s="8" t="n">
        <x:f>INDEX('Сводка'!$S$3:$S$397,U24)</x:f>
        <x:v>253</x:v>
      </x:c>
      <x:c r="L24" s="8" t="n">
        <x:f>INDEX('Сводка'!$S$3:$S$397,V24)</x:f>
        <x:v>249</x:v>
      </x:c>
      <x:c r="M24" s="8" t="n">
        <x:f>INDEX($K$388:$N$400,W24,1)*((J24-$T$405+1)/1000)^INDEX($K$388:$N$400,W24,2)+INDEX($O$388:$Z$400,W24,MONTH(J24))</x:f>
        <x:v>363.17979757587153</x:v>
      </x:c>
      <x:c r="N24" s="8" t="n">
        <x:f>K24-M24</x:f>
        <x:v>-110.17979757587153</x:v>
      </x:c>
      <x:c r="O24" s="8" t="n">
        <x:f>ABS(N24)</x:f>
        <x:v>110.17979757587153</x:v>
      </x:c>
      <x:c r="P24" s="8" t="n">
        <x:f>N24^2</x:f>
        <x:v>12139.587793860026</x:v>
      </x:c>
      <x:c r="Q24" s="8" t="n">
        <x:f>K24-L24</x:f>
        <x:v>4</x:v>
      </x:c>
      <x:c r="R24" s="9" t="n">
        <x:f>IF(AND(INDEX('Сводка'!$T$3:$T$397,U24)=0,INDEX('Сводка'!$T$3:$T$397,V24)=0),1,0)</x:f>
        <x:v>1</x:v>
      </x:c>
      <x:c r="S24" s="9" t="n">
        <x:f>IF(AND(R24=1,O24&lt;=$G$13),1,0)</x:f>
        <x:v>0</x:v>
      </x:c>
      <x:c r="T24" s="10" t="n">
        <x:f>EOMONTH(J24-'Сводка'!$B$11,-1)</x:f>
        <x:v>45869</x:v>
      </x:c>
      <x:c r="U24" s="4" t="n">
        <x:f>MATCH(J24,'Сводка'!$R$3:$R$397,0)</x:f>
        <x:v>35</x:v>
      </x:c>
      <x:c r="V24" s="4" t="n">
        <x:f>MATCH(J24-'Сводка'!$B$11,'Сводка'!$R$3:$R$397,0)</x:f>
        <x:v>34</x:v>
      </x:c>
      <x:c r="W24" s="4" t="n">
        <x:f>MATCH(T24,$J$388:$J$400,0)</x:f>
        <x:v>2</x:v>
      </x:c>
      <x:c r="X24" s="3"/>
      <x:c r="Y24" s="3"/>
      <x:c r="Z24" s="3"/>
    </x:row>
    <x:row r="25" ht="15" customHeight="1">
      <x:c r="A25" s="10" t="n">
        <x:f>IF(7&lt;='Сводка'!$B$3,'Сводка'!$B$4+7,"")</x:f>
        <x:v>46242</x:v>
      </x:c>
      <x:c r="B25" s="19" t="n">
        <x:f>IF($A25="","",(A25-$T$405+1)/1000)</x:f>
        <x:v>8.986</x:v>
      </x:c>
      <x:c r="C25" s="19" t="n">
        <x:f>IF($A25="","",2*(A25-$T$405)/$T$406-1)</x:f>
        <x:v>1.0015593673423924</x:v>
      </x:c>
      <x:c r="D25" s="8" t="n">
        <x:f>IF($A25="","",$B$4*B25^$B$5+INDEX($E$4:$E$15,MONTH(A25)))</x:f>
        <x:v>352.62697132920164</x:v>
      </x:c>
      <x:c r="E25" s="8" t="n">
        <x:f>IF($A25="","",SQRT($T$403^2+H25^2))</x:f>
        <x:v>111.21180670664002</x:v>
      </x:c>
      <x:c r="F25" s="8" t="n">
        <x:f>IF($A25="","",D25-$T$404*E25)</x:f>
        <x:v>134.6250896477168</x:v>
      </x:c>
      <x:c r="G25" s="8" t="n">
        <x:f>IF($A25="","",D25+$T$404*E25)</x:f>
        <x:v>570.6288530106865</x:v>
      </x:c>
      <x:c r="H25" s="8" t="n">
        <x:f>IF($A25="","",SQRT(MAX(0,(B25^$B$5)*$S$409*(B25^$B$5)+(B25^$B$5)*$T$409*($B$4*B25^$B$5*LN(B25))+($B$4*B25^$B$5*LN(B25))*$S$410*(B25^$B$5)+($B$4*B25^$B$5*LN(B25))*$T$410*($B$4*B25^$B$5*LN(B25))+2*((B25^$B$5)*INDEX($S$416:$V$427,MONTH(A25),1)+($B$4*B25^$B$5*LN(B25))*INDEX($S$416:$V$427,MONTH(A25),2))+INDEX($W$416:$W$427,MONTH(A25)))))</x:f>
        <x:v>4.920053131550517</x:v>
      </x:c>
      <x:c r="I25" s="3"/>
      <x:c r="J25" s="10" t="n">
        <x:v>45876</x:v>
      </x:c>
      <x:c r="K25" s="8" t="n">
        <x:f>INDEX('Сводка'!$S$3:$S$397,U25)</x:f>
        <x:v>259</x:v>
      </x:c>
      <x:c r="L25" s="8" t="n">
        <x:f>INDEX('Сводка'!$S$3:$S$397,V25)</x:f>
        <x:v>253</x:v>
      </x:c>
      <x:c r="M25" s="8" t="n">
        <x:f>INDEX($K$388:$N$400,W25,1)*((J25-$T$405+1)/1000)^INDEX($K$388:$N$400,W25,2)+INDEX($O$388:$Z$400,W25,MONTH(J25))</x:f>
        <x:v>363.1993273973417</x:v>
      </x:c>
      <x:c r="N25" s="8" t="n">
        <x:f>K25-M25</x:f>
        <x:v>-104.19932739734168</x:v>
      </x:c>
      <x:c r="O25" s="8" t="n">
        <x:f>ABS(N25)</x:f>
        <x:v>104.19932739734168</x:v>
      </x:c>
      <x:c r="P25" s="8" t="n">
        <x:f>N25^2</x:f>
        <x:v>10857.4998300584</x:v>
      </x:c>
      <x:c r="Q25" s="8" t="n">
        <x:f>K25-L25</x:f>
        <x:v>6</x:v>
      </x:c>
      <x:c r="R25" s="9" t="n">
        <x:f>IF(AND(INDEX('Сводка'!$T$3:$T$397,U25)=0,INDEX('Сводка'!$T$3:$T$397,V25)=0),1,0)</x:f>
        <x:v>1</x:v>
      </x:c>
      <x:c r="S25" s="9" t="n">
        <x:f>IF(AND(R25=1,O25&lt;=$G$13),1,0)</x:f>
        <x:v>0</x:v>
      </x:c>
      <x:c r="T25" s="10" t="n">
        <x:f>EOMONTH(J25-'Сводка'!$B$11,-1)</x:f>
        <x:v>45869</x:v>
      </x:c>
      <x:c r="U25" s="4" t="n">
        <x:f>MATCH(J25,'Сводка'!$R$3:$R$397,0)</x:f>
        <x:v>36</x:v>
      </x:c>
      <x:c r="V25" s="4" t="n">
        <x:f>MATCH(J25-'Сводка'!$B$11,'Сводка'!$R$3:$R$397,0)</x:f>
        <x:v>35</x:v>
      </x:c>
      <x:c r="W25" s="4" t="n">
        <x:f>MATCH(T25,$J$388:$J$400,0)</x:f>
        <x:v>2</x:v>
      </x:c>
      <x:c r="X25" s="3"/>
      <x:c r="Y25" s="3"/>
      <x:c r="Z25" s="3"/>
    </x:row>
    <x:row r="26" ht="15" customHeight="1">
      <x:c r="A26" s="10" t="n">
        <x:f>IF(8&lt;='Сводка'!$B$3,'Сводка'!$B$4+8,"")</x:f>
        <x:v>46243</x:v>
      </x:c>
      <x:c r="B26" s="19" t="n">
        <x:f>IF($A26="","",(A26-$T$405+1)/1000)</x:f>
        <x:v>8.987</x:v>
      </x:c>
      <x:c r="C26" s="19" t="n">
        <x:f>IF($A26="","",2*(A26-$T$405)/$T$406-1)</x:f>
        <x:v>1.0017821341055915</x:v>
      </x:c>
      <x:c r="D26" s="8" t="n">
        <x:f>IF($A26="","",$B$4*B26^$B$5+INDEX($E$4:$E$15,MONTH(A26)))</x:f>
        <x:v>352.6423286697222</x:v>
      </x:c>
      <x:c r="E26" s="8" t="n">
        <x:f>IF($A26="","",SQRT($T$403^2+H26^2))</x:f>
        <x:v>111.21182884965445</x:v>
      </x:c>
      <x:c r="F26" s="8" t="n">
        <x:f>IF($A26="","",D26-$T$404*E26)</x:f>
        <x:v>134.64040358260485</x:v>
      </x:c>
      <x:c r="G26" s="8" t="n">
        <x:f>IF($A26="","",D26+$T$404*E26)</x:f>
        <x:v>570.6442537568396</x:v>
      </x:c>
      <x:c r="H26" s="8" t="n">
        <x:f>IF($A26="","",SQRT(MAX(0,(B26^$B$5)*$S$409*(B26^$B$5)+(B26^$B$5)*$T$409*($B$4*B26^$B$5*LN(B26))+($B$4*B26^$B$5*LN(B26))*$S$410*(B26^$B$5)+($B$4*B26^$B$5*LN(B26))*$T$410*($B$4*B26^$B$5*LN(B26))+2*((B26^$B$5)*INDEX($S$416:$V$427,MONTH(A26),1)+($B$4*B26^$B$5*LN(B26))*INDEX($S$416:$V$427,MONTH(A26),2))+INDEX($W$416:$W$427,MONTH(A26)))))</x:f>
        <x:v>4.92055362200774</x:v>
      </x:c>
      <x:c r="I26" s="3"/>
      <x:c r="J26" s="10" t="n">
        <x:v>45877</x:v>
      </x:c>
      <x:c r="K26" s="8" t="n">
        <x:f>INDEX('Сводка'!$S$3:$S$397,U26)</x:f>
        <x:v>265</x:v>
      </x:c>
      <x:c r="L26" s="8" t="n">
        <x:f>INDEX('Сводка'!$S$3:$S$397,V26)</x:f>
        <x:v>259</x:v>
      </x:c>
      <x:c r="M26" s="8" t="n">
        <x:f>INDEX($K$388:$N$400,W26,1)*((J26-$T$405+1)/1000)^INDEX($K$388:$N$400,W26,2)+INDEX($O$388:$Z$400,W26,MONTH(J26))</x:f>
        <x:v>363.21885749750766</x:v>
      </x:c>
      <x:c r="N26" s="8" t="n">
        <x:f>K26-M26</x:f>
        <x:v>-98.21885749750766</x:v>
      </x:c>
      <x:c r="O26" s="8" t="n">
        <x:f>ABS(N26)</x:f>
        <x:v>98.21885749750766</x:v>
      </x:c>
      <x:c r="P26" s="8" t="n">
        <x:f>N26^2</x:f>
        <x:v>9646.943968115716</x:v>
      </x:c>
      <x:c r="Q26" s="8" t="n">
        <x:f>K26-L26</x:f>
        <x:v>6</x:v>
      </x:c>
      <x:c r="R26" s="9" t="n">
        <x:f>IF(AND(INDEX('Сводка'!$T$3:$T$397,U26)=0,INDEX('Сводка'!$T$3:$T$397,V26)=0),1,0)</x:f>
        <x:v>1</x:v>
      </x:c>
      <x:c r="S26" s="9" t="n">
        <x:f>IF(AND(R26=1,O26&lt;=$G$13),1,0)</x:f>
        <x:v>0</x:v>
      </x:c>
      <x:c r="T26" s="10" t="n">
        <x:f>EOMONTH(J26-'Сводка'!$B$11,-1)</x:f>
        <x:v>45869</x:v>
      </x:c>
      <x:c r="U26" s="4" t="n">
        <x:f>MATCH(J26,'Сводка'!$R$3:$R$397,0)</x:f>
        <x:v>37</x:v>
      </x:c>
      <x:c r="V26" s="4" t="n">
        <x:f>MATCH(J26-'Сводка'!$B$11,'Сводка'!$R$3:$R$397,0)</x:f>
        <x:v>36</x:v>
      </x:c>
      <x:c r="W26" s="4" t="n">
        <x:f>MATCH(T26,$J$388:$J$400,0)</x:f>
        <x:v>2</x:v>
      </x:c>
      <x:c r="X26" s="3"/>
      <x:c r="Y26" s="3"/>
      <x:c r="Z26" s="3"/>
    </x:row>
    <x:row r="27" ht="15" customHeight="1">
      <x:c r="A27" s="10" t="n">
        <x:f>IF(9&lt;='Сводка'!$B$3,'Сводка'!$B$4+9,"")</x:f>
        <x:v>46244</x:v>
      </x:c>
      <x:c r="B27" s="19" t="n">
        <x:f>IF($A27="","",(A27-$T$405+1)/1000)</x:f>
        <x:v>8.988</x:v>
      </x:c>
      <x:c r="C27" s="19" t="n">
        <x:f>IF($A27="","",2*(A27-$T$405)/$T$406-1)</x:f>
        <x:v>1.0020049008687906</x:v>
      </x:c>
      <x:c r="D27" s="8" t="n">
        <x:f>IF($A27="","",$B$4*B27^$B$5+INDEX($E$4:$E$15,MONTH(A27)))</x:f>
        <x:v>352.657685986264</x:v>
      </x:c>
      <x:c r="E27" s="8" t="n">
        <x:f>IF($A27="","",SQRT($T$403^2+H27^2))</x:f>
        <x:v>111.21185100210919</x:v>
      </x:c>
      <x:c r="F27" s="8" t="n">
        <x:f>IF($A27="","",D27-$T$404*E27)</x:f>
        <x:v>134.6557174750089</x:v>
      </x:c>
      <x:c r="G27" s="8" t="n">
        <x:f>IF($A27="","",D27+$T$404*E27)</x:f>
        <x:v>570.6596544975191</x:v>
      </x:c>
      <x:c r="H27" s="8" t="n">
        <x:f>IF($A27="","",SQRT(MAX(0,(B27^$B$5)*$S$409*(B27^$B$5)+(B27^$B$5)*$T$409*($B$4*B27^$B$5*LN(B27))+($B$4*B27^$B$5*LN(B27))*$S$410*(B27^$B$5)+($B$4*B27^$B$5*LN(B27))*$T$410*($B$4*B27^$B$5*LN(B27))+2*((B27^$B$5)*INDEX($S$416:$V$427,MONTH(A27),1)+($B$4*B27^$B$5*LN(B27))*INDEX($S$416:$V$427,MONTH(A27),2))+INDEX($W$416:$W$427,MONTH(A27)))))</x:f>
        <x:v>4.921054275005946</x:v>
      </x:c>
      <x:c r="I27" s="3"/>
      <x:c r="J27" s="10" t="n">
        <x:v>45878</x:v>
      </x:c>
      <x:c r="K27" s="8" t="n">
        <x:f>INDEX('Сводка'!$S$3:$S$397,U27)</x:f>
        <x:v>276</x:v>
      </x:c>
      <x:c r="L27" s="8" t="n">
        <x:f>INDEX('Сводка'!$S$3:$S$397,V27)</x:f>
        <x:v>265</x:v>
      </x:c>
      <x:c r="M27" s="8" t="n">
        <x:f>INDEX($K$388:$N$400,W27,1)*((J27-$T$405+1)/1000)^INDEX($K$388:$N$400,W27,2)+INDEX($O$388:$Z$400,W27,MONTH(J27))</x:f>
        <x:v>363.2383878763409</x:v>
      </x:c>
      <x:c r="N27" s="8" t="n">
        <x:f>K27-M27</x:f>
        <x:v>-87.23838787634088</x:v>
      </x:c>
      <x:c r="O27" s="8" t="n">
        <x:f>ABS(N27)</x:f>
        <x:v>87.23838787634088</x:v>
      </x:c>
      <x:c r="P27" s="8" t="n">
        <x:f>N27^2</x:f>
        <x:v>7610.536319262899</x:v>
      </x:c>
      <x:c r="Q27" s="8" t="n">
        <x:f>K27-L27</x:f>
        <x:v>11</x:v>
      </x:c>
      <x:c r="R27" s="9" t="n">
        <x:f>IF(AND(INDEX('Сводка'!$T$3:$T$397,U27)=0,INDEX('Сводка'!$T$3:$T$397,V27)=0),1,0)</x:f>
        <x:v>1</x:v>
      </x:c>
      <x:c r="S27" s="9" t="n">
        <x:f>IF(AND(R27=1,O27&lt;=$G$13),1,0)</x:f>
        <x:v>0</x:v>
      </x:c>
      <x:c r="T27" s="10" t="n">
        <x:f>EOMONTH(J27-'Сводка'!$B$11,-1)</x:f>
        <x:v>45869</x:v>
      </x:c>
      <x:c r="U27" s="4" t="n">
        <x:f>MATCH(J27,'Сводка'!$R$3:$R$397,0)</x:f>
        <x:v>38</x:v>
      </x:c>
      <x:c r="V27" s="4" t="n">
        <x:f>MATCH(J27-'Сводка'!$B$11,'Сводка'!$R$3:$R$397,0)</x:f>
        <x:v>37</x:v>
      </x:c>
      <x:c r="W27" s="4" t="n">
        <x:f>MATCH(T27,$J$388:$J$400,0)</x:f>
        <x:v>2</x:v>
      </x:c>
      <x:c r="X27" s="3"/>
      <x:c r="Y27" s="3"/>
      <x:c r="Z27" s="3"/>
    </x:row>
    <x:row r="28" ht="15" customHeight="1">
      <x:c r="A28" s="10" t="n">
        <x:f>IF(10&lt;='Сводка'!$B$3,'Сводка'!$B$4+10,"")</x:f>
        <x:v>46245</x:v>
      </x:c>
      <x:c r="B28" s="19" t="n">
        <x:f>IF($A28="","",(A28-$T$405+1)/1000)</x:f>
        <x:v>8.989</x:v>
      </x:c>
      <x:c r="C28" s="19" t="n">
        <x:f>IF($A28="","",2*(A28-$T$405)/$T$406-1)</x:f>
        <x:v>1.0022276676319892</x:v>
      </x:c>
      <x:c r="D28" s="8" t="n">
        <x:f>IF($A28="","",$B$4*B28^$B$5+INDEX($E$4:$E$15,MONTH(A28)))</x:f>
        <x:v>352.6730432788298</x:v>
      </x:c>
      <x:c r="E28" s="8" t="n">
        <x:f>IF($A28="","",SQRT($T$403^2+H28^2))</x:f>
        <x:v>111.21187316400587</x:v>
      </x:c>
      <x:c r="F28" s="8" t="n">
        <x:f>IF($A28="","",D28-$T$404*E28)</x:f>
        <x:v>134.67103132492846</x:v>
      </x:c>
      <x:c r="G28" s="8" t="n">
        <x:f>IF($A28="","",D28+$T$404*E28)</x:f>
        <x:v>570.6750552327312</x:v>
      </x:c>
      <x:c r="H28" s="8" t="n">
        <x:f>IF($A28="","",SQRT(MAX(0,(B28^$B$5)*$S$409*(B28^$B$5)+(B28^$B$5)*$T$409*($B$4*B28^$B$5*LN(B28))+($B$4*B28^$B$5*LN(B28))*$S$410*(B28^$B$5)+($B$4*B28^$B$5*LN(B28))*$T$410*($B$4*B28^$B$5*LN(B28))+2*((B28^$B$5)*INDEX($S$416:$V$427,MONTH(A28),1)+($B$4*B28^$B$5*LN(B28))*INDEX($S$416:$V$427,MONTH(A28),2))+INDEX($W$416:$W$427,MONTH(A28)))))</x:f>
        <x:v>4.921555090532704</x:v>
      </x:c>
      <x:c r="I28" s="3"/>
      <x:c r="J28" s="10" t="n">
        <x:v>45879</x:v>
      </x:c>
      <x:c r="K28" s="8" t="n">
        <x:f>INDEX('Сводка'!$S$3:$S$397,U28)</x:f>
        <x:v>290</x:v>
      </x:c>
      <x:c r="L28" s="8" t="n">
        <x:f>INDEX('Сводка'!$S$3:$S$397,V28)</x:f>
        <x:v>276</x:v>
      </x:c>
      <x:c r="M28" s="8" t="n">
        <x:f>INDEX($K$388:$N$400,W28,1)*((J28-$T$405+1)/1000)^INDEX($K$388:$N$400,W28,2)+INDEX($O$388:$Z$400,W28,MONTH(J28))</x:f>
        <x:v>363.2579185338132</x:v>
      </x:c>
      <x:c r="N28" s="8" t="n">
        <x:f>K28-M28</x:f>
        <x:v>-73.25791853381321</x:v>
      </x:c>
      <x:c r="O28" s="8" t="n">
        <x:f>ABS(N28)</x:f>
        <x:v>73.25791853381321</x:v>
      </x:c>
      <x:c r="P28" s="8" t="n">
        <x:f>N28^2</x:f>
        <x:v>5366.722627906813</x:v>
      </x:c>
      <x:c r="Q28" s="8" t="n">
        <x:f>K28-L28</x:f>
        <x:v>14</x:v>
      </x:c>
      <x:c r="R28" s="9" t="n">
        <x:f>IF(AND(INDEX('Сводка'!$T$3:$T$397,U28)=0,INDEX('Сводка'!$T$3:$T$397,V28)=0),1,0)</x:f>
        <x:v>1</x:v>
      </x:c>
      <x:c r="S28" s="9" t="n">
        <x:f>IF(AND(R28=1,O28&lt;=$G$13),1,0)</x:f>
        <x:v>0</x:v>
      </x:c>
      <x:c r="T28" s="10" t="n">
        <x:f>EOMONTH(J28-'Сводка'!$B$11,-1)</x:f>
        <x:v>45869</x:v>
      </x:c>
      <x:c r="U28" s="4" t="n">
        <x:f>MATCH(J28,'Сводка'!$R$3:$R$397,0)</x:f>
        <x:v>39</x:v>
      </x:c>
      <x:c r="V28" s="4" t="n">
        <x:f>MATCH(J28-'Сводка'!$B$11,'Сводка'!$R$3:$R$397,0)</x:f>
        <x:v>38</x:v>
      </x:c>
      <x:c r="W28" s="4" t="n">
        <x:f>MATCH(T28,$J$388:$J$400,0)</x:f>
        <x:v>2</x:v>
      </x:c>
      <x:c r="X28" s="3"/>
      <x:c r="Y28" s="3"/>
      <x:c r="Z28" s="3"/>
    </x:row>
    <x:row r="29" ht="15" customHeight="1">
      <x:c r="A29" s="10" t="n">
        <x:f>IF(11&lt;='Сводка'!$B$3,'Сводка'!$B$4+11,"")</x:f>
        <x:v>46246</x:v>
      </x:c>
      <x:c r="B29" s="19" t="n">
        <x:f>IF($A29="","",(A29-$T$405+1)/1000)</x:f>
        <x:v>8.99</x:v>
      </x:c>
      <x:c r="C29" s="19" t="n">
        <x:f>IF($A29="","",2*(A29-$T$405)/$T$406-1)</x:f>
        <x:v>1.0024504343951883</x:v>
      </x:c>
      <x:c r="D29" s="8" t="n">
        <x:f>IF($A29="","",$B$4*B29^$B$5+INDEX($E$4:$E$15,MONTH(A29)))</x:f>
        <x:v>352.68840054742236</x:v>
      </x:c>
      <x:c r="E29" s="8" t="n">
        <x:f>IF($A29="","",SQRT($T$403^2+H29^2))</x:f>
        <x:v>111.21189533534613</x:v>
      </x:c>
      <x:c r="F29" s="8" t="n">
        <x:f>IF($A29="","",D29-$T$404*E29)</x:f>
        <x:v>134.68634513236307</x:v>
      </x:c>
      <x:c r="G29" s="8" t="n">
        <x:f>IF($A29="","",D29+$T$404*E29)</x:f>
        <x:v>570.6904559624817</x:v>
      </x:c>
      <x:c r="H29" s="8" t="n">
        <x:f>IF($A29="","",SQRT(MAX(0,(B29^$B$5)*$S$409*(B29^$B$5)+(B29^$B$5)*$T$409*($B$4*B29^$B$5*LN(B29))+($B$4*B29^$B$5*LN(B29))*$S$410*(B29^$B$5)+($B$4*B29^$B$5*LN(B29))*$T$410*($B$4*B29^$B$5*LN(B29))+2*((B29^$B$5)*INDEX($S$416:$V$427,MONTH(A29),1)+($B$4*B29^$B$5*LN(B29))*INDEX($S$416:$V$427,MONTH(A29),2))+INDEX($W$416:$W$427,MONTH(A29)))))</x:f>
        <x:v>4.922056068575546</x:v>
      </x:c>
      <x:c r="I29" s="3"/>
      <x:c r="J29" s="10" t="n">
        <x:v>45880</x:v>
      </x:c>
      <x:c r="K29" s="8" t="n">
        <x:f>INDEX('Сводка'!$S$3:$S$397,U29)</x:f>
        <x:v>303</x:v>
      </x:c>
      <x:c r="L29" s="8" t="n">
        <x:f>INDEX('Сводка'!$S$3:$S$397,V29)</x:f>
        <x:v>290</x:v>
      </x:c>
      <x:c r="M29" s="8" t="n">
        <x:f>INDEX($K$388:$N$400,W29,1)*((J29-$T$405+1)/1000)^INDEX($K$388:$N$400,W29,2)+INDEX($O$388:$Z$400,W29,MONTH(J29))</x:f>
        <x:v>363.2774494698963</x:v>
      </x:c>
      <x:c r="N29" s="8" t="n">
        <x:f>K29-M29</x:f>
        <x:v>-60.27744946989628</x:v>
      </x:c>
      <x:c r="O29" s="8" t="n">
        <x:f>ABS(N29)</x:f>
        <x:v>60.27744946989628</x:v>
      </x:c>
      <x:c r="P29" s="8" t="n">
        <x:f>N29^2</x:f>
        <x:v>3633.3709145958996</x:v>
      </x:c>
      <x:c r="Q29" s="8" t="n">
        <x:f>K29-L29</x:f>
        <x:v>13</x:v>
      </x:c>
      <x:c r="R29" s="9" t="n">
        <x:f>IF(AND(INDEX('Сводка'!$T$3:$T$397,U29)=0,INDEX('Сводка'!$T$3:$T$397,V29)=0),1,0)</x:f>
        <x:v>1</x:v>
      </x:c>
      <x:c r="S29" s="9" t="n">
        <x:f>IF(AND(R29=1,O29&lt;=$G$13),1,0)</x:f>
        <x:v>0</x:v>
      </x:c>
      <x:c r="T29" s="10" t="n">
        <x:f>EOMONTH(J29-'Сводка'!$B$11,-1)</x:f>
        <x:v>45869</x:v>
      </x:c>
      <x:c r="U29" s="4" t="n">
        <x:f>MATCH(J29,'Сводка'!$R$3:$R$397,0)</x:f>
        <x:v>40</x:v>
      </x:c>
      <x:c r="V29" s="4" t="n">
        <x:f>MATCH(J29-'Сводка'!$B$11,'Сводка'!$R$3:$R$397,0)</x:f>
        <x:v>39</x:v>
      </x:c>
      <x:c r="W29" s="4" t="n">
        <x:f>MATCH(T29,$J$388:$J$400,0)</x:f>
        <x:v>2</x:v>
      </x:c>
      <x:c r="X29" s="3"/>
      <x:c r="Y29" s="3"/>
      <x:c r="Z29" s="3"/>
    </x:row>
    <x:row r="30" ht="15" customHeight="1">
      <x:c r="A30" s="10" t="n">
        <x:f>IF(12&lt;='Сводка'!$B$3,'Сводка'!$B$4+12,"")</x:f>
        <x:v>46247</x:v>
      </x:c>
      <x:c r="B30" s="19" t="n">
        <x:f>IF($A30="","",(A30-$T$405+1)/1000)</x:f>
        <x:v>8.991</x:v>
      </x:c>
      <x:c r="C30" s="19" t="n">
        <x:f>IF($A30="","",2*(A30-$T$405)/$T$406-1)</x:f>
        <x:v>1.002673201158387</x:v>
      </x:c>
      <x:c r="D30" s="8" t="n">
        <x:f>IF($A30="","",$B$4*B30^$B$5+INDEX($E$4:$E$15,MONTH(A30)))</x:f>
        <x:v>352.70375779204426</x:v>
      </x:c>
      <x:c r="E30" s="8" t="n">
        <x:f>IF($A30="","",SQRT($T$403^2+H30^2))</x:f>
        <x:v>111.2119175161316</x:v>
      </x:c>
      <x:c r="F30" s="8" t="n">
        <x:f>IF($A30="","",D30-$T$404*E30)</x:f>
        <x:v>134.70165889731211</x:v>
      </x:c>
      <x:c r="G30" s="8" t="n">
        <x:f>IF($A30="","",D30+$T$404*E30)</x:f>
        <x:v>570.7058566867764</x:v>
      </x:c>
      <x:c r="H30" s="8" t="n">
        <x:f>IF($A30="","",SQRT(MAX(0,(B30^$B$5)*$S$409*(B30^$B$5)+(B30^$B$5)*$T$409*($B$4*B30^$B$5*LN(B30))+($B$4*B30^$B$5*LN(B30))*$S$410*(B30^$B$5)+($B$4*B30^$B$5*LN(B30))*$T$410*($B$4*B30^$B$5*LN(B30))+2*((B30^$B$5)*INDEX($S$416:$V$427,MONTH(A30),1)+($B$4*B30^$B$5*LN(B30))*INDEX($S$416:$V$427,MONTH(A30),2))+INDEX($W$416:$W$427,MONTH(A30)))))</x:f>
        <x:v>4.922557209122005</x:v>
      </x:c>
      <x:c r="I30" s="3"/>
      <x:c r="J30" s="10" t="n">
        <x:v>45881</x:v>
      </x:c>
      <x:c r="K30" s="8" t="n">
        <x:f>INDEX('Сводка'!$S$3:$S$397,U30)</x:f>
        <x:v>315</x:v>
      </x:c>
      <x:c r="L30" s="8" t="n">
        <x:f>INDEX('Сводка'!$S$3:$S$397,V30)</x:f>
        <x:v>303</x:v>
      </x:c>
      <x:c r="M30" s="8" t="n">
        <x:f>INDEX($K$388:$N$400,W30,1)*((J30-$T$405+1)/1000)^INDEX($K$388:$N$400,W30,2)+INDEX($O$388:$Z$400,W30,MONTH(J30))</x:f>
        <x:v>363.2969806845616</x:v>
      </x:c>
      <x:c r="N30" s="8" t="n">
        <x:f>K30-M30</x:f>
        <x:v>-48.29698068456162</x:v>
      </x:c>
      <x:c r="O30" s="8" t="n">
        <x:f>ABS(N30)</x:f>
        <x:v>48.29698068456162</x:v>
      </x:c>
      <x:c r="P30" s="8" t="n">
        <x:f>N30^2</x:f>
        <x:v>2332.598343244918</x:v>
      </x:c>
      <x:c r="Q30" s="8" t="n">
        <x:f>K30-L30</x:f>
        <x:v>12</x:v>
      </x:c>
      <x:c r="R30" s="9" t="n">
        <x:f>IF(AND(INDEX('Сводка'!$T$3:$T$397,U30)=0,INDEX('Сводка'!$T$3:$T$397,V30)=0),1,0)</x:f>
        <x:v>1</x:v>
      </x:c>
      <x:c r="S30" s="9" t="n">
        <x:f>IF(AND(R30=1,O30&lt;=$G$13),1,0)</x:f>
        <x:v>0</x:v>
      </x:c>
      <x:c r="T30" s="10" t="n">
        <x:f>EOMONTH(J30-'Сводка'!$B$11,-1)</x:f>
        <x:v>45869</x:v>
      </x:c>
      <x:c r="U30" s="4" t="n">
        <x:f>MATCH(J30,'Сводка'!$R$3:$R$397,0)</x:f>
        <x:v>41</x:v>
      </x:c>
      <x:c r="V30" s="4" t="n">
        <x:f>MATCH(J30-'Сводка'!$B$11,'Сводка'!$R$3:$R$397,0)</x:f>
        <x:v>40</x:v>
      </x:c>
      <x:c r="W30" s="4" t="n">
        <x:f>MATCH(T30,$J$388:$J$400,0)</x:f>
        <x:v>2</x:v>
      </x:c>
      <x:c r="X30" s="3"/>
      <x:c r="Y30" s="3"/>
      <x:c r="Z30" s="3"/>
    </x:row>
    <x:row r="31" ht="15" customHeight="1">
      <x:c r="A31" s="10" t="n">
        <x:f>IF(13&lt;='Сводка'!$B$3,'Сводка'!$B$4+13,"")</x:f>
        <x:v>46248</x:v>
      </x:c>
      <x:c r="B31" s="19" t="n">
        <x:f>IF($A31="","",(A31-$T$405+1)/1000)</x:f>
        <x:v>8.992</x:v>
      </x:c>
      <x:c r="C31" s="19" t="n">
        <x:f>IF($A31="","",2*(A31-$T$405)/$T$406-1)</x:f>
        <x:v>1.002895967921586</x:v>
      </x:c>
      <x:c r="D31" s="8" t="n">
        <x:f>IF($A31="","",$B$4*B31^$B$5+INDEX($E$4:$E$15,MONTH(A31)))</x:f>
        <x:v>352.71911501269835</x:v>
      </x:c>
      <x:c r="E31" s="8" t="n">
        <x:f>IF($A31="","",SQRT($T$403^2+H31^2))</x:f>
        <x:v>111.21193970636394</x:v>
      </x:c>
      <x:c r="F31" s="8" t="n">
        <x:f>IF($A31="","",D31-$T$404*E31)</x:f>
        <x:v>134.71697261977528</x:v>
      </x:c>
      <x:c r="G31" s="8" t="n">
        <x:f>IF($A31="","",D31+$T$404*E31)</x:f>
        <x:v>570.7212574056214</x:v>
      </x:c>
      <x:c r="H31" s="8" t="n">
        <x:f>IF($A31="","",SQRT(MAX(0,(B31^$B$5)*$S$409*(B31^$B$5)+(B31^$B$5)*$T$409*($B$4*B31^$B$5*LN(B31))+($B$4*B31^$B$5*LN(B31))*$S$410*(B31^$B$5)+($B$4*B31^$B$5*LN(B31))*$T$410*($B$4*B31^$B$5*LN(B31))+2*((B31^$B$5)*INDEX($S$416:$V$427,MONTH(A31),1)+($B$4*B31^$B$5*LN(B31))*INDEX($S$416:$V$427,MONTH(A31),2))+INDEX($W$416:$W$427,MONTH(A31)))))</x:f>
        <x:v>4.923058512159593</x:v>
      </x:c>
      <x:c r="I31" s="3"/>
      <x:c r="J31" s="10" t="n">
        <x:v>45882</x:v>
      </x:c>
      <x:c r="K31" s="8" t="n">
        <x:f>INDEX('Сводка'!$S$3:$S$397,U31)</x:f>
        <x:v>323</x:v>
      </x:c>
      <x:c r="L31" s="8" t="n">
        <x:f>INDEX('Сводка'!$S$3:$S$397,V31)</x:f>
        <x:v>315</x:v>
      </x:c>
      <x:c r="M31" s="8" t="n">
        <x:f>INDEX($K$388:$N$400,W31,1)*((J31-$T$405+1)/1000)^INDEX($K$388:$N$400,W31,2)+INDEX($O$388:$Z$400,W31,MONTH(J31))</x:f>
        <x:v>363.31651217778096</x:v>
      </x:c>
      <x:c r="N31" s="8" t="n">
        <x:f>K31-M31</x:f>
        <x:v>-40.316512177780965</x:v>
      </x:c>
      <x:c r="O31" s="8" t="n">
        <x:f>ABS(N31)</x:f>
        <x:v>40.316512177780965</x:v>
      </x:c>
      <x:c r="P31" s="8" t="n">
        <x:f>N31^2</x:f>
        <x:v>1625.4211541811608</x:v>
      </x:c>
      <x:c r="Q31" s="8" t="n">
        <x:f>K31-L31</x:f>
        <x:v>8</x:v>
      </x:c>
      <x:c r="R31" s="9" t="n">
        <x:f>IF(AND(INDEX('Сводка'!$T$3:$T$397,U31)=0,INDEX('Сводка'!$T$3:$T$397,V31)=0),1,0)</x:f>
        <x:v>1</x:v>
      </x:c>
      <x:c r="S31" s="9" t="n">
        <x:f>IF(AND(R31=1,O31&lt;=$G$13),1,0)</x:f>
        <x:v>0</x:v>
      </x:c>
      <x:c r="T31" s="10" t="n">
        <x:f>EOMONTH(J31-'Сводка'!$B$11,-1)</x:f>
        <x:v>45869</x:v>
      </x:c>
      <x:c r="U31" s="4" t="n">
        <x:f>MATCH(J31,'Сводка'!$R$3:$R$397,0)</x:f>
        <x:v>42</x:v>
      </x:c>
      <x:c r="V31" s="4" t="n">
        <x:f>MATCH(J31-'Сводка'!$B$11,'Сводка'!$R$3:$R$397,0)</x:f>
        <x:v>41</x:v>
      </x:c>
      <x:c r="W31" s="4" t="n">
        <x:f>MATCH(T31,$J$388:$J$400,0)</x:f>
        <x:v>2</x:v>
      </x:c>
      <x:c r="X31" s="3"/>
      <x:c r="Y31" s="3"/>
      <x:c r="Z31" s="3"/>
    </x:row>
    <x:row r="32" ht="15" customHeight="1">
      <x:c r="A32" s="10" t="n">
        <x:f>IF(14&lt;='Сводка'!$B$3,'Сводка'!$B$4+14,"")</x:f>
        <x:v>46249</x:v>
      </x:c>
      <x:c r="B32" s="19" t="n">
        <x:f>IF($A32="","",(A32-$T$405+1)/1000)</x:f>
        <x:v>8.993</x:v>
      </x:c>
      <x:c r="C32" s="19" t="n">
        <x:f>IF($A32="","",2*(A32-$T$405)/$T$406-1)</x:f>
        <x:v>1.0031187346847852</x:v>
      </x:c>
      <x:c r="D32" s="8" t="n">
        <x:f>IF($A32="","",$B$4*B32^$B$5+INDEX($E$4:$E$15,MONTH(A32)))</x:f>
        <x:v>352.73447220938715</x:v>
      </x:c>
      <x:c r="E32" s="8" t="n">
        <x:f>IF($A32="","",SQRT($T$403^2+H32^2))</x:f>
        <x:v>111.21196190604476</x:v>
      </x:c>
      <x:c r="F32" s="8" t="n">
        <x:f>IF($A32="","",D32-$T$404*E32)</x:f>
        <x:v>134.7322862997518</x:v>
      </x:c>
      <x:c r="G32" s="8" t="n">
        <x:f>IF($A32="","",D32+$T$404*E32)</x:f>
        <x:v>570.7366581190225</x:v>
      </x:c>
      <x:c r="H32" s="8" t="n">
        <x:f>IF($A32="","",SQRT(MAX(0,(B32^$B$5)*$S$409*(B32^$B$5)+(B32^$B$5)*$T$409*($B$4*B32^$B$5*LN(B32))+($B$4*B32^$B$5*LN(B32))*$S$410*(B32^$B$5)+($B$4*B32^$B$5*LN(B32))*$T$410*($B$4*B32^$B$5*LN(B32))+2*((B32^$B$5)*INDEX($S$416:$V$427,MONTH(A32),1)+($B$4*B32^$B$5*LN(B32))*INDEX($S$416:$V$427,MONTH(A32),2))+INDEX($W$416:$W$427,MONTH(A32)))))</x:f>
        <x:v>4.923559977675813</x:v>
      </x:c>
      <x:c r="I32" s="3"/>
      <x:c r="J32" s="10" t="n">
        <x:v>45883</x:v>
      </x:c>
      <x:c r="K32" s="8" t="n">
        <x:f>INDEX('Сводка'!$S$3:$S$397,U32)</x:f>
        <x:v>327</x:v>
      </x:c>
      <x:c r="L32" s="8" t="n">
        <x:f>INDEX('Сводка'!$S$3:$S$397,V32)</x:f>
        <x:v>323</x:v>
      </x:c>
      <x:c r="M32" s="8" t="n">
        <x:f>INDEX($K$388:$N$400,W32,1)*((J32-$T$405+1)/1000)^INDEX($K$388:$N$400,W32,2)+INDEX($O$388:$Z$400,W32,MONTH(J32))</x:f>
        <x:v>363.33604394952613</x:v>
      </x:c>
      <x:c r="N32" s="8" t="n">
        <x:f>K32-M32</x:f>
        <x:v>-36.33604394952613</x:v>
      </x:c>
      <x:c r="O32" s="8" t="n">
        <x:f>ABS(N32)</x:f>
        <x:v>36.33604394952613</x:v>
      </x:c>
      <x:c r="P32" s="8" t="n">
        <x:f>N32^2</x:f>
        <x:v>1320.3080899018944</x:v>
      </x:c>
      <x:c r="Q32" s="8" t="n">
        <x:f>K32-L32</x:f>
        <x:v>4</x:v>
      </x:c>
      <x:c r="R32" s="9" t="n">
        <x:f>IF(AND(INDEX('Сводка'!$T$3:$T$397,U32)=0,INDEX('Сводка'!$T$3:$T$397,V32)=0),1,0)</x:f>
        <x:v>1</x:v>
      </x:c>
      <x:c r="S32" s="9" t="n">
        <x:f>IF(AND(R32=1,O32&lt;=$G$13),1,0)</x:f>
        <x:v>0</x:v>
      </x:c>
      <x:c r="T32" s="10" t="n">
        <x:f>EOMONTH(J32-'Сводка'!$B$11,-1)</x:f>
        <x:v>45869</x:v>
      </x:c>
      <x:c r="U32" s="4" t="n">
        <x:f>MATCH(J32,'Сводка'!$R$3:$R$397,0)</x:f>
        <x:v>43</x:v>
      </x:c>
      <x:c r="V32" s="4" t="n">
        <x:f>MATCH(J32-'Сводка'!$B$11,'Сводка'!$R$3:$R$397,0)</x:f>
        <x:v>42</x:v>
      </x:c>
      <x:c r="W32" s="4" t="n">
        <x:f>MATCH(T32,$J$388:$J$400,0)</x:f>
        <x:v>2</x:v>
      </x:c>
      <x:c r="X32" s="3"/>
      <x:c r="Y32" s="3"/>
      <x:c r="Z32" s="3"/>
    </x:row>
    <x:row r="33" ht="15" customHeight="1">
      <x:c r="A33" s="10" t="n">
        <x:f>IF(15&lt;='Сводка'!$B$3,'Сводка'!$B$4+15,"")</x:f>
        <x:v>46250</x:v>
      </x:c>
      <x:c r="B33" s="19" t="n">
        <x:f>IF($A33="","",(A33-$T$405+1)/1000)</x:f>
        <x:v>8.994</x:v>
      </x:c>
      <x:c r="C33" s="19" t="n">
        <x:f>IF($A33="","",2*(A33-$T$405)/$T$406-1)</x:f>
        <x:v>1.0033415014479838</x:v>
      </x:c>
      <x:c r="D33" s="8" t="n">
        <x:f>IF($A33="","",$B$4*B33^$B$5+INDEX($E$4:$E$15,MONTH(A33)))</x:f>
        <x:v>352.74982938211355</x:v>
      </x:c>
      <x:c r="E33" s="8" t="n">
        <x:f>IF($A33="","",SQRT($T$403^2+H33^2))</x:f>
        <x:v>111.21198411517572</x:v>
      </x:c>
      <x:c r="F33" s="8" t="n">
        <x:f>IF($A33="","",D33-$T$404*E33)</x:f>
        <x:v>134.7475999372414</x:v>
      </x:c>
      <x:c r="G33" s="8" t="n">
        <x:f>IF($A33="","",D33+$T$404*E33)</x:f>
        <x:v>570.7520588269857</x:v>
      </x:c>
      <x:c r="H33" s="8" t="n">
        <x:f>IF($A33="","",SQRT(MAX(0,(B33^$B$5)*$S$409*(B33^$B$5)+(B33^$B$5)*$T$409*($B$4*B33^$B$5*LN(B33))+($B$4*B33^$B$5*LN(B33))*$S$410*(B33^$B$5)+($B$4*B33^$B$5*LN(B33))*$T$410*($B$4*B33^$B$5*LN(B33))+2*((B33^$B$5)*INDEX($S$416:$V$427,MONTH(A33),1)+($B$4*B33^$B$5*LN(B33))*INDEX($S$416:$V$427,MONTH(A33),2))+INDEX($W$416:$W$427,MONTH(A33)))))</x:f>
        <x:v>4.924061605658156</x:v>
      </x:c>
      <x:c r="I33" s="3"/>
      <x:c r="J33" s="10" t="n">
        <x:v>45884</x:v>
      </x:c>
      <x:c r="K33" s="8" t="n">
        <x:f>INDEX('Сводка'!$S$3:$S$397,U33)</x:f>
        <x:v>329</x:v>
      </x:c>
      <x:c r="L33" s="8" t="n">
        <x:f>INDEX('Сводка'!$S$3:$S$397,V33)</x:f>
        <x:v>327</x:v>
      </x:c>
      <x:c r="M33" s="8" t="n">
        <x:f>INDEX($K$388:$N$400,W33,1)*((J33-$T$405+1)/1000)^INDEX($K$388:$N$400,W33,2)+INDEX($O$388:$Z$400,W33,MONTH(J33))</x:f>
        <x:v>363.35557599976863</x:v>
      </x:c>
      <x:c r="N33" s="8" t="n">
        <x:f>K33-M33</x:f>
        <x:v>-34.35557599976863</x:v>
      </x:c>
      <x:c r="O33" s="8" t="n">
        <x:f>ABS(N33)</x:f>
        <x:v>34.35557599976863</x:v>
      </x:c>
      <x:c r="P33" s="8" t="n">
        <x:f>N33^2</x:f>
        <x:v>1180.3056022758785</x:v>
      </x:c>
      <x:c r="Q33" s="8" t="n">
        <x:f>K33-L33</x:f>
        <x:v>2</x:v>
      </x:c>
      <x:c r="R33" s="9" t="n">
        <x:f>IF(AND(INDEX('Сводка'!$T$3:$T$397,U33)=0,INDEX('Сводка'!$T$3:$T$397,V33)=0),1,0)</x:f>
        <x:v>1</x:v>
      </x:c>
      <x:c r="S33" s="9" t="n">
        <x:f>IF(AND(R33=1,O33&lt;=$G$13),1,0)</x:f>
        <x:v>0</x:v>
      </x:c>
      <x:c r="T33" s="10" t="n">
        <x:f>EOMONTH(J33-'Сводка'!$B$11,-1)</x:f>
        <x:v>45869</x:v>
      </x:c>
      <x:c r="U33" s="4" t="n">
        <x:f>MATCH(J33,'Сводка'!$R$3:$R$397,0)</x:f>
        <x:v>44</x:v>
      </x:c>
      <x:c r="V33" s="4" t="n">
        <x:f>MATCH(J33-'Сводка'!$B$11,'Сводка'!$R$3:$R$397,0)</x:f>
        <x:v>43</x:v>
      </x:c>
      <x:c r="W33" s="4" t="n">
        <x:f>MATCH(T33,$J$388:$J$400,0)</x:f>
        <x:v>2</x:v>
      </x:c>
      <x:c r="X33" s="3"/>
      <x:c r="Y33" s="3"/>
      <x:c r="Z33" s="3"/>
    </x:row>
    <x:row r="34" ht="15" customHeight="1">
      <x:c r="A34" s="10" t="n">
        <x:f>IF(16&lt;='Сводка'!$B$3,'Сводка'!$B$4+16,"")</x:f>
        <x:v>46251</x:v>
      </x:c>
      <x:c r="B34" s="19" t="n">
        <x:f>IF($A34="","",(A34-$T$405+1)/1000)</x:f>
        <x:v>8.995</x:v>
      </x:c>
      <x:c r="C34" s="19" t="n">
        <x:f>IF($A34="","",2*(A34-$T$405)/$T$406-1)</x:f>
        <x:v>1.003564268211183</x:v>
      </x:c>
      <x:c r="D34" s="8" t="n">
        <x:f>IF($A34="","",$B$4*B34^$B$5+INDEX($E$4:$E$15,MONTH(A34)))</x:f>
        <x:v>352.7651865308801</x:v>
      </x:c>
      <x:c r="E34" s="8" t="n">
        <x:f>IF($A34="","",SQRT($T$403^2+H34^2))</x:f>
        <x:v>111.21200633375845</x:v>
      </x:c>
      <x:c r="F34" s="8" t="n">
        <x:f>IF($A34="","",D34-$T$404*E34)</x:f>
        <x:v>134.76291353224343</x:v>
      </x:c>
      <x:c r="G34" s="8" t="n">
        <x:f>IF($A34="","",D34+$T$404*E34)</x:f>
        <x:v>570.7674595295168</x:v>
      </x:c>
      <x:c r="H34" s="8" t="n">
        <x:f>IF($A34="","",SQRT(MAX(0,(B34^$B$5)*$S$409*(B34^$B$5)+(B34^$B$5)*$T$409*($B$4*B34^$B$5*LN(B34))+($B$4*B34^$B$5*LN(B34))*$S$410*(B34^$B$5)+($B$4*B34^$B$5*LN(B34))*$T$410*($B$4*B34^$B$5*LN(B34))+2*((B34^$B$5)*INDEX($S$416:$V$427,MONTH(A34),1)+($B$4*B34^$B$5*LN(B34))*INDEX($S$416:$V$427,MONTH(A34),2))+INDEX($W$416:$W$427,MONTH(A34)))))</x:f>
        <x:v>4.924563396094096</x:v>
      </x:c>
      <x:c r="I34" s="3"/>
      <x:c r="J34" s="10" t="n">
        <x:v>45885</x:v>
      </x:c>
      <x:c r="K34" s="8" t="n">
        <x:f>INDEX('Сводка'!$S$3:$S$397,U34)</x:f>
        <x:v>329</x:v>
      </x:c>
      <x:c r="L34" s="8" t="n">
        <x:f>INDEX('Сводка'!$S$3:$S$397,V34)</x:f>
        <x:v>329</x:v>
      </x:c>
      <x:c r="M34" s="8" t="n">
        <x:f>INDEX($K$388:$N$400,W34,1)*((J34-$T$405+1)/1000)^INDEX($K$388:$N$400,W34,2)+INDEX($O$388:$Z$400,W34,MONTH(J34))</x:f>
        <x:v>363.3751083284802</x:v>
      </x:c>
      <x:c r="N34" s="8" t="n">
        <x:f>K34-M34</x:f>
        <x:v>-34.37510832848022</x:v>
      </x:c>
      <x:c r="O34" s="8" t="n">
        <x:f>ABS(N34)</x:f>
        <x:v>34.37510832848022</x:v>
      </x:c>
      <x:c r="P34" s="8" t="n">
        <x:f>N34^2</x:f>
        <x:v>1181.6480725947504</x:v>
      </x:c>
      <x:c r="Q34" s="8" t="n">
        <x:f>K34-L34</x:f>
        <x:v>0</x:v>
      </x:c>
      <x:c r="R34" s="9" t="n">
        <x:f>IF(AND(INDEX('Сводка'!$T$3:$T$397,U34)=0,INDEX('Сводка'!$T$3:$T$397,V34)=0),1,0)</x:f>
        <x:v>1</x:v>
      </x:c>
      <x:c r="S34" s="9" t="n">
        <x:f>IF(AND(R34=1,O34&lt;=$G$13),1,0)</x:f>
        <x:v>0</x:v>
      </x:c>
      <x:c r="T34" s="10" t="n">
        <x:f>EOMONTH(J34-'Сводка'!$B$11,-1)</x:f>
        <x:v>45869</x:v>
      </x:c>
      <x:c r="U34" s="4" t="n">
        <x:f>MATCH(J34,'Сводка'!$R$3:$R$397,0)</x:f>
        <x:v>45</x:v>
      </x:c>
      <x:c r="V34" s="4" t="n">
        <x:f>MATCH(J34-'Сводка'!$B$11,'Сводка'!$R$3:$R$397,0)</x:f>
        <x:v>44</x:v>
      </x:c>
      <x:c r="W34" s="4" t="n">
        <x:f>MATCH(T34,$J$388:$J$400,0)</x:f>
        <x:v>2</x:v>
      </x:c>
      <x:c r="X34" s="3"/>
      <x:c r="Y34" s="3"/>
      <x:c r="Z34" s="3"/>
    </x:row>
    <x:row r="35" ht="15" customHeight="1">
      <x:c r="A35" s="10" t="n">
        <x:f>IF(17&lt;='Сводка'!$B$3,'Сводка'!$B$4+17,"")</x:f>
        <x:v>46252</x:v>
      </x:c>
      <x:c r="B35" s="19" t="n">
        <x:f>IF($A35="","",(A35-$T$405+1)/1000)</x:f>
        <x:v>8.996</x:v>
      </x:c>
      <x:c r="C35" s="19" t="n">
        <x:f>IF($A35="","",2*(A35-$T$405)/$T$406-1)</x:f>
        <x:v>1.003787034974382</x:v>
      </x:c>
      <x:c r="D35" s="8" t="n">
        <x:f>IF($A35="","",$B$4*B35^$B$5+INDEX($E$4:$E$15,MONTH(A35)))</x:f>
        <x:v>352.7805436556896</x:v>
      </x:c>
      <x:c r="E35" s="8" t="n">
        <x:f>IF($A35="","",SQRT($T$403^2+H35^2))</x:f>
        <x:v>111.21202856179458</x:v>
      </x:c>
      <x:c r="F35" s="8" t="n">
        <x:f>IF($A35="","",D35-$T$404*E35)</x:f>
        <x:v>134.77822708475745</x:v>
      </x:c>
      <x:c r="G35" s="8" t="n">
        <x:f>IF($A35="","",D35+$T$404*E35)</x:f>
        <x:v>570.7828602266218</x:v>
      </x:c>
      <x:c r="H35" s="8" t="n">
        <x:f>IF($A35="","",SQRT(MAX(0,(B35^$B$5)*$S$409*(B35^$B$5)+(B35^$B$5)*$T$409*($B$4*B35^$B$5*LN(B35))+($B$4*B35^$B$5*LN(B35))*$S$410*(B35^$B$5)+($B$4*B35^$B$5*LN(B35))*$T$410*($B$4*B35^$B$5*LN(B35))+2*((B35^$B$5)*INDEX($S$416:$V$427,MONTH(A35),1)+($B$4*B35^$B$5*LN(B35))*INDEX($S$416:$V$427,MONTH(A35),2))+INDEX($W$416:$W$427,MONTH(A35)))))</x:f>
        <x:v>4.925065348971103</x:v>
      </x:c>
      <x:c r="I35" s="3"/>
      <x:c r="J35" s="10" t="n">
        <x:v>45886</x:v>
      </x:c>
      <x:c r="K35" s="8" t="n">
        <x:f>INDEX('Сводка'!$S$3:$S$397,U35)</x:f>
        <x:v>325</x:v>
      </x:c>
      <x:c r="L35" s="8" t="n">
        <x:f>INDEX('Сводка'!$S$3:$S$397,V35)</x:f>
        <x:v>329</x:v>
      </x:c>
      <x:c r="M35" s="8" t="n">
        <x:f>INDEX($K$388:$N$400,W35,1)*((J35-$T$405+1)/1000)^INDEX($K$388:$N$400,W35,2)+INDEX($O$388:$Z$400,W35,MONTH(J35))</x:f>
        <x:v>363.39464093563265</x:v>
      </x:c>
      <x:c r="N35" s="8" t="n">
        <x:f>K35-M35</x:f>
        <x:v>-38.39464093563265</x:v>
      </x:c>
      <x:c r="O35" s="8" t="n">
        <x:f>ABS(N35)</x:f>
        <x:v>38.39464093563265</x:v>
      </x:c>
      <x:c r="P35" s="8" t="n">
        <x:f>N35^2</x:f>
        <x:v>1474.1484525761584</x:v>
      </x:c>
      <x:c r="Q35" s="8" t="n">
        <x:f>K35-L35</x:f>
        <x:v>-4</x:v>
      </x:c>
      <x:c r="R35" s="9" t="n">
        <x:f>IF(AND(INDEX('Сводка'!$T$3:$T$397,U35)=0,INDEX('Сводка'!$T$3:$T$397,V35)=0),1,0)</x:f>
        <x:v>1</x:v>
      </x:c>
      <x:c r="S35" s="9" t="n">
        <x:f>IF(AND(R35=1,O35&lt;=$G$13),1,0)</x:f>
        <x:v>0</x:v>
      </x:c>
      <x:c r="T35" s="10" t="n">
        <x:f>EOMONTH(J35-'Сводка'!$B$11,-1)</x:f>
        <x:v>45869</x:v>
      </x:c>
      <x:c r="U35" s="4" t="n">
        <x:f>MATCH(J35,'Сводка'!$R$3:$R$397,0)</x:f>
        <x:v>46</x:v>
      </x:c>
      <x:c r="V35" s="4" t="n">
        <x:f>MATCH(J35-'Сводка'!$B$11,'Сводка'!$R$3:$R$397,0)</x:f>
        <x:v>45</x:v>
      </x:c>
      <x:c r="W35" s="4" t="n">
        <x:f>MATCH(T35,$J$388:$J$400,0)</x:f>
        <x:v>2</x:v>
      </x:c>
      <x:c r="X35" s="3"/>
      <x:c r="Y35" s="3"/>
      <x:c r="Z35" s="3"/>
    </x:row>
    <x:row r="36" ht="15" customHeight="1">
      <x:c r="A36" s="10" t="n">
        <x:f>IF(18&lt;='Сводка'!$B$3,'Сводка'!$B$4+18,"")</x:f>
        <x:v>46253</x:v>
      </x:c>
      <x:c r="B36" s="19" t="n">
        <x:f>IF($A36="","",(A36-$T$405+1)/1000)</x:f>
        <x:v>8.997</x:v>
      </x:c>
      <x:c r="C36" s="19" t="n">
        <x:f>IF($A36="","",2*(A36-$T$405)/$T$406-1)</x:f>
        <x:v>1.0040098017375807</x:v>
      </x:c>
      <x:c r="D36" s="8" t="n">
        <x:f>IF($A36="","",$B$4*B36^$B$5+INDEX($E$4:$E$15,MONTH(A36)))</x:f>
        <x:v>352.7959007565447</x:v>
      </x:c>
      <x:c r="E36" s="8" t="n">
        <x:f>IF($A36="","",SQRT($T$403^2+H36^2))</x:f>
        <x:v>111.21205079928578</x:v>
      </x:c>
      <x:c r="F36" s="8" t="n">
        <x:f>IF($A36="","",D36-$T$404*E36)</x:f>
        <x:v>134.79354059478288</x:v>
      </x:c>
      <x:c r="G36" s="8" t="n">
        <x:f>IF($A36="","",D36+$T$404*E36)</x:f>
        <x:v>570.7982609183066</x:v>
      </x:c>
      <x:c r="H36" s="8" t="n">
        <x:f>IF($A36="","",SQRT(MAX(0,(B36^$B$5)*$S$409*(B36^$B$5)+(B36^$B$5)*$T$409*($B$4*B36^$B$5*LN(B36))+($B$4*B36^$B$5*LN(B36))*$S$410*(B36^$B$5)+($B$4*B36^$B$5*LN(B36))*$T$410*($B$4*B36^$B$5*LN(B36))+2*((B36^$B$5)*INDEX($S$416:$V$427,MONTH(A36),1)+($B$4*B36^$B$5*LN(B36))*INDEX($S$416:$V$427,MONTH(A36),2))+INDEX($W$416:$W$427,MONTH(A36)))))</x:f>
        <x:v>4.925567464276615</x:v>
      </x:c>
      <x:c r="I36" s="3"/>
      <x:c r="J36" s="10" t="n">
        <x:v>45887</x:v>
      </x:c>
      <x:c r="K36" s="8" t="n">
        <x:f>INDEX('Сводка'!$S$3:$S$397,U36)</x:f>
        <x:v>320</x:v>
      </x:c>
      <x:c r="L36" s="8" t="n">
        <x:f>INDEX('Сводка'!$S$3:$S$397,V36)</x:f>
        <x:v>325</x:v>
      </x:c>
      <x:c r="M36" s="8" t="n">
        <x:f>INDEX($K$388:$N$400,W36,1)*((J36-$T$405+1)/1000)^INDEX($K$388:$N$400,W36,2)+INDEX($O$388:$Z$400,W36,MONTH(J36))</x:f>
        <x:v>363.41417382119755</x:v>
      </x:c>
      <x:c r="N36" s="8" t="n">
        <x:f>K36-M36</x:f>
        <x:v>-43.41417382119755</x:v>
      </x:c>
      <x:c r="O36" s="8" t="n">
        <x:f>ABS(N36)</x:f>
        <x:v>43.41417382119755</x:v>
      </x:c>
      <x:c r="P36" s="8" t="n">
        <x:f>N36^2</x:f>
        <x:v>1884.7904885771547</x:v>
      </x:c>
      <x:c r="Q36" s="8" t="n">
        <x:f>K36-L36</x:f>
        <x:v>-5</x:v>
      </x:c>
      <x:c r="R36" s="9" t="n">
        <x:f>IF(AND(INDEX('Сводка'!$T$3:$T$397,U36)=0,INDEX('Сводка'!$T$3:$T$397,V36)=0),1,0)</x:f>
        <x:v>1</x:v>
      </x:c>
      <x:c r="S36" s="9" t="n">
        <x:f>IF(AND(R36=1,O36&lt;=$G$13),1,0)</x:f>
        <x:v>0</x:v>
      </x:c>
      <x:c r="T36" s="10" t="n">
        <x:f>EOMONTH(J36-'Сводка'!$B$11,-1)</x:f>
        <x:v>45869</x:v>
      </x:c>
      <x:c r="U36" s="4" t="n">
        <x:f>MATCH(J36,'Сводка'!$R$3:$R$397,0)</x:f>
        <x:v>47</x:v>
      </x:c>
      <x:c r="V36" s="4" t="n">
        <x:f>MATCH(J36-'Сводка'!$B$11,'Сводка'!$R$3:$R$397,0)</x:f>
        <x:v>46</x:v>
      </x:c>
      <x:c r="W36" s="4" t="n">
        <x:f>MATCH(T36,$J$388:$J$400,0)</x:f>
        <x:v>2</x:v>
      </x:c>
      <x:c r="X36" s="3"/>
      <x:c r="Y36" s="3"/>
      <x:c r="Z36" s="3"/>
    </x:row>
    <x:row r="37" ht="15" customHeight="1">
      <x:c r="A37" s="10" t="n">
        <x:f>IF(19&lt;='Сводка'!$B$3,'Сводка'!$B$4+19,"")</x:f>
        <x:v>46254</x:v>
      </x:c>
      <x:c r="B37" s="19" t="n">
        <x:f>IF($A37="","",(A37-$T$405+1)/1000)</x:f>
        <x:v>8.998</x:v>
      </x:c>
      <x:c r="C37" s="19" t="n">
        <x:f>IF($A37="","",2*(A37-$T$405)/$T$406-1)</x:f>
        <x:v>1.0042325685007798</x:v>
      </x:c>
      <x:c r="D37" s="8" t="n">
        <x:f>IF($A37="","",$B$4*B37^$B$5+INDEX($E$4:$E$15,MONTH(A37)))</x:f>
        <x:v>352.81125783344817</x:v>
      </x:c>
      <x:c r="E37" s="8" t="n">
        <x:f>IF($A37="","",SQRT($T$403^2+H37^2))</x:f>
        <x:v>111.21207304623366</x:v>
      </x:c>
      <x:c r="F37" s="8" t="n">
        <x:f>IF($A37="","",D37-$T$404*E37)</x:f>
        <x:v>134.80885406231928</x:v>
      </x:c>
      <x:c r="G37" s="8" t="n">
        <x:f>IF($A37="","",D37+$T$404*E37)</x:f>
        <x:v>570.8136616045771</x:v>
      </x:c>
      <x:c r="H37" s="8" t="n">
        <x:f>IF($A37="","",SQRT(MAX(0,(B37^$B$5)*$S$409*(B37^$B$5)+(B37^$B$5)*$T$409*($B$4*B37^$B$5*LN(B37))+($B$4*B37^$B$5*LN(B37))*$S$410*(B37^$B$5)+($B$4*B37^$B$5*LN(B37))*$T$410*($B$4*B37^$B$5*LN(B37))+2*((B37^$B$5)*INDEX($S$416:$V$427,MONTH(A37),1)+($B$4*B37^$B$5*LN(B37))*INDEX($S$416:$V$427,MONTH(A37),2))+INDEX($W$416:$W$427,MONTH(A37)))))</x:f>
        <x:v>4.926069741998074</x:v>
      </x:c>
      <x:c r="I37" s="3"/>
      <x:c r="J37" s="10" t="n">
        <x:v>45888</x:v>
      </x:c>
      <x:c r="K37" s="8" t="n">
        <x:f>INDEX('Сводка'!$S$3:$S$397,U37)</x:f>
        <x:v>309</x:v>
      </x:c>
      <x:c r="L37" s="8" t="n">
        <x:f>INDEX('Сводка'!$S$3:$S$397,V37)</x:f>
        <x:v>320</x:v>
      </x:c>
      <x:c r="M37" s="8" t="n">
        <x:f>INDEX($K$388:$N$400,W37,1)*((J37-$T$405+1)/1000)^INDEX($K$388:$N$400,W37,2)+INDEX($O$388:$Z$400,W37,MONTH(J37))</x:f>
        <x:v>363.4337069851466</x:v>
      </x:c>
      <x:c r="N37" s="8" t="n">
        <x:f>K37-M37</x:f>
        <x:v>-54.433706985146614</x:v>
      </x:c>
      <x:c r="O37" s="8" t="n">
        <x:f>ABS(N37)</x:f>
        <x:v>54.433706985146614</x:v>
      </x:c>
      <x:c r="P37" s="8" t="n">
        <x:f>N37^2</x:f>
        <x:v>2963.0284561447993</x:v>
      </x:c>
      <x:c r="Q37" s="8" t="n">
        <x:f>K37-L37</x:f>
        <x:v>-11</x:v>
      </x:c>
      <x:c r="R37" s="9" t="n">
        <x:f>IF(AND(INDEX('Сводка'!$T$3:$T$397,U37)=0,INDEX('Сводка'!$T$3:$T$397,V37)=0),1,0)</x:f>
        <x:v>1</x:v>
      </x:c>
      <x:c r="S37" s="9" t="n">
        <x:f>IF(AND(R37=1,O37&lt;=$G$13),1,0)</x:f>
        <x:v>0</x:v>
      </x:c>
      <x:c r="T37" s="10" t="n">
        <x:f>EOMONTH(J37-'Сводка'!$B$11,-1)</x:f>
        <x:v>45869</x:v>
      </x:c>
      <x:c r="U37" s="4" t="n">
        <x:f>MATCH(J37,'Сводка'!$R$3:$R$397,0)</x:f>
        <x:v>48</x:v>
      </x:c>
      <x:c r="V37" s="4" t="n">
        <x:f>MATCH(J37-'Сводка'!$B$11,'Сводка'!$R$3:$R$397,0)</x:f>
        <x:v>47</x:v>
      </x:c>
      <x:c r="W37" s="4" t="n">
        <x:f>MATCH(T37,$J$388:$J$400,0)</x:f>
        <x:v>2</x:v>
      </x:c>
      <x:c r="X37" s="3"/>
      <x:c r="Y37" s="3"/>
      <x:c r="Z37" s="3"/>
    </x:row>
    <x:row r="38" ht="15" customHeight="1">
      <x:c r="A38" s="10" t="n">
        <x:f>IF(20&lt;='Сводка'!$B$3,'Сводка'!$B$4+20,"")</x:f>
        <x:v>46255</x:v>
      </x:c>
      <x:c r="B38" s="19" t="n">
        <x:f>IF($A38="","",(A38-$T$405+1)/1000)</x:f>
        <x:v>8.999</x:v>
      </x:c>
      <x:c r="C38" s="19" t="n">
        <x:f>IF($A38="","",2*(A38-$T$405)/$T$406-1)</x:f>
        <x:v>1.0044553352639785</x:v>
      </x:c>
      <x:c r="D38" s="8" t="n">
        <x:f>IF($A38="","",$B$4*B38^$B$5+INDEX($E$4:$E$15,MONTH(A38)))</x:f>
        <x:v>352.82661488640264</x:v>
      </x:c>
      <x:c r="E38" s="8" t="n">
        <x:f>IF($A38="","",SQRT($T$403^2+H38^2))</x:f>
        <x:v>111.21209530263985</x:v>
      </x:c>
      <x:c r="F38" s="8" t="n">
        <x:f>IF($A38="","",D38-$T$404*E38)</x:f>
        <x:v>134.8241674873661</x:v>
      </x:c>
      <x:c r="G38" s="8" t="n">
        <x:f>IF($A38="","",D38+$T$404*E38)</x:f>
        <x:v>570.8290622854391</x:v>
      </x:c>
      <x:c r="H38" s="8" t="n">
        <x:f>IF($A38="","",SQRT(MAX(0,(B38^$B$5)*$S$409*(B38^$B$5)+(B38^$B$5)*$T$409*($B$4*B38^$B$5*LN(B38))+($B$4*B38^$B$5*LN(B38))*$S$410*(B38^$B$5)+($B$4*B38^$B$5*LN(B38))*$T$410*($B$4*B38^$B$5*LN(B38))+2*((B38^$B$5)*INDEX($S$416:$V$427,MONTH(A38),1)+($B$4*B38^$B$5*LN(B38))*INDEX($S$416:$V$427,MONTH(A38),2))+INDEX($W$416:$W$427,MONTH(A38)))))</x:f>
        <x:v>4.926572182122907</x:v>
      </x:c>
      <x:c r="I38" s="3"/>
      <x:c r="J38" s="10" t="n">
        <x:v>45889</x:v>
      </x:c>
      <x:c r="K38" s="8" t="n">
        <x:f>INDEX('Сводка'!$S$3:$S$397,U38)</x:f>
        <x:v>296</x:v>
      </x:c>
      <x:c r="L38" s="8" t="n">
        <x:f>INDEX('Сводка'!$S$3:$S$397,V38)</x:f>
        <x:v>309</x:v>
      </x:c>
      <x:c r="M38" s="8" t="n">
        <x:f>INDEX($K$388:$N$400,W38,1)*((J38-$T$405+1)/1000)^INDEX($K$388:$N$400,W38,2)+INDEX($O$388:$Z$400,W38,MONTH(J38))</x:f>
        <x:v>363.45324042745165</x:v>
      </x:c>
      <x:c r="N38" s="8" t="n">
        <x:f>K38-M38</x:f>
        <x:v>-67.45324042745165</x:v>
      </x:c>
      <x:c r="O38" s="8" t="n">
        <x:f>ABS(N38)</x:f>
        <x:v>67.45324042745165</x:v>
      </x:c>
      <x:c r="P38" s="8" t="n">
        <x:f>N38^2</x:f>
        <x:v>4549.939644163597</x:v>
      </x:c>
      <x:c r="Q38" s="8" t="n">
        <x:f>K38-L38</x:f>
        <x:v>-13</x:v>
      </x:c>
      <x:c r="R38" s="9" t="n">
        <x:f>IF(AND(INDEX('Сводка'!$T$3:$T$397,U38)=0,INDEX('Сводка'!$T$3:$T$397,V38)=0),1,0)</x:f>
        <x:v>1</x:v>
      </x:c>
      <x:c r="S38" s="9" t="n">
        <x:f>IF(AND(R38=1,O38&lt;=$G$13),1,0)</x:f>
        <x:v>0</x:v>
      </x:c>
      <x:c r="T38" s="10" t="n">
        <x:f>EOMONTH(J38-'Сводка'!$B$11,-1)</x:f>
        <x:v>45869</x:v>
      </x:c>
      <x:c r="U38" s="4" t="n">
        <x:f>MATCH(J38,'Сводка'!$R$3:$R$397,0)</x:f>
        <x:v>49</x:v>
      </x:c>
      <x:c r="V38" s="4" t="n">
        <x:f>MATCH(J38-'Сводка'!$B$11,'Сводка'!$R$3:$R$397,0)</x:f>
        <x:v>48</x:v>
      </x:c>
      <x:c r="W38" s="4" t="n">
        <x:f>MATCH(T38,$J$388:$J$400,0)</x:f>
        <x:v>2</x:v>
      </x:c>
      <x:c r="X38" s="3"/>
      <x:c r="Y38" s="3"/>
      <x:c r="Z38" s="3"/>
    </x:row>
    <x:row r="39" ht="15" customHeight="1">
      <x:c r="A39" s="10" t="n">
        <x:f>IF(21&lt;='Сводка'!$B$3,'Сводка'!$B$4+21,"")</x:f>
        <x:v>46256</x:v>
      </x:c>
      <x:c r="B39" s="19" t="n">
        <x:f>IF($A39="","",(A39-$T$405+1)/1000)</x:f>
        <x:v>9</x:v>
      </x:c>
      <x:c r="C39" s="19" t="n">
        <x:f>IF($A39="","",2*(A39-$T$405)/$T$406-1)</x:f>
        <x:v>1.0046781020271776</x:v>
      </x:c>
      <x:c r="D39" s="8" t="n">
        <x:f>IF($A39="","",$B$4*B39^$B$5+INDEX($E$4:$E$15,MONTH(A39)))</x:f>
        <x:v>352.8419719154108</x:v>
      </x:c>
      <x:c r="E39" s="8" t="n">
        <x:f>IF($A39="","",SQRT($T$403^2+H39^2))</x:f>
        <x:v>111.212117568506</x:v>
      </x:c>
      <x:c r="F39" s="8" t="n">
        <x:f>IF($A39="","",D39-$T$404*E39)</x:f>
        <x:v>134.83948086992285</x:v>
      </x:c>
      <x:c r="G39" s="8" t="n">
        <x:f>IF($A39="","",D39+$T$404*E39)</x:f>
        <x:v>570.8444629608987</x:v>
      </x:c>
      <x:c r="H39" s="8" t="n">
        <x:f>IF($A39="","",SQRT(MAX(0,(B39^$B$5)*$S$409*(B39^$B$5)+(B39^$B$5)*$T$409*($B$4*B39^$B$5*LN(B39))+($B$4*B39^$B$5*LN(B39))*$S$410*(B39^$B$5)+($B$4*B39^$B$5*LN(B39))*$T$410*($B$4*B39^$B$5*LN(B39))+2*((B39^$B$5)*INDEX($S$416:$V$427,MONTH(A39),1)+($B$4*B39^$B$5*LN(B39))*INDEX($S$416:$V$427,MONTH(A39),2))+INDEX($W$416:$W$427,MONTH(A39)))))</x:f>
        <x:v>4.927074784638518</x:v>
      </x:c>
      <x:c r="I39" s="3"/>
      <x:c r="J39" s="10" t="n">
        <x:v>45890</x:v>
      </x:c>
      <x:c r="K39" s="8" t="n">
        <x:f>INDEX('Сводка'!$S$3:$S$397,U39)</x:f>
        <x:v>282</x:v>
      </x:c>
      <x:c r="L39" s="8" t="n">
        <x:f>INDEX('Сводка'!$S$3:$S$397,V39)</x:f>
        <x:v>296</x:v>
      </x:c>
      <x:c r="M39" s="8" t="n">
        <x:f>INDEX($K$388:$N$400,W39,1)*((J39-$T$405+1)/1000)^INDEX($K$388:$N$400,W39,2)+INDEX($O$388:$Z$400,W39,MONTH(J39))</x:f>
        <x:v>363.4727741480843</x:v>
      </x:c>
      <x:c r="N39" s="8" t="n">
        <x:f>K39-M39</x:f>
        <x:v>-81.47277414808428</x:v>
      </x:c>
      <x:c r="O39" s="8" t="n">
        <x:f>ABS(N39)</x:f>
        <x:v>81.47277414808428</x:v>
      </x:c>
      <x:c r="P39" s="8" t="n">
        <x:f>N39^2</x:f>
        <x:v>6637.812927384751</x:v>
      </x:c>
      <x:c r="Q39" s="8" t="n">
        <x:f>K39-L39</x:f>
        <x:v>-14</x:v>
      </x:c>
      <x:c r="R39" s="9" t="n">
        <x:f>IF(AND(INDEX('Сводка'!$T$3:$T$397,U39)=0,INDEX('Сводка'!$T$3:$T$397,V39)=0),1,0)</x:f>
        <x:v>1</x:v>
      </x:c>
      <x:c r="S39" s="9" t="n">
        <x:f>IF(AND(R39=1,O39&lt;=$G$13),1,0)</x:f>
        <x:v>0</x:v>
      </x:c>
      <x:c r="T39" s="10" t="n">
        <x:f>EOMONTH(J39-'Сводка'!$B$11,-1)</x:f>
        <x:v>45869</x:v>
      </x:c>
      <x:c r="U39" s="4" t="n">
        <x:f>MATCH(J39,'Сводка'!$R$3:$R$397,0)</x:f>
        <x:v>50</x:v>
      </x:c>
      <x:c r="V39" s="4" t="n">
        <x:f>MATCH(J39-'Сводка'!$B$11,'Сводка'!$R$3:$R$397,0)</x:f>
        <x:v>49</x:v>
      </x:c>
      <x:c r="W39" s="4" t="n">
        <x:f>MATCH(T39,$J$388:$J$400,0)</x:f>
        <x:v>2</x:v>
      </x:c>
      <x:c r="X39" s="3"/>
      <x:c r="Y39" s="3"/>
      <x:c r="Z39" s="3"/>
    </x:row>
    <x:row r="40" ht="15" customHeight="1">
      <x:c r="A40" s="10" t="n">
        <x:f>IF(22&lt;='Сводка'!$B$3,'Сводка'!$B$4+22,"")</x:f>
        <x:v>46257</x:v>
      </x:c>
      <x:c r="B40" s="19" t="n">
        <x:f>IF($A40="","",(A40-$T$405+1)/1000)</x:f>
        <x:v>9.001</x:v>
      </x:c>
      <x:c r="C40" s="19" t="n">
        <x:f>IF($A40="","",2*(A40-$T$405)/$T$406-1)</x:f>
        <x:v>1.0049008687903767</x:v>
      </x:c>
      <x:c r="D40" s="8" t="n">
        <x:f>IF($A40="","",$B$4*B40^$B$5+INDEX($E$4:$E$15,MONTH(A40)))</x:f>
        <x:v>352.85732892047537</x:v>
      </x:c>
      <x:c r="E40" s="8" t="n">
        <x:f>IF($A40="","",SQRT($T$403^2+H40^2))</x:f>
        <x:v>111.21213984383375</x:v>
      </x:c>
      <x:c r="F40" s="8" t="n">
        <x:f>IF($A40="","",D40-$T$404*E40)</x:f>
        <x:v>134.854794209989</x:v>
      </x:c>
      <x:c r="G40" s="8" t="n">
        <x:f>IF($A40="","",D40+$T$404*E40)</x:f>
        <x:v>570.8598636309617</x:v>
      </x:c>
      <x:c r="H40" s="8" t="n">
        <x:f>IF($A40="","",SQRT(MAX(0,(B40^$B$5)*$S$409*(B40^$B$5)+(B40^$B$5)*$T$409*($B$4*B40^$B$5*LN(B40))+($B$4*B40^$B$5*LN(B40))*$S$410*(B40^$B$5)+($B$4*B40^$B$5*LN(B40))*$T$410*($B$4*B40^$B$5*LN(B40))+2*((B40^$B$5)*INDEX($S$416:$V$427,MONTH(A40),1)+($B$4*B40^$B$5*LN(B40))*INDEX($S$416:$V$427,MONTH(A40),2))+INDEX($W$416:$W$427,MONTH(A40)))))</x:f>
        <x:v>4.927577549532306</x:v>
      </x:c>
      <x:c r="I40" s="3"/>
      <x:c r="J40" s="10" t="n">
        <x:v>45891</x:v>
      </x:c>
      <x:c r="K40" s="8" t="n">
        <x:f>INDEX('Сводка'!$S$3:$S$397,U40)</x:f>
        <x:v>270</x:v>
      </x:c>
      <x:c r="L40" s="8" t="n">
        <x:f>INDEX('Сводка'!$S$3:$S$397,V40)</x:f>
        <x:v>282</x:v>
      </x:c>
      <x:c r="M40" s="8" t="n">
        <x:f>INDEX($K$388:$N$400,W40,1)*((J40-$T$405+1)/1000)^INDEX($K$388:$N$400,W40,2)+INDEX($O$388:$Z$400,W40,MONTH(J40))</x:f>
        <x:v>363.4923081470163</x:v>
      </x:c>
      <x:c r="N40" s="8" t="n">
        <x:f>K40-M40</x:f>
        <x:v>-93.49230814701627</x:v>
      </x:c>
      <x:c r="O40" s="8" t="n">
        <x:f>ABS(N40)</x:f>
        <x:v>93.49230814701627</x:v>
      </x:c>
      <x:c r="P40" s="8" t="n">
        <x:f>N40^2</x:f>
        <x:v>8740.811682656646</x:v>
      </x:c>
      <x:c r="Q40" s="8" t="n">
        <x:f>K40-L40</x:f>
        <x:v>-12</x:v>
      </x:c>
      <x:c r="R40" s="9" t="n">
        <x:f>IF(AND(INDEX('Сводка'!$T$3:$T$397,U40)=0,INDEX('Сводка'!$T$3:$T$397,V40)=0),1,0)</x:f>
        <x:v>1</x:v>
      </x:c>
      <x:c r="S40" s="9" t="n">
        <x:f>IF(AND(R40=1,O40&lt;=$G$13),1,0)</x:f>
        <x:v>0</x:v>
      </x:c>
      <x:c r="T40" s="10" t="n">
        <x:f>EOMONTH(J40-'Сводка'!$B$11,-1)</x:f>
        <x:v>45869</x:v>
      </x:c>
      <x:c r="U40" s="4" t="n">
        <x:f>MATCH(J40,'Сводка'!$R$3:$R$397,0)</x:f>
        <x:v>51</x:v>
      </x:c>
      <x:c r="V40" s="4" t="n">
        <x:f>MATCH(J40-'Сводка'!$B$11,'Сводка'!$R$3:$R$397,0)</x:f>
        <x:v>50</x:v>
      </x:c>
      <x:c r="W40" s="4" t="n">
        <x:f>MATCH(T40,$J$388:$J$400,0)</x:f>
        <x:v>2</x:v>
      </x:c>
      <x:c r="X40" s="3"/>
      <x:c r="Y40" s="3"/>
      <x:c r="Z40" s="3"/>
    </x:row>
    <x:row r="41" ht="15" customHeight="1">
      <x:c r="A41" s="10" t="n">
        <x:f>IF(23&lt;='Сводка'!$B$3,'Сводка'!$B$4+23,"")</x:f>
        <x:v>46258</x:v>
      </x:c>
      <x:c r="B41" s="19" t="n">
        <x:f>IF($A41="","",(A41-$T$405+1)/1000)</x:f>
        <x:v>9.002</x:v>
      </x:c>
      <x:c r="C41" s="19" t="n">
        <x:f>IF($A41="","",2*(A41-$T$405)/$T$406-1)</x:f>
        <x:v>1.0051236355535753</x:v>
      </x:c>
      <x:c r="D41" s="8" t="n">
        <x:f>IF($A41="","",$B$4*B41^$B$5+INDEX($E$4:$E$15,MONTH(A41)))</x:f>
        <x:v>352.8726859015991</x:v>
      </x:c>
      <x:c r="E41" s="8" t="n">
        <x:f>IF($A41="","",SQRT($T$403^2+H41^2))</x:f>
        <x:v>111.21216212862474</x:v>
      </x:c>
      <x:c r="F41" s="8" t="n">
        <x:f>IF($A41="","",D41-$T$404*E41)</x:f>
        <x:v>134.8701075075641</x:v>
      </x:c>
      <x:c r="G41" s="8" t="n">
        <x:f>IF($A41="","",D41+$T$404*E41)</x:f>
        <x:v>570.8752642956341</x:v>
      </x:c>
      <x:c r="H41" s="8" t="n">
        <x:f>IF($A41="","",SQRT(MAX(0,(B41^$B$5)*$S$409*(B41^$B$5)+(B41^$B$5)*$T$409*($B$4*B41^$B$5*LN(B41))+($B$4*B41^$B$5*LN(B41))*$S$410*(B41^$B$5)+($B$4*B41^$B$5*LN(B41))*$T$410*($B$4*B41^$B$5*LN(B41))+2*((B41^$B$5)*INDEX($S$416:$V$427,MONTH(A41),1)+($B$4*B41^$B$5*LN(B41))*INDEX($S$416:$V$427,MONTH(A41),2))+INDEX($W$416:$W$427,MONTH(A41)))))</x:f>
        <x:v>4.928080476791658</x:v>
      </x:c>
      <x:c r="I41" s="3"/>
      <x:c r="J41" s="10" t="n">
        <x:v>45892</x:v>
      </x:c>
      <x:c r="K41" s="8" t="n">
        <x:f>INDEX('Сводка'!$S$3:$S$397,U41)</x:f>
        <x:v>255</x:v>
      </x:c>
      <x:c r="L41" s="8" t="n">
        <x:f>INDEX('Сводка'!$S$3:$S$397,V41)</x:f>
        <x:v>270</x:v>
      </x:c>
      <x:c r="M41" s="8" t="n">
        <x:f>INDEX($K$388:$N$400,W41,1)*((J41-$T$405+1)/1000)^INDEX($K$388:$N$400,W41,2)+INDEX($O$388:$Z$400,W41,MONTH(J41))</x:f>
        <x:v>363.51184242421937</x:v>
      </x:c>
      <x:c r="N41" s="8" t="n">
        <x:f>K41-M41</x:f>
        <x:v>-108.51184242421937</x:v>
      </x:c>
      <x:c r="O41" s="8" t="n">
        <x:f>ABS(N41)</x:f>
        <x:v>108.51184242421937</x:v>
      </x:c>
      <x:c r="P41" s="8" t="n">
        <x:f>N41^2</x:f>
        <x:v>11774.819946298614</x:v>
      </x:c>
      <x:c r="Q41" s="8" t="n">
        <x:f>K41-L41</x:f>
        <x:v>-15</x:v>
      </x:c>
      <x:c r="R41" s="9" t="n">
        <x:f>IF(AND(INDEX('Сводка'!$T$3:$T$397,U41)=0,INDEX('Сводка'!$T$3:$T$397,V41)=0),1,0)</x:f>
        <x:v>1</x:v>
      </x:c>
      <x:c r="S41" s="9" t="n">
        <x:f>IF(AND(R41=1,O41&lt;=$G$13),1,0)</x:f>
        <x:v>0</x:v>
      </x:c>
      <x:c r="T41" s="10" t="n">
        <x:f>EOMONTH(J41-'Сводка'!$B$11,-1)</x:f>
        <x:v>45869</x:v>
      </x:c>
      <x:c r="U41" s="4" t="n">
        <x:f>MATCH(J41,'Сводка'!$R$3:$R$397,0)</x:f>
        <x:v>52</x:v>
      </x:c>
      <x:c r="V41" s="4" t="n">
        <x:f>MATCH(J41-'Сводка'!$B$11,'Сводка'!$R$3:$R$397,0)</x:f>
        <x:v>51</x:v>
      </x:c>
      <x:c r="W41" s="4" t="n">
        <x:f>MATCH(T41,$J$388:$J$400,0)</x:f>
        <x:v>2</x:v>
      </x:c>
      <x:c r="X41" s="3"/>
      <x:c r="Y41" s="3"/>
      <x:c r="Z41" s="3"/>
    </x:row>
    <x:row r="42" ht="15" customHeight="1">
      <x:c r="A42" s="10" t="n">
        <x:f>IF(24&lt;='Сводка'!$B$3,'Сводка'!$B$4+24,"")</x:f>
        <x:v>46259</x:v>
      </x:c>
      <x:c r="B42" s="19" t="n">
        <x:f>IF($A42="","",(A42-$T$405+1)/1000)</x:f>
        <x:v>9.003</x:v>
      </x:c>
      <x:c r="C42" s="19" t="n">
        <x:f>IF($A42="","",2*(A42-$T$405)/$T$406-1)</x:f>
        <x:v>1.0053464023167744</x:v>
      </x:c>
      <x:c r="D42" s="8" t="n">
        <x:f>IF($A42="","",$B$4*B42^$B$5+INDEX($E$4:$E$15,MONTH(A42)))</x:f>
        <x:v>352.88804285878456</x:v>
      </x:c>
      <x:c r="E42" s="8" t="n">
        <x:f>IF($A42="","",SQRT($T$403^2+H42^2))</x:f>
        <x:v>111.2121844228806</x:v>
      </x:c>
      <x:c r="F42" s="8" t="n">
        <x:f>IF($A42="","",D42-$T$404*E42)</x:f>
        <x:v>134.8854207626475</x:v>
      </x:c>
      <x:c r="G42" s="8" t="n">
        <x:f>IF($A42="","",D42+$T$404*E42)</x:f>
        <x:v>570.8906649549216</x:v>
      </x:c>
      <x:c r="H42" s="8" t="n">
        <x:f>IF($A42="","",SQRT(MAX(0,(B42^$B$5)*$S$409*(B42^$B$5)+(B42^$B$5)*$T$409*($B$4*B42^$B$5*LN(B42))+($B$4*B42^$B$5*LN(B42))*$S$410*(B42^$B$5)+($B$4*B42^$B$5*LN(B42))*$T$410*($B$4*B42^$B$5*LN(B42))+2*((B42^$B$5)*INDEX($S$416:$V$427,MONTH(A42),1)+($B$4*B42^$B$5*LN(B42))*INDEX($S$416:$V$427,MONTH(A42),2))+INDEX($W$416:$W$427,MONTH(A42)))))</x:f>
        <x:v>4.92858356640395</x:v>
      </x:c>
      <x:c r="I42" s="3"/>
      <x:c r="J42" s="10" t="n">
        <x:v>45893</x:v>
      </x:c>
      <x:c r="K42" s="8" t="n">
        <x:f>INDEX('Сводка'!$S$3:$S$397,U42)</x:f>
        <x:v>245</x:v>
      </x:c>
      <x:c r="L42" s="8" t="n">
        <x:f>INDEX('Сводка'!$S$3:$S$397,V42)</x:f>
        <x:v>255</x:v>
      </x:c>
      <x:c r="M42" s="8" t="n">
        <x:f>INDEX($K$388:$N$400,W42,1)*((J42-$T$405+1)/1000)^INDEX($K$388:$N$400,W42,2)+INDEX($O$388:$Z$400,W42,MONTH(J42))</x:f>
        <x:v>363.5313769796654</x:v>
      </x:c>
      <x:c r="N42" s="8" t="n">
        <x:f>K42-M42</x:f>
        <x:v>-118.53137697966542</x:v>
      </x:c>
      <x:c r="O42" s="8" t="n">
        <x:f>ABS(N42)</x:f>
        <x:v>118.53137697966542</x:v>
      </x:c>
      <x:c r="P42" s="8" t="n">
        <x:f>N42^2</x:f>
        <x:v>14049.687328695558</x:v>
      </x:c>
      <x:c r="Q42" s="8" t="n">
        <x:f>K42-L42</x:f>
        <x:v>-10</x:v>
      </x:c>
      <x:c r="R42" s="9" t="n">
        <x:f>IF(AND(INDEX('Сводка'!$T$3:$T$397,U42)=0,INDEX('Сводка'!$T$3:$T$397,V42)=0),1,0)</x:f>
        <x:v>1</x:v>
      </x:c>
      <x:c r="S42" s="9" t="n">
        <x:f>IF(AND(R42=1,O42&lt;=$G$13),1,0)</x:f>
        <x:v>0</x:v>
      </x:c>
      <x:c r="T42" s="10" t="n">
        <x:f>EOMONTH(J42-'Сводка'!$B$11,-1)</x:f>
        <x:v>45869</x:v>
      </x:c>
      <x:c r="U42" s="4" t="n">
        <x:f>MATCH(J42,'Сводка'!$R$3:$R$397,0)</x:f>
        <x:v>53</x:v>
      </x:c>
      <x:c r="V42" s="4" t="n">
        <x:f>MATCH(J42-'Сводка'!$B$11,'Сводка'!$R$3:$R$397,0)</x:f>
        <x:v>52</x:v>
      </x:c>
      <x:c r="W42" s="4" t="n">
        <x:f>MATCH(T42,$J$388:$J$400,0)</x:f>
        <x:v>2</x:v>
      </x:c>
      <x:c r="X42" s="3"/>
      <x:c r="Y42" s="3"/>
      <x:c r="Z42" s="3"/>
    </x:row>
    <x:row r="43" ht="15" customHeight="1">
      <x:c r="A43" s="10" t="n">
        <x:f>IF(25&lt;='Сводка'!$B$3,'Сводка'!$B$4+25,"")</x:f>
        <x:v>46260</x:v>
      </x:c>
      <x:c r="B43" s="19" t="n">
        <x:f>IF($A43="","",(A43-$T$405+1)/1000)</x:f>
        <x:v>9.004</x:v>
      </x:c>
      <x:c r="C43" s="19" t="n">
        <x:f>IF($A43="","",2*(A43-$T$405)/$T$406-1)</x:f>
        <x:v>1.005569169079973</x:v>
      </x:c>
      <x:c r="D43" s="8" t="n">
        <x:f>IF($A43="","",$B$4*B43^$B$5+INDEX($E$4:$E$15,MONTH(A43)))</x:f>
        <x:v>352.9033997920346</x:v>
      </x:c>
      <x:c r="E43" s="8" t="n">
        <x:f>IF($A43="","",SQRT($T$403^2+H43^2))</x:f>
        <x:v>111.21220672660297</x:v>
      </x:c>
      <x:c r="F43" s="8" t="n">
        <x:f>IF($A43="","",D43-$T$404*E43)</x:f>
        <x:v>134.9007339752388</x:v>
      </x:c>
      <x:c r="G43" s="8" t="n">
        <x:f>IF($A43="","",D43+$T$404*E43)</x:f>
        <x:v>570.9060656088303</x:v>
      </x:c>
      <x:c r="H43" s="8" t="n">
        <x:f>IF($A43="","",SQRT(MAX(0,(B43^$B$5)*$S$409*(B43^$B$5)+(B43^$B$5)*$T$409*($B$4*B43^$B$5*LN(B43))+($B$4*B43^$B$5*LN(B43))*$S$410*(B43^$B$5)+($B$4*B43^$B$5*LN(B43))*$T$410*($B$4*B43^$B$5*LN(B43))+2*((B43^$B$5)*INDEX($S$416:$V$427,MONTH(A43),1)+($B$4*B43^$B$5*LN(B43))*INDEX($S$416:$V$427,MONTH(A43),2))+INDEX($W$416:$W$427,MONTH(A43)))))</x:f>
        <x:v>4.929086818356535</x:v>
      </x:c>
      <x:c r="I43" s="3"/>
      <x:c r="J43" s="10" t="n">
        <x:v>45894</x:v>
      </x:c>
      <x:c r="K43" s="8" t="n">
        <x:f>INDEX('Сводка'!$S$3:$S$397,U43)</x:f>
        <x:v>235</x:v>
      </x:c>
      <x:c r="L43" s="8" t="n">
        <x:f>INDEX('Сводка'!$S$3:$S$397,V43)</x:f>
        <x:v>245</x:v>
      </x:c>
      <x:c r="M43" s="8" t="n">
        <x:f>INDEX($K$388:$N$400,W43,1)*((J43-$T$405+1)/1000)^INDEX($K$388:$N$400,W43,2)+INDEX($O$388:$Z$400,W43,MONTH(J43))</x:f>
        <x:v>363.5509118133259</x:v>
      </x:c>
      <x:c r="N43" s="8" t="n">
        <x:f>K43-M43</x:f>
        <x:v>-128.5509118133259</x:v>
      </x:c>
      <x:c r="O43" s="8" t="n">
        <x:f>ABS(N43)</x:f>
        <x:v>128.5509118133259</x:v>
      </x:c>
      <x:c r="P43" s="8" t="n">
        <x:f>N43^2</x:f>
        <x:v>16525.336928037494</x:v>
      </x:c>
      <x:c r="Q43" s="8" t="n">
        <x:f>K43-L43</x:f>
        <x:v>-10</x:v>
      </x:c>
      <x:c r="R43" s="9" t="n">
        <x:f>IF(AND(INDEX('Сводка'!$T$3:$T$397,U43)=0,INDEX('Сводка'!$T$3:$T$397,V43)=0),1,0)</x:f>
        <x:v>1</x:v>
      </x:c>
      <x:c r="S43" s="9" t="n">
        <x:f>IF(AND(R43=1,O43&lt;=$G$13),1,0)</x:f>
        <x:v>0</x:v>
      </x:c>
      <x:c r="T43" s="10" t="n">
        <x:f>EOMONTH(J43-'Сводка'!$B$11,-1)</x:f>
        <x:v>45869</x:v>
      </x:c>
      <x:c r="U43" s="4" t="n">
        <x:f>MATCH(J43,'Сводка'!$R$3:$R$397,0)</x:f>
        <x:v>54</x:v>
      </x:c>
      <x:c r="V43" s="4" t="n">
        <x:f>MATCH(J43-'Сводка'!$B$11,'Сводка'!$R$3:$R$397,0)</x:f>
        <x:v>53</x:v>
      </x:c>
      <x:c r="W43" s="4" t="n">
        <x:f>MATCH(T43,$J$388:$J$400,0)</x:f>
        <x:v>2</x:v>
      </x:c>
      <x:c r="X43" s="3"/>
      <x:c r="Y43" s="3"/>
      <x:c r="Z43" s="3"/>
    </x:row>
    <x:row r="44" ht="15" customHeight="1">
      <x:c r="A44" s="10" t="n">
        <x:f>IF(26&lt;='Сводка'!$B$3,'Сводка'!$B$4+26,"")</x:f>
        <x:v>46261</x:v>
      </x:c>
      <x:c r="B44" s="19" t="n">
        <x:f>IF($A44="","",(A44-$T$405+1)/1000)</x:f>
        <x:v>9.005</x:v>
      </x:c>
      <x:c r="C44" s="19" t="n">
        <x:f>IF($A44="","",2*(A44-$T$405)/$T$406-1)</x:f>
        <x:v>1.0057919358431722</x:v>
      </x:c>
      <x:c r="D44" s="8" t="n">
        <x:f>IF($A44="","",$B$4*B44^$B$5+INDEX($E$4:$E$15,MONTH(A44)))</x:f>
        <x:v>352.9187567013518</x:v>
      </x:c>
      <x:c r="E44" s="8" t="n">
        <x:f>IF($A44="","",SQRT($T$403^2+H44^2))</x:f>
        <x:v>111.2122290397935</x:v>
      </x:c>
      <x:c r="F44" s="8" t="n">
        <x:f>IF($A44="","",D44-$T$404*E44)</x:f>
        <x:v>134.91604714533744</x:v>
      </x:c>
      <x:c r="G44" s="8" t="n">
        <x:f>IF($A44="","",D44+$T$404*E44)</x:f>
        <x:v>570.9214662573662</x:v>
      </x:c>
      <x:c r="H44" s="8" t="n">
        <x:f>IF($A44="","",SQRT(MAX(0,(B44^$B$5)*$S$409*(B44^$B$5)+(B44^$B$5)*$T$409*($B$4*B44^$B$5*LN(B44))+($B$4*B44^$B$5*LN(B44))*$S$410*(B44^$B$5)+($B$4*B44^$B$5*LN(B44))*$T$410*($B$4*B44^$B$5*LN(B44))+2*((B44^$B$5)*INDEX($S$416:$V$427,MONTH(A44),1)+($B$4*B44^$B$5*LN(B44))*INDEX($S$416:$V$427,MONTH(A44),2))+INDEX($W$416:$W$427,MONTH(A44)))))</x:f>
        <x:v>4.929590232636755</x:v>
      </x:c>
      <x:c r="I44" s="3"/>
      <x:c r="J44" s="10" t="n">
        <x:v>45895</x:v>
      </x:c>
      <x:c r="K44" s="8" t="n">
        <x:f>INDEX('Сводка'!$S$3:$S$397,U44)</x:f>
        <x:v>227</x:v>
      </x:c>
      <x:c r="L44" s="8" t="n">
        <x:f>INDEX('Сводка'!$S$3:$S$397,V44)</x:f>
        <x:v>235</x:v>
      </x:c>
      <x:c r="M44" s="8" t="n">
        <x:f>INDEX($K$388:$N$400,W44,1)*((J44-$T$405+1)/1000)^INDEX($K$388:$N$400,W44,2)+INDEX($O$388:$Z$400,W44,MONTH(J44))</x:f>
        <x:v>363.57044692517286</x:v>
      </x:c>
      <x:c r="N44" s="8" t="n">
        <x:f>K44-M44</x:f>
        <x:v>-136.57044692517286</x:v>
      </x:c>
      <x:c r="O44" s="8" t="n">
        <x:f>ABS(N44)</x:f>
        <x:v>136.57044692517286</x:v>
      </x:c>
      <x:c r="P44" s="8" t="n">
        <x:f>N44^2</x:f>
        <x:v>18651.486973341456</x:v>
      </x:c>
      <x:c r="Q44" s="8" t="n">
        <x:f>K44-L44</x:f>
        <x:v>-8</x:v>
      </x:c>
      <x:c r="R44" s="9" t="n">
        <x:f>IF(AND(INDEX('Сводка'!$T$3:$T$397,U44)=0,INDEX('Сводка'!$T$3:$T$397,V44)=0),1,0)</x:f>
        <x:v>1</x:v>
      </x:c>
      <x:c r="S44" s="9" t="n">
        <x:f>IF(AND(R44=1,O44&lt;=$G$13),1,0)</x:f>
        <x:v>0</x:v>
      </x:c>
      <x:c r="T44" s="10" t="n">
        <x:f>EOMONTH(J44-'Сводка'!$B$11,-1)</x:f>
        <x:v>45869</x:v>
      </x:c>
      <x:c r="U44" s="4" t="n">
        <x:f>MATCH(J44,'Сводка'!$R$3:$R$397,0)</x:f>
        <x:v>55</x:v>
      </x:c>
      <x:c r="V44" s="4" t="n">
        <x:f>MATCH(J44-'Сводка'!$B$11,'Сводка'!$R$3:$R$397,0)</x:f>
        <x:v>54</x:v>
      </x:c>
      <x:c r="W44" s="4" t="n">
        <x:f>MATCH(T44,$J$388:$J$400,0)</x:f>
        <x:v>2</x:v>
      </x:c>
      <x:c r="X44" s="3"/>
      <x:c r="Y44" s="3"/>
      <x:c r="Z44" s="3"/>
    </x:row>
    <x:row r="45" ht="15" customHeight="1">
      <x:c r="A45" s="10" t="n">
        <x:f>IF(27&lt;='Сводка'!$B$3,'Сводка'!$B$4+27,"")</x:f>
        <x:v>46262</x:v>
      </x:c>
      <x:c r="B45" s="19" t="n">
        <x:f>IF($A45="","",(A45-$T$405+1)/1000)</x:f>
        <x:v>9.006</x:v>
      </x:c>
      <x:c r="C45" s="19" t="n">
        <x:f>IF($A45="","",2*(A45-$T$405)/$T$406-1)</x:f>
        <x:v>1.0060147026063713</x:v>
      </x:c>
      <x:c r="D45" s="8" t="n">
        <x:f>IF($A45="","",$B$4*B45^$B$5+INDEX($E$4:$E$15,MONTH(A45)))</x:f>
        <x:v>352.9341135867389</x:v>
      </x:c>
      <x:c r="E45" s="8" t="n">
        <x:f>IF($A45="","",SQRT($T$403^2+H45^2))</x:f>
        <x:v>111.2122513624538</x:v>
      </x:c>
      <x:c r="F45" s="8" t="n">
        <x:f>IF($A45="","",D45-$T$404*E45)</x:f>
        <x:v>134.93136027294292</x:v>
      </x:c>
      <x:c r="G45" s="8" t="n">
        <x:f>IF($A45="","",D45+$T$404*E45)</x:f>
        <x:v>570.9368669005348</x:v>
      </x:c>
      <x:c r="H45" s="8" t="n">
        <x:f>IF($A45="","",SQRT(MAX(0,(B45^$B$5)*$S$409*(B45^$B$5)+(B45^$B$5)*$T$409*($B$4*B45^$B$5*LN(B45))+($B$4*B45^$B$5*LN(B45))*$S$410*(B45^$B$5)+($B$4*B45^$B$5*LN(B45))*$T$410*($B$4*B45^$B$5*LN(B45))+2*((B45^$B$5)*INDEX($S$416:$V$427,MONTH(A45),1)+($B$4*B45^$B$5*LN(B45))*INDEX($S$416:$V$427,MONTH(A45),2))+INDEX($W$416:$W$427,MONTH(A45)))))</x:f>
        <x:v>4.9300938092319475</x:v>
      </x:c>
      <x:c r="I45" s="3"/>
      <x:c r="J45" s="10" t="n">
        <x:v>45896</x:v>
      </x:c>
      <x:c r="K45" s="8" t="n">
        <x:f>INDEX('Сводка'!$S$3:$S$397,U45)</x:f>
        <x:v>226</x:v>
      </x:c>
      <x:c r="L45" s="8" t="n">
        <x:f>INDEX('Сводка'!$S$3:$S$397,V45)</x:f>
        <x:v>227</x:v>
      </x:c>
      <x:c r="M45" s="8" t="n">
        <x:f>INDEX($K$388:$N$400,W45,1)*((J45-$T$405+1)/1000)^INDEX($K$388:$N$400,W45,2)+INDEX($O$388:$Z$400,W45,MONTH(J45))</x:f>
        <x:v>363.58998231517796</x:v>
      </x:c>
      <x:c r="N45" s="8" t="n">
        <x:f>K45-M45</x:f>
        <x:v>-137.58998231517796</x:v>
      </x:c>
      <x:c r="O45" s="8" t="n">
        <x:f>ABS(N45)</x:f>
        <x:v>137.58998231517796</x:v>
      </x:c>
      <x:c r="P45" s="8" t="n">
        <x:f>N45^2</x:f>
        <x:v>18931.003233490985</x:v>
      </x:c>
      <x:c r="Q45" s="8" t="n">
        <x:f>K45-L45</x:f>
        <x:v>-1</x:v>
      </x:c>
      <x:c r="R45" s="9" t="n">
        <x:f>IF(AND(INDEX('Сводка'!$T$3:$T$397,U45)=0,INDEX('Сводка'!$T$3:$T$397,V45)=0),1,0)</x:f>
        <x:v>1</x:v>
      </x:c>
      <x:c r="S45" s="9" t="n">
        <x:f>IF(AND(R45=1,O45&lt;=$G$13),1,0)</x:f>
        <x:v>0</x:v>
      </x:c>
      <x:c r="T45" s="10" t="n">
        <x:f>EOMONTH(J45-'Сводка'!$B$11,-1)</x:f>
        <x:v>45869</x:v>
      </x:c>
      <x:c r="U45" s="4" t="n">
        <x:f>MATCH(J45,'Сводка'!$R$3:$R$397,0)</x:f>
        <x:v>56</x:v>
      </x:c>
      <x:c r="V45" s="4" t="n">
        <x:f>MATCH(J45-'Сводка'!$B$11,'Сводка'!$R$3:$R$397,0)</x:f>
        <x:v>55</x:v>
      </x:c>
      <x:c r="W45" s="4" t="n">
        <x:f>MATCH(T45,$J$388:$J$400,0)</x:f>
        <x:v>2</x:v>
      </x:c>
      <x:c r="X45" s="3"/>
      <x:c r="Y45" s="3"/>
      <x:c r="Z45" s="3"/>
    </x:row>
    <x:row r="46" ht="15" customHeight="1">
      <x:c r="A46" s="10" t="n">
        <x:f>IF(28&lt;='Сводка'!$B$3,'Сводка'!$B$4+28,"")</x:f>
        <x:v>46263</x:v>
      </x:c>
      <x:c r="B46" s="19" t="n">
        <x:f>IF($A46="","",(A46-$T$405+1)/1000)</x:f>
        <x:v>9.007</x:v>
      </x:c>
      <x:c r="C46" s="19" t="n">
        <x:f>IF($A46="","",2*(A46-$T$405)/$T$406-1)</x:f>
        <x:v>1.00623746936957</x:v>
      </x:c>
      <x:c r="D46" s="8" t="n">
        <x:f>IF($A46="","",$B$4*B46^$B$5+INDEX($E$4:$E$15,MONTH(A46)))</x:f>
        <x:v>352.94947044819855</x:v>
      </x:c>
      <x:c r="E46" s="8" t="n">
        <x:f>IF($A46="","",SQRT($T$403^2+H46^2))</x:f>
        <x:v>111.21227369458552</x:v>
      </x:c>
      <x:c r="F46" s="8" t="n">
        <x:f>IF($A46="","",D46-$T$404*E46)</x:f>
        <x:v>134.94667335805474</x:v>
      </x:c>
      <x:c r="G46" s="8" t="n">
        <x:f>IF($A46="","",D46+$T$404*E46)</x:f>
        <x:v>570.9522675383423</x:v>
      </x:c>
      <x:c r="H46" s="8" t="n">
        <x:f>IF($A46="","",SQRT(MAX(0,(B46^$B$5)*$S$409*(B46^$B$5)+(B46^$B$5)*$T$409*($B$4*B46^$B$5*LN(B46))+($B$4*B46^$B$5*LN(B46))*$S$410*(B46^$B$5)+($B$4*B46^$B$5*LN(B46))*$T$410*($B$4*B46^$B$5*LN(B46))+2*((B46^$B$5)*INDEX($S$416:$V$427,MONTH(A46),1)+($B$4*B46^$B$5*LN(B46))*INDEX($S$416:$V$427,MONTH(A46),2))+INDEX($W$416:$W$427,MONTH(A46)))))</x:f>
        <x:v>4.930597548129428</x:v>
      </x:c>
      <x:c r="I46" s="3"/>
      <x:c r="J46" s="10" t="n">
        <x:v>45897</x:v>
      </x:c>
      <x:c r="K46" s="8" t="n">
        <x:f>INDEX('Сводка'!$S$3:$S$397,U46)</x:f>
        <x:v>229</x:v>
      </x:c>
      <x:c r="L46" s="8" t="n">
        <x:f>INDEX('Сводка'!$S$3:$S$397,V46)</x:f>
        <x:v>226</x:v>
      </x:c>
      <x:c r="M46" s="8" t="n">
        <x:f>INDEX($K$388:$N$400,W46,1)*((J46-$T$405+1)/1000)^INDEX($K$388:$N$400,W46,2)+INDEX($O$388:$Z$400,W46,MONTH(J46))</x:f>
        <x:v>363.6095179833128</x:v>
      </x:c>
      <x:c r="N46" s="8" t="n">
        <x:f>K46-M46</x:f>
        <x:v>-134.6095179833128</x:v>
      </x:c>
      <x:c r="O46" s="8" t="n">
        <x:f>ABS(N46)</x:f>
        <x:v>134.6095179833128</x:v>
      </x:c>
      <x:c r="P46" s="8" t="n">
        <x:f>N46^2</x:f>
        <x:v>18119.722331699813</x:v>
      </x:c>
      <x:c r="Q46" s="8" t="n">
        <x:f>K46-L46</x:f>
        <x:v>3</x:v>
      </x:c>
      <x:c r="R46" s="9" t="n">
        <x:f>IF(AND(INDEX('Сводка'!$T$3:$T$397,U46)=0,INDEX('Сводка'!$T$3:$T$397,V46)=0),1,0)</x:f>
        <x:v>1</x:v>
      </x:c>
      <x:c r="S46" s="9" t="n">
        <x:f>IF(AND(R46=1,O46&lt;=$G$13),1,0)</x:f>
        <x:v>0</x:v>
      </x:c>
      <x:c r="T46" s="10" t="n">
        <x:f>EOMONTH(J46-'Сводка'!$B$11,-1)</x:f>
        <x:v>45869</x:v>
      </x:c>
      <x:c r="U46" s="4" t="n">
        <x:f>MATCH(J46,'Сводка'!$R$3:$R$397,0)</x:f>
        <x:v>57</x:v>
      </x:c>
      <x:c r="V46" s="4" t="n">
        <x:f>MATCH(J46-'Сводка'!$B$11,'Сводка'!$R$3:$R$397,0)</x:f>
        <x:v>56</x:v>
      </x:c>
      <x:c r="W46" s="4" t="n">
        <x:f>MATCH(T46,$J$388:$J$400,0)</x:f>
        <x:v>2</x:v>
      </x:c>
      <x:c r="X46" s="3"/>
      <x:c r="Y46" s="3"/>
      <x:c r="Z46" s="3"/>
    </x:row>
    <x:row r="47" ht="15" customHeight="1">
      <x:c r="A47" s="10" t="n">
        <x:f>IF(29&lt;='Сводка'!$B$3,'Сводка'!$B$4+29,"")</x:f>
        <x:v>46264</x:v>
      </x:c>
      <x:c r="B47" s="19" t="n">
        <x:f>IF($A47="","",(A47-$T$405+1)/1000)</x:f>
        <x:v>9.008</x:v>
      </x:c>
      <x:c r="C47" s="19" t="n">
        <x:f>IF($A47="","",2*(A47-$T$405)/$T$406-1)</x:f>
        <x:v>1.006460236132769</x:v>
      </x:c>
      <x:c r="D47" s="8" t="n">
        <x:f>IF($A47="","",$B$4*B47^$B$5+INDEX($E$4:$E$15,MONTH(A47)))</x:f>
        <x:v>352.9648272857335</x:v>
      </x:c>
      <x:c r="E47" s="8" t="n">
        <x:f>IF($A47="","",SQRT($T$403^2+H47^2))</x:f>
        <x:v>111.21229603619031</x:v>
      </x:c>
      <x:c r="F47" s="8" t="n">
        <x:f>IF($A47="","",D47-$T$404*E47)</x:f>
        <x:v>134.96198640067234</x:v>
      </x:c>
      <x:c r="G47" s="8" t="n">
        <x:f>IF($A47="","",D47+$T$404*E47)</x:f>
        <x:v>570.9676681707947</x:v>
      </x:c>
      <x:c r="H47" s="8" t="n">
        <x:f>IF($A47="","",SQRT(MAX(0,(B47^$B$5)*$S$409*(B47^$B$5)+(B47^$B$5)*$T$409*($B$4*B47^$B$5*LN(B47))+($B$4*B47^$B$5*LN(B47))*$S$410*(B47^$B$5)+($B$4*B47^$B$5*LN(B47))*$T$410*($B$4*B47^$B$5*LN(B47))+2*((B47^$B$5)*INDEX($S$416:$V$427,MONTH(A47),1)+($B$4*B47^$B$5*LN(B47))*INDEX($S$416:$V$427,MONTH(A47),2))+INDEX($W$416:$W$427,MONTH(A47)))))</x:f>
        <x:v>4.931101449316516</x:v>
      </x:c>
      <x:c r="I47" s="3"/>
      <x:c r="J47" s="10" t="n">
        <x:v>45898</x:v>
      </x:c>
      <x:c r="K47" s="8" t="n">
        <x:f>INDEX('Сводка'!$S$3:$S$397,U47)</x:f>
        <x:v>233</x:v>
      </x:c>
      <x:c r="L47" s="8" t="n">
        <x:f>INDEX('Сводка'!$S$3:$S$397,V47)</x:f>
        <x:v>229</x:v>
      </x:c>
      <x:c r="M47" s="8" t="n">
        <x:f>INDEX($K$388:$N$400,W47,1)*((J47-$T$405+1)/1000)^INDEX($K$388:$N$400,W47,2)+INDEX($O$388:$Z$400,W47,MONTH(J47))</x:f>
        <x:v>363.6290539295494</x:v>
      </x:c>
      <x:c r="N47" s="8" t="n">
        <x:f>K47-M47</x:f>
        <x:v>-130.6290539295494</x:v>
      </x:c>
      <x:c r="O47" s="8" t="n">
        <x:f>ABS(N47)</x:f>
        <x:v>130.6290539295494</x:v>
      </x:c>
      <x:c r="P47" s="8" t="n">
        <x:f>N47^2</x:f>
        <x:v>17063.949730529126</x:v>
      </x:c>
      <x:c r="Q47" s="8" t="n">
        <x:f>K47-L47</x:f>
        <x:v>4</x:v>
      </x:c>
      <x:c r="R47" s="9" t="n">
        <x:f>IF(AND(INDEX('Сводка'!$T$3:$T$397,U47)=0,INDEX('Сводка'!$T$3:$T$397,V47)=0),1,0)</x:f>
        <x:v>1</x:v>
      </x:c>
      <x:c r="S47" s="9" t="n">
        <x:f>IF(AND(R47=1,O47&lt;=$G$13),1,0)</x:f>
        <x:v>0</x:v>
      </x:c>
      <x:c r="T47" s="10" t="n">
        <x:f>EOMONTH(J47-'Сводка'!$B$11,-1)</x:f>
        <x:v>45869</x:v>
      </x:c>
      <x:c r="U47" s="4" t="n">
        <x:f>MATCH(J47,'Сводка'!$R$3:$R$397,0)</x:f>
        <x:v>58</x:v>
      </x:c>
      <x:c r="V47" s="4" t="n">
        <x:f>MATCH(J47-'Сводка'!$B$11,'Сводка'!$R$3:$R$397,0)</x:f>
        <x:v>57</x:v>
      </x:c>
      <x:c r="W47" s="4" t="n">
        <x:f>MATCH(T47,$J$388:$J$400,0)</x:f>
        <x:v>2</x:v>
      </x:c>
      <x:c r="X47" s="3"/>
      <x:c r="Y47" s="3"/>
      <x:c r="Z47" s="3"/>
    </x:row>
    <x:row r="48" ht="15" customHeight="1">
      <x:c r="A48" s="10" t="n">
        <x:f>IF(30&lt;='Сводка'!$B$3,'Сводка'!$B$4+30,"")</x:f>
        <x:v>46265</x:v>
      </x:c>
      <x:c r="B48" s="19" t="n">
        <x:f>IF($A48="","",(A48-$T$405+1)/1000)</x:f>
        <x:v>9.009</x:v>
      </x:c>
      <x:c r="C48" s="19" t="n">
        <x:f>IF($A48="","",2*(A48-$T$405)/$T$406-1)</x:f>
        <x:v>1.0066830028959681</x:v>
      </x:c>
      <x:c r="D48" s="8" t="n">
        <x:f>IF($A48="","",$B$4*B48^$B$5+INDEX($E$4:$E$15,MONTH(A48)))</x:f>
        <x:v>352.9801840993465</x:v>
      </x:c>
      <x:c r="E48" s="8" t="n">
        <x:f>IF($A48="","",SQRT($T$403^2+H48^2))</x:f>
        <x:v>111.21231838726979</x:v>
      </x:c>
      <x:c r="F48" s="8" t="n">
        <x:f>IF($A48="","",D48-$T$404*E48)</x:f>
        <x:v>134.9772994007953</x:v>
      </x:c>
      <x:c r="G48" s="8" t="n">
        <x:f>IF($A48="","",D48+$T$404*E48)</x:f>
        <x:v>570.9830687978977</x:v>
      </x:c>
      <x:c r="H48" s="8" t="n">
        <x:f>IF($A48="","",SQRT(MAX(0,(B48^$B$5)*$S$409*(B48^$B$5)+(B48^$B$5)*$T$409*($B$4*B48^$B$5*LN(B48))+($B$4*B48^$B$5*LN(B48))*$S$410*(B48^$B$5)+($B$4*B48^$B$5*LN(B48))*$T$410*($B$4*B48^$B$5*LN(B48))+2*((B48^$B$5)*INDEX($S$416:$V$427,MONTH(A48),1)+($B$4*B48^$B$5*LN(B48))*INDEX($S$416:$V$427,MONTH(A48),2))+INDEX($W$416:$W$427,MONTH(A48)))))</x:f>
        <x:v>4.931605512780487</x:v>
      </x:c>
      <x:c r="I48" s="3"/>
      <x:c r="J48" s="10" t="n">
        <x:v>45899</x:v>
      </x:c>
      <x:c r="K48" s="8" t="n">
        <x:f>INDEX('Сводка'!$S$3:$S$397,U48)</x:f>
        <x:v>238</x:v>
      </x:c>
      <x:c r="L48" s="8" t="n">
        <x:f>INDEX('Сводка'!$S$3:$S$397,V48)</x:f>
        <x:v>233</x:v>
      </x:c>
      <x:c r="M48" s="8" t="n">
        <x:f>INDEX($K$388:$N$400,W48,1)*((J48-$T$405+1)/1000)^INDEX($K$388:$N$400,W48,2)+INDEX($O$388:$Z$400,W48,MONTH(J48))</x:f>
        <x:v>363.64859015385935</x:v>
      </x:c>
      <x:c r="N48" s="8" t="n">
        <x:f>K48-M48</x:f>
        <x:v>-125.64859015385935</x:v>
      </x:c>
      <x:c r="O48" s="8" t="n">
        <x:f>ABS(N48)</x:f>
        <x:v>125.64859015385935</x:v>
      </x:c>
      <x:c r="P48" s="8" t="n">
        <x:f>N48^2</x:f>
        <x:v>15787.568207652519</x:v>
      </x:c>
      <x:c r="Q48" s="8" t="n">
        <x:f>K48-L48</x:f>
        <x:v>5</x:v>
      </x:c>
      <x:c r="R48" s="9" t="n">
        <x:f>IF(AND(INDEX('Сводка'!$T$3:$T$397,U48)=0,INDEX('Сводка'!$T$3:$T$397,V48)=0),1,0)</x:f>
        <x:v>1</x:v>
      </x:c>
      <x:c r="S48" s="9" t="n">
        <x:f>IF(AND(R48=1,O48&lt;=$G$13),1,0)</x:f>
        <x:v>0</x:v>
      </x:c>
      <x:c r="T48" s="10" t="n">
        <x:f>EOMONTH(J48-'Сводка'!$B$11,-1)</x:f>
        <x:v>45869</x:v>
      </x:c>
      <x:c r="U48" s="4" t="n">
        <x:f>MATCH(J48,'Сводка'!$R$3:$R$397,0)</x:f>
        <x:v>59</x:v>
      </x:c>
      <x:c r="V48" s="4" t="n">
        <x:f>MATCH(J48-'Сводка'!$B$11,'Сводка'!$R$3:$R$397,0)</x:f>
        <x:v>58</x:v>
      </x:c>
      <x:c r="W48" s="4" t="n">
        <x:f>MATCH(T48,$J$388:$J$400,0)</x:f>
        <x:v>2</x:v>
      </x:c>
      <x:c r="X48" s="3"/>
      <x:c r="Y48" s="3"/>
      <x:c r="Z48" s="3"/>
    </x:row>
    <x:row r="49" ht="15" customHeight="1">
      <x:c r="A49" s="7" t="str">
        <x:f>IF(31&lt;='Сводка'!$B$3,'Сводка'!$B$4+31,"")</x:f>
      </x:c>
      <x:c r="B49" s="20" t="str">
        <x:f>IF($A49="","",(A49-$T$405+1)/1000)</x:f>
      </x:c>
      <x:c r="C49" s="20" t="str">
        <x:f>IF($A49="","",2*(A49-$T$405)/$T$406-1)</x:f>
      </x:c>
      <x:c r="D49" s="3" t="str">
        <x:f>IF($A49="","",$B$4*B49^$B$5+INDEX($E$4:$E$15,MONTH(A49)))</x:f>
      </x:c>
      <x:c r="E49" s="3" t="str">
        <x:f>IF($A49="","",SQRT($T$403^2+H49^2))</x:f>
      </x:c>
      <x:c r="F49" s="3" t="str">
        <x:f>IF($A49="","",D49-$T$404*E49)</x:f>
      </x:c>
      <x:c r="G49" s="3" t="str">
        <x:f>IF($A49="","",D49+$T$404*E49)</x:f>
      </x:c>
      <x:c r="H49" s="3" t="str">
        <x:f>IF($A49="","",SQRT(MAX(0,(B49^$B$5)*$S$409*(B49^$B$5)+(B49^$B$5)*$T$409*($B$4*B49^$B$5*LN(B49))+($B$4*B49^$B$5*LN(B49))*$S$410*(B49^$B$5)+($B$4*B49^$B$5*LN(B49))*$T$410*($B$4*B49^$B$5*LN(B49))+2*((B49^$B$5)*INDEX($S$416:$V$427,MONTH(A49),1)+($B$4*B49^$B$5*LN(B49))*INDEX($S$416:$V$427,MONTH(A49),2))+INDEX($W$416:$W$427,MONTH(A49)))))</x:f>
      </x:c>
      <x:c r="I49" s="3"/>
      <x:c r="J49" s="10" t="n">
        <x:v>45900</x:v>
      </x:c>
      <x:c r="K49" s="8" t="n">
        <x:f>INDEX('Сводка'!$S$3:$S$397,U49)</x:f>
        <x:v>238</x:v>
      </x:c>
      <x:c r="L49" s="8" t="n">
        <x:f>INDEX('Сводка'!$S$3:$S$397,V49)</x:f>
        <x:v>238</x:v>
      </x:c>
      <x:c r="M49" s="8" t="n">
        <x:f>INDEX($K$388:$N$400,W49,1)*((J49-$T$405+1)/1000)^INDEX($K$388:$N$400,W49,2)+INDEX($O$388:$Z$400,W49,MONTH(J49))</x:f>
        <x:v>363.66812665621455</x:v>
      </x:c>
      <x:c r="N49" s="8" t="n">
        <x:f>K49-M49</x:f>
        <x:v>-125.66812665621455</x:v>
      </x:c>
      <x:c r="O49" s="8" t="n">
        <x:f>ABS(N49)</x:f>
        <x:v>125.66812665621455</x:v>
      </x:c>
      <x:c r="P49" s="8" t="n">
        <x:f>N49^2</x:f>
        <x:v>15792.478057282382</x:v>
      </x:c>
      <x:c r="Q49" s="8" t="n">
        <x:f>K49-L49</x:f>
        <x:v>0</x:v>
      </x:c>
      <x:c r="R49" s="9" t="n">
        <x:f>IF(AND(INDEX('Сводка'!$T$3:$T$397,U49)=0,INDEX('Сводка'!$T$3:$T$397,V49)=0),1,0)</x:f>
        <x:v>1</x:v>
      </x:c>
      <x:c r="S49" s="9" t="n">
        <x:f>IF(AND(R49=1,O49&lt;=$G$13),1,0)</x:f>
        <x:v>0</x:v>
      </x:c>
      <x:c r="T49" s="10" t="n">
        <x:f>EOMONTH(J49-'Сводка'!$B$11,-1)</x:f>
        <x:v>45869</x:v>
      </x:c>
      <x:c r="U49" s="4" t="n">
        <x:f>MATCH(J49,'Сводка'!$R$3:$R$397,0)</x:f>
        <x:v>60</x:v>
      </x:c>
      <x:c r="V49" s="4" t="n">
        <x:f>MATCH(J49-'Сводка'!$B$11,'Сводка'!$R$3:$R$397,0)</x:f>
        <x:v>59</x:v>
      </x:c>
      <x:c r="W49" s="4" t="n">
        <x:f>MATCH(T49,$J$388:$J$400,0)</x:f>
        <x:v>2</x:v>
      </x:c>
      <x:c r="X49" s="3"/>
      <x:c r="Y49" s="3"/>
      <x:c r="Z49" s="3"/>
    </x:row>
    <x:row r="50" ht="15" customHeight="1">
      <x:c r="A50" s="7" t="str">
        <x:f>IF(32&lt;='Сводка'!$B$3,'Сводка'!$B$4+32,"")</x:f>
      </x:c>
      <x:c r="B50" s="20" t="str">
        <x:f>IF($A50="","",(A50-$T$405+1)/1000)</x:f>
      </x:c>
      <x:c r="C50" s="20" t="str">
        <x:f>IF($A50="","",2*(A50-$T$405)/$T$406-1)</x:f>
      </x:c>
      <x:c r="D50" s="3" t="str">
        <x:f>IF($A50="","",$B$4*B50^$B$5+INDEX($E$4:$E$15,MONTH(A50)))</x:f>
      </x:c>
      <x:c r="E50" s="3" t="str">
        <x:f>IF($A50="","",SQRT($T$403^2+H50^2))</x:f>
      </x:c>
      <x:c r="F50" s="3" t="str">
        <x:f>IF($A50="","",D50-$T$404*E50)</x:f>
      </x:c>
      <x:c r="G50" s="3" t="str">
        <x:f>IF($A50="","",D50+$T$404*E50)</x:f>
      </x:c>
      <x:c r="H50" s="3" t="str">
        <x:f>IF($A50="","",SQRT(MAX(0,(B50^$B$5)*$S$409*(B50^$B$5)+(B50^$B$5)*$T$409*($B$4*B50^$B$5*LN(B50))+($B$4*B50^$B$5*LN(B50))*$S$410*(B50^$B$5)+($B$4*B50^$B$5*LN(B50))*$T$410*($B$4*B50^$B$5*LN(B50))+2*((B50^$B$5)*INDEX($S$416:$V$427,MONTH(A50),1)+($B$4*B50^$B$5*LN(B50))*INDEX($S$416:$V$427,MONTH(A50),2))+INDEX($W$416:$W$427,MONTH(A50)))))</x:f>
      </x:c>
      <x:c r="I50" s="3"/>
      <x:c r="J50" s="10" t="n">
        <x:v>45901</x:v>
      </x:c>
      <x:c r="K50" s="8" t="n">
        <x:f>INDEX('Сводка'!$S$3:$S$397,U50)</x:f>
        <x:v>238</x:v>
      </x:c>
      <x:c r="L50" s="8" t="n">
        <x:f>INDEX('Сводка'!$S$3:$S$397,V50)</x:f>
        <x:v>238</x:v>
      </x:c>
      <x:c r="M50" s="8" t="n">
        <x:f>INDEX($K$388:$N$400,W50,1)*((J50-$T$405+1)/1000)^INDEX($K$388:$N$400,W50,2)+INDEX($O$388:$Z$400,W50,MONTH(J50))</x:f>
        <x:v>323.7999187360442</x:v>
      </x:c>
      <x:c r="N50" s="8" t="n">
        <x:f>K50-M50</x:f>
        <x:v>-85.79991873604422</x:v>
      </x:c>
      <x:c r="O50" s="8" t="n">
        <x:f>ABS(N50)</x:f>
        <x:v>85.79991873604422</x:v>
      </x:c>
      <x:c r="P50" s="8" t="n">
        <x:f>N50^2</x:f>
        <x:v>7361.626055111792</x:v>
      </x:c>
      <x:c r="Q50" s="8" t="n">
        <x:f>K50-L50</x:f>
        <x:v>0</x:v>
      </x:c>
      <x:c r="R50" s="9" t="n">
        <x:f>IF(AND(INDEX('Сводка'!$T$3:$T$397,U50)=0,INDEX('Сводка'!$T$3:$T$397,V50)=0),1,0)</x:f>
        <x:v>1</x:v>
      </x:c>
      <x:c r="S50" s="9" t="n">
        <x:f>IF(AND(R50=1,O50&lt;=$G$13),1,0)</x:f>
        <x:v>0</x:v>
      </x:c>
      <x:c r="T50" s="10" t="n">
        <x:f>EOMONTH(J50-'Сводка'!$B$11,-1)</x:f>
        <x:v>45869</x:v>
      </x:c>
      <x:c r="U50" s="4" t="n">
        <x:f>MATCH(J50,'Сводка'!$R$3:$R$397,0)</x:f>
        <x:v>61</x:v>
      </x:c>
      <x:c r="V50" s="4" t="n">
        <x:f>MATCH(J50-'Сводка'!$B$11,'Сводка'!$R$3:$R$397,0)</x:f>
        <x:v>60</x:v>
      </x:c>
      <x:c r="W50" s="4" t="n">
        <x:f>MATCH(T50,$J$388:$J$400,0)</x:f>
        <x:v>2</x:v>
      </x:c>
      <x:c r="X50" s="3"/>
      <x:c r="Y50" s="3"/>
      <x:c r="Z50" s="3"/>
    </x:row>
    <x:row r="51" ht="15" customHeight="1">
      <x:c r="A51" s="7" t="str">
        <x:f>IF(33&lt;='Сводка'!$B$3,'Сводка'!$B$4+33,"")</x:f>
      </x:c>
      <x:c r="B51" s="20" t="str">
        <x:f>IF($A51="","",(A51-$T$405+1)/1000)</x:f>
      </x:c>
      <x:c r="C51" s="20" t="str">
        <x:f>IF($A51="","",2*(A51-$T$405)/$T$406-1)</x:f>
      </x:c>
      <x:c r="D51" s="3" t="str">
        <x:f>IF($A51="","",$B$4*B51^$B$5+INDEX($E$4:$E$15,MONTH(A51)))</x:f>
      </x:c>
      <x:c r="E51" s="3" t="str">
        <x:f>IF($A51="","",SQRT($T$403^2+H51^2))</x:f>
      </x:c>
      <x:c r="F51" s="3" t="str">
        <x:f>IF($A51="","",D51-$T$404*E51)</x:f>
      </x:c>
      <x:c r="G51" s="3" t="str">
        <x:f>IF($A51="","",D51+$T$404*E51)</x:f>
      </x:c>
      <x:c r="H51" s="3" t="str">
        <x:f>IF($A51="","",SQRT(MAX(0,(B51^$B$5)*$S$409*(B51^$B$5)+(B51^$B$5)*$T$409*($B$4*B51^$B$5*LN(B51))+($B$4*B51^$B$5*LN(B51))*$S$410*(B51^$B$5)+($B$4*B51^$B$5*LN(B51))*$T$410*($B$4*B51^$B$5*LN(B51))+2*((B51^$B$5)*INDEX($S$416:$V$427,MONTH(A51),1)+($B$4*B51^$B$5*LN(B51))*INDEX($S$416:$V$427,MONTH(A51),2))+INDEX($W$416:$W$427,MONTH(A51)))))</x:f>
      </x:c>
      <x:c r="I51" s="3"/>
      <x:c r="J51" s="10" t="n">
        <x:v>45902</x:v>
      </x:c>
      <x:c r="K51" s="8" t="n">
        <x:f>INDEX('Сводка'!$S$3:$S$397,U51)</x:f>
        <x:v>233</x:v>
      </x:c>
      <x:c r="L51" s="8" t="n">
        <x:f>INDEX('Сводка'!$S$3:$S$397,V51)</x:f>
        <x:v>238</x:v>
      </x:c>
      <x:c r="M51" s="8" t="n">
        <x:f>INDEX($K$388:$N$400,W51,1)*((J51-$T$405+1)/1000)^INDEX($K$388:$N$400,W51,2)+INDEX($O$388:$Z$400,W51,MONTH(J51))</x:f>
        <x:v>322.1654614004857</x:v>
      </x:c>
      <x:c r="N51" s="8" t="n">
        <x:f>K51-M51</x:f>
        <x:v>-89.1654614004857</x:v>
      </x:c>
      <x:c r="O51" s="8" t="n">
        <x:f>ABS(N51)</x:f>
        <x:v>89.1654614004857</x:v>
      </x:c>
      <x:c r="P51" s="8" t="n">
        <x:f>N51^2</x:f>
        <x:v>7950.479506761505</x:v>
      </x:c>
      <x:c r="Q51" s="8" t="n">
        <x:f>K51-L51</x:f>
        <x:v>-5</x:v>
      </x:c>
      <x:c r="R51" s="9" t="n">
        <x:f>IF(AND(INDEX('Сводка'!$T$3:$T$397,U51)=0,INDEX('Сводка'!$T$3:$T$397,V51)=0),1,0)</x:f>
        <x:v>1</x:v>
      </x:c>
      <x:c r="S51" s="9" t="n">
        <x:f>IF(AND(R51=1,O51&lt;=$G$13),1,0)</x:f>
        <x:v>0</x:v>
      </x:c>
      <x:c r="T51" s="10" t="n">
        <x:f>EOMONTH(J51-'Сводка'!$B$11,-1)</x:f>
        <x:v>45900</x:v>
      </x:c>
      <x:c r="U51" s="4" t="n">
        <x:f>MATCH(J51,'Сводка'!$R$3:$R$397,0)</x:f>
        <x:v>62</x:v>
      </x:c>
      <x:c r="V51" s="4" t="n">
        <x:f>MATCH(J51-'Сводка'!$B$11,'Сводка'!$R$3:$R$397,0)</x:f>
        <x:v>61</x:v>
      </x:c>
      <x:c r="W51" s="4" t="n">
        <x:f>MATCH(T51,$J$388:$J$400,0)</x:f>
        <x:v>3</x:v>
      </x:c>
      <x:c r="X51" s="3"/>
      <x:c r="Y51" s="3"/>
      <x:c r="Z51" s="3"/>
    </x:row>
    <x:row r="52" ht="15" customHeight="1">
      <x:c r="A52" s="7" t="str">
        <x:f>IF(34&lt;='Сводка'!$B$3,'Сводка'!$B$4+34,"")</x:f>
      </x:c>
      <x:c r="B52" s="20" t="str">
        <x:f>IF($A52="","",(A52-$T$405+1)/1000)</x:f>
      </x:c>
      <x:c r="C52" s="20" t="str">
        <x:f>IF($A52="","",2*(A52-$T$405)/$T$406-1)</x:f>
      </x:c>
      <x:c r="D52" s="3" t="str">
        <x:f>IF($A52="","",$B$4*B52^$B$5+INDEX($E$4:$E$15,MONTH(A52)))</x:f>
      </x:c>
      <x:c r="E52" s="3" t="str">
        <x:f>IF($A52="","",SQRT($T$403^2+H52^2))</x:f>
      </x:c>
      <x:c r="F52" s="3" t="str">
        <x:f>IF($A52="","",D52-$T$404*E52)</x:f>
      </x:c>
      <x:c r="G52" s="3" t="str">
        <x:f>IF($A52="","",D52+$T$404*E52)</x:f>
      </x:c>
      <x:c r="H52" s="3" t="str">
        <x:f>IF($A52="","",SQRT(MAX(0,(B52^$B$5)*$S$409*(B52^$B$5)+(B52^$B$5)*$T$409*($B$4*B52^$B$5*LN(B52))+($B$4*B52^$B$5*LN(B52))*$S$410*(B52^$B$5)+($B$4*B52^$B$5*LN(B52))*$T$410*($B$4*B52^$B$5*LN(B52))+2*((B52^$B$5)*INDEX($S$416:$V$427,MONTH(A52),1)+($B$4*B52^$B$5*LN(B52))*INDEX($S$416:$V$427,MONTH(A52),2))+INDEX($W$416:$W$427,MONTH(A52)))))</x:f>
      </x:c>
      <x:c r="I52" s="3"/>
      <x:c r="J52" s="10" t="n">
        <x:v>45903</x:v>
      </x:c>
      <x:c r="K52" s="8" t="n">
        <x:f>INDEX('Сводка'!$S$3:$S$397,U52)</x:f>
        <x:v>228</x:v>
      </x:c>
      <x:c r="L52" s="8" t="n">
        <x:f>INDEX('Сводка'!$S$3:$S$397,V52)</x:f>
        <x:v>233</x:v>
      </x:c>
      <x:c r="M52" s="8" t="n">
        <x:f>INDEX($K$388:$N$400,W52,1)*((J52-$T$405+1)/1000)^INDEX($K$388:$N$400,W52,2)+INDEX($O$388:$Z$400,W52,MONTH(J52))</x:f>
        <x:v>322.18443917948946</x:v>
      </x:c>
      <x:c r="N52" s="8" t="n">
        <x:f>K52-M52</x:f>
        <x:v>-94.18443917948946</x:v>
      </x:c>
      <x:c r="O52" s="8" t="n">
        <x:f>ABS(N52)</x:f>
        <x:v>94.18443917948946</x:v>
      </x:c>
      <x:c r="P52" s="8" t="n">
        <x:f>N52^2</x:f>
        <x:v>8870.70858355495</x:v>
      </x:c>
      <x:c r="Q52" s="8" t="n">
        <x:f>K52-L52</x:f>
        <x:v>-5</x:v>
      </x:c>
      <x:c r="R52" s="9" t="n">
        <x:f>IF(AND(INDEX('Сводка'!$T$3:$T$397,U52)=0,INDEX('Сводка'!$T$3:$T$397,V52)=0),1,0)</x:f>
        <x:v>1</x:v>
      </x:c>
      <x:c r="S52" s="9" t="n">
        <x:f>IF(AND(R52=1,O52&lt;=$G$13),1,0)</x:f>
        <x:v>0</x:v>
      </x:c>
      <x:c r="T52" s="10" t="n">
        <x:f>EOMONTH(J52-'Сводка'!$B$11,-1)</x:f>
        <x:v>45900</x:v>
      </x:c>
      <x:c r="U52" s="4" t="n">
        <x:f>MATCH(J52,'Сводка'!$R$3:$R$397,0)</x:f>
        <x:v>63</x:v>
      </x:c>
      <x:c r="V52" s="4" t="n">
        <x:f>MATCH(J52-'Сводка'!$B$11,'Сводка'!$R$3:$R$397,0)</x:f>
        <x:v>62</x:v>
      </x:c>
      <x:c r="W52" s="4" t="n">
        <x:f>MATCH(T52,$J$388:$J$400,0)</x:f>
        <x:v>3</x:v>
      </x:c>
      <x:c r="X52" s="3"/>
      <x:c r="Y52" s="3"/>
      <x:c r="Z52" s="3"/>
    </x:row>
    <x:row r="53" ht="15" customHeight="1">
      <x:c r="A53" s="7" t="str">
        <x:f>IF(35&lt;='Сводка'!$B$3,'Сводка'!$B$4+35,"")</x:f>
      </x:c>
      <x:c r="B53" s="20" t="str">
        <x:f>IF($A53="","",(A53-$T$405+1)/1000)</x:f>
      </x:c>
      <x:c r="C53" s="20" t="str">
        <x:f>IF($A53="","",2*(A53-$T$405)/$T$406-1)</x:f>
      </x:c>
      <x:c r="D53" s="3" t="str">
        <x:f>IF($A53="","",$B$4*B53^$B$5+INDEX($E$4:$E$15,MONTH(A53)))</x:f>
      </x:c>
      <x:c r="E53" s="3" t="str">
        <x:f>IF($A53="","",SQRT($T$403^2+H53^2))</x:f>
      </x:c>
      <x:c r="F53" s="3" t="str">
        <x:f>IF($A53="","",D53-$T$404*E53)</x:f>
      </x:c>
      <x:c r="G53" s="3" t="str">
        <x:f>IF($A53="","",D53+$T$404*E53)</x:f>
      </x:c>
      <x:c r="H53" s="3" t="str">
        <x:f>IF($A53="","",SQRT(MAX(0,(B53^$B$5)*$S$409*(B53^$B$5)+(B53^$B$5)*$T$409*($B$4*B53^$B$5*LN(B53))+($B$4*B53^$B$5*LN(B53))*$S$410*(B53^$B$5)+($B$4*B53^$B$5*LN(B53))*$T$410*($B$4*B53^$B$5*LN(B53))+2*((B53^$B$5)*INDEX($S$416:$V$427,MONTH(A53),1)+($B$4*B53^$B$5*LN(B53))*INDEX($S$416:$V$427,MONTH(A53),2))+INDEX($W$416:$W$427,MONTH(A53)))))</x:f>
      </x:c>
      <x:c r="I53" s="3"/>
      <x:c r="J53" s="10" t="n">
        <x:v>45904</x:v>
      </x:c>
      <x:c r="K53" s="8" t="n">
        <x:f>INDEX('Сводка'!$S$3:$S$397,U53)</x:f>
        <x:v>226</x:v>
      </x:c>
      <x:c r="L53" s="8" t="n">
        <x:f>INDEX('Сводка'!$S$3:$S$397,V53)</x:f>
        <x:v>228</x:v>
      </x:c>
      <x:c r="M53" s="8" t="n">
        <x:f>INDEX($K$388:$N$400,W53,1)*((J53-$T$405+1)/1000)^INDEX($K$388:$N$400,W53,2)+INDEX($O$388:$Z$400,W53,MONTH(J53))</x:f>
        <x:v>322.20341718998526</x:v>
      </x:c>
      <x:c r="N53" s="8" t="n">
        <x:f>K53-M53</x:f>
        <x:v>-96.20341718998526</x:v>
      </x:c>
      <x:c r="O53" s="8" t="n">
        <x:f>ABS(N53)</x:f>
        <x:v>96.20341718998526</x:v>
      </x:c>
      <x:c r="P53" s="8" t="n">
        <x:f>N53^2</x:f>
        <x:v>9255.097479030352</x:v>
      </x:c>
      <x:c r="Q53" s="8" t="n">
        <x:f>K53-L53</x:f>
        <x:v>-2</x:v>
      </x:c>
      <x:c r="R53" s="9" t="n">
        <x:f>IF(AND(INDEX('Сводка'!$T$3:$T$397,U53)=0,INDEX('Сводка'!$T$3:$T$397,V53)=0),1,0)</x:f>
        <x:v>1</x:v>
      </x:c>
      <x:c r="S53" s="9" t="n">
        <x:f>IF(AND(R53=1,O53&lt;=$G$13),1,0)</x:f>
        <x:v>0</x:v>
      </x:c>
      <x:c r="T53" s="10" t="n">
        <x:f>EOMONTH(J53-'Сводка'!$B$11,-1)</x:f>
        <x:v>45900</x:v>
      </x:c>
      <x:c r="U53" s="4" t="n">
        <x:f>MATCH(J53,'Сводка'!$R$3:$R$397,0)</x:f>
        <x:v>64</x:v>
      </x:c>
      <x:c r="V53" s="4" t="n">
        <x:f>MATCH(J53-'Сводка'!$B$11,'Сводка'!$R$3:$R$397,0)</x:f>
        <x:v>63</x:v>
      </x:c>
      <x:c r="W53" s="4" t="n">
        <x:f>MATCH(T53,$J$388:$J$400,0)</x:f>
        <x:v>3</x:v>
      </x:c>
      <x:c r="X53" s="3"/>
      <x:c r="Y53" s="3"/>
      <x:c r="Z53" s="3"/>
    </x:row>
    <x:row r="54" ht="15" customHeight="1">
      <x:c r="A54" s="7" t="str">
        <x:f>IF(36&lt;='Сводка'!$B$3,'Сводка'!$B$4+36,"")</x:f>
      </x:c>
      <x:c r="B54" s="20" t="str">
        <x:f>IF($A54="","",(A54-$T$405+1)/1000)</x:f>
      </x:c>
      <x:c r="C54" s="20" t="str">
        <x:f>IF($A54="","",2*(A54-$T$405)/$T$406-1)</x:f>
      </x:c>
      <x:c r="D54" s="3" t="str">
        <x:f>IF($A54="","",$B$4*B54^$B$5+INDEX($E$4:$E$15,MONTH(A54)))</x:f>
      </x:c>
      <x:c r="E54" s="3" t="str">
        <x:f>IF($A54="","",SQRT($T$403^2+H54^2))</x:f>
      </x:c>
      <x:c r="F54" s="3" t="str">
        <x:f>IF($A54="","",D54-$T$404*E54)</x:f>
      </x:c>
      <x:c r="G54" s="3" t="str">
        <x:f>IF($A54="","",D54+$T$404*E54)</x:f>
      </x:c>
      <x:c r="H54" s="3" t="str">
        <x:f>IF($A54="","",SQRT(MAX(0,(B54^$B$5)*$S$409*(B54^$B$5)+(B54^$B$5)*$T$409*($B$4*B54^$B$5*LN(B54))+($B$4*B54^$B$5*LN(B54))*$S$410*(B54^$B$5)+($B$4*B54^$B$5*LN(B54))*$T$410*($B$4*B54^$B$5*LN(B54))+2*((B54^$B$5)*INDEX($S$416:$V$427,MONTH(A54),1)+($B$4*B54^$B$5*LN(B54))*INDEX($S$416:$V$427,MONTH(A54),2))+INDEX($W$416:$W$427,MONTH(A54)))))</x:f>
      </x:c>
      <x:c r="I54" s="3"/>
      <x:c r="J54" s="10" t="n">
        <x:v>45905</x:v>
      </x:c>
      <x:c r="K54" s="8" t="n">
        <x:f>INDEX('Сводка'!$S$3:$S$397,U54)</x:f>
        <x:v>226</x:v>
      </x:c>
      <x:c r="L54" s="8" t="n">
        <x:f>INDEX('Сводка'!$S$3:$S$397,V54)</x:f>
        <x:v>226</x:v>
      </x:c>
      <x:c r="M54" s="8" t="n">
        <x:f>INDEX($K$388:$N$400,W54,1)*((J54-$T$405+1)/1000)^INDEX($K$388:$N$400,W54,2)+INDEX($O$388:$Z$400,W54,MONTH(J54))</x:f>
        <x:v>322.2223954319492</x:v>
      </x:c>
      <x:c r="N54" s="8" t="n">
        <x:f>K54-M54</x:f>
        <x:v>-96.22239543194922</x:v>
      </x:c>
      <x:c r="O54" s="8" t="n">
        <x:f>ABS(N54)</x:f>
        <x:v>96.22239543194922</x:v>
      </x:c>
      <x:c r="P54" s="8" t="n">
        <x:f>N54^2</x:f>
        <x:v>9258.749382662403</x:v>
      </x:c>
      <x:c r="Q54" s="8" t="n">
        <x:f>K54-L54</x:f>
        <x:v>0</x:v>
      </x:c>
      <x:c r="R54" s="9" t="n">
        <x:f>IF(AND(INDEX('Сводка'!$T$3:$T$397,U54)=0,INDEX('Сводка'!$T$3:$T$397,V54)=0),1,0)</x:f>
        <x:v>1</x:v>
      </x:c>
      <x:c r="S54" s="9" t="n">
        <x:f>IF(AND(R54=1,O54&lt;=$G$13),1,0)</x:f>
        <x:v>0</x:v>
      </x:c>
      <x:c r="T54" s="10" t="n">
        <x:f>EOMONTH(J54-'Сводка'!$B$11,-1)</x:f>
        <x:v>45900</x:v>
      </x:c>
      <x:c r="U54" s="4" t="n">
        <x:f>MATCH(J54,'Сводка'!$R$3:$R$397,0)</x:f>
        <x:v>65</x:v>
      </x:c>
      <x:c r="V54" s="4" t="n">
        <x:f>MATCH(J54-'Сводка'!$B$11,'Сводка'!$R$3:$R$397,0)</x:f>
        <x:v>64</x:v>
      </x:c>
      <x:c r="W54" s="4" t="n">
        <x:f>MATCH(T54,$J$388:$J$400,0)</x:f>
        <x:v>3</x:v>
      </x:c>
      <x:c r="X54" s="3"/>
      <x:c r="Y54" s="3"/>
      <x:c r="Z54" s="3"/>
    </x:row>
    <x:row r="55" ht="15" customHeight="1">
      <x:c r="A55" s="7" t="str">
        <x:f>IF(37&lt;='Сводка'!$B$3,'Сводка'!$B$4+37,"")</x:f>
      </x:c>
      <x:c r="B55" s="20" t="str">
        <x:f>IF($A55="","",(A55-$T$405+1)/1000)</x:f>
      </x:c>
      <x:c r="C55" s="20" t="str">
        <x:f>IF($A55="","",2*(A55-$T$405)/$T$406-1)</x:f>
      </x:c>
      <x:c r="D55" s="3" t="str">
        <x:f>IF($A55="","",$B$4*B55^$B$5+INDEX($E$4:$E$15,MONTH(A55)))</x:f>
      </x:c>
      <x:c r="E55" s="3" t="str">
        <x:f>IF($A55="","",SQRT($T$403^2+H55^2))</x:f>
      </x:c>
      <x:c r="F55" s="3" t="str">
        <x:f>IF($A55="","",D55-$T$404*E55)</x:f>
      </x:c>
      <x:c r="G55" s="3" t="str">
        <x:f>IF($A55="","",D55+$T$404*E55)</x:f>
      </x:c>
      <x:c r="H55" s="3" t="str">
        <x:f>IF($A55="","",SQRT(MAX(0,(B55^$B$5)*$S$409*(B55^$B$5)+(B55^$B$5)*$T$409*($B$4*B55^$B$5*LN(B55))+($B$4*B55^$B$5*LN(B55))*$S$410*(B55^$B$5)+($B$4*B55^$B$5*LN(B55))*$T$410*($B$4*B55^$B$5*LN(B55))+2*((B55^$B$5)*INDEX($S$416:$V$427,MONTH(A55),1)+($B$4*B55^$B$5*LN(B55))*INDEX($S$416:$V$427,MONTH(A55),2))+INDEX($W$416:$W$427,MONTH(A55)))))</x:f>
      </x:c>
      <x:c r="I55" s="3"/>
      <x:c r="J55" s="10" t="n">
        <x:v>45906</x:v>
      </x:c>
      <x:c r="K55" s="8" t="n">
        <x:f>INDEX('Сводка'!$S$3:$S$397,U55)</x:f>
        <x:v>226</x:v>
      </x:c>
      <x:c r="L55" s="8" t="n">
        <x:f>INDEX('Сводка'!$S$3:$S$397,V55)</x:f>
        <x:v>226</x:v>
      </x:c>
      <x:c r="M55" s="8" t="n">
        <x:f>INDEX($K$388:$N$400,W55,1)*((J55-$T$405+1)/1000)^INDEX($K$388:$N$400,W55,2)+INDEX($O$388:$Z$400,W55,MONTH(J55))</x:f>
        <x:v>322.24137390535736</x:v>
      </x:c>
      <x:c r="N55" s="8" t="n">
        <x:f>K55-M55</x:f>
        <x:v>-96.24137390535736</x:v>
      </x:c>
      <x:c r="O55" s="8" t="n">
        <x:f>ABS(N55)</x:f>
        <x:v>96.24137390535736</x:v>
      </x:c>
      <x:c r="P55" s="8" t="n">
        <x:f>N55^2</x:f>
        <x:v>9262.402051190802</x:v>
      </x:c>
      <x:c r="Q55" s="8" t="n">
        <x:f>K55-L55</x:f>
        <x:v>0</x:v>
      </x:c>
      <x:c r="R55" s="9" t="n">
        <x:f>IF(AND(INDEX('Сводка'!$T$3:$T$397,U55)=0,INDEX('Сводка'!$T$3:$T$397,V55)=0),1,0)</x:f>
        <x:v>1</x:v>
      </x:c>
      <x:c r="S55" s="9" t="n">
        <x:f>IF(AND(R55=1,O55&lt;=$G$13),1,0)</x:f>
        <x:v>0</x:v>
      </x:c>
      <x:c r="T55" s="10" t="n">
        <x:f>EOMONTH(J55-'Сводка'!$B$11,-1)</x:f>
        <x:v>45900</x:v>
      </x:c>
      <x:c r="U55" s="4" t="n">
        <x:f>MATCH(J55,'Сводка'!$R$3:$R$397,0)</x:f>
        <x:v>66</x:v>
      </x:c>
      <x:c r="V55" s="4" t="n">
        <x:f>MATCH(J55-'Сводка'!$B$11,'Сводка'!$R$3:$R$397,0)</x:f>
        <x:v>65</x:v>
      </x:c>
      <x:c r="W55" s="4" t="n">
        <x:f>MATCH(T55,$J$388:$J$400,0)</x:f>
        <x:v>3</x:v>
      </x:c>
      <x:c r="X55" s="3"/>
      <x:c r="Y55" s="3"/>
      <x:c r="Z55" s="3"/>
    </x:row>
    <x:row r="56" ht="15" customHeight="1">
      <x:c r="A56" s="7" t="str">
        <x:f>IF(38&lt;='Сводка'!$B$3,'Сводка'!$B$4+38,"")</x:f>
      </x:c>
      <x:c r="B56" s="20" t="str">
        <x:f>IF($A56="","",(A56-$T$405+1)/1000)</x:f>
      </x:c>
      <x:c r="C56" s="20" t="str">
        <x:f>IF($A56="","",2*(A56-$T$405)/$T$406-1)</x:f>
      </x:c>
      <x:c r="D56" s="3" t="str">
        <x:f>IF($A56="","",$B$4*B56^$B$5+INDEX($E$4:$E$15,MONTH(A56)))</x:f>
      </x:c>
      <x:c r="E56" s="3" t="str">
        <x:f>IF($A56="","",SQRT($T$403^2+H56^2))</x:f>
      </x:c>
      <x:c r="F56" s="3" t="str">
        <x:f>IF($A56="","",D56-$T$404*E56)</x:f>
      </x:c>
      <x:c r="G56" s="3" t="str">
        <x:f>IF($A56="","",D56+$T$404*E56)</x:f>
      </x:c>
      <x:c r="H56" s="3" t="str">
        <x:f>IF($A56="","",SQRT(MAX(0,(B56^$B$5)*$S$409*(B56^$B$5)+(B56^$B$5)*$T$409*($B$4*B56^$B$5*LN(B56))+($B$4*B56^$B$5*LN(B56))*$S$410*(B56^$B$5)+($B$4*B56^$B$5*LN(B56))*$T$410*($B$4*B56^$B$5*LN(B56))+2*((B56^$B$5)*INDEX($S$416:$V$427,MONTH(A56),1)+($B$4*B56^$B$5*LN(B56))*INDEX($S$416:$V$427,MONTH(A56),2))+INDEX($W$416:$W$427,MONTH(A56)))))</x:f>
      </x:c>
      <x:c r="I56" s="3"/>
      <x:c r="J56" s="10" t="n">
        <x:v>45907</x:v>
      </x:c>
      <x:c r="K56" s="8" t="n">
        <x:f>INDEX('Сводка'!$S$3:$S$397,U56)</x:f>
        <x:v>226</x:v>
      </x:c>
      <x:c r="L56" s="8" t="n">
        <x:f>INDEX('Сводка'!$S$3:$S$397,V56)</x:f>
        <x:v>226</x:v>
      </x:c>
      <x:c r="M56" s="8" t="n">
        <x:f>INDEX($K$388:$N$400,W56,1)*((J56-$T$405+1)/1000)^INDEX($K$388:$N$400,W56,2)+INDEX($O$388:$Z$400,W56,MONTH(J56))</x:f>
        <x:v>322.2603526101858</x:v>
      </x:c>
      <x:c r="N56" s="8" t="n">
        <x:f>K56-M56</x:f>
        <x:v>-96.2603526101858</x:v>
      </x:c>
      <x:c r="O56" s="8" t="n">
        <x:f>ABS(N56)</x:f>
        <x:v>96.2603526101858</x:v>
      </x:c>
      <x:c r="P56" s="8" t="n">
        <x:f>N56^2</x:f>
        <x:v>9266.055484637305</x:v>
      </x:c>
      <x:c r="Q56" s="8" t="n">
        <x:f>K56-L56</x:f>
        <x:v>0</x:v>
      </x:c>
      <x:c r="R56" s="9" t="n">
        <x:f>IF(AND(INDEX('Сводка'!$T$3:$T$397,U56)=0,INDEX('Сводка'!$T$3:$T$397,V56)=0),1,0)</x:f>
        <x:v>1</x:v>
      </x:c>
      <x:c r="S56" s="9" t="n">
        <x:f>IF(AND(R56=1,O56&lt;=$G$13),1,0)</x:f>
        <x:v>0</x:v>
      </x:c>
      <x:c r="T56" s="10" t="n">
        <x:f>EOMONTH(J56-'Сводка'!$B$11,-1)</x:f>
        <x:v>45900</x:v>
      </x:c>
      <x:c r="U56" s="4" t="n">
        <x:f>MATCH(J56,'Сводка'!$R$3:$R$397,0)</x:f>
        <x:v>67</x:v>
      </x:c>
      <x:c r="V56" s="4" t="n">
        <x:f>MATCH(J56-'Сводка'!$B$11,'Сводка'!$R$3:$R$397,0)</x:f>
        <x:v>66</x:v>
      </x:c>
      <x:c r="W56" s="4" t="n">
        <x:f>MATCH(T56,$J$388:$J$400,0)</x:f>
        <x:v>3</x:v>
      </x:c>
      <x:c r="X56" s="3"/>
      <x:c r="Y56" s="3"/>
      <x:c r="Z56" s="3"/>
    </x:row>
    <x:row r="57" ht="15" customHeight="1">
      <x:c r="A57" s="7" t="str">
        <x:f>IF(39&lt;='Сводка'!$B$3,'Сводка'!$B$4+39,"")</x:f>
      </x:c>
      <x:c r="B57" s="20" t="str">
        <x:f>IF($A57="","",(A57-$T$405+1)/1000)</x:f>
      </x:c>
      <x:c r="C57" s="20" t="str">
        <x:f>IF($A57="","",2*(A57-$T$405)/$T$406-1)</x:f>
      </x:c>
      <x:c r="D57" s="3" t="str">
        <x:f>IF($A57="","",$B$4*B57^$B$5+INDEX($E$4:$E$15,MONTH(A57)))</x:f>
      </x:c>
      <x:c r="E57" s="3" t="str">
        <x:f>IF($A57="","",SQRT($T$403^2+H57^2))</x:f>
      </x:c>
      <x:c r="F57" s="3" t="str">
        <x:f>IF($A57="","",D57-$T$404*E57)</x:f>
      </x:c>
      <x:c r="G57" s="3" t="str">
        <x:f>IF($A57="","",D57+$T$404*E57)</x:f>
      </x:c>
      <x:c r="H57" s="3" t="str">
        <x:f>IF($A57="","",SQRT(MAX(0,(B57^$B$5)*$S$409*(B57^$B$5)+(B57^$B$5)*$T$409*($B$4*B57^$B$5*LN(B57))+($B$4*B57^$B$5*LN(B57))*$S$410*(B57^$B$5)+($B$4*B57^$B$5*LN(B57))*$T$410*($B$4*B57^$B$5*LN(B57))+2*((B57^$B$5)*INDEX($S$416:$V$427,MONTH(A57),1)+($B$4*B57^$B$5*LN(B57))*INDEX($S$416:$V$427,MONTH(A57),2))+INDEX($W$416:$W$427,MONTH(A57)))))</x:f>
      </x:c>
      <x:c r="I57" s="3"/>
      <x:c r="J57" s="10" t="n">
        <x:v>45908</x:v>
      </x:c>
      <x:c r="K57" s="8" t="n">
        <x:f>INDEX('Сводка'!$S$3:$S$397,U57)</x:f>
        <x:v>222</x:v>
      </x:c>
      <x:c r="L57" s="8" t="n">
        <x:f>INDEX('Сводка'!$S$3:$S$397,V57)</x:f>
        <x:v>226</x:v>
      </x:c>
      <x:c r="M57" s="8" t="n">
        <x:f>INDEX($K$388:$N$400,W57,1)*((J57-$T$405+1)/1000)^INDEX($K$388:$N$400,W57,2)+INDEX($O$388:$Z$400,W57,MONTH(J57))</x:f>
        <x:v>322.2793315464105</x:v>
      </x:c>
      <x:c r="N57" s="8" t="n">
        <x:f>K57-M57</x:f>
        <x:v>-100.2793315464105</x:v>
      </x:c>
      <x:c r="O57" s="8" t="n">
        <x:f>ABS(N57)</x:f>
        <x:v>100.2793315464105</x:v>
      </x:c>
      <x:c r="P57" s="8" t="n">
        <x:f>N57^2</x:f>
        <x:v>10055.944335394921</x:v>
      </x:c>
      <x:c r="Q57" s="8" t="n">
        <x:f>K57-L57</x:f>
        <x:v>-4</x:v>
      </x:c>
      <x:c r="R57" s="9" t="n">
        <x:f>IF(AND(INDEX('Сводка'!$T$3:$T$397,U57)=0,INDEX('Сводка'!$T$3:$T$397,V57)=0),1,0)</x:f>
        <x:v>1</x:v>
      </x:c>
      <x:c r="S57" s="9" t="n">
        <x:f>IF(AND(R57=1,O57&lt;=$G$13),1,0)</x:f>
        <x:v>0</x:v>
      </x:c>
      <x:c r="T57" s="10" t="n">
        <x:f>EOMONTH(J57-'Сводка'!$B$11,-1)</x:f>
        <x:v>45900</x:v>
      </x:c>
      <x:c r="U57" s="4" t="n">
        <x:f>MATCH(J57,'Сводка'!$R$3:$R$397,0)</x:f>
        <x:v>68</x:v>
      </x:c>
      <x:c r="V57" s="4" t="n">
        <x:f>MATCH(J57-'Сводка'!$B$11,'Сводка'!$R$3:$R$397,0)</x:f>
        <x:v>67</x:v>
      </x:c>
      <x:c r="W57" s="4" t="n">
        <x:f>MATCH(T57,$J$388:$J$400,0)</x:f>
        <x:v>3</x:v>
      </x:c>
      <x:c r="X57" s="3"/>
      <x:c r="Y57" s="3"/>
      <x:c r="Z57" s="3"/>
    </x:row>
    <x:row r="58" ht="15" customHeight="1">
      <x:c r="A58" s="7" t="str">
        <x:f>IF(40&lt;='Сводка'!$B$3,'Сводка'!$B$4+40,"")</x:f>
      </x:c>
      <x:c r="B58" s="20" t="str">
        <x:f>IF($A58="","",(A58-$T$405+1)/1000)</x:f>
      </x:c>
      <x:c r="C58" s="20" t="str">
        <x:f>IF($A58="","",2*(A58-$T$405)/$T$406-1)</x:f>
      </x:c>
      <x:c r="D58" s="3" t="str">
        <x:f>IF($A58="","",$B$4*B58^$B$5+INDEX($E$4:$E$15,MONTH(A58)))</x:f>
      </x:c>
      <x:c r="E58" s="3" t="str">
        <x:f>IF($A58="","",SQRT($T$403^2+H58^2))</x:f>
      </x:c>
      <x:c r="F58" s="3" t="str">
        <x:f>IF($A58="","",D58-$T$404*E58)</x:f>
      </x:c>
      <x:c r="G58" s="3" t="str">
        <x:f>IF($A58="","",D58+$T$404*E58)</x:f>
      </x:c>
      <x:c r="H58" s="3" t="str">
        <x:f>IF($A58="","",SQRT(MAX(0,(B58^$B$5)*$S$409*(B58^$B$5)+(B58^$B$5)*$T$409*($B$4*B58^$B$5*LN(B58))+($B$4*B58^$B$5*LN(B58))*$S$410*(B58^$B$5)+($B$4*B58^$B$5*LN(B58))*$T$410*($B$4*B58^$B$5*LN(B58))+2*((B58^$B$5)*INDEX($S$416:$V$427,MONTH(A58),1)+($B$4*B58^$B$5*LN(B58))*INDEX($S$416:$V$427,MONTH(A58),2))+INDEX($W$416:$W$427,MONTH(A58)))))</x:f>
      </x:c>
      <x:c r="I58" s="3"/>
      <x:c r="J58" s="10" t="n">
        <x:v>45909</x:v>
      </x:c>
      <x:c r="K58" s="8" t="n">
        <x:f>INDEX('Сводка'!$S$3:$S$397,U58)</x:f>
        <x:v>218</x:v>
      </x:c>
      <x:c r="L58" s="8" t="n">
        <x:f>INDEX('Сводка'!$S$3:$S$397,V58)</x:f>
        <x:v>222</x:v>
      </x:c>
      <x:c r="M58" s="8" t="n">
        <x:f>INDEX($K$388:$N$400,W58,1)*((J58-$T$405+1)/1000)^INDEX($K$388:$N$400,W58,2)+INDEX($O$388:$Z$400,W58,MONTH(J58))</x:f>
        <x:v>322.2983107140077</x:v>
      </x:c>
      <x:c r="N58" s="8" t="n">
        <x:f>K58-M58</x:f>
        <x:v>-104.2983107140077</x:v>
      </x:c>
      <x:c r="O58" s="8" t="n">
        <x:f>ABS(N58)</x:f>
        <x:v>104.2983107140077</x:v>
      </x:c>
      <x:c r="P58" s="8" t="n">
        <x:f>N58^2</x:f>
        <x:v>10878.137617795694</x:v>
      </x:c>
      <x:c r="Q58" s="8" t="n">
        <x:f>K58-L58</x:f>
        <x:v>-4</x:v>
      </x:c>
      <x:c r="R58" s="9" t="n">
        <x:f>IF(AND(INDEX('Сводка'!$T$3:$T$397,U58)=0,INDEX('Сводка'!$T$3:$T$397,V58)=0),1,0)</x:f>
        <x:v>1</x:v>
      </x:c>
      <x:c r="S58" s="9" t="n">
        <x:f>IF(AND(R58=1,O58&lt;=$G$13),1,0)</x:f>
        <x:v>0</x:v>
      </x:c>
      <x:c r="T58" s="10" t="n">
        <x:f>EOMONTH(J58-'Сводка'!$B$11,-1)</x:f>
        <x:v>45900</x:v>
      </x:c>
      <x:c r="U58" s="4" t="n">
        <x:f>MATCH(J58,'Сводка'!$R$3:$R$397,0)</x:f>
        <x:v>69</x:v>
      </x:c>
      <x:c r="V58" s="4" t="n">
        <x:f>MATCH(J58-'Сводка'!$B$11,'Сводка'!$R$3:$R$397,0)</x:f>
        <x:v>68</x:v>
      </x:c>
      <x:c r="W58" s="4" t="n">
        <x:f>MATCH(T58,$J$388:$J$400,0)</x:f>
        <x:v>3</x:v>
      </x:c>
      <x:c r="X58" s="3"/>
      <x:c r="Y58" s="3"/>
      <x:c r="Z58" s="3"/>
    </x:row>
    <x:row r="59" ht="15" customHeight="1">
      <x:c r="A59" s="7" t="str">
        <x:f>IF(41&lt;='Сводка'!$B$3,'Сводка'!$B$4+41,"")</x:f>
      </x:c>
      <x:c r="B59" s="20" t="str">
        <x:f>IF($A59="","",(A59-$T$405+1)/1000)</x:f>
      </x:c>
      <x:c r="C59" s="20" t="str">
        <x:f>IF($A59="","",2*(A59-$T$405)/$T$406-1)</x:f>
      </x:c>
      <x:c r="D59" s="3" t="str">
        <x:f>IF($A59="","",$B$4*B59^$B$5+INDEX($E$4:$E$15,MONTH(A59)))</x:f>
      </x:c>
      <x:c r="E59" s="3" t="str">
        <x:f>IF($A59="","",SQRT($T$403^2+H59^2))</x:f>
      </x:c>
      <x:c r="F59" s="3" t="str">
        <x:f>IF($A59="","",D59-$T$404*E59)</x:f>
      </x:c>
      <x:c r="G59" s="3" t="str">
        <x:f>IF($A59="","",D59+$T$404*E59)</x:f>
      </x:c>
      <x:c r="H59" s="3" t="str">
        <x:f>IF($A59="","",SQRT(MAX(0,(B59^$B$5)*$S$409*(B59^$B$5)+(B59^$B$5)*$T$409*($B$4*B59^$B$5*LN(B59))+($B$4*B59^$B$5*LN(B59))*$S$410*(B59^$B$5)+($B$4*B59^$B$5*LN(B59))*$T$410*($B$4*B59^$B$5*LN(B59))+2*((B59^$B$5)*INDEX($S$416:$V$427,MONTH(A59),1)+($B$4*B59^$B$5*LN(B59))*INDEX($S$416:$V$427,MONTH(A59),2))+INDEX($W$416:$W$427,MONTH(A59)))))</x:f>
      </x:c>
      <x:c r="I59" s="3"/>
      <x:c r="J59" s="10" t="n">
        <x:v>45910</x:v>
      </x:c>
      <x:c r="K59" s="8" t="n">
        <x:f>INDEX('Сводка'!$S$3:$S$397,U59)</x:f>
        <x:v>209</x:v>
      </x:c>
      <x:c r="L59" s="8" t="n">
        <x:f>INDEX('Сводка'!$S$3:$S$397,V59)</x:f>
        <x:v>218</x:v>
      </x:c>
      <x:c r="M59" s="8" t="n">
        <x:f>INDEX($K$388:$N$400,W59,1)*((J59-$T$405+1)/1000)^INDEX($K$388:$N$400,W59,2)+INDEX($O$388:$Z$400,W59,MONTH(J59))</x:f>
        <x:v>322.3172901129533</x:v>
      </x:c>
      <x:c r="N59" s="8" t="n">
        <x:f>K59-M59</x:f>
        <x:v>-113.31729011295329</x:v>
      </x:c>
      <x:c r="O59" s="8" t="n">
        <x:f>ABS(N59)</x:f>
        <x:v>113.31729011295329</x:v>
      </x:c>
      <x:c r="P59" s="8" t="n">
        <x:f>N59^2</x:f>
        <x:v>12840.80823854322</x:v>
      </x:c>
      <x:c r="Q59" s="8" t="n">
        <x:f>K59-L59</x:f>
        <x:v>-9</x:v>
      </x:c>
      <x:c r="R59" s="9" t="n">
        <x:f>IF(AND(INDEX('Сводка'!$T$3:$T$397,U59)=0,INDEX('Сводка'!$T$3:$T$397,V59)=0),1,0)</x:f>
        <x:v>1</x:v>
      </x:c>
      <x:c r="S59" s="9" t="n">
        <x:f>IF(AND(R59=1,O59&lt;=$G$13),1,0)</x:f>
        <x:v>0</x:v>
      </x:c>
      <x:c r="T59" s="10" t="n">
        <x:f>EOMONTH(J59-'Сводка'!$B$11,-1)</x:f>
        <x:v>45900</x:v>
      </x:c>
      <x:c r="U59" s="4" t="n">
        <x:f>MATCH(J59,'Сводка'!$R$3:$R$397,0)</x:f>
        <x:v>70</x:v>
      </x:c>
      <x:c r="V59" s="4" t="n">
        <x:f>MATCH(J59-'Сводка'!$B$11,'Сводка'!$R$3:$R$397,0)</x:f>
        <x:v>69</x:v>
      </x:c>
      <x:c r="W59" s="4" t="n">
        <x:f>MATCH(T59,$J$388:$J$400,0)</x:f>
        <x:v>3</x:v>
      </x:c>
      <x:c r="X59" s="3"/>
      <x:c r="Y59" s="3"/>
      <x:c r="Z59" s="3"/>
    </x:row>
    <x:row r="60" ht="15" customHeight="1">
      <x:c r="A60" s="7" t="str">
        <x:f>IF(42&lt;='Сводка'!$B$3,'Сводка'!$B$4+42,"")</x:f>
      </x:c>
      <x:c r="B60" s="20" t="str">
        <x:f>IF($A60="","",(A60-$T$405+1)/1000)</x:f>
      </x:c>
      <x:c r="C60" s="20" t="str">
        <x:f>IF($A60="","",2*(A60-$T$405)/$T$406-1)</x:f>
      </x:c>
      <x:c r="D60" s="3" t="str">
        <x:f>IF($A60="","",$B$4*B60^$B$5+INDEX($E$4:$E$15,MONTH(A60)))</x:f>
      </x:c>
      <x:c r="E60" s="3" t="str">
        <x:f>IF($A60="","",SQRT($T$403^2+H60^2))</x:f>
      </x:c>
      <x:c r="F60" s="3" t="str">
        <x:f>IF($A60="","",D60-$T$404*E60)</x:f>
      </x:c>
      <x:c r="G60" s="3" t="str">
        <x:f>IF($A60="","",D60+$T$404*E60)</x:f>
      </x:c>
      <x:c r="H60" s="3" t="str">
        <x:f>IF($A60="","",SQRT(MAX(0,(B60^$B$5)*$S$409*(B60^$B$5)+(B60^$B$5)*$T$409*($B$4*B60^$B$5*LN(B60))+($B$4*B60^$B$5*LN(B60))*$S$410*(B60^$B$5)+($B$4*B60^$B$5*LN(B60))*$T$410*($B$4*B60^$B$5*LN(B60))+2*((B60^$B$5)*INDEX($S$416:$V$427,MONTH(A60),1)+($B$4*B60^$B$5*LN(B60))*INDEX($S$416:$V$427,MONTH(A60),2))+INDEX($W$416:$W$427,MONTH(A60)))))</x:f>
      </x:c>
      <x:c r="I60" s="3"/>
      <x:c r="J60" s="10" t="n">
        <x:v>45911</x:v>
      </x:c>
      <x:c r="K60" s="8" t="n">
        <x:f>INDEX('Сводка'!$S$3:$S$397,U60)</x:f>
        <x:v>207</x:v>
      </x:c>
      <x:c r="L60" s="8" t="n">
        <x:f>INDEX('Сводка'!$S$3:$S$397,V60)</x:f>
        <x:v>209</x:v>
      </x:c>
      <x:c r="M60" s="8" t="n">
        <x:f>INDEX($K$388:$N$400,W60,1)*((J60-$T$405+1)/1000)^INDEX($K$388:$N$400,W60,2)+INDEX($O$388:$Z$400,W60,MONTH(J60))</x:f>
        <x:v>322.3362697432235</x:v>
      </x:c>
      <x:c r="N60" s="8" t="n">
        <x:f>K60-M60</x:f>
        <x:v>-115.33626974322351</x:v>
      </x:c>
      <x:c r="O60" s="8" t="n">
        <x:f>ABS(N60)</x:f>
        <x:v>115.33626974322351</x:v>
      </x:c>
      <x:c r="P60" s="8" t="n">
        <x:f>N60^2</x:f>
        <x:v>13302.455118281616</x:v>
      </x:c>
      <x:c r="Q60" s="8" t="n">
        <x:f>K60-L60</x:f>
        <x:v>-2</x:v>
      </x:c>
      <x:c r="R60" s="9" t="n">
        <x:f>IF(AND(INDEX('Сводка'!$T$3:$T$397,U60)=0,INDEX('Сводка'!$T$3:$T$397,V60)=0),1,0)</x:f>
        <x:v>1</x:v>
      </x:c>
      <x:c r="S60" s="9" t="n">
        <x:f>IF(AND(R60=1,O60&lt;=$G$13),1,0)</x:f>
        <x:v>0</x:v>
      </x:c>
      <x:c r="T60" s="10" t="n">
        <x:f>EOMONTH(J60-'Сводка'!$B$11,-1)</x:f>
        <x:v>45900</x:v>
      </x:c>
      <x:c r="U60" s="4" t="n">
        <x:f>MATCH(J60,'Сводка'!$R$3:$R$397,0)</x:f>
        <x:v>71</x:v>
      </x:c>
      <x:c r="V60" s="4" t="n">
        <x:f>MATCH(J60-'Сводка'!$B$11,'Сводка'!$R$3:$R$397,0)</x:f>
        <x:v>70</x:v>
      </x:c>
      <x:c r="W60" s="4" t="n">
        <x:f>MATCH(T60,$J$388:$J$400,0)</x:f>
        <x:v>3</x:v>
      </x:c>
      <x:c r="X60" s="3"/>
      <x:c r="Y60" s="3"/>
      <x:c r="Z60" s="3"/>
    </x:row>
    <x:row r="61" ht="15" customHeight="1">
      <x:c r="A61" s="7" t="str">
        <x:f>IF(43&lt;='Сводка'!$B$3,'Сводка'!$B$4+43,"")</x:f>
      </x:c>
      <x:c r="B61" s="20" t="str">
        <x:f>IF($A61="","",(A61-$T$405+1)/1000)</x:f>
      </x:c>
      <x:c r="C61" s="20" t="str">
        <x:f>IF($A61="","",2*(A61-$T$405)/$T$406-1)</x:f>
      </x:c>
      <x:c r="D61" s="3" t="str">
        <x:f>IF($A61="","",$B$4*B61^$B$5+INDEX($E$4:$E$15,MONTH(A61)))</x:f>
      </x:c>
      <x:c r="E61" s="3" t="str">
        <x:f>IF($A61="","",SQRT($T$403^2+H61^2))</x:f>
      </x:c>
      <x:c r="F61" s="3" t="str">
        <x:f>IF($A61="","",D61-$T$404*E61)</x:f>
      </x:c>
      <x:c r="G61" s="3" t="str">
        <x:f>IF($A61="","",D61+$T$404*E61)</x:f>
      </x:c>
      <x:c r="H61" s="3" t="str">
        <x:f>IF($A61="","",SQRT(MAX(0,(B61^$B$5)*$S$409*(B61^$B$5)+(B61^$B$5)*$T$409*($B$4*B61^$B$5*LN(B61))+($B$4*B61^$B$5*LN(B61))*$S$410*(B61^$B$5)+($B$4*B61^$B$5*LN(B61))*$T$410*($B$4*B61^$B$5*LN(B61))+2*((B61^$B$5)*INDEX($S$416:$V$427,MONTH(A61),1)+($B$4*B61^$B$5*LN(B61))*INDEX($S$416:$V$427,MONTH(A61),2))+INDEX($W$416:$W$427,MONTH(A61)))))</x:f>
      </x:c>
      <x:c r="I61" s="3"/>
      <x:c r="J61" s="10" t="n">
        <x:v>45912</x:v>
      </x:c>
      <x:c r="K61" s="8" t="n">
        <x:f>INDEX('Сводка'!$S$3:$S$397,U61)</x:f>
        <x:v>204</x:v>
      </x:c>
      <x:c r="L61" s="8" t="n">
        <x:f>INDEX('Сводка'!$S$3:$S$397,V61)</x:f>
        <x:v>207</x:v>
      </x:c>
      <x:c r="M61" s="8" t="n">
        <x:f>INDEX($K$388:$N$400,W61,1)*((J61-$T$405+1)/1000)^INDEX($K$388:$N$400,W61,2)+INDEX($O$388:$Z$400,W61,MONTH(J61))</x:f>
        <x:v>322.3552496047944</x:v>
      </x:c>
      <x:c r="N61" s="8" t="n">
        <x:f>K61-M61</x:f>
        <x:v>-118.35524960479438</x:v>
      </x:c>
      <x:c r="O61" s="8" t="n">
        <x:f>ABS(N61)</x:f>
        <x:v>118.35524960479438</x:v>
      </x:c>
      <x:c r="P61" s="8" t="n">
        <x:f>N61^2</x:f>
        <x:v>14007.965109013181</x:v>
      </x:c>
      <x:c r="Q61" s="8" t="n">
        <x:f>K61-L61</x:f>
        <x:v>-3</x:v>
      </x:c>
      <x:c r="R61" s="9" t="n">
        <x:f>IF(AND(INDEX('Сводка'!$T$3:$T$397,U61)=0,INDEX('Сводка'!$T$3:$T$397,V61)=0),1,0)</x:f>
        <x:v>1</x:v>
      </x:c>
      <x:c r="S61" s="9" t="n">
        <x:f>IF(AND(R61=1,O61&lt;=$G$13),1,0)</x:f>
        <x:v>0</x:v>
      </x:c>
      <x:c r="T61" s="10" t="n">
        <x:f>EOMONTH(J61-'Сводка'!$B$11,-1)</x:f>
        <x:v>45900</x:v>
      </x:c>
      <x:c r="U61" s="4" t="n">
        <x:f>MATCH(J61,'Сводка'!$R$3:$R$397,0)</x:f>
        <x:v>72</x:v>
      </x:c>
      <x:c r="V61" s="4" t="n">
        <x:f>MATCH(J61-'Сводка'!$B$11,'Сводка'!$R$3:$R$397,0)</x:f>
        <x:v>71</x:v>
      </x:c>
      <x:c r="W61" s="4" t="n">
        <x:f>MATCH(T61,$J$388:$J$400,0)</x:f>
        <x:v>3</x:v>
      </x:c>
      <x:c r="X61" s="3"/>
      <x:c r="Y61" s="3"/>
      <x:c r="Z61" s="3"/>
    </x:row>
    <x:row r="62" ht="15" customHeight="1">
      <x:c r="A62" s="7" t="str">
        <x:f>IF(44&lt;='Сводка'!$B$3,'Сводка'!$B$4+44,"")</x:f>
      </x:c>
      <x:c r="B62" s="20" t="str">
        <x:f>IF($A62="","",(A62-$T$405+1)/1000)</x:f>
      </x:c>
      <x:c r="C62" s="20" t="str">
        <x:f>IF($A62="","",2*(A62-$T$405)/$T$406-1)</x:f>
      </x:c>
      <x:c r="D62" s="3" t="str">
        <x:f>IF($A62="","",$B$4*B62^$B$5+INDEX($E$4:$E$15,MONTH(A62)))</x:f>
      </x:c>
      <x:c r="E62" s="3" t="str">
        <x:f>IF($A62="","",SQRT($T$403^2+H62^2))</x:f>
      </x:c>
      <x:c r="F62" s="3" t="str">
        <x:f>IF($A62="","",D62-$T$404*E62)</x:f>
      </x:c>
      <x:c r="G62" s="3" t="str">
        <x:f>IF($A62="","",D62+$T$404*E62)</x:f>
      </x:c>
      <x:c r="H62" s="3" t="str">
        <x:f>IF($A62="","",SQRT(MAX(0,(B62^$B$5)*$S$409*(B62^$B$5)+(B62^$B$5)*$T$409*($B$4*B62^$B$5*LN(B62))+($B$4*B62^$B$5*LN(B62))*$S$410*(B62^$B$5)+($B$4*B62^$B$5*LN(B62))*$T$410*($B$4*B62^$B$5*LN(B62))+2*((B62^$B$5)*INDEX($S$416:$V$427,MONTH(A62),1)+($B$4*B62^$B$5*LN(B62))*INDEX($S$416:$V$427,MONTH(A62),2))+INDEX($W$416:$W$427,MONTH(A62)))))</x:f>
      </x:c>
      <x:c r="I62" s="3"/>
      <x:c r="J62" s="10" t="n">
        <x:v>45913</x:v>
      </x:c>
      <x:c r="K62" s="8" t="n">
        <x:f>INDEX('Сводка'!$S$3:$S$397,U62)</x:f>
        <x:v>201</x:v>
      </x:c>
      <x:c r="L62" s="8" t="n">
        <x:f>INDEX('Сводка'!$S$3:$S$397,V62)</x:f>
        <x:v>204</x:v>
      </x:c>
      <x:c r="M62" s="8" t="n">
        <x:f>INDEX($K$388:$N$400,W62,1)*((J62-$T$405+1)/1000)^INDEX($K$388:$N$400,W62,2)+INDEX($O$388:$Z$400,W62,MONTH(J62))</x:f>
        <x:v>322.374229697642</x:v>
      </x:c>
      <x:c r="N62" s="8" t="n">
        <x:f>K62-M62</x:f>
        <x:v>-121.37422969764202</x:v>
      </x:c>
      <x:c r="O62" s="8" t="n">
        <x:f>ABS(N62)</x:f>
        <x:v>121.37422969764202</x:v>
      </x:c>
      <x:c r="P62" s="8" t="n">
        <x:f>N62^2</x:f>
        <x:v>14731.703634695967</x:v>
      </x:c>
      <x:c r="Q62" s="8" t="n">
        <x:f>K62-L62</x:f>
        <x:v>-3</x:v>
      </x:c>
      <x:c r="R62" s="9" t="n">
        <x:f>IF(AND(INDEX('Сводка'!$T$3:$T$397,U62)=0,INDEX('Сводка'!$T$3:$T$397,V62)=0),1,0)</x:f>
        <x:v>1</x:v>
      </x:c>
      <x:c r="S62" s="9" t="n">
        <x:f>IF(AND(R62=1,O62&lt;=$G$13),1,0)</x:f>
        <x:v>0</x:v>
      </x:c>
      <x:c r="T62" s="10" t="n">
        <x:f>EOMONTH(J62-'Сводка'!$B$11,-1)</x:f>
        <x:v>45900</x:v>
      </x:c>
      <x:c r="U62" s="4" t="n">
        <x:f>MATCH(J62,'Сводка'!$R$3:$R$397,0)</x:f>
        <x:v>73</x:v>
      </x:c>
      <x:c r="V62" s="4" t="n">
        <x:f>MATCH(J62-'Сводка'!$B$11,'Сводка'!$R$3:$R$397,0)</x:f>
        <x:v>72</x:v>
      </x:c>
      <x:c r="W62" s="4" t="n">
        <x:f>MATCH(T62,$J$388:$J$400,0)</x:f>
        <x:v>3</x:v>
      </x:c>
      <x:c r="X62" s="3"/>
      <x:c r="Y62" s="3"/>
      <x:c r="Z62" s="3"/>
    </x:row>
    <x:row r="63" ht="15" customHeight="1">
      <x:c r="A63" s="7" t="str">
        <x:f>IF(45&lt;='Сводка'!$B$3,'Сводка'!$B$4+45,"")</x:f>
      </x:c>
      <x:c r="B63" s="20" t="str">
        <x:f>IF($A63="","",(A63-$T$405+1)/1000)</x:f>
      </x:c>
      <x:c r="C63" s="20" t="str">
        <x:f>IF($A63="","",2*(A63-$T$405)/$T$406-1)</x:f>
      </x:c>
      <x:c r="D63" s="3" t="str">
        <x:f>IF($A63="","",$B$4*B63^$B$5+INDEX($E$4:$E$15,MONTH(A63)))</x:f>
      </x:c>
      <x:c r="E63" s="3" t="str">
        <x:f>IF($A63="","",SQRT($T$403^2+H63^2))</x:f>
      </x:c>
      <x:c r="F63" s="3" t="str">
        <x:f>IF($A63="","",D63-$T$404*E63)</x:f>
      </x:c>
      <x:c r="G63" s="3" t="str">
        <x:f>IF($A63="","",D63+$T$404*E63)</x:f>
      </x:c>
      <x:c r="H63" s="3" t="str">
        <x:f>IF($A63="","",SQRT(MAX(0,(B63^$B$5)*$S$409*(B63^$B$5)+(B63^$B$5)*$T$409*($B$4*B63^$B$5*LN(B63))+($B$4*B63^$B$5*LN(B63))*$S$410*(B63^$B$5)+($B$4*B63^$B$5*LN(B63))*$T$410*($B$4*B63^$B$5*LN(B63))+2*((B63^$B$5)*INDEX($S$416:$V$427,MONTH(A63),1)+($B$4*B63^$B$5*LN(B63))*INDEX($S$416:$V$427,MONTH(A63),2))+INDEX($W$416:$W$427,MONTH(A63)))))</x:f>
      </x:c>
      <x:c r="I63" s="3"/>
      <x:c r="J63" s="10" t="n">
        <x:v>45914</x:v>
      </x:c>
      <x:c r="K63" s="8" t="n">
        <x:f>INDEX('Сводка'!$S$3:$S$397,U63)</x:f>
        <x:v>202</x:v>
      </x:c>
      <x:c r="L63" s="8" t="n">
        <x:f>INDEX('Сводка'!$S$3:$S$397,V63)</x:f>
        <x:v>201</x:v>
      </x:c>
      <x:c r="M63" s="8" t="n">
        <x:f>INDEX($K$388:$N$400,W63,1)*((J63-$T$405+1)/1000)^INDEX($K$388:$N$400,W63,2)+INDEX($O$388:$Z$400,W63,MONTH(J63))</x:f>
        <x:v>322.3932100217425</x:v>
      </x:c>
      <x:c r="N63" s="8" t="n">
        <x:f>K63-M63</x:f>
        <x:v>-120.3932100217425</x:v>
      </x:c>
      <x:c r="O63" s="8" t="n">
        <x:f>ABS(N63)</x:f>
        <x:v>120.3932100217425</x:v>
      </x:c>
      <x:c r="P63" s="8" t="n">
        <x:f>N63^2</x:f>
        <x:v>14494.5250193394</x:v>
      </x:c>
      <x:c r="Q63" s="8" t="n">
        <x:f>K63-L63</x:f>
        <x:v>1</x:v>
      </x:c>
      <x:c r="R63" s="9" t="n">
        <x:f>IF(AND(INDEX('Сводка'!$T$3:$T$397,U63)=0,INDEX('Сводка'!$T$3:$T$397,V63)=0),1,0)</x:f>
        <x:v>1</x:v>
      </x:c>
      <x:c r="S63" s="9" t="n">
        <x:f>IF(AND(R63=1,O63&lt;=$G$13),1,0)</x:f>
        <x:v>0</x:v>
      </x:c>
      <x:c r="T63" s="10" t="n">
        <x:f>EOMONTH(J63-'Сводка'!$B$11,-1)</x:f>
        <x:v>45900</x:v>
      </x:c>
      <x:c r="U63" s="4" t="n">
        <x:f>MATCH(J63,'Сводка'!$R$3:$R$397,0)</x:f>
        <x:v>74</x:v>
      </x:c>
      <x:c r="V63" s="4" t="n">
        <x:f>MATCH(J63-'Сводка'!$B$11,'Сводка'!$R$3:$R$397,0)</x:f>
        <x:v>73</x:v>
      </x:c>
      <x:c r="W63" s="4" t="n">
        <x:f>MATCH(T63,$J$388:$J$400,0)</x:f>
        <x:v>3</x:v>
      </x:c>
      <x:c r="X63" s="3"/>
      <x:c r="Y63" s="3"/>
      <x:c r="Z63" s="3"/>
    </x:row>
    <x:row r="64" ht="15" customHeight="1">
      <x:c r="A64" s="7" t="str">
        <x:f>IF(46&lt;='Сводка'!$B$3,'Сводка'!$B$4+46,"")</x:f>
      </x:c>
      <x:c r="B64" s="20" t="str">
        <x:f>IF($A64="","",(A64-$T$405+1)/1000)</x:f>
      </x:c>
      <x:c r="C64" s="20" t="str">
        <x:f>IF($A64="","",2*(A64-$T$405)/$T$406-1)</x:f>
      </x:c>
      <x:c r="D64" s="3" t="str">
        <x:f>IF($A64="","",$B$4*B64^$B$5+INDEX($E$4:$E$15,MONTH(A64)))</x:f>
      </x:c>
      <x:c r="E64" s="3" t="str">
        <x:f>IF($A64="","",SQRT($T$403^2+H64^2))</x:f>
      </x:c>
      <x:c r="F64" s="3" t="str">
        <x:f>IF($A64="","",D64-$T$404*E64)</x:f>
      </x:c>
      <x:c r="G64" s="3" t="str">
        <x:f>IF($A64="","",D64+$T$404*E64)</x:f>
      </x:c>
      <x:c r="H64" s="3" t="str">
        <x:f>IF($A64="","",SQRT(MAX(0,(B64^$B$5)*$S$409*(B64^$B$5)+(B64^$B$5)*$T$409*($B$4*B64^$B$5*LN(B64))+($B$4*B64^$B$5*LN(B64))*$S$410*(B64^$B$5)+($B$4*B64^$B$5*LN(B64))*$T$410*($B$4*B64^$B$5*LN(B64))+2*((B64^$B$5)*INDEX($S$416:$V$427,MONTH(A64),1)+($B$4*B64^$B$5*LN(B64))*INDEX($S$416:$V$427,MONTH(A64),2))+INDEX($W$416:$W$427,MONTH(A64)))))</x:f>
      </x:c>
      <x:c r="I64" s="3"/>
      <x:c r="J64" s="10" t="n">
        <x:v>45915</x:v>
      </x:c>
      <x:c r="K64" s="8" t="n">
        <x:f>INDEX('Сводка'!$S$3:$S$397,U64)</x:f>
        <x:v>204</x:v>
      </x:c>
      <x:c r="L64" s="8" t="n">
        <x:f>INDEX('Сводка'!$S$3:$S$397,V64)</x:f>
        <x:v>202</x:v>
      </x:c>
      <x:c r="M64" s="8" t="n">
        <x:f>INDEX($K$388:$N$400,W64,1)*((J64-$T$405+1)/1000)^INDEX($K$388:$N$400,W64,2)+INDEX($O$388:$Z$400,W64,MONTH(J64))</x:f>
        <x:v>322.412190577072</x:v>
      </x:c>
      <x:c r="N64" s="8" t="n">
        <x:f>K64-M64</x:f>
        <x:v>-118.41219057707201</x:v>
      </x:c>
      <x:c r="O64" s="8" t="n">
        <x:f>ABS(N64)</x:f>
        <x:v>118.41219057707201</x:v>
      </x:c>
      <x:c r="P64" s="8" t="n">
        <x:f>N64^2</x:f>
        <x:v>14021.446877260822</x:v>
      </x:c>
      <x:c r="Q64" s="8" t="n">
        <x:f>K64-L64</x:f>
        <x:v>2</x:v>
      </x:c>
      <x:c r="R64" s="9" t="n">
        <x:f>IF(AND(INDEX('Сводка'!$T$3:$T$397,U64)=0,INDEX('Сводка'!$T$3:$T$397,V64)=0),1,0)</x:f>
        <x:v>1</x:v>
      </x:c>
      <x:c r="S64" s="9" t="n">
        <x:f>IF(AND(R64=1,O64&lt;=$G$13),1,0)</x:f>
        <x:v>0</x:v>
      </x:c>
      <x:c r="T64" s="10" t="n">
        <x:f>EOMONTH(J64-'Сводка'!$B$11,-1)</x:f>
        <x:v>45900</x:v>
      </x:c>
      <x:c r="U64" s="4" t="n">
        <x:f>MATCH(J64,'Сводка'!$R$3:$R$397,0)</x:f>
        <x:v>75</x:v>
      </x:c>
      <x:c r="V64" s="4" t="n">
        <x:f>MATCH(J64-'Сводка'!$B$11,'Сводка'!$R$3:$R$397,0)</x:f>
        <x:v>74</x:v>
      </x:c>
      <x:c r="W64" s="4" t="n">
        <x:f>MATCH(T64,$J$388:$J$400,0)</x:f>
        <x:v>3</x:v>
      </x:c>
      <x:c r="X64" s="3"/>
      <x:c r="Y64" s="3"/>
      <x:c r="Z64" s="3"/>
    </x:row>
    <x:row r="65" ht="15" customHeight="1">
      <x:c r="A65" s="7" t="str">
        <x:f>IF(47&lt;='Сводка'!$B$3,'Сводка'!$B$4+47,"")</x:f>
      </x:c>
      <x:c r="B65" s="20" t="str">
        <x:f>IF($A65="","",(A65-$T$405+1)/1000)</x:f>
      </x:c>
      <x:c r="C65" s="20" t="str">
        <x:f>IF($A65="","",2*(A65-$T$405)/$T$406-1)</x:f>
      </x:c>
      <x:c r="D65" s="3" t="str">
        <x:f>IF($A65="","",$B$4*B65^$B$5+INDEX($E$4:$E$15,MONTH(A65)))</x:f>
      </x:c>
      <x:c r="E65" s="3" t="str">
        <x:f>IF($A65="","",SQRT($T$403^2+H65^2))</x:f>
      </x:c>
      <x:c r="F65" s="3" t="str">
        <x:f>IF($A65="","",D65-$T$404*E65)</x:f>
      </x:c>
      <x:c r="G65" s="3" t="str">
        <x:f>IF($A65="","",D65+$T$404*E65)</x:f>
      </x:c>
      <x:c r="H65" s="3" t="str">
        <x:f>IF($A65="","",SQRT(MAX(0,(B65^$B$5)*$S$409*(B65^$B$5)+(B65^$B$5)*$T$409*($B$4*B65^$B$5*LN(B65))+($B$4*B65^$B$5*LN(B65))*$S$410*(B65^$B$5)+($B$4*B65^$B$5*LN(B65))*$T$410*($B$4*B65^$B$5*LN(B65))+2*((B65^$B$5)*INDEX($S$416:$V$427,MONTH(A65),1)+($B$4*B65^$B$5*LN(B65))*INDEX($S$416:$V$427,MONTH(A65),2))+INDEX($W$416:$W$427,MONTH(A65)))))</x:f>
      </x:c>
      <x:c r="I65" s="3"/>
      <x:c r="J65" s="10" t="n">
        <x:v>45916</x:v>
      </x:c>
      <x:c r="K65" s="8" t="n">
        <x:f>INDEX('Сводка'!$S$3:$S$397,U65)</x:f>
        <x:v>213</x:v>
      </x:c>
      <x:c r="L65" s="8" t="n">
        <x:f>INDEX('Сводка'!$S$3:$S$397,V65)</x:f>
        <x:v>204</x:v>
      </x:c>
      <x:c r="M65" s="8" t="n">
        <x:f>INDEX($K$388:$N$400,W65,1)*((J65-$T$405+1)/1000)^INDEX($K$388:$N$400,W65,2)+INDEX($O$388:$Z$400,W65,MONTH(J65))</x:f>
        <x:v>322.4311713636065</x:v>
      </x:c>
      <x:c r="N65" s="8" t="n">
        <x:f>K65-M65</x:f>
        <x:v>-109.4311713636065</x:v>
      </x:c>
      <x:c r="O65" s="8" t="n">
        <x:f>ABS(N65)</x:f>
        <x:v>109.4311713636065</x:v>
      </x:c>
      <x:c r="P65" s="8" t="n">
        <x:f>N65^2</x:f>
        <x:v>11975.18126601101</x:v>
      </x:c>
      <x:c r="Q65" s="8" t="n">
        <x:f>K65-L65</x:f>
        <x:v>9</x:v>
      </x:c>
      <x:c r="R65" s="9" t="n">
        <x:f>IF(AND(INDEX('Сводка'!$T$3:$T$397,U65)=0,INDEX('Сводка'!$T$3:$T$397,V65)=0),1,0)</x:f>
        <x:v>1</x:v>
      </x:c>
      <x:c r="S65" s="9" t="n">
        <x:f>IF(AND(R65=1,O65&lt;=$G$13),1,0)</x:f>
        <x:v>0</x:v>
      </x:c>
      <x:c r="T65" s="10" t="n">
        <x:f>EOMONTH(J65-'Сводка'!$B$11,-1)</x:f>
        <x:v>45900</x:v>
      </x:c>
      <x:c r="U65" s="4" t="n">
        <x:f>MATCH(J65,'Сводка'!$R$3:$R$397,0)</x:f>
        <x:v>76</x:v>
      </x:c>
      <x:c r="V65" s="4" t="n">
        <x:f>MATCH(J65-'Сводка'!$B$11,'Сводка'!$R$3:$R$397,0)</x:f>
        <x:v>75</x:v>
      </x:c>
      <x:c r="W65" s="4" t="n">
        <x:f>MATCH(T65,$J$388:$J$400,0)</x:f>
        <x:v>3</x:v>
      </x:c>
      <x:c r="X65" s="3"/>
      <x:c r="Y65" s="3"/>
      <x:c r="Z65" s="3"/>
    </x:row>
    <x:row r="66" ht="15" customHeight="1">
      <x:c r="A66" s="7" t="str">
        <x:f>IF(48&lt;='Сводка'!$B$3,'Сводка'!$B$4+48,"")</x:f>
      </x:c>
      <x:c r="B66" s="20" t="str">
        <x:f>IF($A66="","",(A66-$T$405+1)/1000)</x:f>
      </x:c>
      <x:c r="C66" s="20" t="str">
        <x:f>IF($A66="","",2*(A66-$T$405)/$T$406-1)</x:f>
      </x:c>
      <x:c r="D66" s="3" t="str">
        <x:f>IF($A66="","",$B$4*B66^$B$5+INDEX($E$4:$E$15,MONTH(A66)))</x:f>
      </x:c>
      <x:c r="E66" s="3" t="str">
        <x:f>IF($A66="","",SQRT($T$403^2+H66^2))</x:f>
      </x:c>
      <x:c r="F66" s="3" t="str">
        <x:f>IF($A66="","",D66-$T$404*E66)</x:f>
      </x:c>
      <x:c r="G66" s="3" t="str">
        <x:f>IF($A66="","",D66+$T$404*E66)</x:f>
      </x:c>
      <x:c r="H66" s="3" t="str">
        <x:f>IF($A66="","",SQRT(MAX(0,(B66^$B$5)*$S$409*(B66^$B$5)+(B66^$B$5)*$T$409*($B$4*B66^$B$5*LN(B66))+($B$4*B66^$B$5*LN(B66))*$S$410*(B66^$B$5)+($B$4*B66^$B$5*LN(B66))*$T$410*($B$4*B66^$B$5*LN(B66))+2*((B66^$B$5)*INDEX($S$416:$V$427,MONTH(A66),1)+($B$4*B66^$B$5*LN(B66))*INDEX($S$416:$V$427,MONTH(A66),2))+INDEX($W$416:$W$427,MONTH(A66)))))</x:f>
      </x:c>
      <x:c r="I66" s="3"/>
      <x:c r="J66" s="10" t="n">
        <x:v>45917</x:v>
      </x:c>
      <x:c r="K66" s="8" t="n">
        <x:f>INDEX('Сводка'!$S$3:$S$397,U66)</x:f>
        <x:v>219</x:v>
      </x:c>
      <x:c r="L66" s="8" t="n">
        <x:f>INDEX('Сводка'!$S$3:$S$397,V66)</x:f>
        <x:v>213</x:v>
      </x:c>
      <x:c r="M66" s="8" t="n">
        <x:f>INDEX($K$388:$N$400,W66,1)*((J66-$T$405+1)/1000)^INDEX($K$388:$N$400,W66,2)+INDEX($O$388:$Z$400,W66,MONTH(J66))</x:f>
        <x:v>322.45015238132225</x:v>
      </x:c>
      <x:c r="N66" s="8" t="n">
        <x:f>K66-M66</x:f>
        <x:v>-103.45015238132225</x:v>
      </x:c>
      <x:c r="O66" s="8" t="n">
        <x:f>ABS(N66)</x:f>
        <x:v>103.45015238132225</x:v>
      </x:c>
      <x:c r="P66" s="8" t="n">
        <x:f>N66^2</x:f>
        <x:v>10701.934027718795</x:v>
      </x:c>
      <x:c r="Q66" s="8" t="n">
        <x:f>K66-L66</x:f>
        <x:v>6</x:v>
      </x:c>
      <x:c r="R66" s="9" t="n">
        <x:f>IF(AND(INDEX('Сводка'!$T$3:$T$397,U66)=0,INDEX('Сводка'!$T$3:$T$397,V66)=0),1,0)</x:f>
        <x:v>1</x:v>
      </x:c>
      <x:c r="S66" s="9" t="n">
        <x:f>IF(AND(R66=1,O66&lt;=$G$13),1,0)</x:f>
        <x:v>0</x:v>
      </x:c>
      <x:c r="T66" s="10" t="n">
        <x:f>EOMONTH(J66-'Сводка'!$B$11,-1)</x:f>
        <x:v>45900</x:v>
      </x:c>
      <x:c r="U66" s="4" t="n">
        <x:f>MATCH(J66,'Сводка'!$R$3:$R$397,0)</x:f>
        <x:v>77</x:v>
      </x:c>
      <x:c r="V66" s="4" t="n">
        <x:f>MATCH(J66-'Сводка'!$B$11,'Сводка'!$R$3:$R$397,0)</x:f>
        <x:v>76</x:v>
      </x:c>
      <x:c r="W66" s="4" t="n">
        <x:f>MATCH(T66,$J$388:$J$400,0)</x:f>
        <x:v>3</x:v>
      </x:c>
      <x:c r="X66" s="3"/>
      <x:c r="Y66" s="3"/>
      <x:c r="Z66" s="3"/>
    </x:row>
    <x:row r="67" ht="15" customHeight="1">
      <x:c r="A67" s="7" t="str">
        <x:f>IF(49&lt;='Сводка'!$B$3,'Сводка'!$B$4+49,"")</x:f>
      </x:c>
      <x:c r="B67" s="20" t="str">
        <x:f>IF($A67="","",(A67-$T$405+1)/1000)</x:f>
      </x:c>
      <x:c r="C67" s="20" t="str">
        <x:f>IF($A67="","",2*(A67-$T$405)/$T$406-1)</x:f>
      </x:c>
      <x:c r="D67" s="3" t="str">
        <x:f>IF($A67="","",$B$4*B67^$B$5+INDEX($E$4:$E$15,MONTH(A67)))</x:f>
      </x:c>
      <x:c r="E67" s="3" t="str">
        <x:f>IF($A67="","",SQRT($T$403^2+H67^2))</x:f>
      </x:c>
      <x:c r="F67" s="3" t="str">
        <x:f>IF($A67="","",D67-$T$404*E67)</x:f>
      </x:c>
      <x:c r="G67" s="3" t="str">
        <x:f>IF($A67="","",D67+$T$404*E67)</x:f>
      </x:c>
      <x:c r="H67" s="3" t="str">
        <x:f>IF($A67="","",SQRT(MAX(0,(B67^$B$5)*$S$409*(B67^$B$5)+(B67^$B$5)*$T$409*($B$4*B67^$B$5*LN(B67))+($B$4*B67^$B$5*LN(B67))*$S$410*(B67^$B$5)+($B$4*B67^$B$5*LN(B67))*$T$410*($B$4*B67^$B$5*LN(B67))+2*((B67^$B$5)*INDEX($S$416:$V$427,MONTH(A67),1)+($B$4*B67^$B$5*LN(B67))*INDEX($S$416:$V$427,MONTH(A67),2))+INDEX($W$416:$W$427,MONTH(A67)))))</x:f>
      </x:c>
      <x:c r="I67" s="3"/>
      <x:c r="J67" s="10" t="n">
        <x:v>45918</x:v>
      </x:c>
      <x:c r="K67" s="8" t="n">
        <x:f>INDEX('Сводка'!$S$3:$S$397,U67)</x:f>
        <x:v>227</x:v>
      </x:c>
      <x:c r="L67" s="8" t="n">
        <x:f>INDEX('Сводка'!$S$3:$S$397,V67)</x:f>
        <x:v>219</x:v>
      </x:c>
      <x:c r="M67" s="8" t="n">
        <x:f>INDEX($K$388:$N$400,W67,1)*((J67-$T$405+1)/1000)^INDEX($K$388:$N$400,W67,2)+INDEX($O$388:$Z$400,W67,MONTH(J67))</x:f>
        <x:v>322.46913363019536</x:v>
      </x:c>
      <x:c r="N67" s="8" t="n">
        <x:f>K67-M67</x:f>
        <x:v>-95.46913363019536</x:v>
      </x:c>
      <x:c r="O67" s="8" t="n">
        <x:f>ABS(N67)</x:f>
        <x:v>95.46913363019536</x:v>
      </x:c>
      <x:c r="P67" s="8" t="n">
        <x:f>N67^2</x:f>
        <x:v>9114.355476100098</x:v>
      </x:c>
      <x:c r="Q67" s="8" t="n">
        <x:f>K67-L67</x:f>
        <x:v>8</x:v>
      </x:c>
      <x:c r="R67" s="9" t="n">
        <x:f>IF(AND(INDEX('Сводка'!$T$3:$T$397,U67)=0,INDEX('Сводка'!$T$3:$T$397,V67)=0),1,0)</x:f>
        <x:v>1</x:v>
      </x:c>
      <x:c r="S67" s="9" t="n">
        <x:f>IF(AND(R67=1,O67&lt;=$G$13),1,0)</x:f>
        <x:v>0</x:v>
      </x:c>
      <x:c r="T67" s="10" t="n">
        <x:f>EOMONTH(J67-'Сводка'!$B$11,-1)</x:f>
        <x:v>45900</x:v>
      </x:c>
      <x:c r="U67" s="4" t="n">
        <x:f>MATCH(J67,'Сводка'!$R$3:$R$397,0)</x:f>
        <x:v>78</x:v>
      </x:c>
      <x:c r="V67" s="4" t="n">
        <x:f>MATCH(J67-'Сводка'!$B$11,'Сводка'!$R$3:$R$397,0)</x:f>
        <x:v>77</x:v>
      </x:c>
      <x:c r="W67" s="4" t="n">
        <x:f>MATCH(T67,$J$388:$J$400,0)</x:f>
        <x:v>3</x:v>
      </x:c>
      <x:c r="X67" s="3"/>
      <x:c r="Y67" s="3"/>
      <x:c r="Z67" s="3"/>
    </x:row>
    <x:row r="68" ht="15" customHeight="1">
      <x:c r="A68" s="7" t="str">
        <x:f>IF(50&lt;='Сводка'!$B$3,'Сводка'!$B$4+50,"")</x:f>
      </x:c>
      <x:c r="B68" s="20" t="str">
        <x:f>IF($A68="","",(A68-$T$405+1)/1000)</x:f>
      </x:c>
      <x:c r="C68" s="20" t="str">
        <x:f>IF($A68="","",2*(A68-$T$405)/$T$406-1)</x:f>
      </x:c>
      <x:c r="D68" s="3" t="str">
        <x:f>IF($A68="","",$B$4*B68^$B$5+INDEX($E$4:$E$15,MONTH(A68)))</x:f>
      </x:c>
      <x:c r="E68" s="3" t="str">
        <x:f>IF($A68="","",SQRT($T$403^2+H68^2))</x:f>
      </x:c>
      <x:c r="F68" s="3" t="str">
        <x:f>IF($A68="","",D68-$T$404*E68)</x:f>
      </x:c>
      <x:c r="G68" s="3" t="str">
        <x:f>IF($A68="","",D68+$T$404*E68)</x:f>
      </x:c>
      <x:c r="H68" s="3" t="str">
        <x:f>IF($A68="","",SQRT(MAX(0,(B68^$B$5)*$S$409*(B68^$B$5)+(B68^$B$5)*$T$409*($B$4*B68^$B$5*LN(B68))+($B$4*B68^$B$5*LN(B68))*$S$410*(B68^$B$5)+($B$4*B68^$B$5*LN(B68))*$T$410*($B$4*B68^$B$5*LN(B68))+2*((B68^$B$5)*INDEX($S$416:$V$427,MONTH(A68),1)+($B$4*B68^$B$5*LN(B68))*INDEX($S$416:$V$427,MONTH(A68),2))+INDEX($W$416:$W$427,MONTH(A68)))))</x:f>
      </x:c>
      <x:c r="I68" s="3"/>
      <x:c r="J68" s="10" t="n">
        <x:v>45919</x:v>
      </x:c>
      <x:c r="K68" s="8" t="n">
        <x:f>INDEX('Сводка'!$S$3:$S$397,U68)</x:f>
        <x:v>241</x:v>
      </x:c>
      <x:c r="L68" s="8" t="n">
        <x:f>INDEX('Сводка'!$S$3:$S$397,V68)</x:f>
        <x:v>227</x:v>
      </x:c>
      <x:c r="M68" s="8" t="n">
        <x:f>INDEX($K$388:$N$400,W68,1)*((J68-$T$405+1)/1000)^INDEX($K$388:$N$400,W68,2)+INDEX($O$388:$Z$400,W68,MONTH(J68))</x:f>
        <x:v>322.4881151102019</x:v>
      </x:c>
      <x:c r="N68" s="8" t="n">
        <x:f>K68-M68</x:f>
        <x:v>-81.48811511020187</x:v>
      </x:c>
      <x:c r="O68" s="8" t="n">
        <x:f>ABS(N68)</x:f>
        <x:v>81.48811511020187</x:v>
      </x:c>
      <x:c r="P68" s="8" t="n">
        <x:f>N68^2</x:f>
        <x:v>6640.3129042135115</x:v>
      </x:c>
      <x:c r="Q68" s="8" t="n">
        <x:f>K68-L68</x:f>
        <x:v>14</x:v>
      </x:c>
      <x:c r="R68" s="9" t="n">
        <x:f>IF(AND(INDEX('Сводка'!$T$3:$T$397,U68)=0,INDEX('Сводка'!$T$3:$T$397,V68)=0),1,0)</x:f>
        <x:v>1</x:v>
      </x:c>
      <x:c r="S68" s="9" t="n">
        <x:f>IF(AND(R68=1,O68&lt;=$G$13),1,0)</x:f>
        <x:v>0</x:v>
      </x:c>
      <x:c r="T68" s="10" t="n">
        <x:f>EOMONTH(J68-'Сводка'!$B$11,-1)</x:f>
        <x:v>45900</x:v>
      </x:c>
      <x:c r="U68" s="4" t="n">
        <x:f>MATCH(J68,'Сводка'!$R$3:$R$397,0)</x:f>
        <x:v>79</x:v>
      </x:c>
      <x:c r="V68" s="4" t="n">
        <x:f>MATCH(J68-'Сводка'!$B$11,'Сводка'!$R$3:$R$397,0)</x:f>
        <x:v>78</x:v>
      </x:c>
      <x:c r="W68" s="4" t="n">
        <x:f>MATCH(T68,$J$388:$J$400,0)</x:f>
        <x:v>3</x:v>
      </x:c>
      <x:c r="X68" s="3"/>
      <x:c r="Y68" s="3"/>
      <x:c r="Z68" s="3"/>
    </x:row>
    <x:row r="69" ht="15" customHeight="1">
      <x:c r="A69" s="7" t="str">
        <x:f>IF(51&lt;='Сводка'!$B$3,'Сводка'!$B$4+51,"")</x:f>
      </x:c>
      <x:c r="B69" s="20" t="str">
        <x:f>IF($A69="","",(A69-$T$405+1)/1000)</x:f>
      </x:c>
      <x:c r="C69" s="20" t="str">
        <x:f>IF($A69="","",2*(A69-$T$405)/$T$406-1)</x:f>
      </x:c>
      <x:c r="D69" s="3" t="str">
        <x:f>IF($A69="","",$B$4*B69^$B$5+INDEX($E$4:$E$15,MONTH(A69)))</x:f>
      </x:c>
      <x:c r="E69" s="3" t="str">
        <x:f>IF($A69="","",SQRT($T$403^2+H69^2))</x:f>
      </x:c>
      <x:c r="F69" s="3" t="str">
        <x:f>IF($A69="","",D69-$T$404*E69)</x:f>
      </x:c>
      <x:c r="G69" s="3" t="str">
        <x:f>IF($A69="","",D69+$T$404*E69)</x:f>
      </x:c>
      <x:c r="H69" s="3" t="str">
        <x:f>IF($A69="","",SQRT(MAX(0,(B69^$B$5)*$S$409*(B69^$B$5)+(B69^$B$5)*$T$409*($B$4*B69^$B$5*LN(B69))+($B$4*B69^$B$5*LN(B69))*$S$410*(B69^$B$5)+($B$4*B69^$B$5*LN(B69))*$T$410*($B$4*B69^$B$5*LN(B69))+2*((B69^$B$5)*INDEX($S$416:$V$427,MONTH(A69),1)+($B$4*B69^$B$5*LN(B69))*INDEX($S$416:$V$427,MONTH(A69),2))+INDEX($W$416:$W$427,MONTH(A69)))))</x:f>
      </x:c>
      <x:c r="I69" s="3"/>
      <x:c r="J69" s="10" t="n">
        <x:v>45920</x:v>
      </x:c>
      <x:c r="K69" s="8" t="n">
        <x:f>INDEX('Сводка'!$S$3:$S$397,U69)</x:f>
        <x:v>249</x:v>
      </x:c>
      <x:c r="L69" s="8" t="n">
        <x:f>INDEX('Сводка'!$S$3:$S$397,V69)</x:f>
        <x:v>241</x:v>
      </x:c>
      <x:c r="M69" s="8" t="n">
        <x:f>INDEX($K$388:$N$400,W69,1)*((J69-$T$405+1)/1000)^INDEX($K$388:$N$400,W69,2)+INDEX($O$388:$Z$400,W69,MONTH(J69))</x:f>
        <x:v>322.507096821318</x:v>
      </x:c>
      <x:c r="N69" s="8" t="n">
        <x:f>K69-M69</x:f>
        <x:v>-73.50709682131799</x:v>
      </x:c>
      <x:c r="O69" s="8" t="n">
        <x:f>ABS(N69)</x:f>
        <x:v>73.50709682131799</x:v>
      </x:c>
      <x:c r="P69" s="8" t="n">
        <x:f>N69^2</x:f>
        <x:v>5403.2932830986165</x:v>
      </x:c>
      <x:c r="Q69" s="8" t="n">
        <x:f>K69-L69</x:f>
        <x:v>8</x:v>
      </x:c>
      <x:c r="R69" s="9" t="n">
        <x:f>IF(AND(INDEX('Сводка'!$T$3:$T$397,U69)=0,INDEX('Сводка'!$T$3:$T$397,V69)=0),1,0)</x:f>
        <x:v>1</x:v>
      </x:c>
      <x:c r="S69" s="9" t="n">
        <x:f>IF(AND(R69=1,O69&lt;=$G$13),1,0)</x:f>
        <x:v>0</x:v>
      </x:c>
      <x:c r="T69" s="10" t="n">
        <x:f>EOMONTH(J69-'Сводка'!$B$11,-1)</x:f>
        <x:v>45900</x:v>
      </x:c>
      <x:c r="U69" s="4" t="n">
        <x:f>MATCH(J69,'Сводка'!$R$3:$R$397,0)</x:f>
        <x:v>80</x:v>
      </x:c>
      <x:c r="V69" s="4" t="n">
        <x:f>MATCH(J69-'Сводка'!$B$11,'Сводка'!$R$3:$R$397,0)</x:f>
        <x:v>79</x:v>
      </x:c>
      <x:c r="W69" s="4" t="n">
        <x:f>MATCH(T69,$J$388:$J$400,0)</x:f>
        <x:v>3</x:v>
      </x:c>
      <x:c r="X69" s="3"/>
      <x:c r="Y69" s="3"/>
      <x:c r="Z69" s="3"/>
    </x:row>
    <x:row r="70" ht="15" customHeight="1">
      <x:c r="A70" s="7" t="str">
        <x:f>IF(52&lt;='Сводка'!$B$3,'Сводка'!$B$4+52,"")</x:f>
      </x:c>
      <x:c r="B70" s="20" t="str">
        <x:f>IF($A70="","",(A70-$T$405+1)/1000)</x:f>
      </x:c>
      <x:c r="C70" s="20" t="str">
        <x:f>IF($A70="","",2*(A70-$T$405)/$T$406-1)</x:f>
      </x:c>
      <x:c r="D70" s="3" t="str">
        <x:f>IF($A70="","",$B$4*B70^$B$5+INDEX($E$4:$E$15,MONTH(A70)))</x:f>
      </x:c>
      <x:c r="E70" s="3" t="str">
        <x:f>IF($A70="","",SQRT($T$403^2+H70^2))</x:f>
      </x:c>
      <x:c r="F70" s="3" t="str">
        <x:f>IF($A70="","",D70-$T$404*E70)</x:f>
      </x:c>
      <x:c r="G70" s="3" t="str">
        <x:f>IF($A70="","",D70+$T$404*E70)</x:f>
      </x:c>
      <x:c r="H70" s="3" t="str">
        <x:f>IF($A70="","",SQRT(MAX(0,(B70^$B$5)*$S$409*(B70^$B$5)+(B70^$B$5)*$T$409*($B$4*B70^$B$5*LN(B70))+($B$4*B70^$B$5*LN(B70))*$S$410*(B70^$B$5)+($B$4*B70^$B$5*LN(B70))*$T$410*($B$4*B70^$B$5*LN(B70))+2*((B70^$B$5)*INDEX($S$416:$V$427,MONTH(A70),1)+($B$4*B70^$B$5*LN(B70))*INDEX($S$416:$V$427,MONTH(A70),2))+INDEX($W$416:$W$427,MONTH(A70)))))</x:f>
      </x:c>
      <x:c r="I70" s="3"/>
      <x:c r="J70" s="10" t="n">
        <x:v>45921</x:v>
      </x:c>
      <x:c r="K70" s="8" t="n">
        <x:f>INDEX('Сводка'!$S$3:$S$397,U70)</x:f>
        <x:v>260</x:v>
      </x:c>
      <x:c r="L70" s="8" t="n">
        <x:f>INDEX('Сводка'!$S$3:$S$397,V70)</x:f>
        <x:v>249</x:v>
      </x:c>
      <x:c r="M70" s="8" t="n">
        <x:f>INDEX($K$388:$N$400,W70,1)*((J70-$T$405+1)/1000)^INDEX($K$388:$N$400,W70,2)+INDEX($O$388:$Z$400,W70,MONTH(J70))</x:f>
        <x:v>322.52607876351976</x:v>
      </x:c>
      <x:c r="N70" s="8" t="n">
        <x:f>K70-M70</x:f>
        <x:v>-62.52607876351976</x:v>
      </x:c>
      <x:c r="O70" s="8" t="n">
        <x:f>ABS(N70)</x:f>
        <x:v>62.52607876351976</x:v>
      </x:c>
      <x:c r="P70" s="8" t="n">
        <x:f>N70^2</x:f>
        <x:v>3909.510525541877</x:v>
      </x:c>
      <x:c r="Q70" s="8" t="n">
        <x:f>K70-L70</x:f>
        <x:v>11</x:v>
      </x:c>
      <x:c r="R70" s="9" t="n">
        <x:f>IF(AND(INDEX('Сводка'!$T$3:$T$397,U70)=0,INDEX('Сводка'!$T$3:$T$397,V70)=0),1,0)</x:f>
        <x:v>1</x:v>
      </x:c>
      <x:c r="S70" s="9" t="n">
        <x:f>IF(AND(R70=1,O70&lt;=$G$13),1,0)</x:f>
        <x:v>0</x:v>
      </x:c>
      <x:c r="T70" s="10" t="n">
        <x:f>EOMONTH(J70-'Сводка'!$B$11,-1)</x:f>
        <x:v>45900</x:v>
      </x:c>
      <x:c r="U70" s="4" t="n">
        <x:f>MATCH(J70,'Сводка'!$R$3:$R$397,0)</x:f>
        <x:v>81</x:v>
      </x:c>
      <x:c r="V70" s="4" t="n">
        <x:f>MATCH(J70-'Сводка'!$B$11,'Сводка'!$R$3:$R$397,0)</x:f>
        <x:v>80</x:v>
      </x:c>
      <x:c r="W70" s="4" t="n">
        <x:f>MATCH(T70,$J$388:$J$400,0)</x:f>
        <x:v>3</x:v>
      </x:c>
      <x:c r="X70" s="3"/>
      <x:c r="Y70" s="3"/>
      <x:c r="Z70" s="3"/>
    </x:row>
    <x:row r="71" ht="15" customHeight="1">
      <x:c r="A71" s="7" t="str">
        <x:f>IF(53&lt;='Сводка'!$B$3,'Сводка'!$B$4+53,"")</x:f>
      </x:c>
      <x:c r="B71" s="20" t="str">
        <x:f>IF($A71="","",(A71-$T$405+1)/1000)</x:f>
      </x:c>
      <x:c r="C71" s="20" t="str">
        <x:f>IF($A71="","",2*(A71-$T$405)/$T$406-1)</x:f>
      </x:c>
      <x:c r="D71" s="3" t="str">
        <x:f>IF($A71="","",$B$4*B71^$B$5+INDEX($E$4:$E$15,MONTH(A71)))</x:f>
      </x:c>
      <x:c r="E71" s="3" t="str">
        <x:f>IF($A71="","",SQRT($T$403^2+H71^2))</x:f>
      </x:c>
      <x:c r="F71" s="3" t="str">
        <x:f>IF($A71="","",D71-$T$404*E71)</x:f>
      </x:c>
      <x:c r="G71" s="3" t="str">
        <x:f>IF($A71="","",D71+$T$404*E71)</x:f>
      </x:c>
      <x:c r="H71" s="3" t="str">
        <x:f>IF($A71="","",SQRT(MAX(0,(B71^$B$5)*$S$409*(B71^$B$5)+(B71^$B$5)*$T$409*($B$4*B71^$B$5*LN(B71))+($B$4*B71^$B$5*LN(B71))*$S$410*(B71^$B$5)+($B$4*B71^$B$5*LN(B71))*$T$410*($B$4*B71^$B$5*LN(B71))+2*((B71^$B$5)*INDEX($S$416:$V$427,MONTH(A71),1)+($B$4*B71^$B$5*LN(B71))*INDEX($S$416:$V$427,MONTH(A71),2))+INDEX($W$416:$W$427,MONTH(A71)))))</x:f>
      </x:c>
      <x:c r="I71" s="3"/>
      <x:c r="J71" s="10" t="n">
        <x:v>45922</x:v>
      </x:c>
      <x:c r="K71" s="8" t="n">
        <x:f>INDEX('Сводка'!$S$3:$S$397,U71)</x:f>
        <x:v>272</x:v>
      </x:c>
      <x:c r="L71" s="8" t="n">
        <x:f>INDEX('Сводка'!$S$3:$S$397,V71)</x:f>
        <x:v>260</x:v>
      </x:c>
      <x:c r="M71" s="8" t="n">
        <x:f>INDEX($K$388:$N$400,W71,1)*((J71-$T$405+1)/1000)^INDEX($K$388:$N$400,W71,2)+INDEX($O$388:$Z$400,W71,MONTH(J71))</x:f>
        <x:v>322.5450609367835</x:v>
      </x:c>
      <x:c r="N71" s="8" t="n">
        <x:f>K71-M71</x:f>
        <x:v>-50.5450609367835</x:v>
      </x:c>
      <x:c r="O71" s="8" t="n">
        <x:f>ABS(N71)</x:f>
        <x:v>50.5450609367835</x:v>
      </x:c>
      <x:c r="P71" s="8" t="n">
        <x:f>N71^2</x:f>
        <x:v>2554.8031851031574</x:v>
      </x:c>
      <x:c r="Q71" s="8" t="n">
        <x:f>K71-L71</x:f>
        <x:v>12</x:v>
      </x:c>
      <x:c r="R71" s="9" t="n">
        <x:f>IF(AND(INDEX('Сводка'!$T$3:$T$397,U71)=0,INDEX('Сводка'!$T$3:$T$397,V71)=0),1,0)</x:f>
        <x:v>1</x:v>
      </x:c>
      <x:c r="S71" s="9" t="n">
        <x:f>IF(AND(R71=1,O71&lt;=$G$13),1,0)</x:f>
        <x:v>0</x:v>
      </x:c>
      <x:c r="T71" s="10" t="n">
        <x:f>EOMONTH(J71-'Сводка'!$B$11,-1)</x:f>
        <x:v>45900</x:v>
      </x:c>
      <x:c r="U71" s="4" t="n">
        <x:f>MATCH(J71,'Сводка'!$R$3:$R$397,0)</x:f>
        <x:v>82</x:v>
      </x:c>
      <x:c r="V71" s="4" t="n">
        <x:f>MATCH(J71-'Сводка'!$B$11,'Сводка'!$R$3:$R$397,0)</x:f>
        <x:v>81</x:v>
      </x:c>
      <x:c r="W71" s="4" t="n">
        <x:f>MATCH(T71,$J$388:$J$400,0)</x:f>
        <x:v>3</x:v>
      </x:c>
      <x:c r="X71" s="3"/>
      <x:c r="Y71" s="3"/>
      <x:c r="Z71" s="3"/>
    </x:row>
    <x:row r="72" ht="15" customHeight="1">
      <x:c r="A72" s="7" t="str">
        <x:f>IF(54&lt;='Сводка'!$B$3,'Сводка'!$B$4+54,"")</x:f>
      </x:c>
      <x:c r="B72" s="20" t="str">
        <x:f>IF($A72="","",(A72-$T$405+1)/1000)</x:f>
      </x:c>
      <x:c r="C72" s="20" t="str">
        <x:f>IF($A72="","",2*(A72-$T$405)/$T$406-1)</x:f>
      </x:c>
      <x:c r="D72" s="3" t="str">
        <x:f>IF($A72="","",$B$4*B72^$B$5+INDEX($E$4:$E$15,MONTH(A72)))</x:f>
      </x:c>
      <x:c r="E72" s="3" t="str">
        <x:f>IF($A72="","",SQRT($T$403^2+H72^2))</x:f>
      </x:c>
      <x:c r="F72" s="3" t="str">
        <x:f>IF($A72="","",D72-$T$404*E72)</x:f>
      </x:c>
      <x:c r="G72" s="3" t="str">
        <x:f>IF($A72="","",D72+$T$404*E72)</x:f>
      </x:c>
      <x:c r="H72" s="3" t="str">
        <x:f>IF($A72="","",SQRT(MAX(0,(B72^$B$5)*$S$409*(B72^$B$5)+(B72^$B$5)*$T$409*($B$4*B72^$B$5*LN(B72))+($B$4*B72^$B$5*LN(B72))*$S$410*(B72^$B$5)+($B$4*B72^$B$5*LN(B72))*$T$410*($B$4*B72^$B$5*LN(B72))+2*((B72^$B$5)*INDEX($S$416:$V$427,MONTH(A72),1)+($B$4*B72^$B$5*LN(B72))*INDEX($S$416:$V$427,MONTH(A72),2))+INDEX($W$416:$W$427,MONTH(A72)))))</x:f>
      </x:c>
      <x:c r="I72" s="3"/>
      <x:c r="J72" s="10" t="n">
        <x:v>45923</x:v>
      </x:c>
      <x:c r="K72" s="8" t="n">
        <x:f>INDEX('Сводка'!$S$3:$S$397,U72)</x:f>
        <x:v>279</x:v>
      </x:c>
      <x:c r="L72" s="8" t="n">
        <x:f>INDEX('Сводка'!$S$3:$S$397,V72)</x:f>
        <x:v>272</x:v>
      </x:c>
      <x:c r="M72" s="8" t="n">
        <x:f>INDEX($K$388:$N$400,W72,1)*((J72-$T$405+1)/1000)^INDEX($K$388:$N$400,W72,2)+INDEX($O$388:$Z$400,W72,MONTH(J72))</x:f>
        <x:v>322.5640433410852</x:v>
      </x:c>
      <x:c r="N72" s="8" t="n">
        <x:f>K72-M72</x:f>
        <x:v>-43.56404334108521</x:v>
      </x:c>
      <x:c r="O72" s="8" t="n">
        <x:f>ABS(N72)</x:f>
        <x:v>43.56404334108521</x:v>
      </x:c>
      <x:c r="P72" s="8" t="n">
        <x:f>N72^2</x:f>
        <x:v>1897.8258722239507</x:v>
      </x:c>
      <x:c r="Q72" s="8" t="n">
        <x:f>K72-L72</x:f>
        <x:v>7</x:v>
      </x:c>
      <x:c r="R72" s="9" t="n">
        <x:f>IF(AND(INDEX('Сводка'!$T$3:$T$397,U72)=0,INDEX('Сводка'!$T$3:$T$397,V72)=0),1,0)</x:f>
        <x:v>1</x:v>
      </x:c>
      <x:c r="S72" s="9" t="n">
        <x:f>IF(AND(R72=1,O72&lt;=$G$13),1,0)</x:f>
        <x:v>0</x:v>
      </x:c>
      <x:c r="T72" s="10" t="n">
        <x:f>EOMONTH(J72-'Сводка'!$B$11,-1)</x:f>
        <x:v>45900</x:v>
      </x:c>
      <x:c r="U72" s="4" t="n">
        <x:f>MATCH(J72,'Сводка'!$R$3:$R$397,0)</x:f>
        <x:v>83</x:v>
      </x:c>
      <x:c r="V72" s="4" t="n">
        <x:f>MATCH(J72-'Сводка'!$B$11,'Сводка'!$R$3:$R$397,0)</x:f>
        <x:v>82</x:v>
      </x:c>
      <x:c r="W72" s="4" t="n">
        <x:f>MATCH(T72,$J$388:$J$400,0)</x:f>
        <x:v>3</x:v>
      </x:c>
      <x:c r="X72" s="3"/>
      <x:c r="Y72" s="3"/>
      <x:c r="Z72" s="3"/>
    </x:row>
    <x:row r="73" ht="15" customHeight="1">
      <x:c r="A73" s="7" t="str">
        <x:f>IF(55&lt;='Сводка'!$B$3,'Сводка'!$B$4+55,"")</x:f>
      </x:c>
      <x:c r="B73" s="20" t="str">
        <x:f>IF($A73="","",(A73-$T$405+1)/1000)</x:f>
      </x:c>
      <x:c r="C73" s="20" t="str">
        <x:f>IF($A73="","",2*(A73-$T$405)/$T$406-1)</x:f>
      </x:c>
      <x:c r="D73" s="3" t="str">
        <x:f>IF($A73="","",$B$4*B73^$B$5+INDEX($E$4:$E$15,MONTH(A73)))</x:f>
      </x:c>
      <x:c r="E73" s="3" t="str">
        <x:f>IF($A73="","",SQRT($T$403^2+H73^2))</x:f>
      </x:c>
      <x:c r="F73" s="3" t="str">
        <x:f>IF($A73="","",D73-$T$404*E73)</x:f>
      </x:c>
      <x:c r="G73" s="3" t="str">
        <x:f>IF($A73="","",D73+$T$404*E73)</x:f>
      </x:c>
      <x:c r="H73" s="3" t="str">
        <x:f>IF($A73="","",SQRT(MAX(0,(B73^$B$5)*$S$409*(B73^$B$5)+(B73^$B$5)*$T$409*($B$4*B73^$B$5*LN(B73))+($B$4*B73^$B$5*LN(B73))*$S$410*(B73^$B$5)+($B$4*B73^$B$5*LN(B73))*$T$410*($B$4*B73^$B$5*LN(B73))+2*((B73^$B$5)*INDEX($S$416:$V$427,MONTH(A73),1)+($B$4*B73^$B$5*LN(B73))*INDEX($S$416:$V$427,MONTH(A73),2))+INDEX($W$416:$W$427,MONTH(A73)))))</x:f>
      </x:c>
      <x:c r="I73" s="3"/>
      <x:c r="J73" s="10" t="n">
        <x:v>45924</x:v>
      </x:c>
      <x:c r="K73" s="8" t="n">
        <x:f>INDEX('Сводка'!$S$3:$S$397,U73)</x:f>
        <x:v>284</x:v>
      </x:c>
      <x:c r="L73" s="8" t="n">
        <x:f>INDEX('Сводка'!$S$3:$S$397,V73)</x:f>
        <x:v>279</x:v>
      </x:c>
      <x:c r="M73" s="8" t="n">
        <x:f>INDEX($K$388:$N$400,W73,1)*((J73-$T$405+1)/1000)^INDEX($K$388:$N$400,W73,2)+INDEX($O$388:$Z$400,W73,MONTH(J73))</x:f>
        <x:v>322.5830259764011</x:v>
      </x:c>
      <x:c r="N73" s="8" t="n">
        <x:f>K73-M73</x:f>
        <x:v>-38.583025976401075</x:v>
      </x:c>
      <x:c r="O73" s="8" t="n">
        <x:f>ABS(N73)</x:f>
        <x:v>38.583025976401075</x:v>
      </x:c>
      <x:c r="P73" s="8" t="n">
        <x:f>N73^2</x:f>
        <x:v>1488.64989349564</x:v>
      </x:c>
      <x:c r="Q73" s="8" t="n">
        <x:f>K73-L73</x:f>
        <x:v>5</x:v>
      </x:c>
      <x:c r="R73" s="9" t="n">
        <x:f>IF(AND(INDEX('Сводка'!$T$3:$T$397,U73)=0,INDEX('Сводка'!$T$3:$T$397,V73)=0),1,0)</x:f>
        <x:v>1</x:v>
      </x:c>
      <x:c r="S73" s="9" t="n">
        <x:f>IF(AND(R73=1,O73&lt;=$G$13),1,0)</x:f>
        <x:v>0</x:v>
      </x:c>
      <x:c r="T73" s="10" t="n">
        <x:f>EOMONTH(J73-'Сводка'!$B$11,-1)</x:f>
        <x:v>45900</x:v>
      </x:c>
      <x:c r="U73" s="4" t="n">
        <x:f>MATCH(J73,'Сводка'!$R$3:$R$397,0)</x:f>
        <x:v>84</x:v>
      </x:c>
      <x:c r="V73" s="4" t="n">
        <x:f>MATCH(J73-'Сводка'!$B$11,'Сводка'!$R$3:$R$397,0)</x:f>
        <x:v>83</x:v>
      </x:c>
      <x:c r="W73" s="4" t="n">
        <x:f>MATCH(T73,$J$388:$J$400,0)</x:f>
        <x:v>3</x:v>
      </x:c>
      <x:c r="X73" s="3"/>
      <x:c r="Y73" s="3"/>
      <x:c r="Z73" s="3"/>
    </x:row>
    <x:row r="74" ht="15" customHeight="1">
      <x:c r="A74" s="7" t="str">
        <x:f>IF(56&lt;='Сводка'!$B$3,'Сводка'!$B$4+56,"")</x:f>
      </x:c>
      <x:c r="B74" s="20" t="str">
        <x:f>IF($A74="","",(A74-$T$405+1)/1000)</x:f>
      </x:c>
      <x:c r="C74" s="20" t="str">
        <x:f>IF($A74="","",2*(A74-$T$405)/$T$406-1)</x:f>
      </x:c>
      <x:c r="D74" s="3" t="str">
        <x:f>IF($A74="","",$B$4*B74^$B$5+INDEX($E$4:$E$15,MONTH(A74)))</x:f>
      </x:c>
      <x:c r="E74" s="3" t="str">
        <x:f>IF($A74="","",SQRT($T$403^2+H74^2))</x:f>
      </x:c>
      <x:c r="F74" s="3" t="str">
        <x:f>IF($A74="","",D74-$T$404*E74)</x:f>
      </x:c>
      <x:c r="G74" s="3" t="str">
        <x:f>IF($A74="","",D74+$T$404*E74)</x:f>
      </x:c>
      <x:c r="H74" s="3" t="str">
        <x:f>IF($A74="","",SQRT(MAX(0,(B74^$B$5)*$S$409*(B74^$B$5)+(B74^$B$5)*$T$409*($B$4*B74^$B$5*LN(B74))+($B$4*B74^$B$5*LN(B74))*$S$410*(B74^$B$5)+($B$4*B74^$B$5*LN(B74))*$T$410*($B$4*B74^$B$5*LN(B74))+2*((B74^$B$5)*INDEX($S$416:$V$427,MONTH(A74),1)+($B$4*B74^$B$5*LN(B74))*INDEX($S$416:$V$427,MONTH(A74),2))+INDEX($W$416:$W$427,MONTH(A74)))))</x:f>
      </x:c>
      <x:c r="I74" s="3"/>
      <x:c r="J74" s="10" t="n">
        <x:v>45925</x:v>
      </x:c>
      <x:c r="K74" s="8" t="n">
        <x:f>INDEX('Сводка'!$S$3:$S$397,U74)</x:f>
        <x:v>288</x:v>
      </x:c>
      <x:c r="L74" s="8" t="n">
        <x:f>INDEX('Сводка'!$S$3:$S$397,V74)</x:f>
        <x:v>284</x:v>
      </x:c>
      <x:c r="M74" s="8" t="n">
        <x:f>INDEX($K$388:$N$400,W74,1)*((J74-$T$405+1)/1000)^INDEX($K$388:$N$400,W74,2)+INDEX($O$388:$Z$400,W74,MONTH(J74))</x:f>
        <x:v>322.6020088427073</x:v>
      </x:c>
      <x:c r="N74" s="8" t="n">
        <x:f>K74-M74</x:f>
        <x:v>-34.60200884270728</x:v>
      </x:c>
      <x:c r="O74" s="8" t="n">
        <x:f>ABS(N74)</x:f>
        <x:v>34.60200884270728</x:v>
      </x:c>
      <x:c r="P74" s="8" t="n">
        <x:f>N74^2</x:f>
        <x:v>1197.2990159507926</x:v>
      </x:c>
      <x:c r="Q74" s="8" t="n">
        <x:f>K74-L74</x:f>
        <x:v>4</x:v>
      </x:c>
      <x:c r="R74" s="9" t="n">
        <x:f>IF(AND(INDEX('Сводка'!$T$3:$T$397,U74)=0,INDEX('Сводка'!$T$3:$T$397,V74)=0),1,0)</x:f>
        <x:v>1</x:v>
      </x:c>
      <x:c r="S74" s="9" t="n">
        <x:f>IF(AND(R74=1,O74&lt;=$G$13),1,0)</x:f>
        <x:v>0</x:v>
      </x:c>
      <x:c r="T74" s="10" t="n">
        <x:f>EOMONTH(J74-'Сводка'!$B$11,-1)</x:f>
        <x:v>45900</x:v>
      </x:c>
      <x:c r="U74" s="4" t="n">
        <x:f>MATCH(J74,'Сводка'!$R$3:$R$397,0)</x:f>
        <x:v>85</x:v>
      </x:c>
      <x:c r="V74" s="4" t="n">
        <x:f>MATCH(J74-'Сводка'!$B$11,'Сводка'!$R$3:$R$397,0)</x:f>
        <x:v>84</x:v>
      </x:c>
      <x:c r="W74" s="4" t="n">
        <x:f>MATCH(T74,$J$388:$J$400,0)</x:f>
        <x:v>3</x:v>
      </x:c>
      <x:c r="X74" s="3"/>
      <x:c r="Y74" s="3"/>
      <x:c r="Z74" s="3"/>
    </x:row>
    <x:row r="75" ht="15" customHeight="1">
      <x:c r="A75" s="7" t="str">
        <x:f>IF(57&lt;='Сводка'!$B$3,'Сводка'!$B$4+57,"")</x:f>
      </x:c>
      <x:c r="B75" s="20" t="str">
        <x:f>IF($A75="","",(A75-$T$405+1)/1000)</x:f>
      </x:c>
      <x:c r="C75" s="20" t="str">
        <x:f>IF($A75="","",2*(A75-$T$405)/$T$406-1)</x:f>
      </x:c>
      <x:c r="D75" s="3" t="str">
        <x:f>IF($A75="","",$B$4*B75^$B$5+INDEX($E$4:$E$15,MONTH(A75)))</x:f>
      </x:c>
      <x:c r="E75" s="3" t="str">
        <x:f>IF($A75="","",SQRT($T$403^2+H75^2))</x:f>
      </x:c>
      <x:c r="F75" s="3" t="str">
        <x:f>IF($A75="","",D75-$T$404*E75)</x:f>
      </x:c>
      <x:c r="G75" s="3" t="str">
        <x:f>IF($A75="","",D75+$T$404*E75)</x:f>
      </x:c>
      <x:c r="H75" s="3" t="str">
        <x:f>IF($A75="","",SQRT(MAX(0,(B75^$B$5)*$S$409*(B75^$B$5)+(B75^$B$5)*$T$409*($B$4*B75^$B$5*LN(B75))+($B$4*B75^$B$5*LN(B75))*$S$410*(B75^$B$5)+($B$4*B75^$B$5*LN(B75))*$T$410*($B$4*B75^$B$5*LN(B75))+2*((B75^$B$5)*INDEX($S$416:$V$427,MONTH(A75),1)+($B$4*B75^$B$5*LN(B75))*INDEX($S$416:$V$427,MONTH(A75),2))+INDEX($W$416:$W$427,MONTH(A75)))))</x:f>
      </x:c>
      <x:c r="I75" s="3"/>
      <x:c r="J75" s="10" t="n">
        <x:v>45926</x:v>
      </x:c>
      <x:c r="K75" s="8" t="n">
        <x:f>INDEX('Сводка'!$S$3:$S$397,U75)</x:f>
        <x:v>290</x:v>
      </x:c>
      <x:c r="L75" s="8" t="n">
        <x:f>INDEX('Сводка'!$S$3:$S$397,V75)</x:f>
        <x:v>288</x:v>
      </x:c>
      <x:c r="M75" s="8" t="n">
        <x:f>INDEX($K$388:$N$400,W75,1)*((J75-$T$405+1)/1000)^INDEX($K$388:$N$400,W75,2)+INDEX($O$388:$Z$400,W75,MONTH(J75))</x:f>
        <x:v>322.62099193998006</x:v>
      </x:c>
      <x:c r="N75" s="8" t="n">
        <x:f>K75-M75</x:f>
        <x:v>-32.62099193998006</x:v>
      </x:c>
      <x:c r="O75" s="8" t="n">
        <x:f>ABS(N75)</x:f>
        <x:v>32.62099193998006</x:v>
      </x:c>
      <x:c r="P75" s="8" t="n">
        <x:f>N75^2</x:f>
        <x:v>1064.129115148244</x:v>
      </x:c>
      <x:c r="Q75" s="8" t="n">
        <x:f>K75-L75</x:f>
        <x:v>2</x:v>
      </x:c>
      <x:c r="R75" s="9" t="n">
        <x:f>IF(AND(INDEX('Сводка'!$T$3:$T$397,U75)=0,INDEX('Сводка'!$T$3:$T$397,V75)=0),1,0)</x:f>
        <x:v>1</x:v>
      </x:c>
      <x:c r="S75" s="9" t="n">
        <x:f>IF(AND(R75=1,O75&lt;=$G$13),1,0)</x:f>
        <x:v>0</x:v>
      </x:c>
      <x:c r="T75" s="10" t="n">
        <x:f>EOMONTH(J75-'Сводка'!$B$11,-1)</x:f>
        <x:v>45900</x:v>
      </x:c>
      <x:c r="U75" s="4" t="n">
        <x:f>MATCH(J75,'Сводка'!$R$3:$R$397,0)</x:f>
        <x:v>86</x:v>
      </x:c>
      <x:c r="V75" s="4" t="n">
        <x:f>MATCH(J75-'Сводка'!$B$11,'Сводка'!$R$3:$R$397,0)</x:f>
        <x:v>85</x:v>
      </x:c>
      <x:c r="W75" s="4" t="n">
        <x:f>MATCH(T75,$J$388:$J$400,0)</x:f>
        <x:v>3</x:v>
      </x:c>
      <x:c r="X75" s="3"/>
      <x:c r="Y75" s="3"/>
      <x:c r="Z75" s="3"/>
    </x:row>
    <x:row r="76" ht="15" customHeight="1">
      <x:c r="A76" s="7" t="str">
        <x:f>IF(58&lt;='Сводка'!$B$3,'Сводка'!$B$4+58,"")</x:f>
      </x:c>
      <x:c r="B76" s="20" t="str">
        <x:f>IF($A76="","",(A76-$T$405+1)/1000)</x:f>
      </x:c>
      <x:c r="C76" s="20" t="str">
        <x:f>IF($A76="","",2*(A76-$T$405)/$T$406-1)</x:f>
      </x:c>
      <x:c r="D76" s="3" t="str">
        <x:f>IF($A76="","",$B$4*B76^$B$5+INDEX($E$4:$E$15,MONTH(A76)))</x:f>
      </x:c>
      <x:c r="E76" s="3" t="str">
        <x:f>IF($A76="","",SQRT($T$403^2+H76^2))</x:f>
      </x:c>
      <x:c r="F76" s="3" t="str">
        <x:f>IF($A76="","",D76-$T$404*E76)</x:f>
      </x:c>
      <x:c r="G76" s="3" t="str">
        <x:f>IF($A76="","",D76+$T$404*E76)</x:f>
      </x:c>
      <x:c r="H76" s="3" t="str">
        <x:f>IF($A76="","",SQRT(MAX(0,(B76^$B$5)*$S$409*(B76^$B$5)+(B76^$B$5)*$T$409*($B$4*B76^$B$5*LN(B76))+($B$4*B76^$B$5*LN(B76))*$S$410*(B76^$B$5)+($B$4*B76^$B$5*LN(B76))*$T$410*($B$4*B76^$B$5*LN(B76))+2*((B76^$B$5)*INDEX($S$416:$V$427,MONTH(A76),1)+($B$4*B76^$B$5*LN(B76))*INDEX($S$416:$V$427,MONTH(A76),2))+INDEX($W$416:$W$427,MONTH(A76)))))</x:f>
      </x:c>
      <x:c r="I76" s="3"/>
      <x:c r="J76" s="10" t="n">
        <x:v>45927</x:v>
      </x:c>
      <x:c r="K76" s="8" t="n">
        <x:f>INDEX('Сводка'!$S$3:$S$397,U76)</x:f>
        <x:v>291</x:v>
      </x:c>
      <x:c r="L76" s="8" t="n">
        <x:f>INDEX('Сводка'!$S$3:$S$397,V76)</x:f>
        <x:v>290</x:v>
      </x:c>
      <x:c r="M76" s="8" t="n">
        <x:f>INDEX($K$388:$N$400,W76,1)*((J76-$T$405+1)/1000)^INDEX($K$388:$N$400,W76,2)+INDEX($O$388:$Z$400,W76,MONTH(J76))</x:f>
        <x:v>322.6399752681954</x:v>
      </x:c>
      <x:c r="N76" s="8" t="n">
        <x:f>K76-M76</x:f>
        <x:v>-31.63997526819543</x:v>
      </x:c>
      <x:c r="O76" s="8" t="n">
        <x:f>ABS(N76)</x:f>
        <x:v>31.63997526819543</x:v>
      </x:c>
      <x:c r="P76" s="8" t="n">
        <x:f>N76^2</x:f>
        <x:v>1001.0880349720184</x:v>
      </x:c>
      <x:c r="Q76" s="8" t="n">
        <x:f>K76-L76</x:f>
        <x:v>1</x:v>
      </x:c>
      <x:c r="R76" s="9" t="n">
        <x:f>IF(AND(INDEX('Сводка'!$T$3:$T$397,U76)=0,INDEX('Сводка'!$T$3:$T$397,V76)=0),1,0)</x:f>
        <x:v>1</x:v>
      </x:c>
      <x:c r="S76" s="9" t="n">
        <x:f>IF(AND(R76=1,O76&lt;=$G$13),1,0)</x:f>
        <x:v>0</x:v>
      </x:c>
      <x:c r="T76" s="10" t="n">
        <x:f>EOMONTH(J76-'Сводка'!$B$11,-1)</x:f>
        <x:v>45900</x:v>
      </x:c>
      <x:c r="U76" s="4" t="n">
        <x:f>MATCH(J76,'Сводка'!$R$3:$R$397,0)</x:f>
        <x:v>87</x:v>
      </x:c>
      <x:c r="V76" s="4" t="n">
        <x:f>MATCH(J76-'Сводка'!$B$11,'Сводка'!$R$3:$R$397,0)</x:f>
        <x:v>86</x:v>
      </x:c>
      <x:c r="W76" s="4" t="n">
        <x:f>MATCH(T76,$J$388:$J$400,0)</x:f>
        <x:v>3</x:v>
      </x:c>
      <x:c r="X76" s="3"/>
      <x:c r="Y76" s="3"/>
      <x:c r="Z76" s="3"/>
    </x:row>
    <x:row r="77" ht="15" customHeight="1">
      <x:c r="A77" s="7" t="str">
        <x:f>IF(59&lt;='Сводка'!$B$3,'Сводка'!$B$4+59,"")</x:f>
      </x:c>
      <x:c r="B77" s="20" t="str">
        <x:f>IF($A77="","",(A77-$T$405+1)/1000)</x:f>
      </x:c>
      <x:c r="C77" s="20" t="str">
        <x:f>IF($A77="","",2*(A77-$T$405)/$T$406-1)</x:f>
      </x:c>
      <x:c r="D77" s="3" t="str">
        <x:f>IF($A77="","",$B$4*B77^$B$5+INDEX($E$4:$E$15,MONTH(A77)))</x:f>
      </x:c>
      <x:c r="E77" s="3" t="str">
        <x:f>IF($A77="","",SQRT($T$403^2+H77^2))</x:f>
      </x:c>
      <x:c r="F77" s="3" t="str">
        <x:f>IF($A77="","",D77-$T$404*E77)</x:f>
      </x:c>
      <x:c r="G77" s="3" t="str">
        <x:f>IF($A77="","",D77+$T$404*E77)</x:f>
      </x:c>
      <x:c r="H77" s="3" t="str">
        <x:f>IF($A77="","",SQRT(MAX(0,(B77^$B$5)*$S$409*(B77^$B$5)+(B77^$B$5)*$T$409*($B$4*B77^$B$5*LN(B77))+($B$4*B77^$B$5*LN(B77))*$S$410*(B77^$B$5)+($B$4*B77^$B$5*LN(B77))*$T$410*($B$4*B77^$B$5*LN(B77))+2*((B77^$B$5)*INDEX($S$416:$V$427,MONTH(A77),1)+($B$4*B77^$B$5*LN(B77))*INDEX($S$416:$V$427,MONTH(A77),2))+INDEX($W$416:$W$427,MONTH(A77)))))</x:f>
      </x:c>
      <x:c r="I77" s="3"/>
      <x:c r="J77" s="10" t="n">
        <x:v>45928</x:v>
      </x:c>
      <x:c r="K77" s="8" t="n">
        <x:f>INDEX('Сводка'!$S$3:$S$397,U77)</x:f>
        <x:v>290</x:v>
      </x:c>
      <x:c r="L77" s="8" t="n">
        <x:f>INDEX('Сводка'!$S$3:$S$397,V77)</x:f>
        <x:v>291</x:v>
      </x:c>
      <x:c r="M77" s="8" t="n">
        <x:f>INDEX($K$388:$N$400,W77,1)*((J77-$T$405+1)/1000)^INDEX($K$388:$N$400,W77,2)+INDEX($O$388:$Z$400,W77,MONTH(J77))</x:f>
        <x:v>322.6589588273297</x:v>
      </x:c>
      <x:c r="N77" s="8" t="n">
        <x:f>K77-M77</x:f>
        <x:v>-32.658958827329684</x:v>
      </x:c>
      <x:c r="O77" s="8" t="n">
        <x:f>ABS(N77)</x:f>
        <x:v>32.658958827329684</x:v>
      </x:c>
      <x:c r="P77" s="8" t="n">
        <x:f>N77^2</x:f>
        <x:v>1066.6075916852155</x:v>
      </x:c>
      <x:c r="Q77" s="8" t="n">
        <x:f>K77-L77</x:f>
        <x:v>-1</x:v>
      </x:c>
      <x:c r="R77" s="9" t="n">
        <x:f>IF(AND(INDEX('Сводка'!$T$3:$T$397,U77)=0,INDEX('Сводка'!$T$3:$T$397,V77)=0),1,0)</x:f>
        <x:v>1</x:v>
      </x:c>
      <x:c r="S77" s="9" t="n">
        <x:f>IF(AND(R77=1,O77&lt;=$G$13),1,0)</x:f>
        <x:v>0</x:v>
      </x:c>
      <x:c r="T77" s="10" t="n">
        <x:f>EOMONTH(J77-'Сводка'!$B$11,-1)</x:f>
        <x:v>45900</x:v>
      </x:c>
      <x:c r="U77" s="4" t="n">
        <x:f>MATCH(J77,'Сводка'!$R$3:$R$397,0)</x:f>
        <x:v>88</x:v>
      </x:c>
      <x:c r="V77" s="4" t="n">
        <x:f>MATCH(J77-'Сводка'!$B$11,'Сводка'!$R$3:$R$397,0)</x:f>
        <x:v>87</x:v>
      </x:c>
      <x:c r="W77" s="4" t="n">
        <x:f>MATCH(T77,$J$388:$J$400,0)</x:f>
        <x:v>3</x:v>
      </x:c>
      <x:c r="X77" s="3"/>
      <x:c r="Y77" s="3"/>
      <x:c r="Z77" s="3"/>
    </x:row>
    <x:row r="78" ht="15" customHeight="1">
      <x:c r="A78" s="7" t="str">
        <x:f>IF(60&lt;='Сводка'!$B$3,'Сводка'!$B$4+60,"")</x:f>
      </x:c>
      <x:c r="B78" s="20" t="str">
        <x:f>IF($A78="","",(A78-$T$405+1)/1000)</x:f>
      </x:c>
      <x:c r="C78" s="20" t="str">
        <x:f>IF($A78="","",2*(A78-$T$405)/$T$406-1)</x:f>
      </x:c>
      <x:c r="D78" s="3" t="str">
        <x:f>IF($A78="","",$B$4*B78^$B$5+INDEX($E$4:$E$15,MONTH(A78)))</x:f>
      </x:c>
      <x:c r="E78" s="3" t="str">
        <x:f>IF($A78="","",SQRT($T$403^2+H78^2))</x:f>
      </x:c>
      <x:c r="F78" s="3" t="str">
        <x:f>IF($A78="","",D78-$T$404*E78)</x:f>
      </x:c>
      <x:c r="G78" s="3" t="str">
        <x:f>IF($A78="","",D78+$T$404*E78)</x:f>
      </x:c>
      <x:c r="H78" s="3" t="str">
        <x:f>IF($A78="","",SQRT(MAX(0,(B78^$B$5)*$S$409*(B78^$B$5)+(B78^$B$5)*$T$409*($B$4*B78^$B$5*LN(B78))+($B$4*B78^$B$5*LN(B78))*$S$410*(B78^$B$5)+($B$4*B78^$B$5*LN(B78))*$T$410*($B$4*B78^$B$5*LN(B78))+2*((B78^$B$5)*INDEX($S$416:$V$427,MONTH(A78),1)+($B$4*B78^$B$5*LN(B78))*INDEX($S$416:$V$427,MONTH(A78),2))+INDEX($W$416:$W$427,MONTH(A78)))))</x:f>
      </x:c>
      <x:c r="I78" s="3"/>
      <x:c r="J78" s="10" t="n">
        <x:v>45929</x:v>
      </x:c>
      <x:c r="K78" s="8" t="n">
        <x:f>INDEX('Сводка'!$S$3:$S$397,U78)</x:f>
        <x:v>290</x:v>
      </x:c>
      <x:c r="L78" s="8" t="n">
        <x:f>INDEX('Сводка'!$S$3:$S$397,V78)</x:f>
        <x:v>290</x:v>
      </x:c>
      <x:c r="M78" s="8" t="n">
        <x:f>INDEX($K$388:$N$400,W78,1)*((J78-$T$405+1)/1000)^INDEX($K$388:$N$400,W78,2)+INDEX($O$388:$Z$400,W78,MONTH(J78))</x:f>
        <x:v>322.6779426173589</x:v>
      </x:c>
      <x:c r="N78" s="8" t="n">
        <x:f>K78-M78</x:f>
        <x:v>-32.677942617358894</x:v>
      </x:c>
      <x:c r="O78" s="8" t="n">
        <x:f>ABS(N78)</x:f>
        <x:v>32.677942617358894</x:v>
      </x:c>
      <x:c r="P78" s="8" t="n">
        <x:f>N78^2</x:f>
        <x:v>1067.8479337034007</x:v>
      </x:c>
      <x:c r="Q78" s="8" t="n">
        <x:f>K78-L78</x:f>
        <x:v>0</x:v>
      </x:c>
      <x:c r="R78" s="9" t="n">
        <x:f>IF(AND(INDEX('Сводка'!$T$3:$T$397,U78)=0,INDEX('Сводка'!$T$3:$T$397,V78)=0),1,0)</x:f>
        <x:v>1</x:v>
      </x:c>
      <x:c r="S78" s="9" t="n">
        <x:f>IF(AND(R78=1,O78&lt;=$G$13),1,0)</x:f>
        <x:v>0</x:v>
      </x:c>
      <x:c r="T78" s="10" t="n">
        <x:f>EOMONTH(J78-'Сводка'!$B$11,-1)</x:f>
        <x:v>45900</x:v>
      </x:c>
      <x:c r="U78" s="4" t="n">
        <x:f>MATCH(J78,'Сводка'!$R$3:$R$397,0)</x:f>
        <x:v>89</x:v>
      </x:c>
      <x:c r="V78" s="4" t="n">
        <x:f>MATCH(J78-'Сводка'!$B$11,'Сводка'!$R$3:$R$397,0)</x:f>
        <x:v>88</x:v>
      </x:c>
      <x:c r="W78" s="4" t="n">
        <x:f>MATCH(T78,$J$388:$J$400,0)</x:f>
        <x:v>3</x:v>
      </x:c>
      <x:c r="X78" s="3"/>
      <x:c r="Y78" s="3"/>
      <x:c r="Z78" s="3"/>
    </x:row>
    <x:row r="79" ht="15" customHeight="1">
      <x:c r="A79" s="7" t="str">
        <x:f>IF(61&lt;='Сводка'!$B$3,'Сводка'!$B$4+61,"")</x:f>
      </x:c>
      <x:c r="B79" s="20" t="str">
        <x:f>IF($A79="","",(A79-$T$405+1)/1000)</x:f>
      </x:c>
      <x:c r="C79" s="20" t="str">
        <x:f>IF($A79="","",2*(A79-$T$405)/$T$406-1)</x:f>
      </x:c>
      <x:c r="D79" s="3" t="str">
        <x:f>IF($A79="","",$B$4*B79^$B$5+INDEX($E$4:$E$15,MONTH(A79)))</x:f>
      </x:c>
      <x:c r="E79" s="3" t="str">
        <x:f>IF($A79="","",SQRT($T$403^2+H79^2))</x:f>
      </x:c>
      <x:c r="F79" s="3" t="str">
        <x:f>IF($A79="","",D79-$T$404*E79)</x:f>
      </x:c>
      <x:c r="G79" s="3" t="str">
        <x:f>IF($A79="","",D79+$T$404*E79)</x:f>
      </x:c>
      <x:c r="H79" s="3" t="str">
        <x:f>IF($A79="","",SQRT(MAX(0,(B79^$B$5)*$S$409*(B79^$B$5)+(B79^$B$5)*$T$409*($B$4*B79^$B$5*LN(B79))+($B$4*B79^$B$5*LN(B79))*$S$410*(B79^$B$5)+($B$4*B79^$B$5*LN(B79))*$T$410*($B$4*B79^$B$5*LN(B79))+2*((B79^$B$5)*INDEX($S$416:$V$427,MONTH(A79),1)+($B$4*B79^$B$5*LN(B79))*INDEX($S$416:$V$427,MONTH(A79),2))+INDEX($W$416:$W$427,MONTH(A79)))))</x:f>
      </x:c>
      <x:c r="I79" s="3"/>
      <x:c r="J79" s="10" t="n">
        <x:v>45930</x:v>
      </x:c>
      <x:c r="K79" s="8" t="n">
        <x:f>INDEX('Сводка'!$S$3:$S$397,U79)</x:f>
        <x:v>293</x:v>
      </x:c>
      <x:c r="L79" s="8" t="n">
        <x:f>INDEX('Сводка'!$S$3:$S$397,V79)</x:f>
        <x:v>290</x:v>
      </x:c>
      <x:c r="M79" s="8" t="n">
        <x:f>INDEX($K$388:$N$400,W79,1)*((J79-$T$405+1)/1000)^INDEX($K$388:$N$400,W79,2)+INDEX($O$388:$Z$400,W79,MONTH(J79))</x:f>
        <x:v>322.69692663825936</x:v>
      </x:c>
      <x:c r="N79" s="8" t="n">
        <x:f>K79-M79</x:f>
        <x:v>-29.696926638259356</x:v>
      </x:c>
      <x:c r="O79" s="8" t="n">
        <x:f>ABS(N79)</x:f>
        <x:v>29.696926638259356</x:v>
      </x:c>
      <x:c r="P79" s="8" t="n">
        <x:f>N79^2</x:f>
        <x:v>881.9074517581581</x:v>
      </x:c>
      <x:c r="Q79" s="8" t="n">
        <x:f>K79-L79</x:f>
        <x:v>3</x:v>
      </x:c>
      <x:c r="R79" s="9" t="n">
        <x:f>IF(AND(INDEX('Сводка'!$T$3:$T$397,U79)=0,INDEX('Сводка'!$T$3:$T$397,V79)=0),1,0)</x:f>
        <x:v>1</x:v>
      </x:c>
      <x:c r="S79" s="9" t="n">
        <x:f>IF(AND(R79=1,O79&lt;=$G$13),1,0)</x:f>
        <x:v>0</x:v>
      </x:c>
      <x:c r="T79" s="10" t="n">
        <x:f>EOMONTH(J79-'Сводка'!$B$11,-1)</x:f>
        <x:v>45900</x:v>
      </x:c>
      <x:c r="U79" s="4" t="n">
        <x:f>MATCH(J79,'Сводка'!$R$3:$R$397,0)</x:f>
        <x:v>90</x:v>
      </x:c>
      <x:c r="V79" s="4" t="n">
        <x:f>MATCH(J79-'Сводка'!$B$11,'Сводка'!$R$3:$R$397,0)</x:f>
        <x:v>89</x:v>
      </x:c>
      <x:c r="W79" s="4" t="n">
        <x:f>MATCH(T79,$J$388:$J$400,0)</x:f>
        <x:v>3</x:v>
      </x:c>
      <x:c r="X79" s="3"/>
      <x:c r="Y79" s="3"/>
      <x:c r="Z79" s="3"/>
    </x:row>
    <x:row r="80" ht="15" customHeight="1">
      <x:c r="A80" s="7" t="str">
        <x:f>IF(62&lt;='Сводка'!$B$3,'Сводка'!$B$4+62,"")</x:f>
      </x:c>
      <x:c r="B80" s="20" t="str">
        <x:f>IF($A80="","",(A80-$T$405+1)/1000)</x:f>
      </x:c>
      <x:c r="C80" s="20" t="str">
        <x:f>IF($A80="","",2*(A80-$T$405)/$T$406-1)</x:f>
      </x:c>
      <x:c r="D80" s="3" t="str">
        <x:f>IF($A80="","",$B$4*B80^$B$5+INDEX($E$4:$E$15,MONTH(A80)))</x:f>
      </x:c>
      <x:c r="E80" s="3" t="str">
        <x:f>IF($A80="","",SQRT($T$403^2+H80^2))</x:f>
      </x:c>
      <x:c r="F80" s="3" t="str">
        <x:f>IF($A80="","",D80-$T$404*E80)</x:f>
      </x:c>
      <x:c r="G80" s="3" t="str">
        <x:f>IF($A80="","",D80+$T$404*E80)</x:f>
      </x:c>
      <x:c r="H80" s="3" t="str">
        <x:f>IF($A80="","",SQRT(MAX(0,(B80^$B$5)*$S$409*(B80^$B$5)+(B80^$B$5)*$T$409*($B$4*B80^$B$5*LN(B80))+($B$4*B80^$B$5*LN(B80))*$S$410*(B80^$B$5)+($B$4*B80^$B$5*LN(B80))*$T$410*($B$4*B80^$B$5*LN(B80))+2*((B80^$B$5)*INDEX($S$416:$V$427,MONTH(A80),1)+($B$4*B80^$B$5*LN(B80))*INDEX($S$416:$V$427,MONTH(A80),2))+INDEX($W$416:$W$427,MONTH(A80)))))</x:f>
      </x:c>
      <x:c r="I80" s="3"/>
      <x:c r="J80" s="10" t="n">
        <x:v>45931</x:v>
      </x:c>
      <x:c r="K80" s="8" t="n">
        <x:f>INDEX('Сводка'!$S$3:$S$397,U80)</x:f>
        <x:v>292</x:v>
      </x:c>
      <x:c r="L80" s="8" t="n">
        <x:f>INDEX('Сводка'!$S$3:$S$397,V80)</x:f>
        <x:v>293</x:v>
      </x:c>
      <x:c r="M80" s="8" t="n">
        <x:f>INDEX($K$388:$N$400,W80,1)*((J80-$T$405+1)/1000)^INDEX($K$388:$N$400,W80,2)+INDEX($O$388:$Z$400,W80,MONTH(J80))</x:f>
        <x:v>168.9694534350097</x:v>
      </x:c>
      <x:c r="N80" s="8" t="n">
        <x:f>K80-M80</x:f>
        <x:v>123.03054656499029</x:v>
      </x:c>
      <x:c r="O80" s="8" t="n">
        <x:f>ABS(N80)</x:f>
        <x:v>123.03054656499029</x:v>
      </x:c>
      <x:c r="P80" s="8" t="n">
        <x:f>N80^2</x:f>
        <x:v>15136.515388080245</x:v>
      </x:c>
      <x:c r="Q80" s="8" t="n">
        <x:f>K80-L80</x:f>
        <x:v>-1</x:v>
      </x:c>
      <x:c r="R80" s="9" t="n">
        <x:f>IF(AND(INDEX('Сводка'!$T$3:$T$397,U80)=0,INDEX('Сводка'!$T$3:$T$397,V80)=0),1,0)</x:f>
        <x:v>1</x:v>
      </x:c>
      <x:c r="S80" s="9" t="n">
        <x:f>IF(AND(R80=1,O80&lt;=$G$13),1,0)</x:f>
        <x:v>0</x:v>
      </x:c>
      <x:c r="T80" s="10" t="n">
        <x:f>EOMONTH(J80-'Сводка'!$B$11,-1)</x:f>
        <x:v>45900</x:v>
      </x:c>
      <x:c r="U80" s="4" t="n">
        <x:f>MATCH(J80,'Сводка'!$R$3:$R$397,0)</x:f>
        <x:v>91</x:v>
      </x:c>
      <x:c r="V80" s="4" t="n">
        <x:f>MATCH(J80-'Сводка'!$B$11,'Сводка'!$R$3:$R$397,0)</x:f>
        <x:v>90</x:v>
      </x:c>
      <x:c r="W80" s="4" t="n">
        <x:f>MATCH(T80,$J$388:$J$400,0)</x:f>
        <x:v>3</x:v>
      </x:c>
      <x:c r="X80" s="3"/>
      <x:c r="Y80" s="3"/>
      <x:c r="Z80" s="3"/>
    </x:row>
    <x:row r="81" ht="15" customHeight="1">
      <x:c r="A81" s="7" t="str">
        <x:f>IF(63&lt;='Сводка'!$B$3,'Сводка'!$B$4+63,"")</x:f>
      </x:c>
      <x:c r="B81" s="20" t="str">
        <x:f>IF($A81="","",(A81-$T$405+1)/1000)</x:f>
      </x:c>
      <x:c r="C81" s="20" t="str">
        <x:f>IF($A81="","",2*(A81-$T$405)/$T$406-1)</x:f>
      </x:c>
      <x:c r="D81" s="3" t="str">
        <x:f>IF($A81="","",$B$4*B81^$B$5+INDEX($E$4:$E$15,MONTH(A81)))</x:f>
      </x:c>
      <x:c r="E81" s="3" t="str">
        <x:f>IF($A81="","",SQRT($T$403^2+H81^2))</x:f>
      </x:c>
      <x:c r="F81" s="3" t="str">
        <x:f>IF($A81="","",D81-$T$404*E81)</x:f>
      </x:c>
      <x:c r="G81" s="3" t="str">
        <x:f>IF($A81="","",D81+$T$404*E81)</x:f>
      </x:c>
      <x:c r="H81" s="3" t="str">
        <x:f>IF($A81="","",SQRT(MAX(0,(B81^$B$5)*$S$409*(B81^$B$5)+(B81^$B$5)*$T$409*($B$4*B81^$B$5*LN(B81))+($B$4*B81^$B$5*LN(B81))*$S$410*(B81^$B$5)+($B$4*B81^$B$5*LN(B81))*$T$410*($B$4*B81^$B$5*LN(B81))+2*((B81^$B$5)*INDEX($S$416:$V$427,MONTH(A81),1)+($B$4*B81^$B$5*LN(B81))*INDEX($S$416:$V$427,MONTH(A81),2))+INDEX($W$416:$W$427,MONTH(A81)))))</x:f>
      </x:c>
      <x:c r="I81" s="3"/>
      <x:c r="J81" s="10" t="n">
        <x:v>45932</x:v>
      </x:c>
      <x:c r="K81" s="8" t="n">
        <x:f>INDEX('Сводка'!$S$3:$S$397,U81)</x:f>
        <x:v>284</x:v>
      </x:c>
      <x:c r="L81" s="8" t="n">
        <x:f>INDEX('Сводка'!$S$3:$S$397,V81)</x:f>
        <x:v>292</x:v>
      </x:c>
      <x:c r="M81" s="8" t="n">
        <x:f>INDEX($K$388:$N$400,W81,1)*((J81-$T$405+1)/1000)^INDEX($K$388:$N$400,W81,2)+INDEX($O$388:$Z$400,W81,MONTH(J81))</x:f>
        <x:v>167.66436906700983</x:v>
      </x:c>
      <x:c r="N81" s="8" t="n">
        <x:f>K81-M81</x:f>
        <x:v>116.33563093299017</x:v>
      </x:c>
      <x:c r="O81" s="8" t="n">
        <x:f>ABS(N81)</x:f>
        <x:v>116.33563093299017</x:v>
      </x:c>
      <x:c r="P81" s="8" t="n">
        <x:f>N81^2</x:f>
        <x:v>13533.9790245769</x:v>
      </x:c>
      <x:c r="Q81" s="8" t="n">
        <x:f>K81-L81</x:f>
        <x:v>-8</x:v>
      </x:c>
      <x:c r="R81" s="9" t="n">
        <x:f>IF(AND(INDEX('Сводка'!$T$3:$T$397,U81)=0,INDEX('Сводка'!$T$3:$T$397,V81)=0),1,0)</x:f>
        <x:v>1</x:v>
      </x:c>
      <x:c r="S81" s="9" t="n">
        <x:f>IF(AND(R81=1,O81&lt;=$G$13),1,0)</x:f>
        <x:v>0</x:v>
      </x:c>
      <x:c r="T81" s="10" t="n">
        <x:f>EOMONTH(J81-'Сводка'!$B$11,-1)</x:f>
        <x:v>45930</x:v>
      </x:c>
      <x:c r="U81" s="4" t="n">
        <x:f>MATCH(J81,'Сводка'!$R$3:$R$397,0)</x:f>
        <x:v>92</x:v>
      </x:c>
      <x:c r="V81" s="4" t="n">
        <x:f>MATCH(J81-'Сводка'!$B$11,'Сводка'!$R$3:$R$397,0)</x:f>
        <x:v>91</x:v>
      </x:c>
      <x:c r="W81" s="4" t="n">
        <x:f>MATCH(T81,$J$388:$J$400,0)</x:f>
        <x:v>4</x:v>
      </x:c>
      <x:c r="X81" s="3"/>
      <x:c r="Y81" s="3"/>
      <x:c r="Z81" s="3"/>
    </x:row>
    <x:row r="82" ht="15" customHeight="1">
      <x:c r="A82" s="7" t="str">
        <x:f>IF(64&lt;='Сводка'!$B$3,'Сводка'!$B$4+64,"")</x:f>
      </x:c>
      <x:c r="B82" s="20" t="str">
        <x:f>IF($A82="","",(A82-$T$405+1)/1000)</x:f>
      </x:c>
      <x:c r="C82" s="20" t="str">
        <x:f>IF($A82="","",2*(A82-$T$405)/$T$406-1)</x:f>
      </x:c>
      <x:c r="D82" s="3" t="str">
        <x:f>IF($A82="","",$B$4*B82^$B$5+INDEX($E$4:$E$15,MONTH(A82)))</x:f>
      </x:c>
      <x:c r="E82" s="3" t="str">
        <x:f>IF($A82="","",SQRT($T$403^2+H82^2))</x:f>
      </x:c>
      <x:c r="F82" s="3" t="str">
        <x:f>IF($A82="","",D82-$T$404*E82)</x:f>
      </x:c>
      <x:c r="G82" s="3" t="str">
        <x:f>IF($A82="","",D82+$T$404*E82)</x:f>
      </x:c>
      <x:c r="H82" s="3" t="str">
        <x:f>IF($A82="","",SQRT(MAX(0,(B82^$B$5)*$S$409*(B82^$B$5)+(B82^$B$5)*$T$409*($B$4*B82^$B$5*LN(B82))+($B$4*B82^$B$5*LN(B82))*$S$410*(B82^$B$5)+($B$4*B82^$B$5*LN(B82))*$T$410*($B$4*B82^$B$5*LN(B82))+2*((B82^$B$5)*INDEX($S$416:$V$427,MONTH(A82),1)+($B$4*B82^$B$5*LN(B82))*INDEX($S$416:$V$427,MONTH(A82),2))+INDEX($W$416:$W$427,MONTH(A82)))))</x:f>
      </x:c>
      <x:c r="I82" s="3"/>
      <x:c r="J82" s="10" t="n">
        <x:v>45933</x:v>
      </x:c>
      <x:c r="K82" s="8" t="n">
        <x:f>INDEX('Сводка'!$S$3:$S$397,U82)</x:f>
        <x:v>274</x:v>
      </x:c>
      <x:c r="L82" s="8" t="n">
        <x:f>INDEX('Сводка'!$S$3:$S$397,V82)</x:f>
        <x:v>284</x:v>
      </x:c>
      <x:c r="M82" s="8" t="n">
        <x:f>INDEX($K$388:$N$400,W82,1)*((J82-$T$405+1)/1000)^INDEX($K$388:$N$400,W82,2)+INDEX($O$388:$Z$400,W82,MONTH(J82))</x:f>
        <x:v>167.6829126888698</x:v>
      </x:c>
      <x:c r="N82" s="8" t="n">
        <x:f>K82-M82</x:f>
        <x:v>106.3170873111302</x:v>
      </x:c>
      <x:c r="O82" s="8" t="n">
        <x:f>ABS(N82)</x:f>
        <x:v>106.3170873111302</x:v>
      </x:c>
      <x:c r="P82" s="8" t="n">
        <x:f>N82^2</x:f>
        <x:v>11303.323054322482</x:v>
      </x:c>
      <x:c r="Q82" s="8" t="n">
        <x:f>K82-L82</x:f>
        <x:v>-10</x:v>
      </x:c>
      <x:c r="R82" s="9" t="n">
        <x:f>IF(AND(INDEX('Сводка'!$T$3:$T$397,U82)=0,INDEX('Сводка'!$T$3:$T$397,V82)=0),1,0)</x:f>
        <x:v>1</x:v>
      </x:c>
      <x:c r="S82" s="9" t="n">
        <x:f>IF(AND(R82=1,O82&lt;=$G$13),1,0)</x:f>
        <x:v>0</x:v>
      </x:c>
      <x:c r="T82" s="10" t="n">
        <x:f>EOMONTH(J82-'Сводка'!$B$11,-1)</x:f>
        <x:v>45930</x:v>
      </x:c>
      <x:c r="U82" s="4" t="n">
        <x:f>MATCH(J82,'Сводка'!$R$3:$R$397,0)</x:f>
        <x:v>93</x:v>
      </x:c>
      <x:c r="V82" s="4" t="n">
        <x:f>MATCH(J82-'Сводка'!$B$11,'Сводка'!$R$3:$R$397,0)</x:f>
        <x:v>92</x:v>
      </x:c>
      <x:c r="W82" s="4" t="n">
        <x:f>MATCH(T82,$J$388:$J$400,0)</x:f>
        <x:v>4</x:v>
      </x:c>
      <x:c r="X82" s="3"/>
      <x:c r="Y82" s="3"/>
      <x:c r="Z82" s="3"/>
    </x:row>
    <x:row r="83" ht="15" customHeight="1">
      <x:c r="A83" s="7" t="str">
        <x:f>IF(65&lt;='Сводка'!$B$3,'Сводка'!$B$4+65,"")</x:f>
      </x:c>
      <x:c r="B83" s="20" t="str">
        <x:f>IF($A83="","",(A83-$T$405+1)/1000)</x:f>
      </x:c>
      <x:c r="C83" s="20" t="str">
        <x:f>IF($A83="","",2*(A83-$T$405)/$T$406-1)</x:f>
      </x:c>
      <x:c r="D83" s="3" t="str">
        <x:f>IF($A83="","",$B$4*B83^$B$5+INDEX($E$4:$E$15,MONTH(A83)))</x:f>
      </x:c>
      <x:c r="E83" s="3" t="str">
        <x:f>IF($A83="","",SQRT($T$403^2+H83^2))</x:f>
      </x:c>
      <x:c r="F83" s="3" t="str">
        <x:f>IF($A83="","",D83-$T$404*E83)</x:f>
      </x:c>
      <x:c r="G83" s="3" t="str">
        <x:f>IF($A83="","",D83+$T$404*E83)</x:f>
      </x:c>
      <x:c r="H83" s="3" t="str">
        <x:f>IF($A83="","",SQRT(MAX(0,(B83^$B$5)*$S$409*(B83^$B$5)+(B83^$B$5)*$T$409*($B$4*B83^$B$5*LN(B83))+($B$4*B83^$B$5*LN(B83))*$S$410*(B83^$B$5)+($B$4*B83^$B$5*LN(B83))*$T$410*($B$4*B83^$B$5*LN(B83))+2*((B83^$B$5)*INDEX($S$416:$V$427,MONTH(A83),1)+($B$4*B83^$B$5*LN(B83))*INDEX($S$416:$V$427,MONTH(A83),2))+INDEX($W$416:$W$427,MONTH(A83)))))</x:f>
      </x:c>
      <x:c r="I83" s="3"/>
      <x:c r="J83" s="10" t="n">
        <x:v>45934</x:v>
      </x:c>
      <x:c r="K83" s="8" t="n">
        <x:f>INDEX('Сводка'!$S$3:$S$397,U83)</x:f>
        <x:v>258</x:v>
      </x:c>
      <x:c r="L83" s="8" t="n">
        <x:f>INDEX('Сводка'!$S$3:$S$397,V83)</x:f>
        <x:v>274</x:v>
      </x:c>
      <x:c r="M83" s="8" t="n">
        <x:f>INDEX($K$388:$N$400,W83,1)*((J83-$T$405+1)/1000)^INDEX($K$388:$N$400,W83,2)+INDEX($O$388:$Z$400,W83,MONTH(J83))</x:f>
        <x:v>167.7014565064573</x:v>
      </x:c>
      <x:c r="N83" s="8" t="n">
        <x:f>K83-M83</x:f>
        <x:v>90.2985434935427</x:v>
      </x:c>
      <x:c r="O83" s="8" t="n">
        <x:f>ABS(N83)</x:f>
        <x:v>90.2985434935427</x:v>
      </x:c>
      <x:c r="P83" s="8" t="n">
        <x:f>N83^2</x:f>
        <x:v>8153.826957055222</x:v>
      </x:c>
      <x:c r="Q83" s="8" t="n">
        <x:f>K83-L83</x:f>
        <x:v>-16</x:v>
      </x:c>
      <x:c r="R83" s="9" t="n">
        <x:f>IF(AND(INDEX('Сводка'!$T$3:$T$397,U83)=0,INDEX('Сводка'!$T$3:$T$397,V83)=0),1,0)</x:f>
        <x:v>1</x:v>
      </x:c>
      <x:c r="S83" s="9" t="n">
        <x:f>IF(AND(R83=1,O83&lt;=$G$13),1,0)</x:f>
        <x:v>0</x:v>
      </x:c>
      <x:c r="T83" s="10" t="n">
        <x:f>EOMONTH(J83-'Сводка'!$B$11,-1)</x:f>
        <x:v>45930</x:v>
      </x:c>
      <x:c r="U83" s="4" t="n">
        <x:f>MATCH(J83,'Сводка'!$R$3:$R$397,0)</x:f>
        <x:v>94</x:v>
      </x:c>
      <x:c r="V83" s="4" t="n">
        <x:f>MATCH(J83-'Сводка'!$B$11,'Сводка'!$R$3:$R$397,0)</x:f>
        <x:v>93</x:v>
      </x:c>
      <x:c r="W83" s="4" t="n">
        <x:f>MATCH(T83,$J$388:$J$400,0)</x:f>
        <x:v>4</x:v>
      </x:c>
      <x:c r="X83" s="3"/>
      <x:c r="Y83" s="3"/>
      <x:c r="Z83" s="3"/>
    </x:row>
    <x:row r="84" ht="15" customHeight="1">
      <x:c r="A84" s="7" t="str">
        <x:f>IF(66&lt;='Сводка'!$B$3,'Сводка'!$B$4+66,"")</x:f>
      </x:c>
      <x:c r="B84" s="20" t="str">
        <x:f>IF($A84="","",(A84-$T$405+1)/1000)</x:f>
      </x:c>
      <x:c r="C84" s="20" t="str">
        <x:f>IF($A84="","",2*(A84-$T$405)/$T$406-1)</x:f>
      </x:c>
      <x:c r="D84" s="3" t="str">
        <x:f>IF($A84="","",$B$4*B84^$B$5+INDEX($E$4:$E$15,MONTH(A84)))</x:f>
      </x:c>
      <x:c r="E84" s="3" t="str">
        <x:f>IF($A84="","",SQRT($T$403^2+H84^2))</x:f>
      </x:c>
      <x:c r="F84" s="3" t="str">
        <x:f>IF($A84="","",D84-$T$404*E84)</x:f>
      </x:c>
      <x:c r="G84" s="3" t="str">
        <x:f>IF($A84="","",D84+$T$404*E84)</x:f>
      </x:c>
      <x:c r="H84" s="3" t="str">
        <x:f>IF($A84="","",SQRT(MAX(0,(B84^$B$5)*$S$409*(B84^$B$5)+(B84^$B$5)*$T$409*($B$4*B84^$B$5*LN(B84))+($B$4*B84^$B$5*LN(B84))*$S$410*(B84^$B$5)+($B$4*B84^$B$5*LN(B84))*$T$410*($B$4*B84^$B$5*LN(B84))+2*((B84^$B$5)*INDEX($S$416:$V$427,MONTH(A84),1)+($B$4*B84^$B$5*LN(B84))*INDEX($S$416:$V$427,MONTH(A84),2))+INDEX($W$416:$W$427,MONTH(A84)))))</x:f>
      </x:c>
      <x:c r="I84" s="3"/>
      <x:c r="J84" s="10" t="n">
        <x:v>45935</x:v>
      </x:c>
      <x:c r="K84" s="8" t="n">
        <x:f>INDEX('Сводка'!$S$3:$S$397,U84)</x:f>
        <x:v>240</x:v>
      </x:c>
      <x:c r="L84" s="8" t="n">
        <x:f>INDEX('Сводка'!$S$3:$S$397,V84)</x:f>
        <x:v>258</x:v>
      </x:c>
      <x:c r="M84" s="8" t="n">
        <x:f>INDEX($K$388:$N$400,W84,1)*((J84-$T$405+1)/1000)^INDEX($K$388:$N$400,W84,2)+INDEX($O$388:$Z$400,W84,MONTH(J84))</x:f>
        <x:v>167.7200005197518</x:v>
      </x:c>
      <x:c r="N84" s="8" t="n">
        <x:f>K84-M84</x:f>
        <x:v>72.2799994802482</x:v>
      </x:c>
      <x:c r="O84" s="8" t="n">
        <x:f>ABS(N84)</x:f>
        <x:v>72.2799994802482</x:v>
      </x:c>
      <x:c r="P84" s="8" t="n">
        <x:f>N84^2</x:f>
        <x:v>5224.398324864679</x:v>
      </x:c>
      <x:c r="Q84" s="8" t="n">
        <x:f>K84-L84</x:f>
        <x:v>-18</x:v>
      </x:c>
      <x:c r="R84" s="9" t="n">
        <x:f>IF(AND(INDEX('Сводка'!$T$3:$T$397,U84)=0,INDEX('Сводка'!$T$3:$T$397,V84)=0),1,0)</x:f>
        <x:v>1</x:v>
      </x:c>
      <x:c r="S84" s="9" t="n">
        <x:f>IF(AND(R84=1,O84&lt;=$G$13),1,0)</x:f>
        <x:v>0</x:v>
      </x:c>
      <x:c r="T84" s="10" t="n">
        <x:f>EOMONTH(J84-'Сводка'!$B$11,-1)</x:f>
        <x:v>45930</x:v>
      </x:c>
      <x:c r="U84" s="4" t="n">
        <x:f>MATCH(J84,'Сводка'!$R$3:$R$397,0)</x:f>
        <x:v>95</x:v>
      </x:c>
      <x:c r="V84" s="4" t="n">
        <x:f>MATCH(J84-'Сводка'!$B$11,'Сводка'!$R$3:$R$397,0)</x:f>
        <x:v>94</x:v>
      </x:c>
      <x:c r="W84" s="4" t="n">
        <x:f>MATCH(T84,$J$388:$J$400,0)</x:f>
        <x:v>4</x:v>
      </x:c>
      <x:c r="X84" s="3"/>
      <x:c r="Y84" s="3"/>
      <x:c r="Z84" s="3"/>
    </x:row>
    <x:row r="85" ht="15" customHeight="1">
      <x:c r="A85" s="7" t="str">
        <x:f>IF(67&lt;='Сводка'!$B$3,'Сводка'!$B$4+67,"")</x:f>
      </x:c>
      <x:c r="B85" s="20" t="str">
        <x:f>IF($A85="","",(A85-$T$405+1)/1000)</x:f>
      </x:c>
      <x:c r="C85" s="20" t="str">
        <x:f>IF($A85="","",2*(A85-$T$405)/$T$406-1)</x:f>
      </x:c>
      <x:c r="D85" s="3" t="str">
        <x:f>IF($A85="","",$B$4*B85^$B$5+INDEX($E$4:$E$15,MONTH(A85)))</x:f>
      </x:c>
      <x:c r="E85" s="3" t="str">
        <x:f>IF($A85="","",SQRT($T$403^2+H85^2))</x:f>
      </x:c>
      <x:c r="F85" s="3" t="str">
        <x:f>IF($A85="","",D85-$T$404*E85)</x:f>
      </x:c>
      <x:c r="G85" s="3" t="str">
        <x:f>IF($A85="","",D85+$T$404*E85)</x:f>
      </x:c>
      <x:c r="H85" s="3" t="str">
        <x:f>IF($A85="","",SQRT(MAX(0,(B85^$B$5)*$S$409*(B85^$B$5)+(B85^$B$5)*$T$409*($B$4*B85^$B$5*LN(B85))+($B$4*B85^$B$5*LN(B85))*$S$410*(B85^$B$5)+($B$4*B85^$B$5*LN(B85))*$T$410*($B$4*B85^$B$5*LN(B85))+2*((B85^$B$5)*INDEX($S$416:$V$427,MONTH(A85),1)+($B$4*B85^$B$5*LN(B85))*INDEX($S$416:$V$427,MONTH(A85),2))+INDEX($W$416:$W$427,MONTH(A85)))))</x:f>
      </x:c>
      <x:c r="I85" s="3"/>
      <x:c r="J85" s="10" t="n">
        <x:v>45936</x:v>
      </x:c>
      <x:c r="K85" s="8" t="n">
        <x:f>INDEX('Сводка'!$S$3:$S$397,U85)</x:f>
        <x:v>224</x:v>
      </x:c>
      <x:c r="L85" s="8" t="n">
        <x:f>INDEX('Сводка'!$S$3:$S$397,V85)</x:f>
        <x:v>240</x:v>
      </x:c>
      <x:c r="M85" s="8" t="n">
        <x:f>INDEX($K$388:$N$400,W85,1)*((J85-$T$405+1)/1000)^INDEX($K$388:$N$400,W85,2)+INDEX($O$388:$Z$400,W85,MONTH(J85))</x:f>
        <x:v>167.73854472873285</x:v>
      </x:c>
      <x:c r="N85" s="8" t="n">
        <x:f>K85-M85</x:f>
        <x:v>56.26145527126715</x:v>
      </x:c>
      <x:c r="O85" s="8" t="n">
        <x:f>ABS(N85)</x:f>
        <x:v>56.26145527126715</x:v>
      </x:c>
      <x:c r="P85" s="8" t="n">
        <x:f>N85^2</x:f>
        <x:v>3165.3513492407947</x:v>
      </x:c>
      <x:c r="Q85" s="8" t="n">
        <x:f>K85-L85</x:f>
        <x:v>-16</x:v>
      </x:c>
      <x:c r="R85" s="9" t="n">
        <x:f>IF(AND(INDEX('Сводка'!$T$3:$T$397,U85)=0,INDEX('Сводка'!$T$3:$T$397,V85)=0),1,0)</x:f>
        <x:v>1</x:v>
      </x:c>
      <x:c r="S85" s="9" t="n">
        <x:f>IF(AND(R85=1,O85&lt;=$G$13),1,0)</x:f>
        <x:v>0</x:v>
      </x:c>
      <x:c r="T85" s="10" t="n">
        <x:f>EOMONTH(J85-'Сводка'!$B$11,-1)</x:f>
        <x:v>45930</x:v>
      </x:c>
      <x:c r="U85" s="4" t="n">
        <x:f>MATCH(J85,'Сводка'!$R$3:$R$397,0)</x:f>
        <x:v>96</x:v>
      </x:c>
      <x:c r="V85" s="4" t="n">
        <x:f>MATCH(J85-'Сводка'!$B$11,'Сводка'!$R$3:$R$397,0)</x:f>
        <x:v>95</x:v>
      </x:c>
      <x:c r="W85" s="4" t="n">
        <x:f>MATCH(T85,$J$388:$J$400,0)</x:f>
        <x:v>4</x:v>
      </x:c>
      <x:c r="X85" s="3"/>
      <x:c r="Y85" s="3"/>
      <x:c r="Z85" s="3"/>
    </x:row>
    <x:row r="86" ht="15" customHeight="1">
      <x:c r="A86" s="7" t="str">
        <x:f>IF(68&lt;='Сводка'!$B$3,'Сводка'!$B$4+68,"")</x:f>
      </x:c>
      <x:c r="B86" s="20" t="str">
        <x:f>IF($A86="","",(A86-$T$405+1)/1000)</x:f>
      </x:c>
      <x:c r="C86" s="20" t="str">
        <x:f>IF($A86="","",2*(A86-$T$405)/$T$406-1)</x:f>
      </x:c>
      <x:c r="D86" s="3" t="str">
        <x:f>IF($A86="","",$B$4*B86^$B$5+INDEX($E$4:$E$15,MONTH(A86)))</x:f>
      </x:c>
      <x:c r="E86" s="3" t="str">
        <x:f>IF($A86="","",SQRT($T$403^2+H86^2))</x:f>
      </x:c>
      <x:c r="F86" s="3" t="str">
        <x:f>IF($A86="","",D86-$T$404*E86)</x:f>
      </x:c>
      <x:c r="G86" s="3" t="str">
        <x:f>IF($A86="","",D86+$T$404*E86)</x:f>
      </x:c>
      <x:c r="H86" s="3" t="str">
        <x:f>IF($A86="","",SQRT(MAX(0,(B86^$B$5)*$S$409*(B86^$B$5)+(B86^$B$5)*$T$409*($B$4*B86^$B$5*LN(B86))+($B$4*B86^$B$5*LN(B86))*$S$410*(B86^$B$5)+($B$4*B86^$B$5*LN(B86))*$T$410*($B$4*B86^$B$5*LN(B86))+2*((B86^$B$5)*INDEX($S$416:$V$427,MONTH(A86),1)+($B$4*B86^$B$5*LN(B86))*INDEX($S$416:$V$427,MONTH(A86),2))+INDEX($W$416:$W$427,MONTH(A86)))))</x:f>
      </x:c>
      <x:c r="I86" s="3"/>
      <x:c r="J86" s="10" t="n">
        <x:v>45937</x:v>
      </x:c>
      <x:c r="K86" s="8" t="n">
        <x:f>INDEX('Сводка'!$S$3:$S$397,U86)</x:f>
        <x:v>210</x:v>
      </x:c>
      <x:c r="L86" s="8" t="n">
        <x:f>INDEX('Сводка'!$S$3:$S$397,V86)</x:f>
        <x:v>224</x:v>
      </x:c>
      <x:c r="M86" s="8" t="n">
        <x:f>INDEX($K$388:$N$400,W86,1)*((J86-$T$405+1)/1000)^INDEX($K$388:$N$400,W86,2)+INDEX($O$388:$Z$400,W86,MONTH(J86))</x:f>
        <x:v>167.75708913337994</x:v>
      </x:c>
      <x:c r="N86" s="8" t="n">
        <x:f>K86-M86</x:f>
        <x:v>42.242910866620065</x:v>
      </x:c>
      <x:c r="O86" s="8" t="n">
        <x:f>ABS(N86)</x:f>
        <x:v>42.242910866620065</x:v>
      </x:c>
      <x:c r="P86" s="8" t="n">
        <x:f>N86^2</x:f>
        <x:v>1784.4635184852075</x:v>
      </x:c>
      <x:c r="Q86" s="8" t="n">
        <x:f>K86-L86</x:f>
        <x:v>-14</x:v>
      </x:c>
      <x:c r="R86" s="9" t="n">
        <x:f>IF(AND(INDEX('Сводка'!$T$3:$T$397,U86)=0,INDEX('Сводка'!$T$3:$T$397,V86)=0),1,0)</x:f>
        <x:v>1</x:v>
      </x:c>
      <x:c r="S86" s="9" t="n">
        <x:f>IF(AND(R86=1,O86&lt;=$G$13),1,0)</x:f>
        <x:v>0</x:v>
      </x:c>
      <x:c r="T86" s="10" t="n">
        <x:f>EOMONTH(J86-'Сводка'!$B$11,-1)</x:f>
        <x:v>45930</x:v>
      </x:c>
      <x:c r="U86" s="4" t="n">
        <x:f>MATCH(J86,'Сводка'!$R$3:$R$397,0)</x:f>
        <x:v>97</x:v>
      </x:c>
      <x:c r="V86" s="4" t="n">
        <x:f>MATCH(J86-'Сводка'!$B$11,'Сводка'!$R$3:$R$397,0)</x:f>
        <x:v>96</x:v>
      </x:c>
      <x:c r="W86" s="4" t="n">
        <x:f>MATCH(T86,$J$388:$J$400,0)</x:f>
        <x:v>4</x:v>
      </x:c>
      <x:c r="X86" s="3"/>
      <x:c r="Y86" s="3"/>
      <x:c r="Z86" s="3"/>
    </x:row>
    <x:row r="87" ht="15" customHeight="1">
      <x:c r="A87" s="7" t="str">
        <x:f>IF(69&lt;='Сводка'!$B$3,'Сводка'!$B$4+69,"")</x:f>
      </x:c>
      <x:c r="B87" s="20" t="str">
        <x:f>IF($A87="","",(A87-$T$405+1)/1000)</x:f>
      </x:c>
      <x:c r="C87" s="20" t="str">
        <x:f>IF($A87="","",2*(A87-$T$405)/$T$406-1)</x:f>
      </x:c>
      <x:c r="D87" s="3" t="str">
        <x:f>IF($A87="","",$B$4*B87^$B$5+INDEX($E$4:$E$15,MONTH(A87)))</x:f>
      </x:c>
      <x:c r="E87" s="3" t="str">
        <x:f>IF($A87="","",SQRT($T$403^2+H87^2))</x:f>
      </x:c>
      <x:c r="F87" s="3" t="str">
        <x:f>IF($A87="","",D87-$T$404*E87)</x:f>
      </x:c>
      <x:c r="G87" s="3" t="str">
        <x:f>IF($A87="","",D87+$T$404*E87)</x:f>
      </x:c>
      <x:c r="H87" s="3" t="str">
        <x:f>IF($A87="","",SQRT(MAX(0,(B87^$B$5)*$S$409*(B87^$B$5)+(B87^$B$5)*$T$409*($B$4*B87^$B$5*LN(B87))+($B$4*B87^$B$5*LN(B87))*$S$410*(B87^$B$5)+($B$4*B87^$B$5*LN(B87))*$T$410*($B$4*B87^$B$5*LN(B87))+2*((B87^$B$5)*INDEX($S$416:$V$427,MONTH(A87),1)+($B$4*B87^$B$5*LN(B87))*INDEX($S$416:$V$427,MONTH(A87),2))+INDEX($W$416:$W$427,MONTH(A87)))))</x:f>
      </x:c>
      <x:c r="I87" s="3"/>
      <x:c r="J87" s="10" t="n">
        <x:v>45938</x:v>
      </x:c>
      <x:c r="K87" s="8" t="n">
        <x:f>INDEX('Сводка'!$S$3:$S$397,U87)</x:f>
        <x:v>198</x:v>
      </x:c>
      <x:c r="L87" s="8" t="n">
        <x:f>INDEX('Сводка'!$S$3:$S$397,V87)</x:f>
        <x:v>210</x:v>
      </x:c>
      <x:c r="M87" s="8" t="n">
        <x:f>INDEX($K$388:$N$400,W87,1)*((J87-$T$405+1)/1000)^INDEX($K$388:$N$400,W87,2)+INDEX($O$388:$Z$400,W87,MONTH(J87))</x:f>
        <x:v>167.77563373367263</x:v>
      </x:c>
      <x:c r="N87" s="8" t="n">
        <x:f>K87-M87</x:f>
        <x:v>30.224366266327365</x:v>
      </x:c>
      <x:c r="O87" s="8" t="n">
        <x:f>ABS(N87)</x:f>
        <x:v>30.224366266327365</x:v>
      </x:c>
      <x:c r="P87" s="8" t="n">
        <x:f>N87^2</x:f>
        <x:v>913.5123162011076</x:v>
      </x:c>
      <x:c r="Q87" s="8" t="n">
        <x:f>K87-L87</x:f>
        <x:v>-12</x:v>
      </x:c>
      <x:c r="R87" s="9" t="n">
        <x:f>IF(AND(INDEX('Сводка'!$T$3:$T$397,U87)=0,INDEX('Сводка'!$T$3:$T$397,V87)=0),1,0)</x:f>
        <x:v>1</x:v>
      </x:c>
      <x:c r="S87" s="9" t="n">
        <x:f>IF(AND(R87=1,O87&lt;=$G$13),1,0)</x:f>
        <x:v>0</x:v>
      </x:c>
      <x:c r="T87" s="10" t="n">
        <x:f>EOMONTH(J87-'Сводка'!$B$11,-1)</x:f>
        <x:v>45930</x:v>
      </x:c>
      <x:c r="U87" s="4" t="n">
        <x:f>MATCH(J87,'Сводка'!$R$3:$R$397,0)</x:f>
        <x:v>98</x:v>
      </x:c>
      <x:c r="V87" s="4" t="n">
        <x:f>MATCH(J87-'Сводка'!$B$11,'Сводка'!$R$3:$R$397,0)</x:f>
        <x:v>97</x:v>
      </x:c>
      <x:c r="W87" s="4" t="n">
        <x:f>MATCH(T87,$J$388:$J$400,0)</x:f>
        <x:v>4</x:v>
      </x:c>
      <x:c r="X87" s="3"/>
      <x:c r="Y87" s="3"/>
      <x:c r="Z87" s="3"/>
    </x:row>
    <x:row r="88" ht="15" customHeight="1">
      <x:c r="A88" s="7" t="str">
        <x:f>IF(70&lt;='Сводка'!$B$3,'Сводка'!$B$4+70,"")</x:f>
      </x:c>
      <x:c r="B88" s="20" t="str">
        <x:f>IF($A88="","",(A88-$T$405+1)/1000)</x:f>
      </x:c>
      <x:c r="C88" s="20" t="str">
        <x:f>IF($A88="","",2*(A88-$T$405)/$T$406-1)</x:f>
      </x:c>
      <x:c r="D88" s="3" t="str">
        <x:f>IF($A88="","",$B$4*B88^$B$5+INDEX($E$4:$E$15,MONTH(A88)))</x:f>
      </x:c>
      <x:c r="E88" s="3" t="str">
        <x:f>IF($A88="","",SQRT($T$403^2+H88^2))</x:f>
      </x:c>
      <x:c r="F88" s="3" t="str">
        <x:f>IF($A88="","",D88-$T$404*E88)</x:f>
      </x:c>
      <x:c r="G88" s="3" t="str">
        <x:f>IF($A88="","",D88+$T$404*E88)</x:f>
      </x:c>
      <x:c r="H88" s="3" t="str">
        <x:f>IF($A88="","",SQRT(MAX(0,(B88^$B$5)*$S$409*(B88^$B$5)+(B88^$B$5)*$T$409*($B$4*B88^$B$5*LN(B88))+($B$4*B88^$B$5*LN(B88))*$S$410*(B88^$B$5)+($B$4*B88^$B$5*LN(B88))*$T$410*($B$4*B88^$B$5*LN(B88))+2*((B88^$B$5)*INDEX($S$416:$V$427,MONTH(A88),1)+($B$4*B88^$B$5*LN(B88))*INDEX($S$416:$V$427,MONTH(A88),2))+INDEX($W$416:$W$427,MONTH(A88)))))</x:f>
      </x:c>
      <x:c r="I88" s="3"/>
      <x:c r="J88" s="10" t="n">
        <x:v>45939</x:v>
      </x:c>
      <x:c r="K88" s="8" t="n">
        <x:f>INDEX('Сводка'!$S$3:$S$397,U88)</x:f>
        <x:v>178</x:v>
      </x:c>
      <x:c r="L88" s="8" t="n">
        <x:f>INDEX('Сводка'!$S$3:$S$397,V88)</x:f>
        <x:v>198</x:v>
      </x:c>
      <x:c r="M88" s="8" t="n">
        <x:f>INDEX($K$388:$N$400,W88,1)*((J88-$T$405+1)/1000)^INDEX($K$388:$N$400,W88,2)+INDEX($O$388:$Z$400,W88,MONTH(J88))</x:f>
        <x:v>167.79417852959043</x:v>
      </x:c>
      <x:c r="N88" s="8" t="n">
        <x:f>K88-M88</x:f>
        <x:v>10.205821470409575</x:v>
      </x:c>
      <x:c r="O88" s="8" t="n">
        <x:f>ABS(N88)</x:f>
        <x:v>10.205821470409575</x:v>
      </x:c>
      <x:c r="P88" s="8" t="n">
        <x:f>N88^2</x:f>
        <x:v>104.15879188587306</x:v>
      </x:c>
      <x:c r="Q88" s="8" t="n">
        <x:f>K88-L88</x:f>
        <x:v>-20</x:v>
      </x:c>
      <x:c r="R88" s="9" t="n">
        <x:f>IF(AND(INDEX('Сводка'!$T$3:$T$397,U88)=0,INDEX('Сводка'!$T$3:$T$397,V88)=0),1,0)</x:f>
        <x:v>1</x:v>
      </x:c>
      <x:c r="S88" s="9" t="n">
        <x:f>IF(AND(R88=1,O88&lt;=$G$13),1,0)</x:f>
        <x:v>0</x:v>
      </x:c>
      <x:c r="T88" s="10" t="n">
        <x:f>EOMONTH(J88-'Сводка'!$B$11,-1)</x:f>
        <x:v>45930</x:v>
      </x:c>
      <x:c r="U88" s="4" t="n">
        <x:f>MATCH(J88,'Сводка'!$R$3:$R$397,0)</x:f>
        <x:v>99</x:v>
      </x:c>
      <x:c r="V88" s="4" t="n">
        <x:f>MATCH(J88-'Сводка'!$B$11,'Сводка'!$R$3:$R$397,0)</x:f>
        <x:v>98</x:v>
      </x:c>
      <x:c r="W88" s="4" t="n">
        <x:f>MATCH(T88,$J$388:$J$400,0)</x:f>
        <x:v>4</x:v>
      </x:c>
      <x:c r="X88" s="3"/>
      <x:c r="Y88" s="3"/>
      <x:c r="Z88" s="3"/>
    </x:row>
    <x:row r="89" ht="15" customHeight="1">
      <x:c r="A89" s="7" t="str">
        <x:f>IF(71&lt;='Сводка'!$B$3,'Сводка'!$B$4+71,"")</x:f>
      </x:c>
      <x:c r="B89" s="20" t="str">
        <x:f>IF($A89="","",(A89-$T$405+1)/1000)</x:f>
      </x:c>
      <x:c r="C89" s="20" t="str">
        <x:f>IF($A89="","",2*(A89-$T$405)/$T$406-1)</x:f>
      </x:c>
      <x:c r="D89" s="3" t="str">
        <x:f>IF($A89="","",$B$4*B89^$B$5+INDEX($E$4:$E$15,MONTH(A89)))</x:f>
      </x:c>
      <x:c r="E89" s="3" t="str">
        <x:f>IF($A89="","",SQRT($T$403^2+H89^2))</x:f>
      </x:c>
      <x:c r="F89" s="3" t="str">
        <x:f>IF($A89="","",D89-$T$404*E89)</x:f>
      </x:c>
      <x:c r="G89" s="3" t="str">
        <x:f>IF($A89="","",D89+$T$404*E89)</x:f>
      </x:c>
      <x:c r="H89" s="3" t="str">
        <x:f>IF($A89="","",SQRT(MAX(0,(B89^$B$5)*$S$409*(B89^$B$5)+(B89^$B$5)*$T$409*($B$4*B89^$B$5*LN(B89))+($B$4*B89^$B$5*LN(B89))*$S$410*(B89^$B$5)+($B$4*B89^$B$5*LN(B89))*$T$410*($B$4*B89^$B$5*LN(B89))+2*((B89^$B$5)*INDEX($S$416:$V$427,MONTH(A89),1)+($B$4*B89^$B$5*LN(B89))*INDEX($S$416:$V$427,MONTH(A89),2))+INDEX($W$416:$W$427,MONTH(A89)))))</x:f>
      </x:c>
      <x:c r="I89" s="3"/>
      <x:c r="J89" s="10" t="n">
        <x:v>45940</x:v>
      </x:c>
      <x:c r="K89" s="8" t="n">
        <x:f>INDEX('Сводка'!$S$3:$S$397,U89)</x:f>
        <x:v>163</x:v>
      </x:c>
      <x:c r="L89" s="8" t="n">
        <x:f>INDEX('Сводка'!$S$3:$S$397,V89)</x:f>
        <x:v>178</x:v>
      </x:c>
      <x:c r="M89" s="8" t="n">
        <x:f>INDEX($K$388:$N$400,W89,1)*((J89-$T$405+1)/1000)^INDEX($K$388:$N$400,W89,2)+INDEX($O$388:$Z$400,W89,MONTH(J89))</x:f>
        <x:v>167.81272352111287</x:v>
      </x:c>
      <x:c r="N89" s="8" t="n">
        <x:f>K89-M89</x:f>
        <x:v>-4.812723521112872</x:v>
      </x:c>
      <x:c r="O89" s="8" t="n">
        <x:f>ABS(N89)</x:f>
        <x:v>4.812723521112872</x:v>
      </x:c>
      <x:c r="P89" s="8" t="n">
        <x:f>N89^2</x:f>
        <x:v>23.16230769067308</x:v>
      </x:c>
      <x:c r="Q89" s="8" t="n">
        <x:f>K89-L89</x:f>
        <x:v>-15</x:v>
      </x:c>
      <x:c r="R89" s="9" t="n">
        <x:f>IF(AND(INDEX('Сводка'!$T$3:$T$397,U89)=0,INDEX('Сводка'!$T$3:$T$397,V89)=0),1,0)</x:f>
        <x:v>1</x:v>
      </x:c>
      <x:c r="S89" s="9" t="n">
        <x:f>IF(AND(R89=1,O89&lt;=$G$13),1,0)</x:f>
        <x:v>1</x:v>
      </x:c>
      <x:c r="T89" s="10" t="n">
        <x:f>EOMONTH(J89-'Сводка'!$B$11,-1)</x:f>
        <x:v>45930</x:v>
      </x:c>
      <x:c r="U89" s="4" t="n">
        <x:f>MATCH(J89,'Сводка'!$R$3:$R$397,0)</x:f>
        <x:v>100</x:v>
      </x:c>
      <x:c r="V89" s="4" t="n">
        <x:f>MATCH(J89-'Сводка'!$B$11,'Сводка'!$R$3:$R$397,0)</x:f>
        <x:v>99</x:v>
      </x:c>
      <x:c r="W89" s="4" t="n">
        <x:f>MATCH(T89,$J$388:$J$400,0)</x:f>
        <x:v>4</x:v>
      </x:c>
      <x:c r="X89" s="3"/>
      <x:c r="Y89" s="3"/>
      <x:c r="Z89" s="3"/>
    </x:row>
    <x:row r="90" ht="15" customHeight="1">
      <x:c r="A90" s="7" t="str">
        <x:f>IF(72&lt;='Сводка'!$B$3,'Сводка'!$B$4+72,"")</x:f>
      </x:c>
      <x:c r="B90" s="20" t="str">
        <x:f>IF($A90="","",(A90-$T$405+1)/1000)</x:f>
      </x:c>
      <x:c r="C90" s="20" t="str">
        <x:f>IF($A90="","",2*(A90-$T$405)/$T$406-1)</x:f>
      </x:c>
      <x:c r="D90" s="3" t="str">
        <x:f>IF($A90="","",$B$4*B90^$B$5+INDEX($E$4:$E$15,MONTH(A90)))</x:f>
      </x:c>
      <x:c r="E90" s="3" t="str">
        <x:f>IF($A90="","",SQRT($T$403^2+H90^2))</x:f>
      </x:c>
      <x:c r="F90" s="3" t="str">
        <x:f>IF($A90="","",D90-$T$404*E90)</x:f>
      </x:c>
      <x:c r="G90" s="3" t="str">
        <x:f>IF($A90="","",D90+$T$404*E90)</x:f>
      </x:c>
      <x:c r="H90" s="3" t="str">
        <x:f>IF($A90="","",SQRT(MAX(0,(B90^$B$5)*$S$409*(B90^$B$5)+(B90^$B$5)*$T$409*($B$4*B90^$B$5*LN(B90))+($B$4*B90^$B$5*LN(B90))*$S$410*(B90^$B$5)+($B$4*B90^$B$5*LN(B90))*$T$410*($B$4*B90^$B$5*LN(B90))+2*((B90^$B$5)*INDEX($S$416:$V$427,MONTH(A90),1)+($B$4*B90^$B$5*LN(B90))*INDEX($S$416:$V$427,MONTH(A90),2))+INDEX($W$416:$W$427,MONTH(A90)))))</x:f>
      </x:c>
      <x:c r="I90" s="3"/>
      <x:c r="J90" s="10" t="n">
        <x:v>45941</x:v>
      </x:c>
      <x:c r="K90" s="8" t="n">
        <x:f>INDEX('Сводка'!$S$3:$S$397,U90)</x:f>
        <x:v>152</x:v>
      </x:c>
      <x:c r="L90" s="8" t="n">
        <x:f>INDEX('Сводка'!$S$3:$S$397,V90)</x:f>
        <x:v>163</x:v>
      </x:c>
      <x:c r="M90" s="8" t="n">
        <x:f>INDEX($K$388:$N$400,W90,1)*((J90-$T$405+1)/1000)^INDEX($K$388:$N$400,W90,2)+INDEX($O$388:$Z$400,W90,MONTH(J90))</x:f>
        <x:v>167.8312687082195</x:v>
      </x:c>
      <x:c r="N90" s="8" t="n">
        <x:f>K90-M90</x:f>
        <x:v>-15.831268708219511</x:v>
      </x:c>
      <x:c r="O90" s="8" t="n">
        <x:f>ABS(N90)</x:f>
        <x:v>15.831268708219511</x:v>
      </x:c>
      <x:c r="P90" s="8" t="n">
        <x:f>N90^2</x:f>
        <x:v>250.62906891185028</x:v>
      </x:c>
      <x:c r="Q90" s="8" t="n">
        <x:f>K90-L90</x:f>
        <x:v>-11</x:v>
      </x:c>
      <x:c r="R90" s="9" t="n">
        <x:f>IF(AND(INDEX('Сводка'!$T$3:$T$397,U90)=0,INDEX('Сводка'!$T$3:$T$397,V90)=0),1,0)</x:f>
        <x:v>1</x:v>
      </x:c>
      <x:c r="S90" s="9" t="n">
        <x:f>IF(AND(R90=1,O90&lt;=$G$13),1,0)</x:f>
        <x:v>0</x:v>
      </x:c>
      <x:c r="T90" s="10" t="n">
        <x:f>EOMONTH(J90-'Сводка'!$B$11,-1)</x:f>
        <x:v>45930</x:v>
      </x:c>
      <x:c r="U90" s="4" t="n">
        <x:f>MATCH(J90,'Сводка'!$R$3:$R$397,0)</x:f>
        <x:v>101</x:v>
      </x:c>
      <x:c r="V90" s="4" t="n">
        <x:f>MATCH(J90-'Сводка'!$B$11,'Сводка'!$R$3:$R$397,0)</x:f>
        <x:v>100</x:v>
      </x:c>
      <x:c r="W90" s="4" t="n">
        <x:f>MATCH(T90,$J$388:$J$400,0)</x:f>
        <x:v>4</x:v>
      </x:c>
      <x:c r="X90" s="3"/>
      <x:c r="Y90" s="3"/>
      <x:c r="Z90" s="3"/>
    </x:row>
    <x:row r="91" ht="15" customHeight="1">
      <x:c r="A91" s="7" t="str">
        <x:f>IF(73&lt;='Сводка'!$B$3,'Сводка'!$B$4+73,"")</x:f>
      </x:c>
      <x:c r="B91" s="20" t="str">
        <x:f>IF($A91="","",(A91-$T$405+1)/1000)</x:f>
      </x:c>
      <x:c r="C91" s="20" t="str">
        <x:f>IF($A91="","",2*(A91-$T$405)/$T$406-1)</x:f>
      </x:c>
      <x:c r="D91" s="3" t="str">
        <x:f>IF($A91="","",$B$4*B91^$B$5+INDEX($E$4:$E$15,MONTH(A91)))</x:f>
      </x:c>
      <x:c r="E91" s="3" t="str">
        <x:f>IF($A91="","",SQRT($T$403^2+H91^2))</x:f>
      </x:c>
      <x:c r="F91" s="3" t="str">
        <x:f>IF($A91="","",D91-$T$404*E91)</x:f>
      </x:c>
      <x:c r="G91" s="3" t="str">
        <x:f>IF($A91="","",D91+$T$404*E91)</x:f>
      </x:c>
      <x:c r="H91" s="3" t="str">
        <x:f>IF($A91="","",SQRT(MAX(0,(B91^$B$5)*$S$409*(B91^$B$5)+(B91^$B$5)*$T$409*($B$4*B91^$B$5*LN(B91))+($B$4*B91^$B$5*LN(B91))*$S$410*(B91^$B$5)+($B$4*B91^$B$5*LN(B91))*$T$410*($B$4*B91^$B$5*LN(B91))+2*((B91^$B$5)*INDEX($S$416:$V$427,MONTH(A91),1)+($B$4*B91^$B$5*LN(B91))*INDEX($S$416:$V$427,MONTH(A91),2))+INDEX($W$416:$W$427,MONTH(A91)))))</x:f>
      </x:c>
      <x:c r="I91" s="3"/>
      <x:c r="J91" s="10" t="n">
        <x:v>45942</x:v>
      </x:c>
      <x:c r="K91" s="8" t="n">
        <x:f>INDEX('Сводка'!$S$3:$S$397,U91)</x:f>
        <x:v>138</x:v>
      </x:c>
      <x:c r="L91" s="8" t="n">
        <x:f>INDEX('Сводка'!$S$3:$S$397,V91)</x:f>
        <x:v>152</x:v>
      </x:c>
      <x:c r="M91" s="8" t="n">
        <x:f>INDEX($K$388:$N$400,W91,1)*((J91-$T$405+1)/1000)^INDEX($K$388:$N$400,W91,2)+INDEX($O$388:$Z$400,W91,MONTH(J91))</x:f>
        <x:v>167.84981409088988</x:v>
      </x:c>
      <x:c r="N91" s="8" t="n">
        <x:f>K91-M91</x:f>
        <x:v>-29.84981409088988</x:v>
      </x:c>
      <x:c r="O91" s="8" t="n">
        <x:f>ABS(N91)</x:f>
        <x:v>29.84981409088988</x:v>
      </x:c>
      <x:c r="P91" s="8" t="n">
        <x:f>N91^2</x:f>
        <x:v>891.011401260688</x:v>
      </x:c>
      <x:c r="Q91" s="8" t="n">
        <x:f>K91-L91</x:f>
        <x:v>-14</x:v>
      </x:c>
      <x:c r="R91" s="9" t="n">
        <x:f>IF(AND(INDEX('Сводка'!$T$3:$T$397,U91)=0,INDEX('Сводка'!$T$3:$T$397,V91)=0),1,0)</x:f>
        <x:v>1</x:v>
      </x:c>
      <x:c r="S91" s="9" t="n">
        <x:f>IF(AND(R91=1,O91&lt;=$G$13),1,0)</x:f>
        <x:v>0</x:v>
      </x:c>
      <x:c r="T91" s="10" t="n">
        <x:f>EOMONTH(J91-'Сводка'!$B$11,-1)</x:f>
        <x:v>45930</x:v>
      </x:c>
      <x:c r="U91" s="4" t="n">
        <x:f>MATCH(J91,'Сводка'!$R$3:$R$397,0)</x:f>
        <x:v>102</x:v>
      </x:c>
      <x:c r="V91" s="4" t="n">
        <x:f>MATCH(J91-'Сводка'!$B$11,'Сводка'!$R$3:$R$397,0)</x:f>
        <x:v>101</x:v>
      </x:c>
      <x:c r="W91" s="4" t="n">
        <x:f>MATCH(T91,$J$388:$J$400,0)</x:f>
        <x:v>4</x:v>
      </x:c>
      <x:c r="X91" s="3"/>
      <x:c r="Y91" s="3"/>
      <x:c r="Z91" s="3"/>
    </x:row>
    <x:row r="92" ht="15" customHeight="1">
      <x:c r="A92" s="7" t="str">
        <x:f>IF(74&lt;='Сводка'!$B$3,'Сводка'!$B$4+74,"")</x:f>
      </x:c>
      <x:c r="B92" s="20" t="str">
        <x:f>IF($A92="","",(A92-$T$405+1)/1000)</x:f>
      </x:c>
      <x:c r="C92" s="20" t="str">
        <x:f>IF($A92="","",2*(A92-$T$405)/$T$406-1)</x:f>
      </x:c>
      <x:c r="D92" s="3" t="str">
        <x:f>IF($A92="","",$B$4*B92^$B$5+INDEX($E$4:$E$15,MONTH(A92)))</x:f>
      </x:c>
      <x:c r="E92" s="3" t="str">
        <x:f>IF($A92="","",SQRT($T$403^2+H92^2))</x:f>
      </x:c>
      <x:c r="F92" s="3" t="str">
        <x:f>IF($A92="","",D92-$T$404*E92)</x:f>
      </x:c>
      <x:c r="G92" s="3" t="str">
        <x:f>IF($A92="","",D92+$T$404*E92)</x:f>
      </x:c>
      <x:c r="H92" s="3" t="str">
        <x:f>IF($A92="","",SQRT(MAX(0,(B92^$B$5)*$S$409*(B92^$B$5)+(B92^$B$5)*$T$409*($B$4*B92^$B$5*LN(B92))+($B$4*B92^$B$5*LN(B92))*$S$410*(B92^$B$5)+($B$4*B92^$B$5*LN(B92))*$T$410*($B$4*B92^$B$5*LN(B92))+2*((B92^$B$5)*INDEX($S$416:$V$427,MONTH(A92),1)+($B$4*B92^$B$5*LN(B92))*INDEX($S$416:$V$427,MONTH(A92),2))+INDEX($W$416:$W$427,MONTH(A92)))))</x:f>
      </x:c>
      <x:c r="I92" s="3"/>
      <x:c r="J92" s="10" t="n">
        <x:v>45943</x:v>
      </x:c>
      <x:c r="K92" s="8" t="n">
        <x:f>INDEX('Сводка'!$S$3:$S$397,U92)</x:f>
        <x:v>123</x:v>
      </x:c>
      <x:c r="L92" s="8" t="n">
        <x:f>INDEX('Сводка'!$S$3:$S$397,V92)</x:f>
        <x:v>138</x:v>
      </x:c>
      <x:c r="M92" s="8" t="n">
        <x:f>INDEX($K$388:$N$400,W92,1)*((J92-$T$405+1)/1000)^INDEX($K$388:$N$400,W92,2)+INDEX($O$388:$Z$400,W92,MONTH(J92))</x:f>
        <x:v>167.8683596691035</x:v>
      </x:c>
      <x:c r="N92" s="8" t="n">
        <x:f>K92-M92</x:f>
        <x:v>-44.86835966910351</x:v>
      </x:c>
      <x:c r="O92" s="8" t="n">
        <x:f>ABS(N92)</x:f>
        <x:v>44.86835966910351</x:v>
      </x:c>
      <x:c r="P92" s="8" t="n">
        <x:f>N92^2</x:f>
        <x:v>2013.1696993960347</x:v>
      </x:c>
      <x:c r="Q92" s="8" t="n">
        <x:f>K92-L92</x:f>
        <x:v>-15</x:v>
      </x:c>
      <x:c r="R92" s="9" t="n">
        <x:f>IF(AND(INDEX('Сводка'!$T$3:$T$397,U92)=0,INDEX('Сводка'!$T$3:$T$397,V92)=0),1,0)</x:f>
        <x:v>1</x:v>
      </x:c>
      <x:c r="S92" s="9" t="n">
        <x:f>IF(AND(R92=1,O92&lt;=$G$13),1,0)</x:f>
        <x:v>0</x:v>
      </x:c>
      <x:c r="T92" s="10" t="n">
        <x:f>EOMONTH(J92-'Сводка'!$B$11,-1)</x:f>
        <x:v>45930</x:v>
      </x:c>
      <x:c r="U92" s="4" t="n">
        <x:f>MATCH(J92,'Сводка'!$R$3:$R$397,0)</x:f>
        <x:v>103</x:v>
      </x:c>
      <x:c r="V92" s="4" t="n">
        <x:f>MATCH(J92-'Сводка'!$B$11,'Сводка'!$R$3:$R$397,0)</x:f>
        <x:v>102</x:v>
      </x:c>
      <x:c r="W92" s="4" t="n">
        <x:f>MATCH(T92,$J$388:$J$400,0)</x:f>
        <x:v>4</x:v>
      </x:c>
      <x:c r="X92" s="3"/>
      <x:c r="Y92" s="3"/>
      <x:c r="Z92" s="3"/>
    </x:row>
    <x:row r="93" ht="15" customHeight="1">
      <x:c r="A93" s="7" t="str">
        <x:f>IF(75&lt;='Сводка'!$B$3,'Сводка'!$B$4+75,"")</x:f>
      </x:c>
      <x:c r="B93" s="20" t="str">
        <x:f>IF($A93="","",(A93-$T$405+1)/1000)</x:f>
      </x:c>
      <x:c r="C93" s="20" t="str">
        <x:f>IF($A93="","",2*(A93-$T$405)/$T$406-1)</x:f>
      </x:c>
      <x:c r="D93" s="3" t="str">
        <x:f>IF($A93="","",$B$4*B93^$B$5+INDEX($E$4:$E$15,MONTH(A93)))</x:f>
      </x:c>
      <x:c r="E93" s="3" t="str">
        <x:f>IF($A93="","",SQRT($T$403^2+H93^2))</x:f>
      </x:c>
      <x:c r="F93" s="3" t="str">
        <x:f>IF($A93="","",D93-$T$404*E93)</x:f>
      </x:c>
      <x:c r="G93" s="3" t="str">
        <x:f>IF($A93="","",D93+$T$404*E93)</x:f>
      </x:c>
      <x:c r="H93" s="3" t="str">
        <x:f>IF($A93="","",SQRT(MAX(0,(B93^$B$5)*$S$409*(B93^$B$5)+(B93^$B$5)*$T$409*($B$4*B93^$B$5*LN(B93))+($B$4*B93^$B$5*LN(B93))*$S$410*(B93^$B$5)+($B$4*B93^$B$5*LN(B93))*$T$410*($B$4*B93^$B$5*LN(B93))+2*((B93^$B$5)*INDEX($S$416:$V$427,MONTH(A93),1)+($B$4*B93^$B$5*LN(B93))*INDEX($S$416:$V$427,MONTH(A93),2))+INDEX($W$416:$W$427,MONTH(A93)))))</x:f>
      </x:c>
      <x:c r="I93" s="3"/>
      <x:c r="J93" s="10" t="n">
        <x:v>45944</x:v>
      </x:c>
      <x:c r="K93" s="8" t="n">
        <x:f>INDEX('Сводка'!$S$3:$S$397,U93)</x:f>
        <x:v>111</x:v>
      </x:c>
      <x:c r="L93" s="8" t="n">
        <x:f>INDEX('Сводка'!$S$3:$S$397,V93)</x:f>
        <x:v>123</x:v>
      </x:c>
      <x:c r="M93" s="8" t="n">
        <x:f>INDEX($K$388:$N$400,W93,1)*((J93-$T$405+1)/1000)^INDEX($K$388:$N$400,W93,2)+INDEX($O$388:$Z$400,W93,MONTH(J93))</x:f>
        <x:v>167.88690544283997</x:v>
      </x:c>
      <x:c r="N93" s="8" t="n">
        <x:f>K93-M93</x:f>
        <x:v>-56.886905442839975</x:v>
      </x:c>
      <x:c r="O93" s="8" t="n">
        <x:f>ABS(N93)</x:f>
        <x:v>56.886905442839975</x:v>
      </x:c>
      <x:c r="P93" s="8" t="n">
        <x:f>N93^2</x:f>
        <x:v>3236.1200108626163</x:v>
      </x:c>
      <x:c r="Q93" s="8" t="n">
        <x:f>K93-L93</x:f>
        <x:v>-12</x:v>
      </x:c>
      <x:c r="R93" s="9" t="n">
        <x:f>IF(AND(INDEX('Сводка'!$T$3:$T$397,U93)=0,INDEX('Сводка'!$T$3:$T$397,V93)=0),1,0)</x:f>
        <x:v>1</x:v>
      </x:c>
      <x:c r="S93" s="9" t="n">
        <x:f>IF(AND(R93=1,O93&lt;=$G$13),1,0)</x:f>
        <x:v>0</x:v>
      </x:c>
      <x:c r="T93" s="10" t="n">
        <x:f>EOMONTH(J93-'Сводка'!$B$11,-1)</x:f>
        <x:v>45930</x:v>
      </x:c>
      <x:c r="U93" s="4" t="n">
        <x:f>MATCH(J93,'Сводка'!$R$3:$R$397,0)</x:f>
        <x:v>104</x:v>
      </x:c>
      <x:c r="V93" s="4" t="n">
        <x:f>MATCH(J93-'Сводка'!$B$11,'Сводка'!$R$3:$R$397,0)</x:f>
        <x:v>103</x:v>
      </x:c>
      <x:c r="W93" s="4" t="n">
        <x:f>MATCH(T93,$J$388:$J$400,0)</x:f>
        <x:v>4</x:v>
      </x:c>
      <x:c r="X93" s="3"/>
      <x:c r="Y93" s="3"/>
      <x:c r="Z93" s="3"/>
    </x:row>
    <x:row r="94" ht="15" customHeight="1">
      <x:c r="A94" s="7" t="str">
        <x:f>IF(76&lt;='Сводка'!$B$3,'Сводка'!$B$4+76,"")</x:f>
      </x:c>
      <x:c r="B94" s="20" t="str">
        <x:f>IF($A94="","",(A94-$T$405+1)/1000)</x:f>
      </x:c>
      <x:c r="C94" s="20" t="str">
        <x:f>IF($A94="","",2*(A94-$T$405)/$T$406-1)</x:f>
      </x:c>
      <x:c r="D94" s="3" t="str">
        <x:f>IF($A94="","",$B$4*B94^$B$5+INDEX($E$4:$E$15,MONTH(A94)))</x:f>
      </x:c>
      <x:c r="E94" s="3" t="str">
        <x:f>IF($A94="","",SQRT($T$403^2+H94^2))</x:f>
      </x:c>
      <x:c r="F94" s="3" t="str">
        <x:f>IF($A94="","",D94-$T$404*E94)</x:f>
      </x:c>
      <x:c r="G94" s="3" t="str">
        <x:f>IF($A94="","",D94+$T$404*E94)</x:f>
      </x:c>
      <x:c r="H94" s="3" t="str">
        <x:f>IF($A94="","",SQRT(MAX(0,(B94^$B$5)*$S$409*(B94^$B$5)+(B94^$B$5)*$T$409*($B$4*B94^$B$5*LN(B94))+($B$4*B94^$B$5*LN(B94))*$S$410*(B94^$B$5)+($B$4*B94^$B$5*LN(B94))*$T$410*($B$4*B94^$B$5*LN(B94))+2*((B94^$B$5)*INDEX($S$416:$V$427,MONTH(A94),1)+($B$4*B94^$B$5*LN(B94))*INDEX($S$416:$V$427,MONTH(A94),2))+INDEX($W$416:$W$427,MONTH(A94)))))</x:f>
      </x:c>
      <x:c r="I94" s="3"/>
      <x:c r="J94" s="10" t="n">
        <x:v>45945</x:v>
      </x:c>
      <x:c r="K94" s="8" t="n">
        <x:f>INDEX('Сводка'!$S$3:$S$397,U94)</x:f>
        <x:v>100</x:v>
      </x:c>
      <x:c r="L94" s="8" t="n">
        <x:f>INDEX('Сводка'!$S$3:$S$397,V94)</x:f>
        <x:v>111</x:v>
      </x:c>
      <x:c r="M94" s="8" t="n">
        <x:f>INDEX($K$388:$N$400,W94,1)*((J94-$T$405+1)/1000)^INDEX($K$388:$N$400,W94,2)+INDEX($O$388:$Z$400,W94,MONTH(J94))</x:f>
        <x:v>167.9054514120788</x:v>
      </x:c>
      <x:c r="N94" s="8" t="n">
        <x:f>K94-M94</x:f>
        <x:v>-67.9054514120788</x:v>
      </x:c>
      <x:c r="O94" s="8" t="n">
        <x:f>ABS(N94)</x:f>
        <x:v>67.9054514120788</x:v>
      </x:c>
      <x:c r="P94" s="8" t="n">
        <x:f>N94^2</x:f>
        <x:v>4611.150331478195</x:v>
      </x:c>
      <x:c r="Q94" s="8" t="n">
        <x:f>K94-L94</x:f>
        <x:v>-11</x:v>
      </x:c>
      <x:c r="R94" s="9" t="n">
        <x:f>IF(AND(INDEX('Сводка'!$T$3:$T$397,U94)=0,INDEX('Сводка'!$T$3:$T$397,V94)=0),1,0)</x:f>
        <x:v>1</x:v>
      </x:c>
      <x:c r="S94" s="9" t="n">
        <x:f>IF(AND(R94=1,O94&lt;=$G$13),1,0)</x:f>
        <x:v>0</x:v>
      </x:c>
      <x:c r="T94" s="10" t="n">
        <x:f>EOMONTH(J94-'Сводка'!$B$11,-1)</x:f>
        <x:v>45930</x:v>
      </x:c>
      <x:c r="U94" s="4" t="n">
        <x:f>MATCH(J94,'Сводка'!$R$3:$R$397,0)</x:f>
        <x:v>105</x:v>
      </x:c>
      <x:c r="V94" s="4" t="n">
        <x:f>MATCH(J94-'Сводка'!$B$11,'Сводка'!$R$3:$R$397,0)</x:f>
        <x:v>104</x:v>
      </x:c>
      <x:c r="W94" s="4" t="n">
        <x:f>MATCH(T94,$J$388:$J$400,0)</x:f>
        <x:v>4</x:v>
      </x:c>
      <x:c r="X94" s="3"/>
      <x:c r="Y94" s="3"/>
      <x:c r="Z94" s="3"/>
    </x:row>
    <x:row r="95" ht="15" customHeight="1">
      <x:c r="A95" s="7" t="str">
        <x:f>IF(77&lt;='Сводка'!$B$3,'Сводка'!$B$4+77,"")</x:f>
      </x:c>
      <x:c r="B95" s="20" t="str">
        <x:f>IF($A95="","",(A95-$T$405+1)/1000)</x:f>
      </x:c>
      <x:c r="C95" s="20" t="str">
        <x:f>IF($A95="","",2*(A95-$T$405)/$T$406-1)</x:f>
      </x:c>
      <x:c r="D95" s="3" t="str">
        <x:f>IF($A95="","",$B$4*B95^$B$5+INDEX($E$4:$E$15,MONTH(A95)))</x:f>
      </x:c>
      <x:c r="E95" s="3" t="str">
        <x:f>IF($A95="","",SQRT($T$403^2+H95^2))</x:f>
      </x:c>
      <x:c r="F95" s="3" t="str">
        <x:f>IF($A95="","",D95-$T$404*E95)</x:f>
      </x:c>
      <x:c r="G95" s="3" t="str">
        <x:f>IF($A95="","",D95+$T$404*E95)</x:f>
      </x:c>
      <x:c r="H95" s="3" t="str">
        <x:f>IF($A95="","",SQRT(MAX(0,(B95^$B$5)*$S$409*(B95^$B$5)+(B95^$B$5)*$T$409*($B$4*B95^$B$5*LN(B95))+($B$4*B95^$B$5*LN(B95))*$S$410*(B95^$B$5)+($B$4*B95^$B$5*LN(B95))*$T$410*($B$4*B95^$B$5*LN(B95))+2*((B95^$B$5)*INDEX($S$416:$V$427,MONTH(A95),1)+($B$4*B95^$B$5*LN(B95))*INDEX($S$416:$V$427,MONTH(A95),2))+INDEX($W$416:$W$427,MONTH(A95)))))</x:f>
      </x:c>
      <x:c r="I95" s="3"/>
      <x:c r="J95" s="10" t="n">
        <x:v>45946</x:v>
      </x:c>
      <x:c r="K95" s="8" t="n">
        <x:f>INDEX('Сводка'!$S$3:$S$397,U95)</x:f>
        <x:v>89</x:v>
      </x:c>
      <x:c r="L95" s="8" t="n">
        <x:f>INDEX('Сводка'!$S$3:$S$397,V95)</x:f>
        <x:v>100</x:v>
      </x:c>
      <x:c r="M95" s="8" t="n">
        <x:f>INDEX($K$388:$N$400,W95,1)*((J95-$T$405+1)/1000)^INDEX($K$388:$N$400,W95,2)+INDEX($O$388:$Z$400,W95,MONTH(J95))</x:f>
        <x:v>167.9239975767996</x:v>
      </x:c>
      <x:c r="N95" s="8" t="n">
        <x:f>K95-M95</x:f>
        <x:v>-78.9239975767996</x:v>
      </x:c>
      <x:c r="O95" s="8" t="n">
        <x:f>ABS(N95)</x:f>
        <x:v>78.9239975767996</x:v>
      </x:c>
      <x:c r="P95" s="8" t="n">
        <x:f>N95^2</x:f>
        <x:v>6228.997393502668</x:v>
      </x:c>
      <x:c r="Q95" s="8" t="n">
        <x:f>K95-L95</x:f>
        <x:v>-11</x:v>
      </x:c>
      <x:c r="R95" s="9" t="n">
        <x:f>IF(AND(INDEX('Сводка'!$T$3:$T$397,U95)=0,INDEX('Сводка'!$T$3:$T$397,V95)=0),1,0)</x:f>
        <x:v>1</x:v>
      </x:c>
      <x:c r="S95" s="9" t="n">
        <x:f>IF(AND(R95=1,O95&lt;=$G$13),1,0)</x:f>
        <x:v>0</x:v>
      </x:c>
      <x:c r="T95" s="10" t="n">
        <x:f>EOMONTH(J95-'Сводка'!$B$11,-1)</x:f>
        <x:v>45930</x:v>
      </x:c>
      <x:c r="U95" s="4" t="n">
        <x:f>MATCH(J95,'Сводка'!$R$3:$R$397,0)</x:f>
        <x:v>106</x:v>
      </x:c>
      <x:c r="V95" s="4" t="n">
        <x:f>MATCH(J95-'Сводка'!$B$11,'Сводка'!$R$3:$R$397,0)</x:f>
        <x:v>105</x:v>
      </x:c>
      <x:c r="W95" s="4" t="n">
        <x:f>MATCH(T95,$J$388:$J$400,0)</x:f>
        <x:v>4</x:v>
      </x:c>
      <x:c r="X95" s="3"/>
      <x:c r="Y95" s="3"/>
      <x:c r="Z95" s="3"/>
    </x:row>
    <x:row r="96" ht="15" customHeight="1">
      <x:c r="A96" s="7" t="str">
        <x:f>IF(78&lt;='Сводка'!$B$3,'Сводка'!$B$4+78,"")</x:f>
      </x:c>
      <x:c r="B96" s="20" t="str">
        <x:f>IF($A96="","",(A96-$T$405+1)/1000)</x:f>
      </x:c>
      <x:c r="C96" s="20" t="str">
        <x:f>IF($A96="","",2*(A96-$T$405)/$T$406-1)</x:f>
      </x:c>
      <x:c r="D96" s="3" t="str">
        <x:f>IF($A96="","",$B$4*B96^$B$5+INDEX($E$4:$E$15,MONTH(A96)))</x:f>
      </x:c>
      <x:c r="E96" s="3" t="str">
        <x:f>IF($A96="","",SQRT($T$403^2+H96^2))</x:f>
      </x:c>
      <x:c r="F96" s="3" t="str">
        <x:f>IF($A96="","",D96-$T$404*E96)</x:f>
      </x:c>
      <x:c r="G96" s="3" t="str">
        <x:f>IF($A96="","",D96+$T$404*E96)</x:f>
      </x:c>
      <x:c r="H96" s="3" t="str">
        <x:f>IF($A96="","",SQRT(MAX(0,(B96^$B$5)*$S$409*(B96^$B$5)+(B96^$B$5)*$T$409*($B$4*B96^$B$5*LN(B96))+($B$4*B96^$B$5*LN(B96))*$S$410*(B96^$B$5)+($B$4*B96^$B$5*LN(B96))*$T$410*($B$4*B96^$B$5*LN(B96))+2*((B96^$B$5)*INDEX($S$416:$V$427,MONTH(A96),1)+($B$4*B96^$B$5*LN(B96))*INDEX($S$416:$V$427,MONTH(A96),2))+INDEX($W$416:$W$427,MONTH(A96)))))</x:f>
      </x:c>
      <x:c r="I96" s="3"/>
      <x:c r="J96" s="10" t="n">
        <x:v>45947</x:v>
      </x:c>
      <x:c r="K96" s="8" t="n">
        <x:f>INDEX('Сводка'!$S$3:$S$397,U96)</x:f>
        <x:v>79</x:v>
      </x:c>
      <x:c r="L96" s="8" t="n">
        <x:f>INDEX('Сводка'!$S$3:$S$397,V96)</x:f>
        <x:v>89</x:v>
      </x:c>
      <x:c r="M96" s="8" t="n">
        <x:f>INDEX($K$388:$N$400,W96,1)*((J96-$T$405+1)/1000)^INDEX($K$388:$N$400,W96,2)+INDEX($O$388:$Z$400,W96,MONTH(J96))</x:f>
        <x:v>167.94254393698188</x:v>
      </x:c>
      <x:c r="N96" s="8" t="n">
        <x:f>K96-M96</x:f>
        <x:v>-88.94254393698188</x:v>
      </x:c>
      <x:c r="O96" s="8" t="n">
        <x:f>ABS(N96)</x:f>
        <x:v>88.94254393698188</x:v>
      </x:c>
      <x:c r="P96" s="8" t="n">
        <x:f>N96^2</x:f>
        <x:v>7910.776121981952</x:v>
      </x:c>
      <x:c r="Q96" s="8" t="n">
        <x:f>K96-L96</x:f>
        <x:v>-10</x:v>
      </x:c>
      <x:c r="R96" s="9" t="n">
        <x:f>IF(AND(INDEX('Сводка'!$T$3:$T$397,U96)=0,INDEX('Сводка'!$T$3:$T$397,V96)=0),1,0)</x:f>
        <x:v>1</x:v>
      </x:c>
      <x:c r="S96" s="9" t="n">
        <x:f>IF(AND(R96=1,O96&lt;=$G$13),1,0)</x:f>
        <x:v>0</x:v>
      </x:c>
      <x:c r="T96" s="10" t="n">
        <x:f>EOMONTH(J96-'Сводка'!$B$11,-1)</x:f>
        <x:v>45930</x:v>
      </x:c>
      <x:c r="U96" s="4" t="n">
        <x:f>MATCH(J96,'Сводка'!$R$3:$R$397,0)</x:f>
        <x:v>107</x:v>
      </x:c>
      <x:c r="V96" s="4" t="n">
        <x:f>MATCH(J96-'Сводка'!$B$11,'Сводка'!$R$3:$R$397,0)</x:f>
        <x:v>106</x:v>
      </x:c>
      <x:c r="W96" s="4" t="n">
        <x:f>MATCH(T96,$J$388:$J$400,0)</x:f>
        <x:v>4</x:v>
      </x:c>
      <x:c r="X96" s="3"/>
      <x:c r="Y96" s="3"/>
      <x:c r="Z96" s="3"/>
    </x:row>
    <x:row r="97" ht="15" customHeight="1">
      <x:c r="A97" s="7" t="str">
        <x:f>IF(79&lt;='Сводка'!$B$3,'Сводка'!$B$4+79,"")</x:f>
      </x:c>
      <x:c r="B97" s="20" t="str">
        <x:f>IF($A97="","",(A97-$T$405+1)/1000)</x:f>
      </x:c>
      <x:c r="C97" s="20" t="str">
        <x:f>IF($A97="","",2*(A97-$T$405)/$T$406-1)</x:f>
      </x:c>
      <x:c r="D97" s="3" t="str">
        <x:f>IF($A97="","",$B$4*B97^$B$5+INDEX($E$4:$E$15,MONTH(A97)))</x:f>
      </x:c>
      <x:c r="E97" s="3" t="str">
        <x:f>IF($A97="","",SQRT($T$403^2+H97^2))</x:f>
      </x:c>
      <x:c r="F97" s="3" t="str">
        <x:f>IF($A97="","",D97-$T$404*E97)</x:f>
      </x:c>
      <x:c r="G97" s="3" t="str">
        <x:f>IF($A97="","",D97+$T$404*E97)</x:f>
      </x:c>
      <x:c r="H97" s="3" t="str">
        <x:f>IF($A97="","",SQRT(MAX(0,(B97^$B$5)*$S$409*(B97^$B$5)+(B97^$B$5)*$T$409*($B$4*B97^$B$5*LN(B97))+($B$4*B97^$B$5*LN(B97))*$S$410*(B97^$B$5)+($B$4*B97^$B$5*LN(B97))*$T$410*($B$4*B97^$B$5*LN(B97))+2*((B97^$B$5)*INDEX($S$416:$V$427,MONTH(A97),1)+($B$4*B97^$B$5*LN(B97))*INDEX($S$416:$V$427,MONTH(A97),2))+INDEX($W$416:$W$427,MONTH(A97)))))</x:f>
      </x:c>
      <x:c r="I97" s="3"/>
      <x:c r="J97" s="10" t="n">
        <x:v>45948</x:v>
      </x:c>
      <x:c r="K97" s="8" t="n">
        <x:f>INDEX('Сводка'!$S$3:$S$397,U97)</x:f>
        <x:v>66</x:v>
      </x:c>
      <x:c r="L97" s="8" t="n">
        <x:f>INDEX('Сводка'!$S$3:$S$397,V97)</x:f>
        <x:v>79</x:v>
      </x:c>
      <x:c r="M97" s="8" t="n">
        <x:f>INDEX($K$388:$N$400,W97,1)*((J97-$T$405+1)/1000)^INDEX($K$388:$N$400,W97,2)+INDEX($O$388:$Z$400,W97,MONTH(J97))</x:f>
        <x:v>167.96109049260525</x:v>
      </x:c>
      <x:c r="N97" s="8" t="n">
        <x:f>K97-M97</x:f>
        <x:v>-101.96109049260525</x:v>
      </x:c>
      <x:c r="O97" s="8" t="n">
        <x:f>ABS(N97)</x:f>
        <x:v>101.96109049260525</x:v>
      </x:c>
      <x:c r="P97" s="8" t="n">
        <x:f>N97^2</x:f>
        <x:v>10396.063974441236</x:v>
      </x:c>
      <x:c r="Q97" s="8" t="n">
        <x:f>K97-L97</x:f>
        <x:v>-13</x:v>
      </x:c>
      <x:c r="R97" s="9" t="n">
        <x:f>IF(AND(INDEX('Сводка'!$T$3:$T$397,U97)=0,INDEX('Сводка'!$T$3:$T$397,V97)=0),1,0)</x:f>
        <x:v>1</x:v>
      </x:c>
      <x:c r="S97" s="9" t="n">
        <x:f>IF(AND(R97=1,O97&lt;=$G$13),1,0)</x:f>
        <x:v>0</x:v>
      </x:c>
      <x:c r="T97" s="10" t="n">
        <x:f>EOMONTH(J97-'Сводка'!$B$11,-1)</x:f>
        <x:v>45930</x:v>
      </x:c>
      <x:c r="U97" s="4" t="n">
        <x:f>MATCH(J97,'Сводка'!$R$3:$R$397,0)</x:f>
        <x:v>108</x:v>
      </x:c>
      <x:c r="V97" s="4" t="n">
        <x:f>MATCH(J97-'Сводка'!$B$11,'Сводка'!$R$3:$R$397,0)</x:f>
        <x:v>107</x:v>
      </x:c>
      <x:c r="W97" s="4" t="n">
        <x:f>MATCH(T97,$J$388:$J$400,0)</x:f>
        <x:v>4</x:v>
      </x:c>
      <x:c r="X97" s="3"/>
      <x:c r="Y97" s="3"/>
      <x:c r="Z97" s="3"/>
    </x:row>
    <x:row r="98" ht="15" customHeight="1">
      <x:c r="A98" s="7" t="str">
        <x:f>IF(80&lt;='Сводка'!$B$3,'Сводка'!$B$4+80,"")</x:f>
      </x:c>
      <x:c r="B98" s="20" t="str">
        <x:f>IF($A98="","",(A98-$T$405+1)/1000)</x:f>
      </x:c>
      <x:c r="C98" s="20" t="str">
        <x:f>IF($A98="","",2*(A98-$T$405)/$T$406-1)</x:f>
      </x:c>
      <x:c r="D98" s="3" t="str">
        <x:f>IF($A98="","",$B$4*B98^$B$5+INDEX($E$4:$E$15,MONTH(A98)))</x:f>
      </x:c>
      <x:c r="E98" s="3" t="str">
        <x:f>IF($A98="","",SQRT($T$403^2+H98^2))</x:f>
      </x:c>
      <x:c r="F98" s="3" t="str">
        <x:f>IF($A98="","",D98-$T$404*E98)</x:f>
      </x:c>
      <x:c r="G98" s="3" t="str">
        <x:f>IF($A98="","",D98+$T$404*E98)</x:f>
      </x:c>
      <x:c r="H98" s="3" t="str">
        <x:f>IF($A98="","",SQRT(MAX(0,(B98^$B$5)*$S$409*(B98^$B$5)+(B98^$B$5)*$T$409*($B$4*B98^$B$5*LN(B98))+($B$4*B98^$B$5*LN(B98))*$S$410*(B98^$B$5)+($B$4*B98^$B$5*LN(B98))*$T$410*($B$4*B98^$B$5*LN(B98))+2*((B98^$B$5)*INDEX($S$416:$V$427,MONTH(A98),1)+($B$4*B98^$B$5*LN(B98))*INDEX($S$416:$V$427,MONTH(A98),2))+INDEX($W$416:$W$427,MONTH(A98)))))</x:f>
      </x:c>
      <x:c r="I98" s="3"/>
      <x:c r="J98" s="10" t="n">
        <x:v>45949</x:v>
      </x:c>
      <x:c r="K98" s="8" t="n">
        <x:f>INDEX('Сводка'!$S$3:$S$397,U98)</x:f>
        <x:v>56</x:v>
      </x:c>
      <x:c r="L98" s="8" t="n">
        <x:f>INDEX('Сводка'!$S$3:$S$397,V98)</x:f>
        <x:v>66</x:v>
      </x:c>
      <x:c r="M98" s="8" t="n">
        <x:f>INDEX($K$388:$N$400,W98,1)*((J98-$T$405+1)/1000)^INDEX($K$388:$N$400,W98,2)+INDEX($O$388:$Z$400,W98,MONTH(J98))</x:f>
        <x:v>167.97963724364925</x:v>
      </x:c>
      <x:c r="N98" s="8" t="n">
        <x:f>K98-M98</x:f>
        <x:v>-111.97963724364925</x:v>
      </x:c>
      <x:c r="O98" s="8" t="n">
        <x:f>ABS(N98)</x:f>
        <x:v>111.97963724364925</x:v>
      </x:c>
      <x:c r="P98" s="8" t="n">
        <x:f>N98^2</x:f>
        <x:v>12539.439157219278</x:v>
      </x:c>
      <x:c r="Q98" s="8" t="n">
        <x:f>K98-L98</x:f>
        <x:v>-10</x:v>
      </x:c>
      <x:c r="R98" s="9" t="n">
        <x:f>IF(AND(INDEX('Сводка'!$T$3:$T$397,U98)=0,INDEX('Сводка'!$T$3:$T$397,V98)=0),1,0)</x:f>
        <x:v>1</x:v>
      </x:c>
      <x:c r="S98" s="9" t="n">
        <x:f>IF(AND(R98=1,O98&lt;=$G$13),1,0)</x:f>
        <x:v>0</x:v>
      </x:c>
      <x:c r="T98" s="10" t="n">
        <x:f>EOMONTH(J98-'Сводка'!$B$11,-1)</x:f>
        <x:v>45930</x:v>
      </x:c>
      <x:c r="U98" s="4" t="n">
        <x:f>MATCH(J98,'Сводка'!$R$3:$R$397,0)</x:f>
        <x:v>109</x:v>
      </x:c>
      <x:c r="V98" s="4" t="n">
        <x:f>MATCH(J98-'Сводка'!$B$11,'Сводка'!$R$3:$R$397,0)</x:f>
        <x:v>108</x:v>
      </x:c>
      <x:c r="W98" s="4" t="n">
        <x:f>MATCH(T98,$J$388:$J$400,0)</x:f>
        <x:v>4</x:v>
      </x:c>
      <x:c r="X98" s="3"/>
      <x:c r="Y98" s="3"/>
      <x:c r="Z98" s="3"/>
    </x:row>
    <x:row r="99" ht="15" customHeight="1">
      <x:c r="A99" s="7" t="str">
        <x:f>IF(81&lt;='Сводка'!$B$3,'Сводка'!$B$4+81,"")</x:f>
      </x:c>
      <x:c r="B99" s="20" t="str">
        <x:f>IF($A99="","",(A99-$T$405+1)/1000)</x:f>
      </x:c>
      <x:c r="C99" s="20" t="str">
        <x:f>IF($A99="","",2*(A99-$T$405)/$T$406-1)</x:f>
      </x:c>
      <x:c r="D99" s="3" t="str">
        <x:f>IF($A99="","",$B$4*B99^$B$5+INDEX($E$4:$E$15,MONTH(A99)))</x:f>
      </x:c>
      <x:c r="E99" s="3" t="str">
        <x:f>IF($A99="","",SQRT($T$403^2+H99^2))</x:f>
      </x:c>
      <x:c r="F99" s="3" t="str">
        <x:f>IF($A99="","",D99-$T$404*E99)</x:f>
      </x:c>
      <x:c r="G99" s="3" t="str">
        <x:f>IF($A99="","",D99+$T$404*E99)</x:f>
      </x:c>
      <x:c r="H99" s="3" t="str">
        <x:f>IF($A99="","",SQRT(MAX(0,(B99^$B$5)*$S$409*(B99^$B$5)+(B99^$B$5)*$T$409*($B$4*B99^$B$5*LN(B99))+($B$4*B99^$B$5*LN(B99))*$S$410*(B99^$B$5)+($B$4*B99^$B$5*LN(B99))*$T$410*($B$4*B99^$B$5*LN(B99))+2*((B99^$B$5)*INDEX($S$416:$V$427,MONTH(A99),1)+($B$4*B99^$B$5*LN(B99))*INDEX($S$416:$V$427,MONTH(A99),2))+INDEX($W$416:$W$427,MONTH(A99)))))</x:f>
      </x:c>
      <x:c r="I99" s="3"/>
      <x:c r="J99" s="10" t="n">
        <x:v>45950</x:v>
      </x:c>
      <x:c r="K99" s="8" t="n">
        <x:f>INDEX('Сводка'!$S$3:$S$397,U99)</x:f>
        <x:v>46</x:v>
      </x:c>
      <x:c r="L99" s="8" t="n">
        <x:f>INDEX('Сводка'!$S$3:$S$397,V99)</x:f>
        <x:v>56</x:v>
      </x:c>
      <x:c r="M99" s="8" t="n">
        <x:f>INDEX($K$388:$N$400,W99,1)*((J99-$T$405+1)/1000)^INDEX($K$388:$N$400,W99,2)+INDEX($O$388:$Z$400,W99,MONTH(J99))</x:f>
        <x:v>167.99818419009353</x:v>
      </x:c>
      <x:c r="N99" s="8" t="n">
        <x:f>K99-M99</x:f>
        <x:v>-121.99818419009353</x:v>
      </x:c>
      <x:c r="O99" s="8" t="n">
        <x:f>ABS(N99)</x:f>
        <x:v>121.99818419009353</x:v>
      </x:c>
      <x:c r="P99" s="8" t="n">
        <x:f>N99^2</x:f>
        <x:v>14883.556945679986</x:v>
      </x:c>
      <x:c r="Q99" s="8" t="n">
        <x:f>K99-L99</x:f>
        <x:v>-10</x:v>
      </x:c>
      <x:c r="R99" s="9" t="n">
        <x:f>IF(AND(INDEX('Сводка'!$T$3:$T$397,U99)=0,INDEX('Сводка'!$T$3:$T$397,V99)=0),1,0)</x:f>
        <x:v>1</x:v>
      </x:c>
      <x:c r="S99" s="9" t="n">
        <x:f>IF(AND(R99=1,O99&lt;=$G$13),1,0)</x:f>
        <x:v>0</x:v>
      </x:c>
      <x:c r="T99" s="10" t="n">
        <x:f>EOMONTH(J99-'Сводка'!$B$11,-1)</x:f>
        <x:v>45930</x:v>
      </x:c>
      <x:c r="U99" s="4" t="n">
        <x:f>MATCH(J99,'Сводка'!$R$3:$R$397,0)</x:f>
        <x:v>110</x:v>
      </x:c>
      <x:c r="V99" s="4" t="n">
        <x:f>MATCH(J99-'Сводка'!$B$11,'Сводка'!$R$3:$R$397,0)</x:f>
        <x:v>109</x:v>
      </x:c>
      <x:c r="W99" s="4" t="n">
        <x:f>MATCH(T99,$J$388:$J$400,0)</x:f>
        <x:v>4</x:v>
      </x:c>
      <x:c r="X99" s="3"/>
      <x:c r="Y99" s="3"/>
      <x:c r="Z99" s="3"/>
    </x:row>
    <x:row r="100" ht="15" customHeight="1">
      <x:c r="A100" s="7" t="str">
        <x:f>IF(82&lt;='Сводка'!$B$3,'Сводка'!$B$4+82,"")</x:f>
      </x:c>
      <x:c r="B100" s="20" t="str">
        <x:f>IF($A100="","",(A100-$T$405+1)/1000)</x:f>
      </x:c>
      <x:c r="C100" s="20" t="str">
        <x:f>IF($A100="","",2*(A100-$T$405)/$T$406-1)</x:f>
      </x:c>
      <x:c r="D100" s="3" t="str">
        <x:f>IF($A100="","",$B$4*B100^$B$5+INDEX($E$4:$E$15,MONTH(A100)))</x:f>
      </x:c>
      <x:c r="E100" s="3" t="str">
        <x:f>IF($A100="","",SQRT($T$403^2+H100^2))</x:f>
      </x:c>
      <x:c r="F100" s="3" t="str">
        <x:f>IF($A100="","",D100-$T$404*E100)</x:f>
      </x:c>
      <x:c r="G100" s="3" t="str">
        <x:f>IF($A100="","",D100+$T$404*E100)</x:f>
      </x:c>
      <x:c r="H100" s="3" t="str">
        <x:f>IF($A100="","",SQRT(MAX(0,(B100^$B$5)*$S$409*(B100^$B$5)+(B100^$B$5)*$T$409*($B$4*B100^$B$5*LN(B100))+($B$4*B100^$B$5*LN(B100))*$S$410*(B100^$B$5)+($B$4*B100^$B$5*LN(B100))*$T$410*($B$4*B100^$B$5*LN(B100))+2*((B100^$B$5)*INDEX($S$416:$V$427,MONTH(A100),1)+($B$4*B100^$B$5*LN(B100))*INDEX($S$416:$V$427,MONTH(A100),2))+INDEX($W$416:$W$427,MONTH(A100)))))</x:f>
      </x:c>
      <x:c r="I100" s="3"/>
      <x:c r="J100" s="10" t="n">
        <x:v>45951</x:v>
      </x:c>
      <x:c r="K100" s="8" t="n">
        <x:f>INDEX('Сводка'!$S$3:$S$397,U100)</x:f>
        <x:v>36</x:v>
      </x:c>
      <x:c r="L100" s="8" t="n">
        <x:f>INDEX('Сводка'!$S$3:$S$397,V100)</x:f>
        <x:v>46</x:v>
      </x:c>
      <x:c r="M100" s="8" t="n">
        <x:f>INDEX($K$388:$N$400,W100,1)*((J100-$T$405+1)/1000)^INDEX($K$388:$N$400,W100,2)+INDEX($O$388:$Z$400,W100,MONTH(J100))</x:f>
        <x:v>168.01673133191755</x:v>
      </x:c>
      <x:c r="N100" s="8" t="n">
        <x:f>K100-M100</x:f>
        <x:v>-132.01673133191755</x:v>
      </x:c>
      <x:c r="O100" s="8" t="n">
        <x:f>ABS(N100)</x:f>
        <x:v>132.01673133191755</x:v>
      </x:c>
      <x:c r="P100" s="8" t="n">
        <x:f>N100^2</x:f>
        <x:v>17428.4173515637</x:v>
      </x:c>
      <x:c r="Q100" s="8" t="n">
        <x:f>K100-L100</x:f>
        <x:v>-10</x:v>
      </x:c>
      <x:c r="R100" s="9" t="n">
        <x:f>IF(AND(INDEX('Сводка'!$T$3:$T$397,U100)=0,INDEX('Сводка'!$T$3:$T$397,V100)=0),1,0)</x:f>
        <x:v>1</x:v>
      </x:c>
      <x:c r="S100" s="9" t="n">
        <x:f>IF(AND(R100=1,O100&lt;=$G$13),1,0)</x:f>
        <x:v>0</x:v>
      </x:c>
      <x:c r="T100" s="10" t="n">
        <x:f>EOMONTH(J100-'Сводка'!$B$11,-1)</x:f>
        <x:v>45930</x:v>
      </x:c>
      <x:c r="U100" s="4" t="n">
        <x:f>MATCH(J100,'Сводка'!$R$3:$R$397,0)</x:f>
        <x:v>111</x:v>
      </x:c>
      <x:c r="V100" s="4" t="n">
        <x:f>MATCH(J100-'Сводка'!$B$11,'Сводка'!$R$3:$R$397,0)</x:f>
        <x:v>110</x:v>
      </x:c>
      <x:c r="W100" s="4" t="n">
        <x:f>MATCH(T100,$J$388:$J$400,0)</x:f>
        <x:v>4</x:v>
      </x:c>
      <x:c r="X100" s="3"/>
      <x:c r="Y100" s="3"/>
      <x:c r="Z100" s="3"/>
    </x:row>
    <x:row r="101" ht="15" customHeight="1">
      <x:c r="A101" s="7" t="str">
        <x:f>IF(83&lt;='Сводка'!$B$3,'Сводка'!$B$4+83,"")</x:f>
      </x:c>
      <x:c r="B101" s="20" t="str">
        <x:f>IF($A101="","",(A101-$T$405+1)/1000)</x:f>
      </x:c>
      <x:c r="C101" s="20" t="str">
        <x:f>IF($A101="","",2*(A101-$T$405)/$T$406-1)</x:f>
      </x:c>
      <x:c r="D101" s="3" t="str">
        <x:f>IF($A101="","",$B$4*B101^$B$5+INDEX($E$4:$E$15,MONTH(A101)))</x:f>
      </x:c>
      <x:c r="E101" s="3" t="str">
        <x:f>IF($A101="","",SQRT($T$403^2+H101^2))</x:f>
      </x:c>
      <x:c r="F101" s="3" t="str">
        <x:f>IF($A101="","",D101-$T$404*E101)</x:f>
      </x:c>
      <x:c r="G101" s="3" t="str">
        <x:f>IF($A101="","",D101+$T$404*E101)</x:f>
      </x:c>
      <x:c r="H101" s="3" t="str">
        <x:f>IF($A101="","",SQRT(MAX(0,(B101^$B$5)*$S$409*(B101^$B$5)+(B101^$B$5)*$T$409*($B$4*B101^$B$5*LN(B101))+($B$4*B101^$B$5*LN(B101))*$S$410*(B101^$B$5)+($B$4*B101^$B$5*LN(B101))*$T$410*($B$4*B101^$B$5*LN(B101))+2*((B101^$B$5)*INDEX($S$416:$V$427,MONTH(A101),1)+($B$4*B101^$B$5*LN(B101))*INDEX($S$416:$V$427,MONTH(A101),2))+INDEX($W$416:$W$427,MONTH(A101)))))</x:f>
      </x:c>
      <x:c r="I101" s="3"/>
      <x:c r="J101" s="10" t="n">
        <x:v>45952</x:v>
      </x:c>
      <x:c r="K101" s="8" t="n">
        <x:f>INDEX('Сводка'!$S$3:$S$397,U101)</x:f>
        <x:v>30</x:v>
      </x:c>
      <x:c r="L101" s="8" t="n">
        <x:f>INDEX('Сводка'!$S$3:$S$397,V101)</x:f>
        <x:v>36</x:v>
      </x:c>
      <x:c r="M101" s="8" t="n">
        <x:f>INDEX($K$388:$N$400,W101,1)*((J101-$T$405+1)/1000)^INDEX($K$388:$N$400,W101,2)+INDEX($O$388:$Z$400,W101,MONTH(J101))</x:f>
        <x:v>168.03527866910102</x:v>
      </x:c>
      <x:c r="N101" s="8" t="n">
        <x:f>K101-M101</x:f>
        <x:v>-138.03527866910102</x:v>
      </x:c>
      <x:c r="O101" s="8" t="n">
        <x:f>ABS(N101)</x:f>
        <x:v>138.03527866910102</x:v>
      </x:c>
      <x:c r="P101" s="8" t="n">
        <x:f>N101^2</x:f>
        <x:v>19053.738157256375</x:v>
      </x:c>
      <x:c r="Q101" s="8" t="n">
        <x:f>K101-L101</x:f>
        <x:v>-6</x:v>
      </x:c>
      <x:c r="R101" s="9" t="n">
        <x:f>IF(AND(INDEX('Сводка'!$T$3:$T$397,U101)=0,INDEX('Сводка'!$T$3:$T$397,V101)=0),1,0)</x:f>
        <x:v>1</x:v>
      </x:c>
      <x:c r="S101" s="9" t="n">
        <x:f>IF(AND(R101=1,O101&lt;=$G$13),1,0)</x:f>
        <x:v>0</x:v>
      </x:c>
      <x:c r="T101" s="10" t="n">
        <x:f>EOMONTH(J101-'Сводка'!$B$11,-1)</x:f>
        <x:v>45930</x:v>
      </x:c>
      <x:c r="U101" s="4" t="n">
        <x:f>MATCH(J101,'Сводка'!$R$3:$R$397,0)</x:f>
        <x:v>112</x:v>
      </x:c>
      <x:c r="V101" s="4" t="n">
        <x:f>MATCH(J101-'Сводка'!$B$11,'Сводка'!$R$3:$R$397,0)</x:f>
        <x:v>111</x:v>
      </x:c>
      <x:c r="W101" s="4" t="n">
        <x:f>MATCH(T101,$J$388:$J$400,0)</x:f>
        <x:v>4</x:v>
      </x:c>
      <x:c r="X101" s="3"/>
      <x:c r="Y101" s="3"/>
      <x:c r="Z101" s="3"/>
    </x:row>
    <x:row r="102" ht="15" customHeight="1">
      <x:c r="A102" s="7" t="str">
        <x:f>IF(84&lt;='Сводка'!$B$3,'Сводка'!$B$4+84,"")</x:f>
      </x:c>
      <x:c r="B102" s="20" t="str">
        <x:f>IF($A102="","",(A102-$T$405+1)/1000)</x:f>
      </x:c>
      <x:c r="C102" s="20" t="str">
        <x:f>IF($A102="","",2*(A102-$T$405)/$T$406-1)</x:f>
      </x:c>
      <x:c r="D102" s="3" t="str">
        <x:f>IF($A102="","",$B$4*B102^$B$5+INDEX($E$4:$E$15,MONTH(A102)))</x:f>
      </x:c>
      <x:c r="E102" s="3" t="str">
        <x:f>IF($A102="","",SQRT($T$403^2+H102^2))</x:f>
      </x:c>
      <x:c r="F102" s="3" t="str">
        <x:f>IF($A102="","",D102-$T$404*E102)</x:f>
      </x:c>
      <x:c r="G102" s="3" t="str">
        <x:f>IF($A102="","",D102+$T$404*E102)</x:f>
      </x:c>
      <x:c r="H102" s="3" t="str">
        <x:f>IF($A102="","",SQRT(MAX(0,(B102^$B$5)*$S$409*(B102^$B$5)+(B102^$B$5)*$T$409*($B$4*B102^$B$5*LN(B102))+($B$4*B102^$B$5*LN(B102))*$S$410*(B102^$B$5)+($B$4*B102^$B$5*LN(B102))*$T$410*($B$4*B102^$B$5*LN(B102))+2*((B102^$B$5)*INDEX($S$416:$V$427,MONTH(A102),1)+($B$4*B102^$B$5*LN(B102))*INDEX($S$416:$V$427,MONTH(A102),2))+INDEX($W$416:$W$427,MONTH(A102)))))</x:f>
      </x:c>
      <x:c r="I102" s="3"/>
      <x:c r="J102" s="10" t="n">
        <x:v>45953</x:v>
      </x:c>
      <x:c r="K102" s="8" t="n">
        <x:f>INDEX('Сводка'!$S$3:$S$397,U102)</x:f>
        <x:v>19</x:v>
      </x:c>
      <x:c r="L102" s="8" t="n">
        <x:f>INDEX('Сводка'!$S$3:$S$397,V102)</x:f>
        <x:v>30</x:v>
      </x:c>
      <x:c r="M102" s="8" t="n">
        <x:f>INDEX($K$388:$N$400,W102,1)*((J102-$T$405+1)/1000)^INDEX($K$388:$N$400,W102,2)+INDEX($O$388:$Z$400,W102,MONTH(J102))</x:f>
        <x:v>168.05382620162345</x:v>
      </x:c>
      <x:c r="N102" s="8" t="n">
        <x:f>K102-M102</x:f>
        <x:v>-149.05382620162345</x:v>
      </x:c>
      <x:c r="O102" s="8" t="n">
        <x:f>ABS(N102)</x:f>
        <x:v>149.05382620162345</x:v>
      </x:c>
      <x:c r="P102" s="8" t="n">
        <x:f>N102^2</x:f>
        <x:v>22217.04310534377</x:v>
      </x:c>
      <x:c r="Q102" s="8" t="n">
        <x:f>K102-L102</x:f>
        <x:v>-11</x:v>
      </x:c>
      <x:c r="R102" s="9" t="n">
        <x:f>IF(AND(INDEX('Сводка'!$T$3:$T$397,U102)=0,INDEX('Сводка'!$T$3:$T$397,V102)=0),1,0)</x:f>
        <x:v>1</x:v>
      </x:c>
      <x:c r="S102" s="9" t="n">
        <x:f>IF(AND(R102=1,O102&lt;=$G$13),1,0)</x:f>
        <x:v>0</x:v>
      </x:c>
      <x:c r="T102" s="10" t="n">
        <x:f>EOMONTH(J102-'Сводка'!$B$11,-1)</x:f>
        <x:v>45930</x:v>
      </x:c>
      <x:c r="U102" s="4" t="n">
        <x:f>MATCH(J102,'Сводка'!$R$3:$R$397,0)</x:f>
        <x:v>113</x:v>
      </x:c>
      <x:c r="V102" s="4" t="n">
        <x:f>MATCH(J102-'Сводка'!$B$11,'Сводка'!$R$3:$R$397,0)</x:f>
        <x:v>112</x:v>
      </x:c>
      <x:c r="W102" s="4" t="n">
        <x:f>MATCH(T102,$J$388:$J$400,0)</x:f>
        <x:v>4</x:v>
      </x:c>
      <x:c r="X102" s="3"/>
      <x:c r="Y102" s="3"/>
      <x:c r="Z102" s="3"/>
    </x:row>
    <x:row r="103" ht="15" customHeight="1">
      <x:c r="A103" s="7" t="str">
        <x:f>IF(85&lt;='Сводка'!$B$3,'Сводка'!$B$4+85,"")</x:f>
      </x:c>
      <x:c r="B103" s="20" t="str">
        <x:f>IF($A103="","",(A103-$T$405+1)/1000)</x:f>
      </x:c>
      <x:c r="C103" s="20" t="str">
        <x:f>IF($A103="","",2*(A103-$T$405)/$T$406-1)</x:f>
      </x:c>
      <x:c r="D103" s="3" t="str">
        <x:f>IF($A103="","",$B$4*B103^$B$5+INDEX($E$4:$E$15,MONTH(A103)))</x:f>
      </x:c>
      <x:c r="E103" s="3" t="str">
        <x:f>IF($A103="","",SQRT($T$403^2+H103^2))</x:f>
      </x:c>
      <x:c r="F103" s="3" t="str">
        <x:f>IF($A103="","",D103-$T$404*E103)</x:f>
      </x:c>
      <x:c r="G103" s="3" t="str">
        <x:f>IF($A103="","",D103+$T$404*E103)</x:f>
      </x:c>
      <x:c r="H103" s="3" t="str">
        <x:f>IF($A103="","",SQRT(MAX(0,(B103^$B$5)*$S$409*(B103^$B$5)+(B103^$B$5)*$T$409*($B$4*B103^$B$5*LN(B103))+($B$4*B103^$B$5*LN(B103))*$S$410*(B103^$B$5)+($B$4*B103^$B$5*LN(B103))*$T$410*($B$4*B103^$B$5*LN(B103))+2*((B103^$B$5)*INDEX($S$416:$V$427,MONTH(A103),1)+($B$4*B103^$B$5*LN(B103))*INDEX($S$416:$V$427,MONTH(A103),2))+INDEX($W$416:$W$427,MONTH(A103)))))</x:f>
      </x:c>
      <x:c r="I103" s="3"/>
      <x:c r="J103" s="10" t="n">
        <x:v>45954</x:v>
      </x:c>
      <x:c r="K103" s="8" t="n">
        <x:f>INDEX('Сводка'!$S$3:$S$397,U103)</x:f>
        <x:v>12</x:v>
      </x:c>
      <x:c r="L103" s="8" t="n">
        <x:f>INDEX('Сводка'!$S$3:$S$397,V103)</x:f>
        <x:v>19</x:v>
      </x:c>
      <x:c r="M103" s="8" t="n">
        <x:f>INDEX($K$388:$N$400,W103,1)*((J103-$T$405+1)/1000)^INDEX($K$388:$N$400,W103,2)+INDEX($O$388:$Z$400,W103,MONTH(J103))</x:f>
        <x:v>168.0723739294645</x:v>
      </x:c>
      <x:c r="N103" s="8" t="n">
        <x:f>K103-M103</x:f>
        <x:v>-156.0723739294645</x:v>
      </x:c>
      <x:c r="O103" s="8" t="n">
        <x:f>ABS(N103)</x:f>
        <x:v>156.0723739294645</x:v>
      </x:c>
      <x:c r="P103" s="8" t="n">
        <x:f>N103^2</x:f>
        <x:v>24358.58590397859</x:v>
      </x:c>
      <x:c r="Q103" s="8" t="n">
        <x:f>K103-L103</x:f>
        <x:v>-7</x:v>
      </x:c>
      <x:c r="R103" s="9" t="n">
        <x:f>IF(AND(INDEX('Сводка'!$T$3:$T$397,U103)=0,INDEX('Сводка'!$T$3:$T$397,V103)=0),1,0)</x:f>
        <x:v>1</x:v>
      </x:c>
      <x:c r="S103" s="9" t="n">
        <x:f>IF(AND(R103=1,O103&lt;=$G$13),1,0)</x:f>
        <x:v>0</x:v>
      </x:c>
      <x:c r="T103" s="10" t="n">
        <x:f>EOMONTH(J103-'Сводка'!$B$11,-1)</x:f>
        <x:v>45930</x:v>
      </x:c>
      <x:c r="U103" s="4" t="n">
        <x:f>MATCH(J103,'Сводка'!$R$3:$R$397,0)</x:f>
        <x:v>114</x:v>
      </x:c>
      <x:c r="V103" s="4" t="n">
        <x:f>MATCH(J103-'Сводка'!$B$11,'Сводка'!$R$3:$R$397,0)</x:f>
        <x:v>113</x:v>
      </x:c>
      <x:c r="W103" s="4" t="n">
        <x:f>MATCH(T103,$J$388:$J$400,0)</x:f>
        <x:v>4</x:v>
      </x:c>
      <x:c r="X103" s="3"/>
      <x:c r="Y103" s="3"/>
      <x:c r="Z103" s="3"/>
    </x:row>
    <x:row r="104" ht="15" customHeight="1">
      <x:c r="A104" s="7" t="str">
        <x:f>IF(86&lt;='Сводка'!$B$3,'Сводка'!$B$4+86,"")</x:f>
      </x:c>
      <x:c r="B104" s="20" t="str">
        <x:f>IF($A104="","",(A104-$T$405+1)/1000)</x:f>
      </x:c>
      <x:c r="C104" s="20" t="str">
        <x:f>IF($A104="","",2*(A104-$T$405)/$T$406-1)</x:f>
      </x:c>
      <x:c r="D104" s="3" t="str">
        <x:f>IF($A104="","",$B$4*B104^$B$5+INDEX($E$4:$E$15,MONTH(A104)))</x:f>
      </x:c>
      <x:c r="E104" s="3" t="str">
        <x:f>IF($A104="","",SQRT($T$403^2+H104^2))</x:f>
      </x:c>
      <x:c r="F104" s="3" t="str">
        <x:f>IF($A104="","",D104-$T$404*E104)</x:f>
      </x:c>
      <x:c r="G104" s="3" t="str">
        <x:f>IF($A104="","",D104+$T$404*E104)</x:f>
      </x:c>
      <x:c r="H104" s="3" t="str">
        <x:f>IF($A104="","",SQRT(MAX(0,(B104^$B$5)*$S$409*(B104^$B$5)+(B104^$B$5)*$T$409*($B$4*B104^$B$5*LN(B104))+($B$4*B104^$B$5*LN(B104))*$S$410*(B104^$B$5)+($B$4*B104^$B$5*LN(B104))*$T$410*($B$4*B104^$B$5*LN(B104))+2*((B104^$B$5)*INDEX($S$416:$V$427,MONTH(A104),1)+($B$4*B104^$B$5*LN(B104))*INDEX($S$416:$V$427,MONTH(A104),2))+INDEX($W$416:$W$427,MONTH(A104)))))</x:f>
      </x:c>
      <x:c r="I104" s="3"/>
      <x:c r="J104" s="10" t="n">
        <x:v>45955</x:v>
      </x:c>
      <x:c r="K104" s="8" t="n">
        <x:f>INDEX('Сводка'!$S$3:$S$397,U104)</x:f>
        <x:v>5</x:v>
      </x:c>
      <x:c r="L104" s="8" t="n">
        <x:f>INDEX('Сводка'!$S$3:$S$397,V104)</x:f>
        <x:v>12</x:v>
      </x:c>
      <x:c r="M104" s="8" t="n">
        <x:f>INDEX($K$388:$N$400,W104,1)*((J104-$T$405+1)/1000)^INDEX($K$388:$N$400,W104,2)+INDEX($O$388:$Z$400,W104,MONTH(J104))</x:f>
        <x:v>168.0909218526037</x:v>
      </x:c>
      <x:c r="N104" s="8" t="n">
        <x:f>K104-M104</x:f>
        <x:v>-163.0909218526037</x:v>
      </x:c>
      <x:c r="O104" s="8" t="n">
        <x:f>ABS(N104)</x:f>
        <x:v>163.0909218526037</x:v>
      </x:c>
      <x:c r="P104" s="8" t="n">
        <x:f>N104^2</x:f>
        <x:v>26598.64879073209</x:v>
      </x:c>
      <x:c r="Q104" s="8" t="n">
        <x:f>K104-L104</x:f>
        <x:v>-7</x:v>
      </x:c>
      <x:c r="R104" s="9" t="n">
        <x:f>IF(AND(INDEX('Сводка'!$T$3:$T$397,U104)=0,INDEX('Сводка'!$T$3:$T$397,V104)=0),1,0)</x:f>
        <x:v>1</x:v>
      </x:c>
      <x:c r="S104" s="9" t="n">
        <x:f>IF(AND(R104=1,O104&lt;=$G$13),1,0)</x:f>
        <x:v>0</x:v>
      </x:c>
      <x:c r="T104" s="10" t="n">
        <x:f>EOMONTH(J104-'Сводка'!$B$11,-1)</x:f>
        <x:v>45930</x:v>
      </x:c>
      <x:c r="U104" s="4" t="n">
        <x:f>MATCH(J104,'Сводка'!$R$3:$R$397,0)</x:f>
        <x:v>115</x:v>
      </x:c>
      <x:c r="V104" s="4" t="n">
        <x:f>MATCH(J104-'Сводка'!$B$11,'Сводка'!$R$3:$R$397,0)</x:f>
        <x:v>114</x:v>
      </x:c>
      <x:c r="W104" s="4" t="n">
        <x:f>MATCH(T104,$J$388:$J$400,0)</x:f>
        <x:v>4</x:v>
      </x:c>
      <x:c r="X104" s="3"/>
      <x:c r="Y104" s="3"/>
      <x:c r="Z104" s="3"/>
    </x:row>
    <x:row r="105" ht="15" customHeight="1">
      <x:c r="A105" s="7" t="str">
        <x:f>IF(87&lt;='Сводка'!$B$3,'Сводка'!$B$4+87,"")</x:f>
      </x:c>
      <x:c r="B105" s="20" t="str">
        <x:f>IF($A105="","",(A105-$T$405+1)/1000)</x:f>
      </x:c>
      <x:c r="C105" s="20" t="str">
        <x:f>IF($A105="","",2*(A105-$T$405)/$T$406-1)</x:f>
      </x:c>
      <x:c r="D105" s="3" t="str">
        <x:f>IF($A105="","",$B$4*B105^$B$5+INDEX($E$4:$E$15,MONTH(A105)))</x:f>
      </x:c>
      <x:c r="E105" s="3" t="str">
        <x:f>IF($A105="","",SQRT($T$403^2+H105^2))</x:f>
      </x:c>
      <x:c r="F105" s="3" t="str">
        <x:f>IF($A105="","",D105-$T$404*E105)</x:f>
      </x:c>
      <x:c r="G105" s="3" t="str">
        <x:f>IF($A105="","",D105+$T$404*E105)</x:f>
      </x:c>
      <x:c r="H105" s="3" t="str">
        <x:f>IF($A105="","",SQRT(MAX(0,(B105^$B$5)*$S$409*(B105^$B$5)+(B105^$B$5)*$T$409*($B$4*B105^$B$5*LN(B105))+($B$4*B105^$B$5*LN(B105))*$S$410*(B105^$B$5)+($B$4*B105^$B$5*LN(B105))*$T$410*($B$4*B105^$B$5*LN(B105))+2*((B105^$B$5)*INDEX($S$416:$V$427,MONTH(A105),1)+($B$4*B105^$B$5*LN(B105))*INDEX($S$416:$V$427,MONTH(A105),2))+INDEX($W$416:$W$427,MONTH(A105)))))</x:f>
      </x:c>
      <x:c r="I105" s="3"/>
      <x:c r="J105" s="10" t="n">
        <x:v>45956</x:v>
      </x:c>
      <x:c r="K105" s="8" t="n">
        <x:f>INDEX('Сводка'!$S$3:$S$397,U105)</x:f>
        <x:v>-1</x:v>
      </x:c>
      <x:c r="L105" s="8" t="n">
        <x:f>INDEX('Сводка'!$S$3:$S$397,V105)</x:f>
        <x:v>5</x:v>
      </x:c>
      <x:c r="M105" s="8" t="n">
        <x:f>INDEX($K$388:$N$400,W105,1)*((J105-$T$405+1)/1000)^INDEX($K$388:$N$400,W105,2)+INDEX($O$388:$Z$400,W105,MONTH(J105))</x:f>
        <x:v>168.10946997102073</x:v>
      </x:c>
      <x:c r="N105" s="8" t="n">
        <x:f>K105-M105</x:f>
        <x:v>-169.10946997102073</x:v>
      </x:c>
      <x:c r="O105" s="8" t="n">
        <x:f>ABS(N105)</x:f>
        <x:v>169.10946997102073</x:v>
      </x:c>
      <x:c r="P105" s="8" t="n">
        <x:f>N105^2</x:f>
        <x:v>28598.012833879562</x:v>
      </x:c>
      <x:c r="Q105" s="8" t="n">
        <x:f>K105-L105</x:f>
        <x:v>-6</x:v>
      </x:c>
      <x:c r="R105" s="9" t="n">
        <x:f>IF(AND(INDEX('Сводка'!$T$3:$T$397,U105)=0,INDEX('Сводка'!$T$3:$T$397,V105)=0),1,0)</x:f>
        <x:v>1</x:v>
      </x:c>
      <x:c r="S105" s="9" t="n">
        <x:f>IF(AND(R105=1,O105&lt;=$G$13),1,0)</x:f>
        <x:v>0</x:v>
      </x:c>
      <x:c r="T105" s="10" t="n">
        <x:f>EOMONTH(J105-'Сводка'!$B$11,-1)</x:f>
        <x:v>45930</x:v>
      </x:c>
      <x:c r="U105" s="4" t="n">
        <x:f>MATCH(J105,'Сводка'!$R$3:$R$397,0)</x:f>
        <x:v>116</x:v>
      </x:c>
      <x:c r="V105" s="4" t="n">
        <x:f>MATCH(J105-'Сводка'!$B$11,'Сводка'!$R$3:$R$397,0)</x:f>
        <x:v>115</x:v>
      </x:c>
      <x:c r="W105" s="4" t="n">
        <x:f>MATCH(T105,$J$388:$J$400,0)</x:f>
        <x:v>4</x:v>
      </x:c>
      <x:c r="X105" s="3"/>
      <x:c r="Y105" s="3"/>
      <x:c r="Z105" s="3"/>
    </x:row>
    <x:row r="106" ht="15" customHeight="1">
      <x:c r="A106" s="7" t="str">
        <x:f>IF(88&lt;='Сводка'!$B$3,'Сводка'!$B$4+88,"")</x:f>
      </x:c>
      <x:c r="B106" s="20" t="str">
        <x:f>IF($A106="","",(A106-$T$405+1)/1000)</x:f>
      </x:c>
      <x:c r="C106" s="20" t="str">
        <x:f>IF($A106="","",2*(A106-$T$405)/$T$406-1)</x:f>
      </x:c>
      <x:c r="D106" s="3" t="str">
        <x:f>IF($A106="","",$B$4*B106^$B$5+INDEX($E$4:$E$15,MONTH(A106)))</x:f>
      </x:c>
      <x:c r="E106" s="3" t="str">
        <x:f>IF($A106="","",SQRT($T$403^2+H106^2))</x:f>
      </x:c>
      <x:c r="F106" s="3" t="str">
        <x:f>IF($A106="","",D106-$T$404*E106)</x:f>
      </x:c>
      <x:c r="G106" s="3" t="str">
        <x:f>IF($A106="","",D106+$T$404*E106)</x:f>
      </x:c>
      <x:c r="H106" s="3" t="str">
        <x:f>IF($A106="","",SQRT(MAX(0,(B106^$B$5)*$S$409*(B106^$B$5)+(B106^$B$5)*$T$409*($B$4*B106^$B$5*LN(B106))+($B$4*B106^$B$5*LN(B106))*$S$410*(B106^$B$5)+($B$4*B106^$B$5*LN(B106))*$T$410*($B$4*B106^$B$5*LN(B106))+2*((B106^$B$5)*INDEX($S$416:$V$427,MONTH(A106),1)+($B$4*B106^$B$5*LN(B106))*INDEX($S$416:$V$427,MONTH(A106),2))+INDEX($W$416:$W$427,MONTH(A106)))))</x:f>
      </x:c>
      <x:c r="I106" s="3"/>
      <x:c r="J106" s="10" t="n">
        <x:v>45957</x:v>
      </x:c>
      <x:c r="K106" s="8" t="n">
        <x:f>INDEX('Сводка'!$S$3:$S$397,U106)</x:f>
        <x:v>-11</x:v>
      </x:c>
      <x:c r="L106" s="8" t="n">
        <x:f>INDEX('Сводка'!$S$3:$S$397,V106)</x:f>
        <x:v>-1</x:v>
      </x:c>
      <x:c r="M106" s="8" t="n">
        <x:f>INDEX($K$388:$N$400,W106,1)*((J106-$T$405+1)/1000)^INDEX($K$388:$N$400,W106,2)+INDEX($O$388:$Z$400,W106,MONTH(J106))</x:f>
        <x:v>168.12801828469517</x:v>
      </x:c>
      <x:c r="N106" s="8" t="n">
        <x:f>K106-M106</x:f>
        <x:v>-179.12801828469517</x:v>
      </x:c>
      <x:c r="O106" s="8" t="n">
        <x:f>ABS(N106)</x:f>
        <x:v>179.12801828469517</x:v>
      </x:c>
      <x:c r="P106" s="8" t="n">
        <x:f>N106^2</x:f>
        <x:v>32086.846934602087</x:v>
      </x:c>
      <x:c r="Q106" s="8" t="n">
        <x:f>K106-L106</x:f>
        <x:v>-10</x:v>
      </x:c>
      <x:c r="R106" s="9" t="n">
        <x:f>IF(AND(INDEX('Сводка'!$T$3:$T$397,U106)=0,INDEX('Сводка'!$T$3:$T$397,V106)=0),1,0)</x:f>
        <x:v>1</x:v>
      </x:c>
      <x:c r="S106" s="9" t="n">
        <x:f>IF(AND(R106=1,O106&lt;=$G$13),1,0)</x:f>
        <x:v>0</x:v>
      </x:c>
      <x:c r="T106" s="10" t="n">
        <x:f>EOMONTH(J106-'Сводка'!$B$11,-1)</x:f>
        <x:v>45930</x:v>
      </x:c>
      <x:c r="U106" s="4" t="n">
        <x:f>MATCH(J106,'Сводка'!$R$3:$R$397,0)</x:f>
        <x:v>117</x:v>
      </x:c>
      <x:c r="V106" s="4" t="n">
        <x:f>MATCH(J106-'Сводка'!$B$11,'Сводка'!$R$3:$R$397,0)</x:f>
        <x:v>116</x:v>
      </x:c>
      <x:c r="W106" s="4" t="n">
        <x:f>MATCH(T106,$J$388:$J$400,0)</x:f>
        <x:v>4</x:v>
      </x:c>
      <x:c r="X106" s="3"/>
      <x:c r="Y106" s="3"/>
      <x:c r="Z106" s="3"/>
    </x:row>
    <x:row r="107" ht="15" customHeight="1">
      <x:c r="A107" s="7" t="str">
        <x:f>IF(89&lt;='Сводка'!$B$3,'Сводка'!$B$4+89,"")</x:f>
      </x:c>
      <x:c r="B107" s="20" t="str">
        <x:f>IF($A107="","",(A107-$T$405+1)/1000)</x:f>
      </x:c>
      <x:c r="C107" s="20" t="str">
        <x:f>IF($A107="","",2*(A107-$T$405)/$T$406-1)</x:f>
      </x:c>
      <x:c r="D107" s="3" t="str">
        <x:f>IF($A107="","",$B$4*B107^$B$5+INDEX($E$4:$E$15,MONTH(A107)))</x:f>
      </x:c>
      <x:c r="E107" s="3" t="str">
        <x:f>IF($A107="","",SQRT($T$403^2+H107^2))</x:f>
      </x:c>
      <x:c r="F107" s="3" t="str">
        <x:f>IF($A107="","",D107-$T$404*E107)</x:f>
      </x:c>
      <x:c r="G107" s="3" t="str">
        <x:f>IF($A107="","",D107+$T$404*E107)</x:f>
      </x:c>
      <x:c r="H107" s="3" t="str">
        <x:f>IF($A107="","",SQRT(MAX(0,(B107^$B$5)*$S$409*(B107^$B$5)+(B107^$B$5)*$T$409*($B$4*B107^$B$5*LN(B107))+($B$4*B107^$B$5*LN(B107))*$S$410*(B107^$B$5)+($B$4*B107^$B$5*LN(B107))*$T$410*($B$4*B107^$B$5*LN(B107))+2*((B107^$B$5)*INDEX($S$416:$V$427,MONTH(A107),1)+($B$4*B107^$B$5*LN(B107))*INDEX($S$416:$V$427,MONTH(A107),2))+INDEX($W$416:$W$427,MONTH(A107)))))</x:f>
      </x:c>
      <x:c r="I107" s="3"/>
      <x:c r="J107" s="10" t="n">
        <x:v>45958</x:v>
      </x:c>
      <x:c r="K107" s="8" t="n">
        <x:f>INDEX('Сводка'!$S$3:$S$397,U107)</x:f>
        <x:v>-20</x:v>
      </x:c>
      <x:c r="L107" s="8" t="n">
        <x:f>INDEX('Сводка'!$S$3:$S$397,V107)</x:f>
        <x:v>-11</x:v>
      </x:c>
      <x:c r="M107" s="8" t="n">
        <x:f>INDEX($K$388:$N$400,W107,1)*((J107-$T$405+1)/1000)^INDEX($K$388:$N$400,W107,2)+INDEX($O$388:$Z$400,W107,MONTH(J107))</x:f>
        <x:v>168.1465667936066</x:v>
      </x:c>
      <x:c r="N107" s="8" t="n">
        <x:f>K107-M107</x:f>
        <x:v>-188.1465667936066</x:v>
      </x:c>
      <x:c r="O107" s="8" t="n">
        <x:f>ABS(N107)</x:f>
        <x:v>188.1465667936066</x:v>
      </x:c>
      <x:c r="P107" s="8" t="n">
        <x:f>N107^2</x:f>
        <x:v>35399.130596221075</x:v>
      </x:c>
      <x:c r="Q107" s="8" t="n">
        <x:f>K107-L107</x:f>
        <x:v>-9</x:v>
      </x:c>
      <x:c r="R107" s="9" t="n">
        <x:f>IF(AND(INDEX('Сводка'!$T$3:$T$397,U107)=0,INDEX('Сводка'!$T$3:$T$397,V107)=0),1,0)</x:f>
        <x:v>1</x:v>
      </x:c>
      <x:c r="S107" s="9" t="n">
        <x:f>IF(AND(R107=1,O107&lt;=$G$13),1,0)</x:f>
        <x:v>0</x:v>
      </x:c>
      <x:c r="T107" s="10" t="n">
        <x:f>EOMONTH(J107-'Сводка'!$B$11,-1)</x:f>
        <x:v>45930</x:v>
      </x:c>
      <x:c r="U107" s="4" t="n">
        <x:f>MATCH(J107,'Сводка'!$R$3:$R$397,0)</x:f>
        <x:v>118</x:v>
      </x:c>
      <x:c r="V107" s="4" t="n">
        <x:f>MATCH(J107-'Сводка'!$B$11,'Сводка'!$R$3:$R$397,0)</x:f>
        <x:v>117</x:v>
      </x:c>
      <x:c r="W107" s="4" t="n">
        <x:f>MATCH(T107,$J$388:$J$400,0)</x:f>
        <x:v>4</x:v>
      </x:c>
      <x:c r="X107" s="3"/>
      <x:c r="Y107" s="3"/>
      <x:c r="Z107" s="3"/>
    </x:row>
    <x:row r="108" ht="15" customHeight="1">
      <x:c r="A108" s="7" t="str">
        <x:f>IF(90&lt;='Сводка'!$B$3,'Сводка'!$B$4+90,"")</x:f>
      </x:c>
      <x:c r="B108" s="20" t="str">
        <x:f>IF($A108="","",(A108-$T$405+1)/1000)</x:f>
      </x:c>
      <x:c r="C108" s="20" t="str">
        <x:f>IF($A108="","",2*(A108-$T$405)/$T$406-1)</x:f>
      </x:c>
      <x:c r="D108" s="3" t="str">
        <x:f>IF($A108="","",$B$4*B108^$B$5+INDEX($E$4:$E$15,MONTH(A108)))</x:f>
      </x:c>
      <x:c r="E108" s="3" t="str">
        <x:f>IF($A108="","",SQRT($T$403^2+H108^2))</x:f>
      </x:c>
      <x:c r="F108" s="3" t="str">
        <x:f>IF($A108="","",D108-$T$404*E108)</x:f>
      </x:c>
      <x:c r="G108" s="3" t="str">
        <x:f>IF($A108="","",D108+$T$404*E108)</x:f>
      </x:c>
      <x:c r="H108" s="3" t="str">
        <x:f>IF($A108="","",SQRT(MAX(0,(B108^$B$5)*$S$409*(B108^$B$5)+(B108^$B$5)*$T$409*($B$4*B108^$B$5*LN(B108))+($B$4*B108^$B$5*LN(B108))*$S$410*(B108^$B$5)+($B$4*B108^$B$5*LN(B108))*$T$410*($B$4*B108^$B$5*LN(B108))+2*((B108^$B$5)*INDEX($S$416:$V$427,MONTH(A108),1)+($B$4*B108^$B$5*LN(B108))*INDEX($S$416:$V$427,MONTH(A108),2))+INDEX($W$416:$W$427,MONTH(A108)))))</x:f>
      </x:c>
      <x:c r="I108" s="3"/>
      <x:c r="J108" s="10" t="n">
        <x:v>45959</x:v>
      </x:c>
      <x:c r="K108" s="8" t="n">
        <x:f>INDEX('Сводка'!$S$3:$S$397,U108)</x:f>
        <x:v>-27</x:v>
      </x:c>
      <x:c r="L108" s="8" t="n">
        <x:f>INDEX('Сводка'!$S$3:$S$397,V108)</x:f>
        <x:v>-20</x:v>
      </x:c>
      <x:c r="M108" s="8" t="n">
        <x:f>INDEX($K$388:$N$400,W108,1)*((J108-$T$405+1)/1000)^INDEX($K$388:$N$400,W108,2)+INDEX($O$388:$Z$400,W108,MONTH(J108))</x:f>
        <x:v>168.1651154977347</x:v>
      </x:c>
      <x:c r="N108" s="8" t="n">
        <x:f>K108-M108</x:f>
        <x:v>-195.1651154977347</x:v>
      </x:c>
      <x:c r="O108" s="8" t="n">
        <x:f>ABS(N108)</x:f>
        <x:v>195.1651154977347</x:v>
      </x:c>
      <x:c r="P108" s="8" t="n">
        <x:f>N108^2</x:f>
        <x:v>38089.422307244124</x:v>
      </x:c>
      <x:c r="Q108" s="8" t="n">
        <x:f>K108-L108</x:f>
        <x:v>-7</x:v>
      </x:c>
      <x:c r="R108" s="9" t="n">
        <x:f>IF(AND(INDEX('Сводка'!$T$3:$T$397,U108)=0,INDEX('Сводка'!$T$3:$T$397,V108)=0),1,0)</x:f>
        <x:v>1</x:v>
      </x:c>
      <x:c r="S108" s="9" t="n">
        <x:f>IF(AND(R108=1,O108&lt;=$G$13),1,0)</x:f>
        <x:v>0</x:v>
      </x:c>
      <x:c r="T108" s="10" t="n">
        <x:f>EOMONTH(J108-'Сводка'!$B$11,-1)</x:f>
        <x:v>45930</x:v>
      </x:c>
      <x:c r="U108" s="4" t="n">
        <x:f>MATCH(J108,'Сводка'!$R$3:$R$397,0)</x:f>
        <x:v>119</x:v>
      </x:c>
      <x:c r="V108" s="4" t="n">
        <x:f>MATCH(J108-'Сводка'!$B$11,'Сводка'!$R$3:$R$397,0)</x:f>
        <x:v>118</x:v>
      </x:c>
      <x:c r="W108" s="4" t="n">
        <x:f>MATCH(T108,$J$388:$J$400,0)</x:f>
        <x:v>4</x:v>
      </x:c>
      <x:c r="X108" s="3"/>
      <x:c r="Y108" s="3"/>
      <x:c r="Z108" s="3"/>
    </x:row>
    <x:row r="109" ht="15" customHeight="1">
      <x:c r="A109" s="3"/>
      <x:c r="B109" s="3"/>
      <x:c r="C109" s="3"/>
      <x:c r="D109" s="3"/>
      <x:c r="E109" s="3"/>
      <x:c r="F109" s="3"/>
      <x:c r="G109" s="3"/>
      <x:c r="H109" s="3"/>
      <x:c r="I109" s="3"/>
      <x:c r="J109" s="10" t="n">
        <x:v>45960</x:v>
      </x:c>
      <x:c r="K109" s="8" t="n">
        <x:f>INDEX('Сводка'!$S$3:$S$397,U109)</x:f>
        <x:v>-33</x:v>
      </x:c>
      <x:c r="L109" s="8" t="n">
        <x:f>INDEX('Сводка'!$S$3:$S$397,V109)</x:f>
        <x:v>-27</x:v>
      </x:c>
      <x:c r="M109" s="8" t="n">
        <x:f>INDEX($K$388:$N$400,W109,1)*((J109-$T$405+1)/1000)^INDEX($K$388:$N$400,W109,2)+INDEX($O$388:$Z$400,W109,MONTH(J109))</x:f>
        <x:v>168.18366439705906</x:v>
      </x:c>
      <x:c r="N109" s="8" t="n">
        <x:f>K109-M109</x:f>
        <x:v>-201.18366439705906</x:v>
      </x:c>
      <x:c r="O109" s="8" t="n">
        <x:f>ABS(N109)</x:f>
        <x:v>201.18366439705906</x:v>
      </x:c>
      <x:c r="P109" s="8" t="n">
        <x:f>N109^2</x:f>
        <x:v>40474.86682022849</x:v>
      </x:c>
      <x:c r="Q109" s="8" t="n">
        <x:f>K109-L109</x:f>
        <x:v>-6</x:v>
      </x:c>
      <x:c r="R109" s="9" t="n">
        <x:f>IF(AND(INDEX('Сводка'!$T$3:$T$397,U109)=0,INDEX('Сводка'!$T$3:$T$397,V109)=0),1,0)</x:f>
        <x:v>1</x:v>
      </x:c>
      <x:c r="S109" s="9" t="n">
        <x:f>IF(AND(R109=1,O109&lt;=$G$13),1,0)</x:f>
        <x:v>0</x:v>
      </x:c>
      <x:c r="T109" s="10" t="n">
        <x:f>EOMONTH(J109-'Сводка'!$B$11,-1)</x:f>
        <x:v>45930</x:v>
      </x:c>
      <x:c r="U109" s="4" t="n">
        <x:f>MATCH(J109,'Сводка'!$R$3:$R$397,0)</x:f>
        <x:v>120</x:v>
      </x:c>
      <x:c r="V109" s="4" t="n">
        <x:f>MATCH(J109-'Сводка'!$B$11,'Сводка'!$R$3:$R$397,0)</x:f>
        <x:v>119</x:v>
      </x:c>
      <x:c r="W109" s="4" t="n">
        <x:f>MATCH(T109,$J$388:$J$400,0)</x:f>
        <x:v>4</x:v>
      </x:c>
      <x:c r="X109" s="3"/>
      <x:c r="Y109" s="3"/>
      <x:c r="Z109" s="3"/>
    </x:row>
    <x:row r="110" ht="15" customHeight="1">
      <x:c r="A110" s="3"/>
      <x:c r="B110" s="3"/>
      <x:c r="C110" s="3"/>
      <x:c r="D110" s="3"/>
      <x:c r="E110" s="3"/>
      <x:c r="F110" s="3"/>
      <x:c r="G110" s="3"/>
      <x:c r="H110" s="3"/>
      <x:c r="I110" s="3"/>
      <x:c r="J110" s="10" t="n">
        <x:v>45961</x:v>
      </x:c>
      <x:c r="K110" s="8" t="n">
        <x:f>INDEX('Сводка'!$S$3:$S$397,U110)</x:f>
        <x:v>-36</x:v>
      </x:c>
      <x:c r="L110" s="8" t="n">
        <x:f>INDEX('Сводка'!$S$3:$S$397,V110)</x:f>
        <x:v>-33</x:v>
      </x:c>
      <x:c r="M110" s="8" t="n">
        <x:f>INDEX($K$388:$N$400,W110,1)*((J110-$T$405+1)/1000)^INDEX($K$388:$N$400,W110,2)+INDEX($O$388:$Z$400,W110,MONTH(J110))</x:f>
        <x:v>168.20221349155926</x:v>
      </x:c>
      <x:c r="N110" s="8" t="n">
        <x:f>K110-M110</x:f>
        <x:v>-204.20221349155926</x:v>
      </x:c>
      <x:c r="O110" s="8" t="n">
        <x:f>ABS(N110)</x:f>
        <x:v>204.20221349155926</x:v>
      </x:c>
      <x:c r="P110" s="8" t="n">
        <x:f>N110^2</x:f>
        <x:v>41698.54399485235</x:v>
      </x:c>
      <x:c r="Q110" s="8" t="n">
        <x:f>K110-L110</x:f>
        <x:v>-3</x:v>
      </x:c>
      <x:c r="R110" s="9" t="n">
        <x:f>IF(AND(INDEX('Сводка'!$T$3:$T$397,U110)=0,INDEX('Сводка'!$T$3:$T$397,V110)=0),1,0)</x:f>
        <x:v>1</x:v>
      </x:c>
      <x:c r="S110" s="9" t="n">
        <x:f>IF(AND(R110=1,O110&lt;=$G$13),1,0)</x:f>
        <x:v>0</x:v>
      </x:c>
      <x:c r="T110" s="10" t="n">
        <x:f>EOMONTH(J110-'Сводка'!$B$11,-1)</x:f>
        <x:v>45930</x:v>
      </x:c>
      <x:c r="U110" s="4" t="n">
        <x:f>MATCH(J110,'Сводка'!$R$3:$R$397,0)</x:f>
        <x:v>121</x:v>
      </x:c>
      <x:c r="V110" s="4" t="n">
        <x:f>MATCH(J110-'Сводка'!$B$11,'Сводка'!$R$3:$R$397,0)</x:f>
        <x:v>120</x:v>
      </x:c>
      <x:c r="W110" s="4" t="n">
        <x:f>MATCH(T110,$J$388:$J$400,0)</x:f>
        <x:v>4</x:v>
      </x:c>
      <x:c r="X110" s="3"/>
      <x:c r="Y110" s="3"/>
      <x:c r="Z110" s="3"/>
    </x:row>
    <x:row r="111" ht="15" customHeight="1">
      <x:c r="A111" s="3"/>
      <x:c r="B111" s="3"/>
      <x:c r="C111" s="3"/>
      <x:c r="D111" s="3"/>
      <x:c r="E111" s="3"/>
      <x:c r="F111" s="3"/>
      <x:c r="G111" s="3"/>
      <x:c r="H111" s="3"/>
      <x:c r="I111" s="3"/>
      <x:c r="J111" s="10" t="n">
        <x:v>45962</x:v>
      </x:c>
      <x:c r="K111" s="8" t="n">
        <x:f>INDEX('Сводка'!$S$3:$S$397,U111)</x:f>
        <x:v>-37</x:v>
      </x:c>
      <x:c r="L111" s="8" t="n">
        <x:f>INDEX('Сводка'!$S$3:$S$397,V111)</x:f>
        <x:v>-36</x:v>
      </x:c>
      <x:c r="M111" s="8" t="n">
        <x:f>INDEX($K$388:$N$400,W111,1)*((J111-$T$405+1)/1000)^INDEX($K$388:$N$400,W111,2)+INDEX($O$388:$Z$400,W111,MONTH(J111))</x:f>
        <x:v>30.05107401115947</x:v>
      </x:c>
      <x:c r="N111" s="8" t="n">
        <x:f>K111-M111</x:f>
        <x:v>-67.05107401115947</x:v>
      </x:c>
      <x:c r="O111" s="8" t="n">
        <x:f>ABS(N111)</x:f>
        <x:v>67.05107401115947</x:v>
      </x:c>
      <x:c r="P111" s="8" t="n">
        <x:f>N111^2</x:f>
        <x:v>4495.846526049985</x:v>
      </x:c>
      <x:c r="Q111" s="8" t="n">
        <x:f>K111-L111</x:f>
        <x:v>-1</x:v>
      </x:c>
      <x:c r="R111" s="9" t="n">
        <x:f>IF(AND(INDEX('Сводка'!$T$3:$T$397,U111)=0,INDEX('Сводка'!$T$3:$T$397,V111)=0),1,0)</x:f>
        <x:v>1</x:v>
      </x:c>
      <x:c r="S111" s="9" t="n">
        <x:f>IF(AND(R111=1,O111&lt;=$G$13),1,0)</x:f>
        <x:v>0</x:v>
      </x:c>
      <x:c r="T111" s="10" t="n">
        <x:f>EOMONTH(J111-'Сводка'!$B$11,-1)</x:f>
        <x:v>45930</x:v>
      </x:c>
      <x:c r="U111" s="4" t="n">
        <x:f>MATCH(J111,'Сводка'!$R$3:$R$397,0)</x:f>
        <x:v>122</x:v>
      </x:c>
      <x:c r="V111" s="4" t="n">
        <x:f>MATCH(J111-'Сводка'!$B$11,'Сводка'!$R$3:$R$397,0)</x:f>
        <x:v>121</x:v>
      </x:c>
      <x:c r="W111" s="4" t="n">
        <x:f>MATCH(T111,$J$388:$J$400,0)</x:f>
        <x:v>4</x:v>
      </x:c>
      <x:c r="X111" s="3"/>
      <x:c r="Y111" s="3"/>
      <x:c r="Z111" s="3"/>
    </x:row>
    <x:row r="112" ht="15" customHeight="1">
      <x:c r="A112" s="3"/>
      <x:c r="B112" s="3"/>
      <x:c r="C112" s="3"/>
      <x:c r="D112" s="3"/>
      <x:c r="E112" s="3"/>
      <x:c r="F112" s="3"/>
      <x:c r="G112" s="3"/>
      <x:c r="H112" s="3"/>
      <x:c r="I112" s="3"/>
      <x:c r="J112" s="10" t="n">
        <x:v>45963</x:v>
      </x:c>
      <x:c r="K112" s="8" t="n">
        <x:f>INDEX('Сводка'!$S$3:$S$397,U112)</x:f>
        <x:v>-40</x:v>
      </x:c>
      <x:c r="L112" s="8" t="n">
        <x:f>INDEX('Сводка'!$S$3:$S$397,V112)</x:f>
        <x:v>-37</x:v>
      </x:c>
      <x:c r="M112" s="8" t="n">
        <x:f>INDEX($K$388:$N$400,W112,1)*((J112-$T$405+1)/1000)^INDEX($K$388:$N$400,W112,2)+INDEX($O$388:$Z$400,W112,MONTH(J112))</x:f>
        <x:v>29.01559105813115</x:v>
      </x:c>
      <x:c r="N112" s="8" t="n">
        <x:f>K112-M112</x:f>
        <x:v>-69.01559105813115</x:v>
      </x:c>
      <x:c r="O112" s="8" t="n">
        <x:f>ABS(N112)</x:f>
        <x:v>69.01559105813115</x:v>
      </x:c>
      <x:c r="P112" s="8" t="n">
        <x:f>N112^2</x:f>
        <x:v>4763.151809103192</x:v>
      </x:c>
      <x:c r="Q112" s="8" t="n">
        <x:f>K112-L112</x:f>
        <x:v>-3</x:v>
      </x:c>
      <x:c r="R112" s="9" t="n">
        <x:f>IF(AND(INDEX('Сводка'!$T$3:$T$397,U112)=0,INDEX('Сводка'!$T$3:$T$397,V112)=0),1,0)</x:f>
        <x:v>1</x:v>
      </x:c>
      <x:c r="S112" s="9" t="n">
        <x:f>IF(AND(R112=1,O112&lt;=$G$13),1,0)</x:f>
        <x:v>0</x:v>
      </x:c>
      <x:c r="T112" s="10" t="n">
        <x:f>EOMONTH(J112-'Сводка'!$B$11,-1)</x:f>
        <x:v>45961</x:v>
      </x:c>
      <x:c r="U112" s="4" t="n">
        <x:f>MATCH(J112,'Сводка'!$R$3:$R$397,0)</x:f>
        <x:v>123</x:v>
      </x:c>
      <x:c r="V112" s="4" t="n">
        <x:f>MATCH(J112-'Сводка'!$B$11,'Сводка'!$R$3:$R$397,0)</x:f>
        <x:v>122</x:v>
      </x:c>
      <x:c r="W112" s="4" t="n">
        <x:f>MATCH(T112,$J$388:$J$400,0)</x:f>
        <x:v>5</x:v>
      </x:c>
      <x:c r="X112" s="3"/>
      <x:c r="Y112" s="3"/>
      <x:c r="Z112" s="3"/>
    </x:row>
    <x:row r="113" ht="15" customHeight="1">
      <x:c r="A113" s="3"/>
      <x:c r="B113" s="3"/>
      <x:c r="C113" s="3"/>
      <x:c r="D113" s="3"/>
      <x:c r="E113" s="3"/>
      <x:c r="F113" s="3"/>
      <x:c r="G113" s="3"/>
      <x:c r="H113" s="3"/>
      <x:c r="I113" s="3"/>
      <x:c r="J113" s="10" t="n">
        <x:v>45964</x:v>
      </x:c>
      <x:c r="K113" s="8" t="n">
        <x:f>INDEX('Сводка'!$S$3:$S$397,U113)</x:f>
        <x:v>-46</x:v>
      </x:c>
      <x:c r="L113" s="8" t="n">
        <x:f>INDEX('Сводка'!$S$3:$S$397,V113)</x:f>
        <x:v>-40</x:v>
      </x:c>
      <x:c r="M113" s="8" t="n">
        <x:f>INDEX($K$388:$N$400,W113,1)*((J113-$T$405+1)/1000)^INDEX($K$388:$N$400,W113,2)+INDEX($O$388:$Z$400,W113,MONTH(J113))</x:f>
        <x:v>29.03379265191265</x:v>
      </x:c>
      <x:c r="N113" s="8" t="n">
        <x:f>K113-M113</x:f>
        <x:v>-75.03379265191265</x:v>
      </x:c>
      <x:c r="O113" s="8" t="n">
        <x:f>ABS(N113)</x:f>
        <x:v>75.03379265191265</x:v>
      </x:c>
      <x:c r="P113" s="8" t="n">
        <x:f>N113^2</x:f>
        <x:v>5630.070039730221</x:v>
      </x:c>
      <x:c r="Q113" s="8" t="n">
        <x:f>K113-L113</x:f>
        <x:v>-6</x:v>
      </x:c>
      <x:c r="R113" s="9" t="n">
        <x:f>IF(AND(INDEX('Сводка'!$T$3:$T$397,U113)=0,INDEX('Сводка'!$T$3:$T$397,V113)=0),1,0)</x:f>
        <x:v>1</x:v>
      </x:c>
      <x:c r="S113" s="9" t="n">
        <x:f>IF(AND(R113=1,O113&lt;=$G$13),1,0)</x:f>
        <x:v>0</x:v>
      </x:c>
      <x:c r="T113" s="10" t="n">
        <x:f>EOMONTH(J113-'Сводка'!$B$11,-1)</x:f>
        <x:v>45961</x:v>
      </x:c>
      <x:c r="U113" s="4" t="n">
        <x:f>MATCH(J113,'Сводка'!$R$3:$R$397,0)</x:f>
        <x:v>124</x:v>
      </x:c>
      <x:c r="V113" s="4" t="n">
        <x:f>MATCH(J113-'Сводка'!$B$11,'Сводка'!$R$3:$R$397,0)</x:f>
        <x:v>123</x:v>
      </x:c>
      <x:c r="W113" s="4" t="n">
        <x:f>MATCH(T113,$J$388:$J$400,0)</x:f>
        <x:v>5</x:v>
      </x:c>
      <x:c r="X113" s="3"/>
      <x:c r="Y113" s="3"/>
      <x:c r="Z113" s="3"/>
    </x:row>
    <x:row r="114" ht="15" customHeight="1">
      <x:c r="A114" s="3"/>
      <x:c r="B114" s="3"/>
      <x:c r="C114" s="3"/>
      <x:c r="D114" s="3"/>
      <x:c r="E114" s="3"/>
      <x:c r="F114" s="3"/>
      <x:c r="G114" s="3"/>
      <x:c r="H114" s="3"/>
      <x:c r="I114" s="3"/>
      <x:c r="J114" s="10" t="n">
        <x:v>45965</x:v>
      </x:c>
      <x:c r="K114" s="8" t="n">
        <x:f>INDEX('Сводка'!$S$3:$S$397,U114)</x:f>
        <x:v>-49</x:v>
      </x:c>
      <x:c r="L114" s="8" t="n">
        <x:f>INDEX('Сводка'!$S$3:$S$397,V114)</x:f>
        <x:v>-46</x:v>
      </x:c>
      <x:c r="M114" s="8" t="n">
        <x:f>INDEX($K$388:$N$400,W114,1)*((J114-$T$405+1)/1000)^INDEX($K$388:$N$400,W114,2)+INDEX($O$388:$Z$400,W114,MONTH(J114))</x:f>
        <x:v>29.05199441382001</x:v>
      </x:c>
      <x:c r="N114" s="8" t="n">
        <x:f>K114-M114</x:f>
        <x:v>-78.05199441382001</x:v>
      </x:c>
      <x:c r="O114" s="8" t="n">
        <x:f>ABS(N114)</x:f>
        <x:v>78.05199441382001</x:v>
      </x:c>
      <x:c r="P114" s="8" t="n">
        <x:f>N114^2</x:f>
        <x:v>6092.113831974991</x:v>
      </x:c>
      <x:c r="Q114" s="8" t="n">
        <x:f>K114-L114</x:f>
        <x:v>-3</x:v>
      </x:c>
      <x:c r="R114" s="9" t="n">
        <x:f>IF(AND(INDEX('Сводка'!$T$3:$T$397,U114)=0,INDEX('Сводка'!$T$3:$T$397,V114)=0),1,0)</x:f>
        <x:v>1</x:v>
      </x:c>
      <x:c r="S114" s="9" t="n">
        <x:f>IF(AND(R114=1,O114&lt;=$G$13),1,0)</x:f>
        <x:v>0</x:v>
      </x:c>
      <x:c r="T114" s="10" t="n">
        <x:f>EOMONTH(J114-'Сводка'!$B$11,-1)</x:f>
        <x:v>45961</x:v>
      </x:c>
      <x:c r="U114" s="4" t="n">
        <x:f>MATCH(J114,'Сводка'!$R$3:$R$397,0)</x:f>
        <x:v>125</x:v>
      </x:c>
      <x:c r="V114" s="4" t="n">
        <x:f>MATCH(J114-'Сводка'!$B$11,'Сводка'!$R$3:$R$397,0)</x:f>
        <x:v>124</x:v>
      </x:c>
      <x:c r="W114" s="4" t="n">
        <x:f>MATCH(T114,$J$388:$J$400,0)</x:f>
        <x:v>5</x:v>
      </x:c>
      <x:c r="X114" s="3"/>
      <x:c r="Y114" s="3"/>
      <x:c r="Z114" s="3"/>
    </x:row>
    <x:row r="115" ht="15" customHeight="1">
      <x:c r="A115" s="3"/>
      <x:c r="B115" s="3"/>
      <x:c r="C115" s="3"/>
      <x:c r="D115" s="3"/>
      <x:c r="E115" s="3"/>
      <x:c r="F115" s="3"/>
      <x:c r="G115" s="3"/>
      <x:c r="H115" s="3"/>
      <x:c r="I115" s="3"/>
      <x:c r="J115" s="10" t="n">
        <x:v>45966</x:v>
      </x:c>
      <x:c r="K115" s="8" t="n">
        <x:f>INDEX('Сводка'!$S$3:$S$397,U115)</x:f>
        <x:v>-56</x:v>
      </x:c>
      <x:c r="L115" s="8" t="n">
        <x:f>INDEX('Сводка'!$S$3:$S$397,V115)</x:f>
        <x:v>-49</x:v>
      </x:c>
      <x:c r="M115" s="8" t="n">
        <x:f>INDEX($K$388:$N$400,W115,1)*((J115-$T$405+1)/1000)^INDEX($K$388:$N$400,W115,2)+INDEX($O$388:$Z$400,W115,MONTH(J115))</x:f>
        <x:v>29.07019634383559</x:v>
      </x:c>
      <x:c r="N115" s="8" t="n">
        <x:f>K115-M115</x:f>
        <x:v>-85.07019634383559</x:v>
      </x:c>
      <x:c r="O115" s="8" t="n">
        <x:f>ABS(N115)</x:f>
        <x:v>85.07019634383559</x:v>
      </x:c>
      <x:c r="P115" s="8" t="n">
        <x:f>N115^2</x:f>
        <x:v>7236.938305978738</x:v>
      </x:c>
      <x:c r="Q115" s="8" t="n">
        <x:f>K115-L115</x:f>
        <x:v>-7</x:v>
      </x:c>
      <x:c r="R115" s="9" t="n">
        <x:f>IF(AND(INDEX('Сводка'!$T$3:$T$397,U115)=0,INDEX('Сводка'!$T$3:$T$397,V115)=0),1,0)</x:f>
        <x:v>1</x:v>
      </x:c>
      <x:c r="S115" s="9" t="n">
        <x:f>IF(AND(R115=1,O115&lt;=$G$13),1,0)</x:f>
        <x:v>0</x:v>
      </x:c>
      <x:c r="T115" s="10" t="n">
        <x:f>EOMONTH(J115-'Сводка'!$B$11,-1)</x:f>
        <x:v>45961</x:v>
      </x:c>
      <x:c r="U115" s="4" t="n">
        <x:f>MATCH(J115,'Сводка'!$R$3:$R$397,0)</x:f>
        <x:v>126</x:v>
      </x:c>
      <x:c r="V115" s="4" t="n">
        <x:f>MATCH(J115-'Сводка'!$B$11,'Сводка'!$R$3:$R$397,0)</x:f>
        <x:v>125</x:v>
      </x:c>
      <x:c r="W115" s="4" t="n">
        <x:f>MATCH(T115,$J$388:$J$400,0)</x:f>
        <x:v>5</x:v>
      </x:c>
      <x:c r="X115" s="3"/>
      <x:c r="Y115" s="3"/>
      <x:c r="Z115" s="3"/>
    </x:row>
    <x:row r="116" ht="15" customHeight="1">
      <x:c r="A116" s="3"/>
      <x:c r="B116" s="3"/>
      <x:c r="C116" s="3"/>
      <x:c r="D116" s="3"/>
      <x:c r="E116" s="3"/>
      <x:c r="F116" s="3"/>
      <x:c r="G116" s="3"/>
      <x:c r="H116" s="3"/>
      <x:c r="I116" s="3"/>
      <x:c r="J116" s="10" t="n">
        <x:v>45967</x:v>
      </x:c>
      <x:c r="K116" s="8" t="n">
        <x:f>INDEX('Сводка'!$S$3:$S$397,U116)</x:f>
        <x:v>-61</x:v>
      </x:c>
      <x:c r="L116" s="8" t="n">
        <x:f>INDEX('Сводка'!$S$3:$S$397,V116)</x:f>
        <x:v>-56</x:v>
      </x:c>
      <x:c r="M116" s="8" t="n">
        <x:f>INDEX($K$388:$N$400,W116,1)*((J116-$T$405+1)/1000)^INDEX($K$388:$N$400,W116,2)+INDEX($O$388:$Z$400,W116,MONTH(J116))</x:f>
        <x:v>29.088398441941536</x:v>
      </x:c>
      <x:c r="N116" s="8" t="n">
        <x:f>K116-M116</x:f>
        <x:v>-90.08839844194154</x:v>
      </x:c>
      <x:c r="O116" s="8" t="n">
        <x:f>ABS(N116)</x:f>
        <x:v>90.08839844194154</x:v>
      </x:c>
      <x:c r="P116" s="8" t="n">
        <x:f>N116^2</x:f>
        <x:v>8115.919533834014</x:v>
      </x:c>
      <x:c r="Q116" s="8" t="n">
        <x:f>K116-L116</x:f>
        <x:v>-5</x:v>
      </x:c>
      <x:c r="R116" s="9" t="n">
        <x:f>IF(AND(INDEX('Сводка'!$T$3:$T$397,U116)=0,INDEX('Сводка'!$T$3:$T$397,V116)=0),1,0)</x:f>
        <x:v>1</x:v>
      </x:c>
      <x:c r="S116" s="9" t="n">
        <x:f>IF(AND(R116=1,O116&lt;=$G$13),1,0)</x:f>
        <x:v>0</x:v>
      </x:c>
      <x:c r="T116" s="10" t="n">
        <x:f>EOMONTH(J116-'Сводка'!$B$11,-1)</x:f>
        <x:v>45961</x:v>
      </x:c>
      <x:c r="U116" s="4" t="n">
        <x:f>MATCH(J116,'Сводка'!$R$3:$R$397,0)</x:f>
        <x:v>127</x:v>
      </x:c>
      <x:c r="V116" s="4" t="n">
        <x:f>MATCH(J116-'Сводка'!$B$11,'Сводка'!$R$3:$R$397,0)</x:f>
        <x:v>126</x:v>
      </x:c>
      <x:c r="W116" s="4" t="n">
        <x:f>MATCH(T116,$J$388:$J$400,0)</x:f>
        <x:v>5</x:v>
      </x:c>
      <x:c r="X116" s="3"/>
      <x:c r="Y116" s="3"/>
      <x:c r="Z116" s="3"/>
    </x:row>
    <x:row r="117" ht="15" customHeight="1">
      <x:c r="A117" s="3"/>
      <x:c r="B117" s="3"/>
      <x:c r="C117" s="3"/>
      <x:c r="D117" s="3"/>
      <x:c r="E117" s="3"/>
      <x:c r="F117" s="3"/>
      <x:c r="G117" s="3"/>
      <x:c r="H117" s="3"/>
      <x:c r="I117" s="3"/>
      <x:c r="J117" s="10" t="n">
        <x:v>45968</x:v>
      </x:c>
      <x:c r="K117" s="8" t="n">
        <x:f>INDEX('Сводка'!$S$3:$S$397,U117)</x:f>
        <x:v>-69</x:v>
      </x:c>
      <x:c r="L117" s="8" t="n">
        <x:f>INDEX('Сводка'!$S$3:$S$397,V117)</x:f>
        <x:v>-61</x:v>
      </x:c>
      <x:c r="M117" s="8" t="n">
        <x:f>INDEX($K$388:$N$400,W117,1)*((J117-$T$405+1)/1000)^INDEX($K$388:$N$400,W117,2)+INDEX($O$388:$Z$400,W117,MONTH(J117))</x:f>
        <x:v>29.106600708120197</x:v>
      </x:c>
      <x:c r="N117" s="8" t="n">
        <x:f>K117-M117</x:f>
        <x:v>-98.1066007081202</x:v>
      </x:c>
      <x:c r="O117" s="8" t="n">
        <x:f>ABS(N117)</x:f>
        <x:v>98.1066007081202</x:v>
      </x:c>
      <x:c r="P117" s="8" t="n">
        <x:f>N117^2</x:f>
        <x:v>9624.905102502531</x:v>
      </x:c>
      <x:c r="Q117" s="8" t="n">
        <x:f>K117-L117</x:f>
        <x:v>-8</x:v>
      </x:c>
      <x:c r="R117" s="9" t="n">
        <x:f>IF(AND(INDEX('Сводка'!$T$3:$T$397,U117)=0,INDEX('Сводка'!$T$3:$T$397,V117)=0),1,0)</x:f>
        <x:v>1</x:v>
      </x:c>
      <x:c r="S117" s="9" t="n">
        <x:f>IF(AND(R117=1,O117&lt;=$G$13),1,0)</x:f>
        <x:v>0</x:v>
      </x:c>
      <x:c r="T117" s="10" t="n">
        <x:f>EOMONTH(J117-'Сводка'!$B$11,-1)</x:f>
        <x:v>45961</x:v>
      </x:c>
      <x:c r="U117" s="4" t="n">
        <x:f>MATCH(J117,'Сводка'!$R$3:$R$397,0)</x:f>
        <x:v>128</x:v>
      </x:c>
      <x:c r="V117" s="4" t="n">
        <x:f>MATCH(J117-'Сводка'!$B$11,'Сводка'!$R$3:$R$397,0)</x:f>
        <x:v>127</x:v>
      </x:c>
      <x:c r="W117" s="4" t="n">
        <x:f>MATCH(T117,$J$388:$J$400,0)</x:f>
        <x:v>5</x:v>
      </x:c>
      <x:c r="X117" s="3"/>
      <x:c r="Y117" s="3"/>
      <x:c r="Z117" s="3"/>
    </x:row>
    <x:row r="118" ht="15" customHeight="1">
      <x:c r="A118" s="3"/>
      <x:c r="B118" s="3"/>
      <x:c r="C118" s="3"/>
      <x:c r="D118" s="3"/>
      <x:c r="E118" s="3"/>
      <x:c r="F118" s="3"/>
      <x:c r="G118" s="3"/>
      <x:c r="H118" s="3"/>
      <x:c r="I118" s="3"/>
      <x:c r="J118" s="10" t="n">
        <x:v>45969</x:v>
      </x:c>
      <x:c r="K118" s="8" t="n">
        <x:f>INDEX('Сводка'!$S$3:$S$397,U118)</x:f>
        <x:v>-74</x:v>
      </x:c>
      <x:c r="L118" s="8" t="n">
        <x:f>INDEX('Сводка'!$S$3:$S$397,V118)</x:f>
        <x:v>-69</x:v>
      </x:c>
      <x:c r="M118" s="8" t="n">
        <x:f>INDEX($K$388:$N$400,W118,1)*((J118-$T$405+1)/1000)^INDEX($K$388:$N$400,W118,2)+INDEX($O$388:$Z$400,W118,MONTH(J118))</x:f>
        <x:v>29.124803142353755</x:v>
      </x:c>
      <x:c r="N118" s="8" t="n">
        <x:f>K118-M118</x:f>
        <x:v>-103.12480314235376</x:v>
      </x:c>
      <x:c r="O118" s="8" t="n">
        <x:f>ABS(N118)</x:f>
        <x:v>103.12480314235376</x:v>
      </x:c>
      <x:c r="P118" s="8" t="n">
        <x:f>N118^2</x:f>
        <x:v>10634.725023149214</x:v>
      </x:c>
      <x:c r="Q118" s="8" t="n">
        <x:f>K118-L118</x:f>
        <x:v>-5</x:v>
      </x:c>
      <x:c r="R118" s="9" t="n">
        <x:f>IF(AND(INDEX('Сводка'!$T$3:$T$397,U118)=0,INDEX('Сводка'!$T$3:$T$397,V118)=0),1,0)</x:f>
        <x:v>1</x:v>
      </x:c>
      <x:c r="S118" s="9" t="n">
        <x:f>IF(AND(R118=1,O118&lt;=$G$13),1,0)</x:f>
        <x:v>0</x:v>
      </x:c>
      <x:c r="T118" s="10" t="n">
        <x:f>EOMONTH(J118-'Сводка'!$B$11,-1)</x:f>
        <x:v>45961</x:v>
      </x:c>
      <x:c r="U118" s="4" t="n">
        <x:f>MATCH(J118,'Сводка'!$R$3:$R$397,0)</x:f>
        <x:v>129</x:v>
      </x:c>
      <x:c r="V118" s="4" t="n">
        <x:f>MATCH(J118-'Сводка'!$B$11,'Сводка'!$R$3:$R$397,0)</x:f>
        <x:v>128</x:v>
      </x:c>
      <x:c r="W118" s="4" t="n">
        <x:f>MATCH(T118,$J$388:$J$400,0)</x:f>
        <x:v>5</x:v>
      </x:c>
      <x:c r="X118" s="3"/>
      <x:c r="Y118" s="3"/>
      <x:c r="Z118" s="3"/>
    </x:row>
    <x:row r="119" ht="15" customHeight="1">
      <x:c r="A119" s="3"/>
      <x:c r="B119" s="3"/>
      <x:c r="C119" s="3"/>
      <x:c r="D119" s="3"/>
      <x:c r="E119" s="3"/>
      <x:c r="F119" s="3"/>
      <x:c r="G119" s="3"/>
      <x:c r="H119" s="3"/>
      <x:c r="I119" s="3"/>
      <x:c r="J119" s="10" t="n">
        <x:v>45970</x:v>
      </x:c>
      <x:c r="K119" s="8" t="n">
        <x:f>INDEX('Сводка'!$S$3:$S$397,U119)</x:f>
        <x:v>-80</x:v>
      </x:c>
      <x:c r="L119" s="8" t="n">
        <x:f>INDEX('Сводка'!$S$3:$S$397,V119)</x:f>
        <x:v>-74</x:v>
      </x:c>
      <x:c r="M119" s="8" t="n">
        <x:f>INDEX($K$388:$N$400,W119,1)*((J119-$T$405+1)/1000)^INDEX($K$388:$N$400,W119,2)+INDEX($O$388:$Z$400,W119,MONTH(J119))</x:f>
        <x:v>29.14300574462456</x:v>
      </x:c>
      <x:c r="N119" s="8" t="n">
        <x:f>K119-M119</x:f>
        <x:v>-109.14300574462456</x:v>
      </x:c>
      <x:c r="O119" s="8" t="n">
        <x:f>ABS(N119)</x:f>
        <x:v>109.14300574462456</x:v>
      </x:c>
      <x:c r="P119" s="8" t="n">
        <x:f>N119^2</x:f>
        <x:v>11912.19570297115</x:v>
      </x:c>
      <x:c r="Q119" s="8" t="n">
        <x:f>K119-L119</x:f>
        <x:v>-6</x:v>
      </x:c>
      <x:c r="R119" s="9" t="n">
        <x:f>IF(AND(INDEX('Сводка'!$T$3:$T$397,U119)=0,INDEX('Сводка'!$T$3:$T$397,V119)=0),1,0)</x:f>
        <x:v>1</x:v>
      </x:c>
      <x:c r="S119" s="9" t="n">
        <x:f>IF(AND(R119=1,O119&lt;=$G$13),1,0)</x:f>
        <x:v>0</x:v>
      </x:c>
      <x:c r="T119" s="10" t="n">
        <x:f>EOMONTH(J119-'Сводка'!$B$11,-1)</x:f>
        <x:v>45961</x:v>
      </x:c>
      <x:c r="U119" s="4" t="n">
        <x:f>MATCH(J119,'Сводка'!$R$3:$R$397,0)</x:f>
        <x:v>130</x:v>
      </x:c>
      <x:c r="V119" s="4" t="n">
        <x:f>MATCH(J119-'Сводка'!$B$11,'Сводка'!$R$3:$R$397,0)</x:f>
        <x:v>129</x:v>
      </x:c>
      <x:c r="W119" s="4" t="n">
        <x:f>MATCH(T119,$J$388:$J$400,0)</x:f>
        <x:v>5</x:v>
      </x:c>
      <x:c r="X119" s="3"/>
      <x:c r="Y119" s="3"/>
      <x:c r="Z119" s="3"/>
    </x:row>
    <x:row r="120" ht="15" customHeight="1">
      <x:c r="A120" s="3"/>
      <x:c r="B120" s="3"/>
      <x:c r="C120" s="3"/>
      <x:c r="D120" s="3"/>
      <x:c r="E120" s="3"/>
      <x:c r="F120" s="3"/>
      <x:c r="G120" s="3"/>
      <x:c r="H120" s="3"/>
      <x:c r="I120" s="3"/>
      <x:c r="J120" s="10" t="n">
        <x:v>45971</x:v>
      </x:c>
      <x:c r="K120" s="8" t="n">
        <x:f>INDEX('Сводка'!$S$3:$S$397,U120)</x:f>
        <x:v>-83</x:v>
      </x:c>
      <x:c r="L120" s="8" t="n">
        <x:f>INDEX('Сводка'!$S$3:$S$397,V120)</x:f>
        <x:v>-80</x:v>
      </x:c>
      <x:c r="M120" s="8" t="n">
        <x:f>INDEX($K$388:$N$400,W120,1)*((J120-$T$405+1)/1000)^INDEX($K$388:$N$400,W120,2)+INDEX($O$388:$Z$400,W120,MONTH(J120))</x:f>
        <x:v>29.16120851491479</x:v>
      </x:c>
      <x:c r="N120" s="8" t="n">
        <x:f>K120-M120</x:f>
        <x:v>-112.16120851491479</x:v>
      </x:c>
      <x:c r="O120" s="8" t="n">
        <x:f>ABS(N120)</x:f>
        <x:v>112.16120851491479</x:v>
      </x:c>
      <x:c r="P120" s="8" t="n">
        <x:f>N120^2</x:f>
        <x:v>12580.136695526195</x:v>
      </x:c>
      <x:c r="Q120" s="8" t="n">
        <x:f>K120-L120</x:f>
        <x:v>-3</x:v>
      </x:c>
      <x:c r="R120" s="9" t="n">
        <x:f>IF(AND(INDEX('Сводка'!$T$3:$T$397,U120)=0,INDEX('Сводка'!$T$3:$T$397,V120)=0),1,0)</x:f>
        <x:v>1</x:v>
      </x:c>
      <x:c r="S120" s="9" t="n">
        <x:f>IF(AND(R120=1,O120&lt;=$G$13),1,0)</x:f>
        <x:v>0</x:v>
      </x:c>
      <x:c r="T120" s="10" t="n">
        <x:f>EOMONTH(J120-'Сводка'!$B$11,-1)</x:f>
        <x:v>45961</x:v>
      </x:c>
      <x:c r="U120" s="4" t="n">
        <x:f>MATCH(J120,'Сводка'!$R$3:$R$397,0)</x:f>
        <x:v>131</x:v>
      </x:c>
      <x:c r="V120" s="4" t="n">
        <x:f>MATCH(J120-'Сводка'!$B$11,'Сводка'!$R$3:$R$397,0)</x:f>
        <x:v>130</x:v>
      </x:c>
      <x:c r="W120" s="4" t="n">
        <x:f>MATCH(T120,$J$388:$J$400,0)</x:f>
        <x:v>5</x:v>
      </x:c>
      <x:c r="X120" s="3"/>
      <x:c r="Y120" s="3"/>
      <x:c r="Z120" s="3"/>
    </x:row>
    <x:row r="121" ht="15" customHeight="1">
      <x:c r="A121" s="3"/>
      <x:c r="B121" s="3"/>
      <x:c r="C121" s="3"/>
      <x:c r="D121" s="3"/>
      <x:c r="E121" s="3"/>
      <x:c r="F121" s="3"/>
      <x:c r="G121" s="3"/>
      <x:c r="H121" s="3"/>
      <x:c r="I121" s="3"/>
      <x:c r="J121" s="10" t="n">
        <x:v>45972</x:v>
      </x:c>
      <x:c r="K121" s="8" t="n">
        <x:f>INDEX('Сводка'!$S$3:$S$397,U121)</x:f>
        <x:v>-89</x:v>
      </x:c>
      <x:c r="L121" s="8" t="n">
        <x:f>INDEX('Сводка'!$S$3:$S$397,V121)</x:f>
        <x:v>-83</x:v>
      </x:c>
      <x:c r="M121" s="8" t="n">
        <x:f>INDEX($K$388:$N$400,W121,1)*((J121-$T$405+1)/1000)^INDEX($K$388:$N$400,W121,2)+INDEX($O$388:$Z$400,W121,MONTH(J121))</x:f>
        <x:v>29.17941145320674</x:v>
      </x:c>
      <x:c r="N121" s="8" t="n">
        <x:f>K121-M121</x:f>
        <x:v>-118.17941145320674</x:v>
      </x:c>
      <x:c r="O121" s="8" t="n">
        <x:f>ABS(N121)</x:f>
        <x:v>118.17941145320674</x:v>
      </x:c>
      <x:c r="P121" s="8" t="n">
        <x:f>N121^2</x:f>
        <x:v>13966.373291426333</x:v>
      </x:c>
      <x:c r="Q121" s="8" t="n">
        <x:f>K121-L121</x:f>
        <x:v>-6</x:v>
      </x:c>
      <x:c r="R121" s="9" t="n">
        <x:f>IF(AND(INDEX('Сводка'!$T$3:$T$397,U121)=0,INDEX('Сводка'!$T$3:$T$397,V121)=0),1,0)</x:f>
        <x:v>1</x:v>
      </x:c>
      <x:c r="S121" s="9" t="n">
        <x:f>IF(AND(R121=1,O121&lt;=$G$13),1,0)</x:f>
        <x:v>0</x:v>
      </x:c>
      <x:c r="T121" s="10" t="n">
        <x:f>EOMONTH(J121-'Сводка'!$B$11,-1)</x:f>
        <x:v>45961</x:v>
      </x:c>
      <x:c r="U121" s="4" t="n">
        <x:f>MATCH(J121,'Сводка'!$R$3:$R$397,0)</x:f>
        <x:v>132</x:v>
      </x:c>
      <x:c r="V121" s="4" t="n">
        <x:f>MATCH(J121-'Сводка'!$B$11,'Сводка'!$R$3:$R$397,0)</x:f>
        <x:v>131</x:v>
      </x:c>
      <x:c r="W121" s="4" t="n">
        <x:f>MATCH(T121,$J$388:$J$400,0)</x:f>
        <x:v>5</x:v>
      </x:c>
      <x:c r="X121" s="3"/>
      <x:c r="Y121" s="3"/>
      <x:c r="Z121" s="3"/>
    </x:row>
    <x:row r="122" ht="15" customHeight="1">
      <x:c r="A122" s="3"/>
      <x:c r="B122" s="3"/>
      <x:c r="C122" s="3"/>
      <x:c r="D122" s="3"/>
      <x:c r="E122" s="3"/>
      <x:c r="F122" s="3"/>
      <x:c r="G122" s="3"/>
      <x:c r="H122" s="3"/>
      <x:c r="I122" s="3"/>
      <x:c r="J122" s="10" t="n">
        <x:v>45973</x:v>
      </x:c>
      <x:c r="K122" s="8" t="n">
        <x:f>INDEX('Сводка'!$S$3:$S$397,U122)</x:f>
        <x:v>-88</x:v>
      </x:c>
      <x:c r="L122" s="8" t="n">
        <x:f>INDEX('Сводка'!$S$3:$S$397,V122)</x:f>
        <x:v>-89</x:v>
      </x:c>
      <x:c r="M122" s="8" t="n">
        <x:f>INDEX($K$388:$N$400,W122,1)*((J122-$T$405+1)/1000)^INDEX($K$388:$N$400,W122,2)+INDEX($O$388:$Z$400,W122,MONTH(J122))</x:f>
        <x:v>29.19761455948273</x:v>
      </x:c>
      <x:c r="N122" s="8" t="n">
        <x:f>K122-M122</x:f>
        <x:v>-117.19761455948273</x:v>
      </x:c>
      <x:c r="O122" s="8" t="n">
        <x:f>ABS(N122)</x:f>
        <x:v>117.19761455948273</x:v>
      </x:c>
      <x:c r="P122" s="8" t="n">
        <x:f>N122^2</x:f>
        <x:v>13735.280858433078</x:v>
      </x:c>
      <x:c r="Q122" s="8" t="n">
        <x:f>K122-L122</x:f>
        <x:v>1</x:v>
      </x:c>
      <x:c r="R122" s="9" t="n">
        <x:f>IF(AND(INDEX('Сводка'!$T$3:$T$397,U122)=0,INDEX('Сводка'!$T$3:$T$397,V122)=0),1,0)</x:f>
        <x:v>1</x:v>
      </x:c>
      <x:c r="S122" s="9" t="n">
        <x:f>IF(AND(R122=1,O122&lt;=$G$13),1,0)</x:f>
        <x:v>0</x:v>
      </x:c>
      <x:c r="T122" s="10" t="n">
        <x:f>EOMONTH(J122-'Сводка'!$B$11,-1)</x:f>
        <x:v>45961</x:v>
      </x:c>
      <x:c r="U122" s="4" t="n">
        <x:f>MATCH(J122,'Сводка'!$R$3:$R$397,0)</x:f>
        <x:v>133</x:v>
      </x:c>
      <x:c r="V122" s="4" t="n">
        <x:f>MATCH(J122-'Сводка'!$B$11,'Сводка'!$R$3:$R$397,0)</x:f>
        <x:v>132</x:v>
      </x:c>
      <x:c r="W122" s="4" t="n">
        <x:f>MATCH(T122,$J$388:$J$400,0)</x:f>
        <x:v>5</x:v>
      </x:c>
      <x:c r="X122" s="3"/>
      <x:c r="Y122" s="3"/>
      <x:c r="Z122" s="3"/>
    </x:row>
    <x:row r="123" ht="15" customHeight="1">
      <x:c r="A123" s="3"/>
      <x:c r="B123" s="3"/>
      <x:c r="C123" s="3"/>
      <x:c r="D123" s="3"/>
      <x:c r="E123" s="3"/>
      <x:c r="F123" s="3"/>
      <x:c r="G123" s="3"/>
      <x:c r="H123" s="3"/>
      <x:c r="I123" s="3"/>
      <x:c r="J123" s="10" t="n">
        <x:v>45974</x:v>
      </x:c>
      <x:c r="K123" s="8" t="n">
        <x:f>INDEX('Сводка'!$S$3:$S$397,U123)</x:f>
        <x:v>-89</x:v>
      </x:c>
      <x:c r="L123" s="8" t="n">
        <x:f>INDEX('Сводка'!$S$3:$S$397,V123)</x:f>
        <x:v>-88</x:v>
      </x:c>
      <x:c r="M123" s="8" t="n">
        <x:f>INDEX($K$388:$N$400,W123,1)*((J123-$T$405+1)/1000)^INDEX($K$388:$N$400,W123,2)+INDEX($O$388:$Z$400,W123,MONTH(J123))</x:f>
        <x:v>29.215817833724998</x:v>
      </x:c>
      <x:c r="N123" s="8" t="n">
        <x:f>K123-M123</x:f>
        <x:v>-118.215817833725</x:v>
      </x:c>
      <x:c r="O123" s="8" t="n">
        <x:f>ABS(N123)</x:f>
        <x:v>118.215817833725</x:v>
      </x:c>
      <x:c r="P123" s="8" t="n">
        <x:f>N123^2</x:f>
        <x:v>13974.979586096453</x:v>
      </x:c>
      <x:c r="Q123" s="8" t="n">
        <x:f>K123-L123</x:f>
        <x:v>-1</x:v>
      </x:c>
      <x:c r="R123" s="9" t="n">
        <x:f>IF(AND(INDEX('Сводка'!$T$3:$T$397,U123)=0,INDEX('Сводка'!$T$3:$T$397,V123)=0),1,0)</x:f>
        <x:v>1</x:v>
      </x:c>
      <x:c r="S123" s="9" t="n">
        <x:f>IF(AND(R123=1,O123&lt;=$G$13),1,0)</x:f>
        <x:v>0</x:v>
      </x:c>
      <x:c r="T123" s="10" t="n">
        <x:f>EOMONTH(J123-'Сводка'!$B$11,-1)</x:f>
        <x:v>45961</x:v>
      </x:c>
      <x:c r="U123" s="4" t="n">
        <x:f>MATCH(J123,'Сводка'!$R$3:$R$397,0)</x:f>
        <x:v>134</x:v>
      </x:c>
      <x:c r="V123" s="4" t="n">
        <x:f>MATCH(J123-'Сводка'!$B$11,'Сводка'!$R$3:$R$397,0)</x:f>
        <x:v>133</x:v>
      </x:c>
      <x:c r="W123" s="4" t="n">
        <x:f>MATCH(T123,$J$388:$J$400,0)</x:f>
        <x:v>5</x:v>
      </x:c>
      <x:c r="X123" s="3"/>
      <x:c r="Y123" s="3"/>
      <x:c r="Z123" s="3"/>
    </x:row>
    <x:row r="124" ht="15" customHeight="1">
      <x:c r="A124" s="3"/>
      <x:c r="B124" s="3"/>
      <x:c r="C124" s="3"/>
      <x:c r="D124" s="3"/>
      <x:c r="E124" s="3"/>
      <x:c r="F124" s="3"/>
      <x:c r="G124" s="3"/>
      <x:c r="H124" s="3"/>
      <x:c r="I124" s="3"/>
      <x:c r="J124" s="10" t="n">
        <x:v>45975</x:v>
      </x:c>
      <x:c r="K124" s="8" t="n">
        <x:f>INDEX('Сводка'!$S$3:$S$397,U124)</x:f>
        <x:v>-95</x:v>
      </x:c>
      <x:c r="L124" s="8" t="n">
        <x:f>INDEX('Сводка'!$S$3:$S$397,V124)</x:f>
        <x:v>-89</x:v>
      </x:c>
      <x:c r="M124" s="8" t="n">
        <x:f>INDEX($K$388:$N$400,W124,1)*((J124-$T$405+1)/1000)^INDEX($K$388:$N$400,W124,2)+INDEX($O$388:$Z$400,W124,MONTH(J124))</x:f>
        <x:v>29.234021275915836</x:v>
      </x:c>
      <x:c r="N124" s="8" t="n">
        <x:f>K124-M124</x:f>
        <x:v>-124.23402127591584</x:v>
      </x:c>
      <x:c r="O124" s="8" t="n">
        <x:f>ABS(N124)</x:f>
        <x:v>124.23402127591584</x:v>
      </x:c>
      <x:c r="P124" s="8" t="n">
        <x:f>N124^2</x:f>
        <x:v>15434.09204238471</x:v>
      </x:c>
      <x:c r="Q124" s="8" t="n">
        <x:f>K124-L124</x:f>
        <x:v>-6</x:v>
      </x:c>
      <x:c r="R124" s="9" t="n">
        <x:f>IF(AND(INDEX('Сводка'!$T$3:$T$397,U124)=0,INDEX('Сводка'!$T$3:$T$397,V124)=0),1,0)</x:f>
        <x:v>1</x:v>
      </x:c>
      <x:c r="S124" s="9" t="n">
        <x:f>IF(AND(R124=1,O124&lt;=$G$13),1,0)</x:f>
        <x:v>0</x:v>
      </x:c>
      <x:c r="T124" s="10" t="n">
        <x:f>EOMONTH(J124-'Сводка'!$B$11,-1)</x:f>
        <x:v>45961</x:v>
      </x:c>
      <x:c r="U124" s="4" t="n">
        <x:f>MATCH(J124,'Сводка'!$R$3:$R$397,0)</x:f>
        <x:v>135</x:v>
      </x:c>
      <x:c r="V124" s="4" t="n">
        <x:f>MATCH(J124-'Сводка'!$B$11,'Сводка'!$R$3:$R$397,0)</x:f>
        <x:v>134</x:v>
      </x:c>
      <x:c r="W124" s="4" t="n">
        <x:f>MATCH(T124,$J$388:$J$400,0)</x:f>
        <x:v>5</x:v>
      </x:c>
      <x:c r="X124" s="3"/>
      <x:c r="Y124" s="3"/>
      <x:c r="Z124" s="3"/>
    </x:row>
    <x:row r="125" ht="15" customHeight="1">
      <x:c r="A125" s="3"/>
      <x:c r="B125" s="3"/>
      <x:c r="C125" s="3"/>
      <x:c r="D125" s="3"/>
      <x:c r="E125" s="3"/>
      <x:c r="F125" s="3"/>
      <x:c r="G125" s="3"/>
      <x:c r="H125" s="3"/>
      <x:c r="I125" s="3"/>
      <x:c r="J125" s="10" t="n">
        <x:v>45976</x:v>
      </x:c>
      <x:c r="K125" s="8" t="n">
        <x:f>INDEX('Сводка'!$S$3:$S$397,U125)</x:f>
        <x:v>-90</x:v>
      </x:c>
      <x:c r="L125" s="8" t="n">
        <x:f>INDEX('Сводка'!$S$3:$S$397,V125)</x:f>
        <x:v>-95</x:v>
      </x:c>
      <x:c r="M125" s="8" t="n">
        <x:f>INDEX($K$388:$N$400,W125,1)*((J125-$T$405+1)/1000)^INDEX($K$388:$N$400,W125,2)+INDEX($O$388:$Z$400,W125,MONTH(J125))</x:f>
        <x:v>29.25222488603754</x:v>
      </x:c>
      <x:c r="N125" s="8" t="n">
        <x:f>K125-M125</x:f>
        <x:v>-119.25222488603754</x:v>
      </x:c>
      <x:c r="O125" s="8" t="n">
        <x:f>ABS(N125)</x:f>
        <x:v>119.25222488603754</x:v>
      </x:c>
      <x:c r="P125" s="8" t="n">
        <x:f>N125^2</x:f>
        <x:v>14221.093140270072</x:v>
      </x:c>
      <x:c r="Q125" s="8" t="n">
        <x:f>K125-L125</x:f>
        <x:v>5</x:v>
      </x:c>
      <x:c r="R125" s="9" t="n">
        <x:f>IF(AND(INDEX('Сводка'!$T$3:$T$397,U125)=0,INDEX('Сводка'!$T$3:$T$397,V125)=0),1,0)</x:f>
        <x:v>1</x:v>
      </x:c>
      <x:c r="S125" s="9" t="n">
        <x:f>IF(AND(R125=1,O125&lt;=$G$13),1,0)</x:f>
        <x:v>0</x:v>
      </x:c>
      <x:c r="T125" s="10" t="n">
        <x:f>EOMONTH(J125-'Сводка'!$B$11,-1)</x:f>
        <x:v>45961</x:v>
      </x:c>
      <x:c r="U125" s="4" t="n">
        <x:f>MATCH(J125,'Сводка'!$R$3:$R$397,0)</x:f>
        <x:v>136</x:v>
      </x:c>
      <x:c r="V125" s="4" t="n">
        <x:f>MATCH(J125-'Сводка'!$B$11,'Сводка'!$R$3:$R$397,0)</x:f>
        <x:v>135</x:v>
      </x:c>
      <x:c r="W125" s="4" t="n">
        <x:f>MATCH(T125,$J$388:$J$400,0)</x:f>
        <x:v>5</x:v>
      </x:c>
      <x:c r="X125" s="3"/>
      <x:c r="Y125" s="3"/>
      <x:c r="Z125" s="3"/>
    </x:row>
    <x:row r="126" ht="15" customHeight="1">
      <x:c r="A126" s="3"/>
      <x:c r="B126" s="3"/>
      <x:c r="C126" s="3"/>
      <x:c r="D126" s="3"/>
      <x:c r="E126" s="3"/>
      <x:c r="F126" s="3"/>
      <x:c r="G126" s="3"/>
      <x:c r="H126" s="3"/>
      <x:c r="I126" s="3"/>
      <x:c r="J126" s="10" t="n">
        <x:v>45977</x:v>
      </x:c>
      <x:c r="K126" s="8" t="n">
        <x:f>INDEX('Сводка'!$S$3:$S$397,U126)</x:f>
        <x:v>-81</x:v>
      </x:c>
      <x:c r="L126" s="8" t="n">
        <x:f>INDEX('Сводка'!$S$3:$S$397,V126)</x:f>
        <x:v>-90</x:v>
      </x:c>
      <x:c r="M126" s="8" t="n">
        <x:f>INDEX($K$388:$N$400,W126,1)*((J126-$T$405+1)/1000)^INDEX($K$388:$N$400,W126,2)+INDEX($O$388:$Z$400,W126,MONTH(J126))</x:f>
        <x:v>29.270428664072398</x:v>
      </x:c>
      <x:c r="N126" s="8" t="n">
        <x:f>K126-M126</x:f>
        <x:v>-110.2704286640724</x:v>
      </x:c>
      <x:c r="O126" s="8" t="n">
        <x:f>ABS(N126)</x:f>
        <x:v>110.2704286640724</x:v>
      </x:c>
      <x:c r="P126" s="8" t="n">
        <x:f>N126^2</x:f>
        <x:v>12159.56743775828</x:v>
      </x:c>
      <x:c r="Q126" s="8" t="n">
        <x:f>K126-L126</x:f>
        <x:v>9</x:v>
      </x:c>
      <x:c r="R126" s="9" t="n">
        <x:f>IF(AND(INDEX('Сводка'!$T$3:$T$397,U126)=0,INDEX('Сводка'!$T$3:$T$397,V126)=0),1,0)</x:f>
        <x:v>1</x:v>
      </x:c>
      <x:c r="S126" s="9" t="n">
        <x:f>IF(AND(R126=1,O126&lt;=$G$13),1,0)</x:f>
        <x:v>0</x:v>
      </x:c>
      <x:c r="T126" s="10" t="n">
        <x:f>EOMONTH(J126-'Сводка'!$B$11,-1)</x:f>
        <x:v>45961</x:v>
      </x:c>
      <x:c r="U126" s="4" t="n">
        <x:f>MATCH(J126,'Сводка'!$R$3:$R$397,0)</x:f>
        <x:v>137</x:v>
      </x:c>
      <x:c r="V126" s="4" t="n">
        <x:f>MATCH(J126-'Сводка'!$B$11,'Сводка'!$R$3:$R$397,0)</x:f>
        <x:v>136</x:v>
      </x:c>
      <x:c r="W126" s="4" t="n">
        <x:f>MATCH(T126,$J$388:$J$400,0)</x:f>
        <x:v>5</x:v>
      </x:c>
      <x:c r="X126" s="3"/>
      <x:c r="Y126" s="3"/>
      <x:c r="Z126" s="3"/>
    </x:row>
    <x:row r="127" ht="15" customHeight="1">
      <x:c r="A127" s="3"/>
      <x:c r="B127" s="3"/>
      <x:c r="C127" s="3"/>
      <x:c r="D127" s="3"/>
      <x:c r="E127" s="3"/>
      <x:c r="F127" s="3"/>
      <x:c r="G127" s="3"/>
      <x:c r="H127" s="3"/>
      <x:c r="I127" s="3"/>
      <x:c r="J127" s="10" t="n">
        <x:v>45978</x:v>
      </x:c>
      <x:c r="K127" s="8" t="n">
        <x:f>INDEX('Сводка'!$S$3:$S$397,U127)</x:f>
        <x:v>-83</x:v>
      </x:c>
      <x:c r="L127" s="8" t="n">
        <x:f>INDEX('Сводка'!$S$3:$S$397,V127)</x:f>
        <x:v>-81</x:v>
      </x:c>
      <x:c r="M127" s="8" t="n">
        <x:f>INDEX($K$388:$N$400,W127,1)*((J127-$T$405+1)/1000)^INDEX($K$388:$N$400,W127,2)+INDEX($O$388:$Z$400,W127,MONTH(J127))</x:f>
        <x:v>29.28863261000268</x:v>
      </x:c>
      <x:c r="N127" s="8" t="n">
        <x:f>K127-M127</x:f>
        <x:v>-112.28863261000268</x:v>
      </x:c>
      <x:c r="O127" s="8" t="n">
        <x:f>ABS(N127)</x:f>
        <x:v>112.28863261000268</x:v>
      </x:c>
      <x:c r="P127" s="8" t="n">
        <x:f>N127^2</x:f>
        <x:v>12608.737013424157</x:v>
      </x:c>
      <x:c r="Q127" s="8" t="n">
        <x:f>K127-L127</x:f>
        <x:v>-2</x:v>
      </x:c>
      <x:c r="R127" s="9" t="n">
        <x:f>IF(AND(INDEX('Сводка'!$T$3:$T$397,U127)=0,INDEX('Сводка'!$T$3:$T$397,V127)=0),1,0)</x:f>
        <x:v>1</x:v>
      </x:c>
      <x:c r="S127" s="9" t="n">
        <x:f>IF(AND(R127=1,O127&lt;=$G$13),1,0)</x:f>
        <x:v>0</x:v>
      </x:c>
      <x:c r="T127" s="10" t="n">
        <x:f>EOMONTH(J127-'Сводка'!$B$11,-1)</x:f>
        <x:v>45961</x:v>
      </x:c>
      <x:c r="U127" s="4" t="n">
        <x:f>MATCH(J127,'Сводка'!$R$3:$R$397,0)</x:f>
        <x:v>138</x:v>
      </x:c>
      <x:c r="V127" s="4" t="n">
        <x:f>MATCH(J127-'Сводка'!$B$11,'Сводка'!$R$3:$R$397,0)</x:f>
        <x:v>137</x:v>
      </x:c>
      <x:c r="W127" s="4" t="n">
        <x:f>MATCH(T127,$J$388:$J$400,0)</x:f>
        <x:v>5</x:v>
      </x:c>
      <x:c r="X127" s="3"/>
      <x:c r="Y127" s="3"/>
      <x:c r="Z127" s="3"/>
    </x:row>
    <x:row r="128" ht="15" customHeight="1">
      <x:c r="A128" s="3"/>
      <x:c r="B128" s="3"/>
      <x:c r="C128" s="3"/>
      <x:c r="D128" s="3"/>
      <x:c r="E128" s="3"/>
      <x:c r="F128" s="3"/>
      <x:c r="G128" s="3"/>
      <x:c r="H128" s="3"/>
      <x:c r="I128" s="3"/>
      <x:c r="J128" s="10" t="n">
        <x:v>45979</x:v>
      </x:c>
      <x:c r="K128" s="8" t="n">
        <x:f>INDEX('Сводка'!$S$3:$S$397,U128)</x:f>
        <x:v>-72</x:v>
      </x:c>
      <x:c r="L128" s="8" t="n">
        <x:f>INDEX('Сводка'!$S$3:$S$397,V128)</x:f>
        <x:v>-83</x:v>
      </x:c>
      <x:c r="M128" s="8" t="n">
        <x:f>INDEX($K$388:$N$400,W128,1)*((J128-$T$405+1)/1000)^INDEX($K$388:$N$400,W128,2)+INDEX($O$388:$Z$400,W128,MONTH(J128))</x:f>
        <x:v>29.306836723810733</x:v>
      </x:c>
      <x:c r="N128" s="8" t="n">
        <x:f>K128-M128</x:f>
        <x:v>-101.30683672381073</x:v>
      </x:c>
      <x:c r="O128" s="8" t="n">
        <x:f>ABS(N128)</x:f>
        <x:v>101.30683672381073</x:v>
      </x:c>
      <x:c r="P128" s="8" t="n">
        <x:f>N128^2</x:f>
        <x:v>10263.075166984847</x:v>
      </x:c>
      <x:c r="Q128" s="8" t="n">
        <x:f>K128-L128</x:f>
        <x:v>11</x:v>
      </x:c>
      <x:c r="R128" s="9" t="n">
        <x:f>IF(AND(INDEX('Сводка'!$T$3:$T$397,U128)=0,INDEX('Сводка'!$T$3:$T$397,V128)=0),1,0)</x:f>
        <x:v>1</x:v>
      </x:c>
      <x:c r="S128" s="9" t="n">
        <x:f>IF(AND(R128=1,O128&lt;=$G$13),1,0)</x:f>
        <x:v>0</x:v>
      </x:c>
      <x:c r="T128" s="10" t="n">
        <x:f>EOMONTH(J128-'Сводка'!$B$11,-1)</x:f>
        <x:v>45961</x:v>
      </x:c>
      <x:c r="U128" s="4" t="n">
        <x:f>MATCH(J128,'Сводка'!$R$3:$R$397,0)</x:f>
        <x:v>139</x:v>
      </x:c>
      <x:c r="V128" s="4" t="n">
        <x:f>MATCH(J128-'Сводка'!$B$11,'Сводка'!$R$3:$R$397,0)</x:f>
        <x:v>138</x:v>
      </x:c>
      <x:c r="W128" s="4" t="n">
        <x:f>MATCH(T128,$J$388:$J$400,0)</x:f>
        <x:v>5</x:v>
      </x:c>
      <x:c r="X128" s="3"/>
      <x:c r="Y128" s="3"/>
      <x:c r="Z128" s="3"/>
    </x:row>
    <x:row r="129" ht="15" customHeight="1">
      <x:c r="A129" s="3"/>
      <x:c r="B129" s="3"/>
      <x:c r="C129" s="3"/>
      <x:c r="D129" s="3"/>
      <x:c r="E129" s="3"/>
      <x:c r="F129" s="3"/>
      <x:c r="G129" s="3"/>
      <x:c r="H129" s="3"/>
      <x:c r="I129" s="3"/>
      <x:c r="J129" s="10" t="n">
        <x:v>45980</x:v>
      </x:c>
      <x:c r="K129" s="8" t="n">
        <x:f>INDEX('Сводка'!$S$3:$S$397,U129)</x:f>
        <x:v>-74</x:v>
      </x:c>
      <x:c r="L129" s="8" t="n">
        <x:f>INDEX('Сводка'!$S$3:$S$397,V129)</x:f>
        <x:v>-72</x:v>
      </x:c>
      <x:c r="M129" s="8" t="n">
        <x:f>INDEX($K$388:$N$400,W129,1)*((J129-$T$405+1)/1000)^INDEX($K$388:$N$400,W129,2)+INDEX($O$388:$Z$400,W129,MONTH(J129))</x:f>
        <x:v>29.325041005478795</x:v>
      </x:c>
      <x:c r="N129" s="8" t="n">
        <x:f>K129-M129</x:f>
        <x:v>-103.3250410054788</x:v>
      </x:c>
      <x:c r="O129" s="8" t="n">
        <x:f>ABS(N129)</x:f>
        <x:v>103.3250410054788</x:v>
      </x:c>
      <x:c r="P129" s="8" t="n">
        <x:f>N129^2</x:f>
        <x:v>10676.064098783874</x:v>
      </x:c>
      <x:c r="Q129" s="8" t="n">
        <x:f>K129-L129</x:f>
        <x:v>-2</x:v>
      </x:c>
      <x:c r="R129" s="9" t="n">
        <x:f>IF(AND(INDEX('Сводка'!$T$3:$T$397,U129)=0,INDEX('Сводка'!$T$3:$T$397,V129)=0),1,0)</x:f>
        <x:v>1</x:v>
      </x:c>
      <x:c r="S129" s="9" t="n">
        <x:f>IF(AND(R129=1,O129&lt;=$G$13),1,0)</x:f>
        <x:v>0</x:v>
      </x:c>
      <x:c r="T129" s="10" t="n">
        <x:f>EOMONTH(J129-'Сводка'!$B$11,-1)</x:f>
        <x:v>45961</x:v>
      </x:c>
      <x:c r="U129" s="4" t="n">
        <x:f>MATCH(J129,'Сводка'!$R$3:$R$397,0)</x:f>
        <x:v>140</x:v>
      </x:c>
      <x:c r="V129" s="4" t="n">
        <x:f>MATCH(J129-'Сводка'!$B$11,'Сводка'!$R$3:$R$397,0)</x:f>
        <x:v>139</x:v>
      </x:c>
      <x:c r="W129" s="4" t="n">
        <x:f>MATCH(T129,$J$388:$J$400,0)</x:f>
        <x:v>5</x:v>
      </x:c>
      <x:c r="X129" s="3"/>
      <x:c r="Y129" s="3"/>
      <x:c r="Z129" s="3"/>
    </x:row>
    <x:row r="130" ht="15" customHeight="1">
      <x:c r="A130" s="3"/>
      <x:c r="B130" s="3"/>
      <x:c r="C130" s="3"/>
      <x:c r="D130" s="3"/>
      <x:c r="E130" s="3"/>
      <x:c r="F130" s="3"/>
      <x:c r="G130" s="3"/>
      <x:c r="H130" s="3"/>
      <x:c r="I130" s="3"/>
      <x:c r="J130" s="10" t="n">
        <x:v>45981</x:v>
      </x:c>
      <x:c r="K130" s="8" t="n">
        <x:f>INDEX('Сводка'!$S$3:$S$397,U130)</x:f>
        <x:v>-71</x:v>
      </x:c>
      <x:c r="L130" s="8" t="n">
        <x:f>INDEX('Сводка'!$S$3:$S$397,V130)</x:f>
        <x:v>-74</x:v>
      </x:c>
      <x:c r="M130" s="8" t="n">
        <x:f>INDEX($K$388:$N$400,W130,1)*((J130-$T$405+1)/1000)^INDEX($K$388:$N$400,W130,2)+INDEX($O$388:$Z$400,W130,MONTH(J130))</x:f>
        <x:v>29.343245454989216</x:v>
      </x:c>
      <x:c r="N130" s="8" t="n">
        <x:f>K130-M130</x:f>
        <x:v>-100.34324545498922</x:v>
      </x:c>
      <x:c r="O130" s="8" t="n">
        <x:f>ABS(N130)</x:f>
        <x:v>100.34324545498922</x:v>
      </x:c>
      <x:c r="P130" s="8" t="n">
        <x:f>N130^2</x:f>
        <x:v>10068.766908440213</x:v>
      </x:c>
      <x:c r="Q130" s="8" t="n">
        <x:f>K130-L130</x:f>
        <x:v>3</x:v>
      </x:c>
      <x:c r="R130" s="9" t="n">
        <x:f>IF(AND(INDEX('Сводка'!$T$3:$T$397,U130)=0,INDEX('Сводка'!$T$3:$T$397,V130)=0),1,0)</x:f>
        <x:v>1</x:v>
      </x:c>
      <x:c r="S130" s="9" t="n">
        <x:f>IF(AND(R130=1,O130&lt;=$G$13),1,0)</x:f>
        <x:v>0</x:v>
      </x:c>
      <x:c r="T130" s="10" t="n">
        <x:f>EOMONTH(J130-'Сводка'!$B$11,-1)</x:f>
        <x:v>45961</x:v>
      </x:c>
      <x:c r="U130" s="4" t="n">
        <x:f>MATCH(J130,'Сводка'!$R$3:$R$397,0)</x:f>
        <x:v>141</x:v>
      </x:c>
      <x:c r="V130" s="4" t="n">
        <x:f>MATCH(J130-'Сводка'!$B$11,'Сводка'!$R$3:$R$397,0)</x:f>
        <x:v>140</x:v>
      </x:c>
      <x:c r="W130" s="4" t="n">
        <x:f>MATCH(T130,$J$388:$J$400,0)</x:f>
        <x:v>5</x:v>
      </x:c>
      <x:c r="X130" s="3"/>
      <x:c r="Y130" s="3"/>
      <x:c r="Z130" s="3"/>
    </x:row>
    <x:row r="131" ht="15" customHeight="1">
      <x:c r="A131" s="3"/>
      <x:c r="B131" s="3"/>
      <x:c r="C131" s="3"/>
      <x:c r="D131" s="3"/>
      <x:c r="E131" s="3"/>
      <x:c r="F131" s="3"/>
      <x:c r="G131" s="3"/>
      <x:c r="H131" s="3"/>
      <x:c r="I131" s="3"/>
      <x:c r="J131" s="10" t="n">
        <x:v>45982</x:v>
      </x:c>
      <x:c r="K131" s="8" t="n">
        <x:f>INDEX('Сводка'!$S$3:$S$397,U131)</x:f>
        <x:v>-85</x:v>
      </x:c>
      <x:c r="L131" s="8" t="n">
        <x:f>INDEX('Сводка'!$S$3:$S$397,V131)</x:f>
        <x:v>-71</x:v>
      </x:c>
      <x:c r="M131" s="8" t="n">
        <x:f>INDEX($K$388:$N$400,W131,1)*((J131-$T$405+1)/1000)^INDEX($K$388:$N$400,W131,2)+INDEX($O$388:$Z$400,W131,MONTH(J131))</x:f>
        <x:v>29.361450072324317</x:v>
      </x:c>
      <x:c r="N131" s="8" t="n">
        <x:f>K131-M131</x:f>
        <x:v>-114.36145007232432</x:v>
      </x:c>
      <x:c r="O131" s="8" t="n">
        <x:f>ABS(N131)</x:f>
        <x:v>114.36145007232432</x:v>
      </x:c>
      <x:c r="P131" s="8" t="n">
        <x:f>N131^2</x:f>
        <x:v>13078.541262644727</x:v>
      </x:c>
      <x:c r="Q131" s="8" t="n">
        <x:f>K131-L131</x:f>
        <x:v>-14</x:v>
      </x:c>
      <x:c r="R131" s="9" t="n">
        <x:f>IF(AND(INDEX('Сводка'!$T$3:$T$397,U131)=0,INDEX('Сводка'!$T$3:$T$397,V131)=0),1,0)</x:f>
        <x:v>1</x:v>
      </x:c>
      <x:c r="S131" s="9" t="n">
        <x:f>IF(AND(R131=1,O131&lt;=$G$13),1,0)</x:f>
        <x:v>0</x:v>
      </x:c>
      <x:c r="T131" s="10" t="n">
        <x:f>EOMONTH(J131-'Сводка'!$B$11,-1)</x:f>
        <x:v>45961</x:v>
      </x:c>
      <x:c r="U131" s="4" t="n">
        <x:f>MATCH(J131,'Сводка'!$R$3:$R$397,0)</x:f>
        <x:v>142</x:v>
      </x:c>
      <x:c r="V131" s="4" t="n">
        <x:f>MATCH(J131-'Сводка'!$B$11,'Сводка'!$R$3:$R$397,0)</x:f>
        <x:v>141</x:v>
      </x:c>
      <x:c r="W131" s="4" t="n">
        <x:f>MATCH(T131,$J$388:$J$400,0)</x:f>
        <x:v>5</x:v>
      </x:c>
      <x:c r="X131" s="3"/>
      <x:c r="Y131" s="3"/>
      <x:c r="Z131" s="3"/>
    </x:row>
    <x:row r="132" ht="15" customHeight="1">
      <x:c r="A132" s="3"/>
      <x:c r="B132" s="3"/>
      <x:c r="C132" s="3"/>
      <x:c r="D132" s="3"/>
      <x:c r="E132" s="3"/>
      <x:c r="F132" s="3"/>
      <x:c r="G132" s="3"/>
      <x:c r="H132" s="3"/>
      <x:c r="I132" s="3"/>
      <x:c r="J132" s="10" t="n">
        <x:v>45983</x:v>
      </x:c>
      <x:c r="K132" s="8" t="n">
        <x:f>INDEX('Сводка'!$S$3:$S$397,U132)</x:f>
        <x:v>-98</x:v>
      </x:c>
      <x:c r="L132" s="8" t="n">
        <x:f>INDEX('Сводка'!$S$3:$S$397,V132)</x:f>
        <x:v>-85</x:v>
      </x:c>
      <x:c r="M132" s="8" t="n">
        <x:f>INDEX($K$388:$N$400,W132,1)*((J132-$T$405+1)/1000)^INDEX($K$388:$N$400,W132,2)+INDEX($O$388:$Z$400,W132,MONTH(J132))</x:f>
        <x:v>29.379654857466363</x:v>
      </x:c>
      <x:c r="N132" s="8" t="n">
        <x:f>K132-M132</x:f>
        <x:v>-127.37965485746636</x:v>
      </x:c>
      <x:c r="O132" s="8" t="n">
        <x:f>ABS(N132)</x:f>
        <x:v>127.37965485746636</x:v>
      </x:c>
      <x:c r="P132" s="8" t="n">
        <x:f>N132^2</x:f>
        <x:v>16225.576471607254</x:v>
      </x:c>
      <x:c r="Q132" s="8" t="n">
        <x:f>K132-L132</x:f>
        <x:v>-13</x:v>
      </x:c>
      <x:c r="R132" s="9" t="n">
        <x:f>IF(AND(INDEX('Сводка'!$T$3:$T$397,U132)=0,INDEX('Сводка'!$T$3:$T$397,V132)=0),1,0)</x:f>
        <x:v>1</x:v>
      </x:c>
      <x:c r="S132" s="9" t="n">
        <x:f>IF(AND(R132=1,O132&lt;=$G$13),1,0)</x:f>
        <x:v>0</x:v>
      </x:c>
      <x:c r="T132" s="10" t="n">
        <x:f>EOMONTH(J132-'Сводка'!$B$11,-1)</x:f>
        <x:v>45961</x:v>
      </x:c>
      <x:c r="U132" s="4" t="n">
        <x:f>MATCH(J132,'Сводка'!$R$3:$R$397,0)</x:f>
        <x:v>143</x:v>
      </x:c>
      <x:c r="V132" s="4" t="n">
        <x:f>MATCH(J132-'Сводка'!$B$11,'Сводка'!$R$3:$R$397,0)</x:f>
        <x:v>142</x:v>
      </x:c>
      <x:c r="W132" s="4" t="n">
        <x:f>MATCH(T132,$J$388:$J$400,0)</x:f>
        <x:v>5</x:v>
      </x:c>
      <x:c r="X132" s="3"/>
      <x:c r="Y132" s="3"/>
      <x:c r="Z132" s="3"/>
    </x:row>
    <x:row r="133" ht="15" customHeight="1">
      <x:c r="A133" s="3"/>
      <x:c r="B133" s="3"/>
      <x:c r="C133" s="3"/>
      <x:c r="D133" s="3"/>
      <x:c r="E133" s="3"/>
      <x:c r="F133" s="3"/>
      <x:c r="G133" s="3"/>
      <x:c r="H133" s="3"/>
      <x:c r="I133" s="3"/>
      <x:c r="J133" s="10" t="n">
        <x:v>45984</x:v>
      </x:c>
      <x:c r="K133" s="8" t="n">
        <x:f>INDEX('Сводка'!$S$3:$S$397,U133)</x:f>
        <x:v>-118</x:v>
      </x:c>
      <x:c r="L133" s="8" t="n">
        <x:f>INDEX('Сводка'!$S$3:$S$397,V133)</x:f>
        <x:v>-98</x:v>
      </x:c>
      <x:c r="M133" s="8" t="n">
        <x:f>INDEX($K$388:$N$400,W133,1)*((J133-$T$405+1)/1000)^INDEX($K$388:$N$400,W133,2)+INDEX($O$388:$Z$400,W133,MONTH(J133))</x:f>
        <x:v>29.397859810397733</x:v>
      </x:c>
      <x:c r="N133" s="8" t="n">
        <x:f>K133-M133</x:f>
        <x:v>-147.39785981039773</x:v>
      </x:c>
      <x:c r="O133" s="8" t="n">
        <x:f>ABS(N133)</x:f>
        <x:v>147.39785981039773</x:v>
      </x:c>
      <x:c r="P133" s="8" t="n">
        <x:f>N133^2</x:f>
        <x:v>21726.129076685662</x:v>
      </x:c>
      <x:c r="Q133" s="8" t="n">
        <x:f>K133-L133</x:f>
        <x:v>-20</x:v>
      </x:c>
      <x:c r="R133" s="9" t="n">
        <x:f>IF(AND(INDEX('Сводка'!$T$3:$T$397,U133)=0,INDEX('Сводка'!$T$3:$T$397,V133)=0),1,0)</x:f>
        <x:v>1</x:v>
      </x:c>
      <x:c r="S133" s="9" t="n">
        <x:f>IF(AND(R133=1,O133&lt;=$G$13),1,0)</x:f>
        <x:v>0</x:v>
      </x:c>
      <x:c r="T133" s="10" t="n">
        <x:f>EOMONTH(J133-'Сводка'!$B$11,-1)</x:f>
        <x:v>45961</x:v>
      </x:c>
      <x:c r="U133" s="4" t="n">
        <x:f>MATCH(J133,'Сводка'!$R$3:$R$397,0)</x:f>
        <x:v>144</x:v>
      </x:c>
      <x:c r="V133" s="4" t="n">
        <x:f>MATCH(J133-'Сводка'!$B$11,'Сводка'!$R$3:$R$397,0)</x:f>
        <x:v>143</x:v>
      </x:c>
      <x:c r="W133" s="4" t="n">
        <x:f>MATCH(T133,$J$388:$J$400,0)</x:f>
        <x:v>5</x:v>
      </x:c>
      <x:c r="X133" s="3"/>
      <x:c r="Y133" s="3"/>
      <x:c r="Z133" s="3"/>
    </x:row>
    <x:row r="134" ht="15" customHeight="1">
      <x:c r="A134" s="3"/>
      <x:c r="B134" s="3"/>
      <x:c r="C134" s="3"/>
      <x:c r="D134" s="3"/>
      <x:c r="E134" s="3"/>
      <x:c r="F134" s="3"/>
      <x:c r="G134" s="3"/>
      <x:c r="H134" s="3"/>
      <x:c r="I134" s="3"/>
      <x:c r="J134" s="10" t="n">
        <x:v>45985</x:v>
      </x:c>
      <x:c r="K134" s="8" t="n">
        <x:f>INDEX('Сводка'!$S$3:$S$397,U134)</x:f>
        <x:v>-123</x:v>
      </x:c>
      <x:c r="L134" s="8" t="n">
        <x:f>INDEX('Сводка'!$S$3:$S$397,V134)</x:f>
        <x:v>-118</x:v>
      </x:c>
      <x:c r="M134" s="8" t="n">
        <x:f>INDEX($K$388:$N$400,W134,1)*((J134-$T$405+1)/1000)^INDEX($K$388:$N$400,W134,2)+INDEX($O$388:$Z$400,W134,MONTH(J134))</x:f>
        <x:v>29.416064931100692</x:v>
      </x:c>
      <x:c r="N134" s="8" t="n">
        <x:f>K134-M134</x:f>
        <x:v>-152.4160649311007</x:v>
      </x:c>
      <x:c r="O134" s="8" t="n">
        <x:f>ABS(N134)</x:f>
        <x:v>152.4160649311007</x:v>
      </x:c>
      <x:c r="P134" s="8" t="n">
        <x:f>N134^2</x:f>
        <x:v>23230.6568490815</x:v>
      </x:c>
      <x:c r="Q134" s="8" t="n">
        <x:f>K134-L134</x:f>
        <x:v>-5</x:v>
      </x:c>
      <x:c r="R134" s="9" t="n">
        <x:f>IF(AND(INDEX('Сводка'!$T$3:$T$397,U134)=0,INDEX('Сводка'!$T$3:$T$397,V134)=0),1,0)</x:f>
        <x:v>1</x:v>
      </x:c>
      <x:c r="S134" s="9" t="n">
        <x:f>IF(AND(R134=1,O134&lt;=$G$13),1,0)</x:f>
        <x:v>0</x:v>
      </x:c>
      <x:c r="T134" s="10" t="n">
        <x:f>EOMONTH(J134-'Сводка'!$B$11,-1)</x:f>
        <x:v>45961</x:v>
      </x:c>
      <x:c r="U134" s="4" t="n">
        <x:f>MATCH(J134,'Сводка'!$R$3:$R$397,0)</x:f>
        <x:v>145</x:v>
      </x:c>
      <x:c r="V134" s="4" t="n">
        <x:f>MATCH(J134-'Сводка'!$B$11,'Сводка'!$R$3:$R$397,0)</x:f>
        <x:v>144</x:v>
      </x:c>
      <x:c r="W134" s="4" t="n">
        <x:f>MATCH(T134,$J$388:$J$400,0)</x:f>
        <x:v>5</x:v>
      </x:c>
      <x:c r="X134" s="3"/>
      <x:c r="Y134" s="3"/>
      <x:c r="Z134" s="3"/>
    </x:row>
    <x:row r="135" ht="15" customHeight="1">
      <x:c r="A135" s="3"/>
      <x:c r="B135" s="3"/>
      <x:c r="C135" s="3"/>
      <x:c r="D135" s="3"/>
      <x:c r="E135" s="3"/>
      <x:c r="F135" s="3"/>
      <x:c r="G135" s="3"/>
      <x:c r="H135" s="3"/>
      <x:c r="I135" s="3"/>
      <x:c r="J135" s="10" t="n">
        <x:v>45986</x:v>
      </x:c>
      <x:c r="K135" s="8" t="n">
        <x:f>INDEX('Сводка'!$S$3:$S$397,U135)</x:f>
        <x:v>-116</x:v>
      </x:c>
      <x:c r="L135" s="8" t="n">
        <x:f>INDEX('Сводка'!$S$3:$S$397,V135)</x:f>
        <x:v>-123</x:v>
      </x:c>
      <x:c r="M135" s="8" t="n">
        <x:f>INDEX($K$388:$N$400,W135,1)*((J135-$T$405+1)/1000)^INDEX($K$388:$N$400,W135,2)+INDEX($O$388:$Z$400,W135,MONTH(J135))</x:f>
        <x:v>29.434270219557618</x:v>
      </x:c>
      <x:c r="N135" s="8" t="n">
        <x:f>K135-M135</x:f>
        <x:v>-145.43427021955762</x:v>
      </x:c>
      <x:c r="O135" s="8" t="n">
        <x:f>ABS(N135)</x:f>
        <x:v>145.43427021955762</x:v>
      </x:c>
      <x:c r="P135" s="8" t="n">
        <x:f>N135^2</x:f>
        <x:v>21151.126954295305</x:v>
      </x:c>
      <x:c r="Q135" s="8" t="n">
        <x:f>K135-L135</x:f>
        <x:v>7</x:v>
      </x:c>
      <x:c r="R135" s="9" t="n">
        <x:f>IF(AND(INDEX('Сводка'!$T$3:$T$397,U135)=0,INDEX('Сводка'!$T$3:$T$397,V135)=0),1,0)</x:f>
        <x:v>1</x:v>
      </x:c>
      <x:c r="S135" s="9" t="n">
        <x:f>IF(AND(R135=1,O135&lt;=$G$13),1,0)</x:f>
        <x:v>0</x:v>
      </x:c>
      <x:c r="T135" s="10" t="n">
        <x:f>EOMONTH(J135-'Сводка'!$B$11,-1)</x:f>
        <x:v>45961</x:v>
      </x:c>
      <x:c r="U135" s="4" t="n">
        <x:f>MATCH(J135,'Сводка'!$R$3:$R$397,0)</x:f>
        <x:v>146</x:v>
      </x:c>
      <x:c r="V135" s="4" t="n">
        <x:f>MATCH(J135-'Сводка'!$B$11,'Сводка'!$R$3:$R$397,0)</x:f>
        <x:v>145</x:v>
      </x:c>
      <x:c r="W135" s="4" t="n">
        <x:f>MATCH(T135,$J$388:$J$400,0)</x:f>
        <x:v>5</x:v>
      </x:c>
      <x:c r="X135" s="3"/>
      <x:c r="Y135" s="3"/>
      <x:c r="Z135" s="3"/>
    </x:row>
    <x:row r="136" ht="15" customHeight="1">
      <x:c r="A136" s="3"/>
      <x:c r="B136" s="3"/>
      <x:c r="C136" s="3"/>
      <x:c r="D136" s="3"/>
      <x:c r="E136" s="3"/>
      <x:c r="F136" s="3"/>
      <x:c r="G136" s="3"/>
      <x:c r="H136" s="3"/>
      <x:c r="I136" s="3"/>
      <x:c r="J136" s="10" t="n">
        <x:v>45987</x:v>
      </x:c>
      <x:c r="K136" s="8" t="n">
        <x:f>INDEX('Сводка'!$S$3:$S$397,U136)</x:f>
        <x:v>-119</x:v>
      </x:c>
      <x:c r="L136" s="8" t="n">
        <x:f>INDEX('Сводка'!$S$3:$S$397,V136)</x:f>
        <x:v>-116</x:v>
      </x:c>
      <x:c r="M136" s="8" t="n">
        <x:f>INDEX($K$388:$N$400,W136,1)*((J136-$T$405+1)/1000)^INDEX($K$388:$N$400,W136,2)+INDEX($O$388:$Z$400,W136,MONTH(J136))</x:f>
        <x:v>29.452475675750804</x:v>
      </x:c>
      <x:c r="N136" s="8" t="n">
        <x:f>K136-M136</x:f>
        <x:v>-148.4524756757508</x:v>
      </x:c>
      <x:c r="O136" s="8" t="n">
        <x:f>ABS(N136)</x:f>
        <x:v>148.4524756757508</x:v>
      </x:c>
      <x:c r="P136" s="8" t="n">
        <x:f>N136^2</x:f>
        <x:v>22038.137534259386</x:v>
      </x:c>
      <x:c r="Q136" s="8" t="n">
        <x:f>K136-L136</x:f>
        <x:v>-3</x:v>
      </x:c>
      <x:c r="R136" s="9" t="n">
        <x:f>IF(AND(INDEX('Сводка'!$T$3:$T$397,U136)=0,INDEX('Сводка'!$T$3:$T$397,V136)=0),1,0)</x:f>
        <x:v>1</x:v>
      </x:c>
      <x:c r="S136" s="9" t="n">
        <x:f>IF(AND(R136=1,O136&lt;=$G$13),1,0)</x:f>
        <x:v>0</x:v>
      </x:c>
      <x:c r="T136" s="10" t="n">
        <x:f>EOMONTH(J136-'Сводка'!$B$11,-1)</x:f>
        <x:v>45961</x:v>
      </x:c>
      <x:c r="U136" s="4" t="n">
        <x:f>MATCH(J136,'Сводка'!$R$3:$R$397,0)</x:f>
        <x:v>147</x:v>
      </x:c>
      <x:c r="V136" s="4" t="n">
        <x:f>MATCH(J136-'Сводка'!$B$11,'Сводка'!$R$3:$R$397,0)</x:f>
        <x:v>146</x:v>
      </x:c>
      <x:c r="W136" s="4" t="n">
        <x:f>MATCH(T136,$J$388:$J$400,0)</x:f>
        <x:v>5</x:v>
      </x:c>
      <x:c r="X136" s="3"/>
      <x:c r="Y136" s="3"/>
      <x:c r="Z136" s="3"/>
    </x:row>
    <x:row r="137" ht="15" customHeight="1">
      <x:c r="A137" s="3"/>
      <x:c r="B137" s="3"/>
      <x:c r="C137" s="3"/>
      <x:c r="D137" s="3"/>
      <x:c r="E137" s="3"/>
      <x:c r="F137" s="3"/>
      <x:c r="G137" s="3"/>
      <x:c r="H137" s="3"/>
      <x:c r="I137" s="3"/>
      <x:c r="J137" s="10" t="n">
        <x:v>45988</x:v>
      </x:c>
      <x:c r="K137" s="8" t="n">
        <x:f>INDEX('Сводка'!$S$3:$S$397,U137)</x:f>
        <x:v>-114</x:v>
      </x:c>
      <x:c r="L137" s="8" t="n">
        <x:f>INDEX('Сводка'!$S$3:$S$397,V137)</x:f>
        <x:v>-119</x:v>
      </x:c>
      <x:c r="M137" s="8" t="n">
        <x:f>INDEX($K$388:$N$400,W137,1)*((J137-$T$405+1)/1000)^INDEX($K$388:$N$400,W137,2)+INDEX($O$388:$Z$400,W137,MONTH(J137))</x:f>
        <x:v>29.4706812996626</x:v>
      </x:c>
      <x:c r="N137" s="8" t="n">
        <x:f>K137-M137</x:f>
        <x:v>-143.4706812996626</x:v>
      </x:c>
      <x:c r="O137" s="8" t="n">
        <x:f>ABS(N137)</x:f>
        <x:v>143.4706812996626</x:v>
      </x:c>
      <x:c r="P137" s="8" t="n">
        <x:f>N137^2</x:f>
        <x:v>20583.836392589357</x:v>
      </x:c>
      <x:c r="Q137" s="8" t="n">
        <x:f>K137-L137</x:f>
        <x:v>5</x:v>
      </x:c>
      <x:c r="R137" s="9" t="n">
        <x:f>IF(AND(INDEX('Сводка'!$T$3:$T$397,U137)=0,INDEX('Сводка'!$T$3:$T$397,V137)=0),1,0)</x:f>
        <x:v>1</x:v>
      </x:c>
      <x:c r="S137" s="9" t="n">
        <x:f>IF(AND(R137=1,O137&lt;=$G$13),1,0)</x:f>
        <x:v>0</x:v>
      </x:c>
      <x:c r="T137" s="10" t="n">
        <x:f>EOMONTH(J137-'Сводка'!$B$11,-1)</x:f>
        <x:v>45961</x:v>
      </x:c>
      <x:c r="U137" s="4" t="n">
        <x:f>MATCH(J137,'Сводка'!$R$3:$R$397,0)</x:f>
        <x:v>148</x:v>
      </x:c>
      <x:c r="V137" s="4" t="n">
        <x:f>MATCH(J137-'Сводка'!$B$11,'Сводка'!$R$3:$R$397,0)</x:f>
        <x:v>147</x:v>
      </x:c>
      <x:c r="W137" s="4" t="n">
        <x:f>MATCH(T137,$J$388:$J$400,0)</x:f>
        <x:v>5</x:v>
      </x:c>
      <x:c r="X137" s="3"/>
      <x:c r="Y137" s="3"/>
      <x:c r="Z137" s="3"/>
    </x:row>
    <x:row r="138" ht="15" customHeight="1">
      <x:c r="A138" s="3"/>
      <x:c r="B138" s="3"/>
      <x:c r="C138" s="3"/>
      <x:c r="D138" s="3"/>
      <x:c r="E138" s="3"/>
      <x:c r="F138" s="3"/>
      <x:c r="G138" s="3"/>
      <x:c r="H138" s="3"/>
      <x:c r="I138" s="3"/>
      <x:c r="J138" s="10" t="n">
        <x:v>45989</x:v>
      </x:c>
      <x:c r="K138" s="8" t="n">
        <x:f>INDEX('Сводка'!$S$3:$S$397,U138)</x:f>
        <x:v>-86</x:v>
      </x:c>
      <x:c r="L138" s="8" t="n">
        <x:f>INDEX('Сводка'!$S$3:$S$397,V138)</x:f>
        <x:v>-114</x:v>
      </x:c>
      <x:c r="M138" s="8" t="n">
        <x:f>INDEX($K$388:$N$400,W138,1)*((J138-$T$405+1)/1000)^INDEX($K$388:$N$400,W138,2)+INDEX($O$388:$Z$400,W138,MONTH(J138))</x:f>
        <x:v>29.48888709127536</x:v>
      </x:c>
      <x:c r="N138" s="8" t="n">
        <x:f>K138-M138</x:f>
        <x:v>-115.48888709127536</x:v>
      </x:c>
      <x:c r="O138" s="8" t="n">
        <x:f>ABS(N138)</x:f>
        <x:v>115.48888709127536</x:v>
      </x:c>
      <x:c r="P138" s="8" t="n">
        <x:f>N138^2</x:f>
        <x:v>13337.683041581347</x:v>
      </x:c>
      <x:c r="Q138" s="8" t="n">
        <x:f>K138-L138</x:f>
        <x:v>28</x:v>
      </x:c>
      <x:c r="R138" s="9" t="n">
        <x:f>IF(AND(INDEX('Сводка'!$T$3:$T$397,U138)=0,INDEX('Сводка'!$T$3:$T$397,V138)=0),1,0)</x:f>
        <x:v>0</x:v>
      </x:c>
      <x:c r="S138" s="9" t="n">
        <x:f>IF(AND(R138=1,O138&lt;=$G$13),1,0)</x:f>
        <x:v>0</x:v>
      </x:c>
      <x:c r="T138" s="10" t="n">
        <x:f>EOMONTH(J138-'Сводка'!$B$11,-1)</x:f>
        <x:v>45961</x:v>
      </x:c>
      <x:c r="U138" s="4" t="n">
        <x:f>MATCH(J138,'Сводка'!$R$3:$R$397,0)</x:f>
        <x:v>149</x:v>
      </x:c>
      <x:c r="V138" s="4" t="n">
        <x:f>MATCH(J138-'Сводка'!$B$11,'Сводка'!$R$3:$R$397,0)</x:f>
        <x:v>148</x:v>
      </x:c>
      <x:c r="W138" s="4" t="n">
        <x:f>MATCH(T138,$J$388:$J$400,0)</x:f>
        <x:v>5</x:v>
      </x:c>
      <x:c r="X138" s="3"/>
      <x:c r="Y138" s="3"/>
      <x:c r="Z138" s="3"/>
    </x:row>
    <x:row r="139" ht="15" customHeight="1">
      <x:c r="A139" s="3"/>
      <x:c r="B139" s="3"/>
      <x:c r="C139" s="3"/>
      <x:c r="D139" s="3"/>
      <x:c r="E139" s="3"/>
      <x:c r="F139" s="3"/>
      <x:c r="G139" s="3"/>
      <x:c r="H139" s="3"/>
      <x:c r="I139" s="3"/>
      <x:c r="J139" s="10" t="n">
        <x:v>45990</x:v>
      </x:c>
      <x:c r="K139" s="8" t="n">
        <x:f>INDEX('Сводка'!$S$3:$S$397,U139)</x:f>
        <x:v>-58</x:v>
      </x:c>
      <x:c r="L139" s="8" t="n">
        <x:f>INDEX('Сводка'!$S$3:$S$397,V139)</x:f>
        <x:v>-86</x:v>
      </x:c>
      <x:c r="M139" s="8" t="n">
        <x:f>INDEX($K$388:$N$400,W139,1)*((J139-$T$405+1)/1000)^INDEX($K$388:$N$400,W139,2)+INDEX($O$388:$Z$400,W139,MONTH(J139))</x:f>
        <x:v>29.50709305057137</x:v>
      </x:c>
      <x:c r="N139" s="8" t="n">
        <x:f>K139-M139</x:f>
        <x:v>-87.50709305057137</x:v>
      </x:c>
      <x:c r="O139" s="8" t="n">
        <x:f>ABS(N139)</x:f>
        <x:v>87.50709305057137</x:v>
      </x:c>
      <x:c r="P139" s="8" t="n">
        <x:f>N139^2</x:f>
        <x:v>7657.4913341613565</x:v>
      </x:c>
      <x:c r="Q139" s="8" t="n">
        <x:f>K139-L139</x:f>
        <x:v>28</x:v>
      </x:c>
      <x:c r="R139" s="9" t="n">
        <x:f>IF(AND(INDEX('Сводка'!$T$3:$T$397,U139)=0,INDEX('Сводка'!$T$3:$T$397,V139)=0),1,0)</x:f>
        <x:v>0</x:v>
      </x:c>
      <x:c r="S139" s="9" t="n">
        <x:f>IF(AND(R139=1,O139&lt;=$G$13),1,0)</x:f>
        <x:v>0</x:v>
      </x:c>
      <x:c r="T139" s="10" t="n">
        <x:f>EOMONTH(J139-'Сводка'!$B$11,-1)</x:f>
        <x:v>45961</x:v>
      </x:c>
      <x:c r="U139" s="4" t="n">
        <x:f>MATCH(J139,'Сводка'!$R$3:$R$397,0)</x:f>
        <x:v>150</x:v>
      </x:c>
      <x:c r="V139" s="4" t="n">
        <x:f>MATCH(J139-'Сводка'!$B$11,'Сводка'!$R$3:$R$397,0)</x:f>
        <x:v>149</x:v>
      </x:c>
      <x:c r="W139" s="4" t="n">
        <x:f>MATCH(T139,$J$388:$J$400,0)</x:f>
        <x:v>5</x:v>
      </x:c>
      <x:c r="X139" s="3"/>
      <x:c r="Y139" s="3"/>
      <x:c r="Z139" s="3"/>
    </x:row>
    <x:row r="140" ht="15" customHeight="1">
      <x:c r="A140" s="3"/>
      <x:c r="B140" s="3"/>
      <x:c r="C140" s="3"/>
      <x:c r="D140" s="3"/>
      <x:c r="E140" s="3"/>
      <x:c r="F140" s="3"/>
      <x:c r="G140" s="3"/>
      <x:c r="H140" s="3"/>
      <x:c r="I140" s="3"/>
      <x:c r="J140" s="10" t="n">
        <x:v>45991</x:v>
      </x:c>
      <x:c r="K140" s="8" t="n">
        <x:f>INDEX('Сводка'!$S$3:$S$397,U140)</x:f>
        <x:v>-53</x:v>
      </x:c>
      <x:c r="L140" s="8" t="n">
        <x:f>INDEX('Сводка'!$S$3:$S$397,V140)</x:f>
        <x:v>-58</x:v>
      </x:c>
      <x:c r="M140" s="8" t="n">
        <x:f>INDEX($K$388:$N$400,W140,1)*((J140-$T$405+1)/1000)^INDEX($K$388:$N$400,W140,2)+INDEX($O$388:$Z$400,W140,MONTH(J140))</x:f>
        <x:v>29.525299177532986</x:v>
      </x:c>
      <x:c r="N140" s="8" t="n">
        <x:f>K140-M140</x:f>
        <x:v>-82.52529917753299</x:v>
      </x:c>
      <x:c r="O140" s="8" t="n">
        <x:f>ABS(N140)</x:f>
        <x:v>82.52529917753299</x:v>
      </x:c>
      <x:c r="P140" s="8" t="n">
        <x:f>N140^2</x:f>
        <x:v>6810.425004341327</x:v>
      </x:c>
      <x:c r="Q140" s="8" t="n">
        <x:f>K140-L140</x:f>
        <x:v>5</x:v>
      </x:c>
      <x:c r="R140" s="9" t="n">
        <x:f>IF(AND(INDEX('Сводка'!$T$3:$T$397,U140)=0,INDEX('Сводка'!$T$3:$T$397,V140)=0),1,0)</x:f>
        <x:v>1</x:v>
      </x:c>
      <x:c r="S140" s="9" t="n">
        <x:f>IF(AND(R140=1,O140&lt;=$G$13),1,0)</x:f>
        <x:v>0</x:v>
      </x:c>
      <x:c r="T140" s="10" t="n">
        <x:f>EOMONTH(J140-'Сводка'!$B$11,-1)</x:f>
        <x:v>45961</x:v>
      </x:c>
      <x:c r="U140" s="4" t="n">
        <x:f>MATCH(J140,'Сводка'!$R$3:$R$397,0)</x:f>
        <x:v>151</x:v>
      </x:c>
      <x:c r="V140" s="4" t="n">
        <x:f>MATCH(J140-'Сводка'!$B$11,'Сводка'!$R$3:$R$397,0)</x:f>
        <x:v>150</x:v>
      </x:c>
      <x:c r="W140" s="4" t="n">
        <x:f>MATCH(T140,$J$388:$J$400,0)</x:f>
        <x:v>5</x:v>
      </x:c>
      <x:c r="X140" s="3"/>
      <x:c r="Y140" s="3"/>
      <x:c r="Z140" s="3"/>
    </x:row>
    <x:row r="141" ht="15" customHeight="1">
      <x:c r="A141" s="3"/>
      <x:c r="B141" s="3"/>
      <x:c r="C141" s="3"/>
      <x:c r="D141" s="3"/>
      <x:c r="E141" s="3"/>
      <x:c r="F141" s="3"/>
      <x:c r="G141" s="3"/>
      <x:c r="H141" s="3"/>
      <x:c r="I141" s="3"/>
      <x:c r="J141" s="10" t="n">
        <x:v>45992</x:v>
      </x:c>
      <x:c r="K141" s="8" t="n">
        <x:f>INDEX('Сводка'!$S$3:$S$397,U141)</x:f>
        <x:v>-56</x:v>
      </x:c>
      <x:c r="L141" s="8" t="n">
        <x:f>INDEX('Сводка'!$S$3:$S$397,V141)</x:f>
        <x:v>-53</x:v>
      </x:c>
      <x:c r="M141" s="8" t="n">
        <x:f>INDEX($K$388:$N$400,W141,1)*((J141-$T$405+1)/1000)^INDEX($K$388:$N$400,W141,2)+INDEX($O$388:$Z$400,W141,MONTH(J141))</x:f>
        <x:v>66.24422214186127</x:v>
      </x:c>
      <x:c r="N141" s="8" t="n">
        <x:f>K141-M141</x:f>
        <x:v>-122.24422214186127</x:v>
      </x:c>
      <x:c r="O141" s="8" t="n">
        <x:f>ABS(N141)</x:f>
        <x:v>122.24422214186127</x:v>
      </x:c>
      <x:c r="P141" s="8" t="n">
        <x:f>N141^2</x:f>
        <x:v>14943.649847068726</x:v>
      </x:c>
      <x:c r="Q141" s="8" t="n">
        <x:f>K141-L141</x:f>
        <x:v>-3</x:v>
      </x:c>
      <x:c r="R141" s="9" t="n">
        <x:f>IF(AND(INDEX('Сводка'!$T$3:$T$397,U141)=0,INDEX('Сводка'!$T$3:$T$397,V141)=0),1,0)</x:f>
        <x:v>1</x:v>
      </x:c>
      <x:c r="S141" s="9" t="n">
        <x:f>IF(AND(R141=1,O141&lt;=$G$13),1,0)</x:f>
        <x:v>0</x:v>
      </x:c>
      <x:c r="T141" s="10" t="n">
        <x:f>EOMONTH(J141-'Сводка'!$B$11,-1)</x:f>
        <x:v>45961</x:v>
      </x:c>
      <x:c r="U141" s="4" t="n">
        <x:f>MATCH(J141,'Сводка'!$R$3:$R$397,0)</x:f>
        <x:v>152</x:v>
      </x:c>
      <x:c r="V141" s="4" t="n">
        <x:f>MATCH(J141-'Сводка'!$B$11,'Сводка'!$R$3:$R$397,0)</x:f>
        <x:v>151</x:v>
      </x:c>
      <x:c r="W141" s="4" t="n">
        <x:f>MATCH(T141,$J$388:$J$400,0)</x:f>
        <x:v>5</x:v>
      </x:c>
      <x:c r="X141" s="3"/>
      <x:c r="Y141" s="3"/>
      <x:c r="Z141" s="3"/>
    </x:row>
    <x:row r="142" ht="15" customHeight="1">
      <x:c r="A142" s="3"/>
      <x:c r="B142" s="3"/>
      <x:c r="C142" s="3"/>
      <x:c r="D142" s="3"/>
      <x:c r="E142" s="3"/>
      <x:c r="F142" s="3"/>
      <x:c r="G142" s="3"/>
      <x:c r="H142" s="3"/>
      <x:c r="I142" s="3"/>
      <x:c r="J142" s="10" t="n">
        <x:v>45993</x:v>
      </x:c>
      <x:c r="K142" s="8" t="n">
        <x:f>INDEX('Сводка'!$S$3:$S$397,U142)</x:f>
        <x:v>-46</x:v>
      </x:c>
      <x:c r="L142" s="8" t="n">
        <x:f>INDEX('Сводка'!$S$3:$S$397,V142)</x:f>
        <x:v>-56</x:v>
      </x:c>
      <x:c r="M142" s="8" t="n">
        <x:f>INDEX($K$388:$N$400,W142,1)*((J142-$T$405+1)/1000)^INDEX($K$388:$N$400,W142,2)+INDEX($O$388:$Z$400,W142,MONTH(J142))</x:f>
        <x:v>64.51455372337288</x:v>
      </x:c>
      <x:c r="N142" s="8" t="n">
        <x:f>K142-M142</x:f>
        <x:v>-110.51455372337288</x:v>
      </x:c>
      <x:c r="O142" s="8" t="n">
        <x:f>ABS(N142)</x:f>
        <x:v>110.51455372337288</x:v>
      </x:c>
      <x:c r="P142" s="8" t="n">
        <x:f>N142^2</x:f>
        <x:v>12213.466584676271</x:v>
      </x:c>
      <x:c r="Q142" s="8" t="n">
        <x:f>K142-L142</x:f>
        <x:v>10</x:v>
      </x:c>
      <x:c r="R142" s="9" t="n">
        <x:f>IF(AND(INDEX('Сводка'!$T$3:$T$397,U142)=0,INDEX('Сводка'!$T$3:$T$397,V142)=0),1,0)</x:f>
        <x:v>1</x:v>
      </x:c>
      <x:c r="S142" s="9" t="n">
        <x:f>IF(AND(R142=1,O142&lt;=$G$13),1,0)</x:f>
        <x:v>0</x:v>
      </x:c>
      <x:c r="T142" s="10" t="n">
        <x:f>EOMONTH(J142-'Сводка'!$B$11,-1)</x:f>
        <x:v>45991</x:v>
      </x:c>
      <x:c r="U142" s="4" t="n">
        <x:f>MATCH(J142,'Сводка'!$R$3:$R$397,0)</x:f>
        <x:v>153</x:v>
      </x:c>
      <x:c r="V142" s="4" t="n">
        <x:f>MATCH(J142-'Сводка'!$B$11,'Сводка'!$R$3:$R$397,0)</x:f>
        <x:v>152</x:v>
      </x:c>
      <x:c r="W142" s="4" t="n">
        <x:f>MATCH(T142,$J$388:$J$400,0)</x:f>
        <x:v>6</x:v>
      </x:c>
      <x:c r="X142" s="3"/>
      <x:c r="Y142" s="3"/>
      <x:c r="Z142" s="3"/>
    </x:row>
    <x:row r="143" ht="15" customHeight="1">
      <x:c r="A143" s="3"/>
      <x:c r="B143" s="3"/>
      <x:c r="C143" s="3"/>
      <x:c r="D143" s="3"/>
      <x:c r="E143" s="3"/>
      <x:c r="F143" s="3"/>
      <x:c r="G143" s="3"/>
      <x:c r="H143" s="3"/>
      <x:c r="I143" s="3"/>
      <x:c r="J143" s="10" t="n">
        <x:v>45994</x:v>
      </x:c>
      <x:c r="K143" s="8" t="n">
        <x:f>INDEX('Сводка'!$S$3:$S$397,U143)</x:f>
        <x:v>-30</x:v>
      </x:c>
      <x:c r="L143" s="8" t="n">
        <x:f>INDEX('Сводка'!$S$3:$S$397,V143)</x:f>
        <x:v>-46</x:v>
      </x:c>
      <x:c r="M143" s="8" t="n">
        <x:f>INDEX($K$388:$N$400,W143,1)*((J143-$T$405+1)/1000)^INDEX($K$388:$N$400,W143,2)+INDEX($O$388:$Z$400,W143,MONTH(J143))</x:f>
        <x:v>64.53221855235783</x:v>
      </x:c>
      <x:c r="N143" s="8" t="n">
        <x:f>K143-M143</x:f>
        <x:v>-94.53221855235783</x:v>
      </x:c>
      <x:c r="O143" s="8" t="n">
        <x:f>ABS(N143)</x:f>
        <x:v>94.53221855235783</x:v>
      </x:c>
      <x:c r="P143" s="8" t="n">
        <x:f>N143^2</x:f>
        <x:v>8936.340344430746</x:v>
      </x:c>
      <x:c r="Q143" s="8" t="n">
        <x:f>K143-L143</x:f>
        <x:v>16</x:v>
      </x:c>
      <x:c r="R143" s="9" t="n">
        <x:f>IF(AND(INDEX('Сводка'!$T$3:$T$397,U143)=0,INDEX('Сводка'!$T$3:$T$397,V143)=0),1,0)</x:f>
        <x:v>1</x:v>
      </x:c>
      <x:c r="S143" s="9" t="n">
        <x:f>IF(AND(R143=1,O143&lt;=$G$13),1,0)</x:f>
        <x:v>0</x:v>
      </x:c>
      <x:c r="T143" s="10" t="n">
        <x:f>EOMONTH(J143-'Сводка'!$B$11,-1)</x:f>
        <x:v>45991</x:v>
      </x:c>
      <x:c r="U143" s="4" t="n">
        <x:f>MATCH(J143,'Сводка'!$R$3:$R$397,0)</x:f>
        <x:v>154</x:v>
      </x:c>
      <x:c r="V143" s="4" t="n">
        <x:f>MATCH(J143-'Сводка'!$B$11,'Сводка'!$R$3:$R$397,0)</x:f>
        <x:v>153</x:v>
      </x:c>
      <x:c r="W143" s="4" t="n">
        <x:f>MATCH(T143,$J$388:$J$400,0)</x:f>
        <x:v>6</x:v>
      </x:c>
      <x:c r="X143" s="3"/>
      <x:c r="Y143" s="3"/>
      <x:c r="Z143" s="3"/>
    </x:row>
    <x:row r="144" ht="15" customHeight="1">
      <x:c r="A144" s="3"/>
      <x:c r="B144" s="3"/>
      <x:c r="C144" s="3"/>
      <x:c r="D144" s="3"/>
      <x:c r="E144" s="3"/>
      <x:c r="F144" s="3"/>
      <x:c r="G144" s="3"/>
      <x:c r="H144" s="3"/>
      <x:c r="I144" s="3"/>
      <x:c r="J144" s="10" t="n">
        <x:v>45995</x:v>
      </x:c>
      <x:c r="K144" s="8" t="n">
        <x:f>INDEX('Сводка'!$S$3:$S$397,U144)</x:f>
        <x:v>-20</x:v>
      </x:c>
      <x:c r="L144" s="8" t="n">
        <x:f>INDEX('Сводка'!$S$3:$S$397,V144)</x:f>
        <x:v>-30</x:v>
      </x:c>
      <x:c r="M144" s="8" t="n">
        <x:f>INDEX($K$388:$N$400,W144,1)*((J144-$T$405+1)/1000)^INDEX($K$388:$N$400,W144,2)+INDEX($O$388:$Z$400,W144,MONTH(J144))</x:f>
        <x:v>64.54988350874659</x:v>
      </x:c>
      <x:c r="N144" s="8" t="n">
        <x:f>K144-M144</x:f>
        <x:v>-84.54988350874659</x:v>
      </x:c>
      <x:c r="O144" s="8" t="n">
        <x:f>ABS(N144)</x:f>
        <x:v>84.54988350874659</x:v>
      </x:c>
      <x:c r="P144" s="8" t="n">
        <x:f>N144^2</x:f>
        <x:v>7148.682801342618</x:v>
      </x:c>
      <x:c r="Q144" s="8" t="n">
        <x:f>K144-L144</x:f>
        <x:v>10</x:v>
      </x:c>
      <x:c r="R144" s="9" t="n">
        <x:f>IF(AND(INDEX('Сводка'!$T$3:$T$397,U144)=0,INDEX('Сводка'!$T$3:$T$397,V144)=0),1,0)</x:f>
        <x:v>1</x:v>
      </x:c>
      <x:c r="S144" s="9" t="n">
        <x:f>IF(AND(R144=1,O144&lt;=$G$13),1,0)</x:f>
        <x:v>0</x:v>
      </x:c>
      <x:c r="T144" s="10" t="n">
        <x:f>EOMONTH(J144-'Сводка'!$B$11,-1)</x:f>
        <x:v>45991</x:v>
      </x:c>
      <x:c r="U144" s="4" t="n">
        <x:f>MATCH(J144,'Сводка'!$R$3:$R$397,0)</x:f>
        <x:v>155</x:v>
      </x:c>
      <x:c r="V144" s="4" t="n">
        <x:f>MATCH(J144-'Сводка'!$B$11,'Сводка'!$R$3:$R$397,0)</x:f>
        <x:v>154</x:v>
      </x:c>
      <x:c r="W144" s="4" t="n">
        <x:f>MATCH(T144,$J$388:$J$400,0)</x:f>
        <x:v>6</x:v>
      </x:c>
      <x:c r="X144" s="3"/>
      <x:c r="Y144" s="3"/>
      <x:c r="Z144" s="3"/>
    </x:row>
    <x:row r="145" ht="15" customHeight="1">
      <x:c r="A145" s="3"/>
      <x:c r="B145" s="3"/>
      <x:c r="C145" s="3"/>
      <x:c r="D145" s="3"/>
      <x:c r="E145" s="3"/>
      <x:c r="F145" s="3"/>
      <x:c r="G145" s="3"/>
      <x:c r="H145" s="3"/>
      <x:c r="I145" s="3"/>
      <x:c r="J145" s="10" t="n">
        <x:v>45996</x:v>
      </x:c>
      <x:c r="K145" s="8" t="n">
        <x:f>INDEX('Сводка'!$S$3:$S$397,U145)</x:f>
        <x:v>-16</x:v>
      </x:c>
      <x:c r="L145" s="8" t="n">
        <x:f>INDEX('Сводка'!$S$3:$S$397,V145)</x:f>
        <x:v>-20</x:v>
      </x:c>
      <x:c r="M145" s="8" t="n">
        <x:f>INDEX($K$388:$N$400,W145,1)*((J145-$T$405+1)/1000)^INDEX($K$388:$N$400,W145,2)+INDEX($O$388:$Z$400,W145,MONTH(J145))</x:f>
        <x:v>64.56754859252548</x:v>
      </x:c>
      <x:c r="N145" s="8" t="n">
        <x:f>K145-M145</x:f>
        <x:v>-80.56754859252548</x:v>
      </x:c>
      <x:c r="O145" s="8" t="n">
        <x:f>ABS(N145)</x:f>
        <x:v>80.56754859252548</x:v>
      </x:c>
      <x:c r="P145" s="8" t="n">
        <x:f>N145^2</x:f>
        <x:v>6491.129886208955</x:v>
      </x:c>
      <x:c r="Q145" s="8" t="n">
        <x:f>K145-L145</x:f>
        <x:v>4</x:v>
      </x:c>
      <x:c r="R145" s="9" t="n">
        <x:f>IF(AND(INDEX('Сводка'!$T$3:$T$397,U145)=0,INDEX('Сводка'!$T$3:$T$397,V145)=0),1,0)</x:f>
        <x:v>0</x:v>
      </x:c>
      <x:c r="S145" s="9" t="n">
        <x:f>IF(AND(R145=1,O145&lt;=$G$13),1,0)</x:f>
        <x:v>0</x:v>
      </x:c>
      <x:c r="T145" s="10" t="n">
        <x:f>EOMONTH(J145-'Сводка'!$B$11,-1)</x:f>
        <x:v>45991</x:v>
      </x:c>
      <x:c r="U145" s="4" t="n">
        <x:f>MATCH(J145,'Сводка'!$R$3:$R$397,0)</x:f>
        <x:v>156</x:v>
      </x:c>
      <x:c r="V145" s="4" t="n">
        <x:f>MATCH(J145-'Сводка'!$B$11,'Сводка'!$R$3:$R$397,0)</x:f>
        <x:v>155</x:v>
      </x:c>
      <x:c r="W145" s="4" t="n">
        <x:f>MATCH(T145,$J$388:$J$400,0)</x:f>
        <x:v>6</x:v>
      </x:c>
      <x:c r="X145" s="3"/>
      <x:c r="Y145" s="3"/>
      <x:c r="Z145" s="3"/>
    </x:row>
    <x:row r="146" ht="15" customHeight="1">
      <x:c r="A146" s="3"/>
      <x:c r="B146" s="3"/>
      <x:c r="C146" s="3"/>
      <x:c r="D146" s="3"/>
      <x:c r="E146" s="3"/>
      <x:c r="F146" s="3"/>
      <x:c r="G146" s="3"/>
      <x:c r="H146" s="3"/>
      <x:c r="I146" s="3"/>
      <x:c r="J146" s="10" t="n">
        <x:v>45997</x:v>
      </x:c>
      <x:c r="K146" s="8" t="n">
        <x:f>INDEX('Сводка'!$S$3:$S$397,U146)</x:f>
        <x:v>-12</x:v>
      </x:c>
      <x:c r="L146" s="8" t="n">
        <x:f>INDEX('Сводка'!$S$3:$S$397,V146)</x:f>
        <x:v>-16</x:v>
      </x:c>
      <x:c r="M146" s="8" t="n">
        <x:f>INDEX($K$388:$N$400,W146,1)*((J146-$T$405+1)/1000)^INDEX($K$388:$N$400,W146,2)+INDEX($O$388:$Z$400,W146,MONTH(J146))</x:f>
        <x:v>64.58521380368082</x:v>
      </x:c>
      <x:c r="N146" s="8" t="n">
        <x:f>K146-M146</x:f>
        <x:v>-76.58521380368082</x:v>
      </x:c>
      <x:c r="O146" s="8" t="n">
        <x:f>ABS(N146)</x:f>
        <x:v>76.58521380368082</x:v>
      </x:c>
      <x:c r="P146" s="8" t="n">
        <x:f>N146^2</x:f>
        <x:v>5865.294973355502</x:v>
      </x:c>
      <x:c r="Q146" s="8" t="n">
        <x:f>K146-L146</x:f>
        <x:v>4</x:v>
      </x:c>
      <x:c r="R146" s="9" t="n">
        <x:f>IF(AND(INDEX('Сводка'!$T$3:$T$397,U146)=0,INDEX('Сводка'!$T$3:$T$397,V146)=0),1,0)</x:f>
        <x:v>0</x:v>
      </x:c>
      <x:c r="S146" s="9" t="n">
        <x:f>IF(AND(R146=1,O146&lt;=$G$13),1,0)</x:f>
        <x:v>0</x:v>
      </x:c>
      <x:c r="T146" s="10" t="n">
        <x:f>EOMONTH(J146-'Сводка'!$B$11,-1)</x:f>
        <x:v>45991</x:v>
      </x:c>
      <x:c r="U146" s="4" t="n">
        <x:f>MATCH(J146,'Сводка'!$R$3:$R$397,0)</x:f>
        <x:v>157</x:v>
      </x:c>
      <x:c r="V146" s="4" t="n">
        <x:f>MATCH(J146-'Сводка'!$B$11,'Сводка'!$R$3:$R$397,0)</x:f>
        <x:v>156</x:v>
      </x:c>
      <x:c r="W146" s="4" t="n">
        <x:f>MATCH(T146,$J$388:$J$400,0)</x:f>
        <x:v>6</x:v>
      </x:c>
      <x:c r="X146" s="3"/>
      <x:c r="Y146" s="3"/>
      <x:c r="Z146" s="3"/>
    </x:row>
    <x:row r="147" ht="15" customHeight="1">
      <x:c r="A147" s="3"/>
      <x:c r="B147" s="3"/>
      <x:c r="C147" s="3"/>
      <x:c r="D147" s="3"/>
      <x:c r="E147" s="3"/>
      <x:c r="F147" s="3"/>
      <x:c r="G147" s="3"/>
      <x:c r="H147" s="3"/>
      <x:c r="I147" s="3"/>
      <x:c r="J147" s="10" t="n">
        <x:v>45998</x:v>
      </x:c>
      <x:c r="K147" s="8" t="n">
        <x:f>INDEX('Сводка'!$S$3:$S$397,U147)</x:f>
        <x:v>-8</x:v>
      </x:c>
      <x:c r="L147" s="8" t="n">
        <x:f>INDEX('Сводка'!$S$3:$S$397,V147)</x:f>
        <x:v>-12</x:v>
      </x:c>
      <x:c r="M147" s="8" t="n">
        <x:f>INDEX($K$388:$N$400,W147,1)*((J147-$T$405+1)/1000)^INDEX($K$388:$N$400,W147,2)+INDEX($O$388:$Z$400,W147,MONTH(J147))</x:f>
        <x:v>64.602879142199</x:v>
      </x:c>
      <x:c r="N147" s="8" t="n">
        <x:f>K147-M147</x:f>
        <x:v>-72.602879142199</x:v>
      </x:c>
      <x:c r="O147" s="8" t="n">
        <x:f>ABS(N147)</x:f>
        <x:v>72.602879142199</x:v>
      </x:c>
      <x:c r="P147" s="8" t="n">
        <x:f>N147^2</x:f>
        <x:v>5271.178059736755</x:v>
      </x:c>
      <x:c r="Q147" s="8" t="n">
        <x:f>K147-L147</x:f>
        <x:v>4</x:v>
      </x:c>
      <x:c r="R147" s="9" t="n">
        <x:f>IF(AND(INDEX('Сводка'!$T$3:$T$397,U147)=0,INDEX('Сводка'!$T$3:$T$397,V147)=0),1,0)</x:f>
        <x:v>0</x:v>
      </x:c>
      <x:c r="S147" s="9" t="n">
        <x:f>IF(AND(R147=1,O147&lt;=$G$13),1,0)</x:f>
        <x:v>0</x:v>
      </x:c>
      <x:c r="T147" s="10" t="n">
        <x:f>EOMONTH(J147-'Сводка'!$B$11,-1)</x:f>
        <x:v>45991</x:v>
      </x:c>
      <x:c r="U147" s="4" t="n">
        <x:f>MATCH(J147,'Сводка'!$R$3:$R$397,0)</x:f>
        <x:v>158</x:v>
      </x:c>
      <x:c r="V147" s="4" t="n">
        <x:f>MATCH(J147-'Сводка'!$B$11,'Сводка'!$R$3:$R$397,0)</x:f>
        <x:v>157</x:v>
      </x:c>
      <x:c r="W147" s="4" t="n">
        <x:f>MATCH(T147,$J$388:$J$400,0)</x:f>
        <x:v>6</x:v>
      </x:c>
      <x:c r="X147" s="3"/>
      <x:c r="Y147" s="3"/>
      <x:c r="Z147" s="3"/>
    </x:row>
    <x:row r="148" ht="15" customHeight="1">
      <x:c r="A148" s="3"/>
      <x:c r="B148" s="3"/>
      <x:c r="C148" s="3"/>
      <x:c r="D148" s="3"/>
      <x:c r="E148" s="3"/>
      <x:c r="F148" s="3"/>
      <x:c r="G148" s="3"/>
      <x:c r="H148" s="3"/>
      <x:c r="I148" s="3"/>
      <x:c r="J148" s="10" t="n">
        <x:v>45999</x:v>
      </x:c>
      <x:c r="K148" s="8" t="n">
        <x:f>INDEX('Сводка'!$S$3:$S$397,U148)</x:f>
        <x:v>-13</x:v>
      </x:c>
      <x:c r="L148" s="8" t="n">
        <x:f>INDEX('Сводка'!$S$3:$S$397,V148)</x:f>
        <x:v>-8</x:v>
      </x:c>
      <x:c r="M148" s="8" t="n">
        <x:f>INDEX($K$388:$N$400,W148,1)*((J148-$T$405+1)/1000)^INDEX($K$388:$N$400,W148,2)+INDEX($O$388:$Z$400,W148,MONTH(J148))</x:f>
        <x:v>64.62054460806637</x:v>
      </x:c>
      <x:c r="N148" s="8" t="n">
        <x:f>K148-M148</x:f>
        <x:v>-77.62054460806637</x:v>
      </x:c>
      <x:c r="O148" s="8" t="n">
        <x:f>ABS(N148)</x:f>
        <x:v>77.62054460806637</x:v>
      </x:c>
      <x:c r="P148" s="8" t="n">
        <x:f>N148^2</x:f>
        <x:v>6024.9489452528205</x:v>
      </x:c>
      <x:c r="Q148" s="8" t="n">
        <x:f>K148-L148</x:f>
        <x:v>-5</x:v>
      </x:c>
      <x:c r="R148" s="9" t="n">
        <x:f>IF(AND(INDEX('Сводка'!$T$3:$T$397,U148)=0,INDEX('Сводка'!$T$3:$T$397,V148)=0),1,0)</x:f>
        <x:v>1</x:v>
      </x:c>
      <x:c r="S148" s="9" t="n">
        <x:f>IF(AND(R148=1,O148&lt;=$G$13),1,0)</x:f>
        <x:v>0</x:v>
      </x:c>
      <x:c r="T148" s="10" t="n">
        <x:f>EOMONTH(J148-'Сводка'!$B$11,-1)</x:f>
        <x:v>45991</x:v>
      </x:c>
      <x:c r="U148" s="4" t="n">
        <x:f>MATCH(J148,'Сводка'!$R$3:$R$397,0)</x:f>
        <x:v>159</x:v>
      </x:c>
      <x:c r="V148" s="4" t="n">
        <x:f>MATCH(J148-'Сводка'!$B$11,'Сводка'!$R$3:$R$397,0)</x:f>
        <x:v>158</x:v>
      </x:c>
      <x:c r="W148" s="4" t="n">
        <x:f>MATCH(T148,$J$388:$J$400,0)</x:f>
        <x:v>6</x:v>
      </x:c>
      <x:c r="X148" s="3"/>
      <x:c r="Y148" s="3"/>
      <x:c r="Z148" s="3"/>
    </x:row>
    <x:row r="149" ht="15" customHeight="1">
      <x:c r="A149" s="3"/>
      <x:c r="B149" s="3"/>
      <x:c r="C149" s="3"/>
      <x:c r="D149" s="3"/>
      <x:c r="E149" s="3"/>
      <x:c r="F149" s="3"/>
      <x:c r="G149" s="3"/>
      <x:c r="H149" s="3"/>
      <x:c r="I149" s="3"/>
      <x:c r="J149" s="10" t="n">
        <x:v>46000</x:v>
      </x:c>
      <x:c r="K149" s="8" t="n">
        <x:f>INDEX('Сводка'!$S$3:$S$397,U149)</x:f>
        <x:v>-20</x:v>
      </x:c>
      <x:c r="L149" s="8" t="n">
        <x:f>INDEX('Сводка'!$S$3:$S$397,V149)</x:f>
        <x:v>-13</x:v>
      </x:c>
      <x:c r="M149" s="8" t="n">
        <x:f>INDEX($K$388:$N$400,W149,1)*((J149-$T$405+1)/1000)^INDEX($K$388:$N$400,W149,2)+INDEX($O$388:$Z$400,W149,MONTH(J149))</x:f>
        <x:v>64.63821020126919</x:v>
      </x:c>
      <x:c r="N149" s="8" t="n">
        <x:f>K149-M149</x:f>
        <x:v>-84.63821020126919</x:v>
      </x:c>
      <x:c r="O149" s="8" t="n">
        <x:f>ABS(N149)</x:f>
        <x:v>84.63821020126919</x:v>
      </x:c>
      <x:c r="P149" s="8" t="n">
        <x:f>N149^2</x:f>
        <x:v>7163.626626074228</x:v>
      </x:c>
      <x:c r="Q149" s="8" t="n">
        <x:f>K149-L149</x:f>
        <x:v>-7</x:v>
      </x:c>
      <x:c r="R149" s="9" t="n">
        <x:f>IF(AND(INDEX('Сводка'!$T$3:$T$397,U149)=0,INDEX('Сводка'!$T$3:$T$397,V149)=0),1,0)</x:f>
        <x:v>1</x:v>
      </x:c>
      <x:c r="S149" s="9" t="n">
        <x:f>IF(AND(R149=1,O149&lt;=$G$13),1,0)</x:f>
        <x:v>0</x:v>
      </x:c>
      <x:c r="T149" s="10" t="n">
        <x:f>EOMONTH(J149-'Сводка'!$B$11,-1)</x:f>
        <x:v>45991</x:v>
      </x:c>
      <x:c r="U149" s="4" t="n">
        <x:f>MATCH(J149,'Сводка'!$R$3:$R$397,0)</x:f>
        <x:v>160</x:v>
      </x:c>
      <x:c r="V149" s="4" t="n">
        <x:f>MATCH(J149-'Сводка'!$B$11,'Сводка'!$R$3:$R$397,0)</x:f>
        <x:v>159</x:v>
      </x:c>
      <x:c r="W149" s="4" t="n">
        <x:f>MATCH(T149,$J$388:$J$400,0)</x:f>
        <x:v>6</x:v>
      </x:c>
      <x:c r="X149" s="3"/>
      <x:c r="Y149" s="3"/>
      <x:c r="Z149" s="3"/>
    </x:row>
    <x:row r="150" ht="15" customHeight="1">
      <x:c r="A150" s="3"/>
      <x:c r="B150" s="3"/>
      <x:c r="C150" s="3"/>
      <x:c r="D150" s="3"/>
      <x:c r="E150" s="3"/>
      <x:c r="F150" s="3"/>
      <x:c r="G150" s="3"/>
      <x:c r="H150" s="3"/>
      <x:c r="I150" s="3"/>
      <x:c r="J150" s="10" t="n">
        <x:v>46001</x:v>
      </x:c>
      <x:c r="K150" s="8" t="n">
        <x:f>INDEX('Сводка'!$S$3:$S$397,U150)</x:f>
        <x:v>-28</x:v>
      </x:c>
      <x:c r="L150" s="8" t="n">
        <x:f>INDEX('Сводка'!$S$3:$S$397,V150)</x:f>
        <x:v>-20</x:v>
      </x:c>
      <x:c r="M150" s="8" t="n">
        <x:f>INDEX($K$388:$N$400,W150,1)*((J150-$T$405+1)/1000)^INDEX($K$388:$N$400,W150,2)+INDEX($O$388:$Z$400,W150,MONTH(J150))</x:f>
        <x:v>64.65587592179394</x:v>
      </x:c>
      <x:c r="N150" s="8" t="n">
        <x:f>K150-M150</x:f>
        <x:v>-92.65587592179394</x:v>
      </x:c>
      <x:c r="O150" s="8" t="n">
        <x:f>ABS(N150)</x:f>
        <x:v>92.65587592179394</x:v>
      </x:c>
      <x:c r="P150" s="8" t="n">
        <x:f>N150^2</x:f>
        <x:v>8585.111342834873</x:v>
      </x:c>
      <x:c r="Q150" s="8" t="n">
        <x:f>K150-L150</x:f>
        <x:v>-8</x:v>
      </x:c>
      <x:c r="R150" s="9" t="n">
        <x:f>IF(AND(INDEX('Сводка'!$T$3:$T$397,U150)=0,INDEX('Сводка'!$T$3:$T$397,V150)=0),1,0)</x:f>
        <x:v>1</x:v>
      </x:c>
      <x:c r="S150" s="9" t="n">
        <x:f>IF(AND(R150=1,O150&lt;=$G$13),1,0)</x:f>
        <x:v>0</x:v>
      </x:c>
      <x:c r="T150" s="10" t="n">
        <x:f>EOMONTH(J150-'Сводка'!$B$11,-1)</x:f>
        <x:v>45991</x:v>
      </x:c>
      <x:c r="U150" s="4" t="n">
        <x:f>MATCH(J150,'Сводка'!$R$3:$R$397,0)</x:f>
        <x:v>161</x:v>
      </x:c>
      <x:c r="V150" s="4" t="n">
        <x:f>MATCH(J150-'Сводка'!$B$11,'Сводка'!$R$3:$R$397,0)</x:f>
        <x:v>160</x:v>
      </x:c>
      <x:c r="W150" s="4" t="n">
        <x:f>MATCH(T150,$J$388:$J$400,0)</x:f>
        <x:v>6</x:v>
      </x:c>
      <x:c r="X150" s="3"/>
      <x:c r="Y150" s="3"/>
      <x:c r="Z150" s="3"/>
    </x:row>
    <x:row r="151" ht="15" customHeight="1">
      <x:c r="A151" s="3"/>
      <x:c r="B151" s="3"/>
      <x:c r="C151" s="3"/>
      <x:c r="D151" s="3"/>
      <x:c r="E151" s="3"/>
      <x:c r="F151" s="3"/>
      <x:c r="G151" s="3"/>
      <x:c r="H151" s="3"/>
      <x:c r="I151" s="3"/>
      <x:c r="J151" s="10" t="n">
        <x:v>46002</x:v>
      </x:c>
      <x:c r="K151" s="8" t="n">
        <x:f>INDEX('Сводка'!$S$3:$S$397,U151)</x:f>
        <x:v>-38</x:v>
      </x:c>
      <x:c r="L151" s="8" t="n">
        <x:f>INDEX('Сводка'!$S$3:$S$397,V151)</x:f>
        <x:v>-28</x:v>
      </x:c>
      <x:c r="M151" s="8" t="n">
        <x:f>INDEX($K$388:$N$400,W151,1)*((J151-$T$405+1)/1000)^INDEX($K$388:$N$400,W151,2)+INDEX($O$388:$Z$400,W151,MONTH(J151))</x:f>
        <x:v>64.67354176962691</x:v>
      </x:c>
      <x:c r="N151" s="8" t="n">
        <x:f>K151-M151</x:f>
        <x:v>-102.67354176962691</x:v>
      </x:c>
      <x:c r="O151" s="8" t="n">
        <x:f>ABS(N151)</x:f>
        <x:v>102.67354176962691</x:v>
      </x:c>
      <x:c r="P151" s="8" t="n">
        <x:f>N151^2</x:f>
        <x:v>10541.856179519322</x:v>
      </x:c>
      <x:c r="Q151" s="8" t="n">
        <x:f>K151-L151</x:f>
        <x:v>-10</x:v>
      </x:c>
      <x:c r="R151" s="9" t="n">
        <x:f>IF(AND(INDEX('Сводка'!$T$3:$T$397,U151)=0,INDEX('Сводка'!$T$3:$T$397,V151)=0),1,0)</x:f>
        <x:v>1</x:v>
      </x:c>
      <x:c r="S151" s="9" t="n">
        <x:f>IF(AND(R151=1,O151&lt;=$G$13),1,0)</x:f>
        <x:v>0</x:v>
      </x:c>
      <x:c r="T151" s="10" t="n">
        <x:f>EOMONTH(J151-'Сводка'!$B$11,-1)</x:f>
        <x:v>45991</x:v>
      </x:c>
      <x:c r="U151" s="4" t="n">
        <x:f>MATCH(J151,'Сводка'!$R$3:$R$397,0)</x:f>
        <x:v>162</x:v>
      </x:c>
      <x:c r="V151" s="4" t="n">
        <x:f>MATCH(J151-'Сводка'!$B$11,'Сводка'!$R$3:$R$397,0)</x:f>
        <x:v>161</x:v>
      </x:c>
      <x:c r="W151" s="4" t="n">
        <x:f>MATCH(T151,$J$388:$J$400,0)</x:f>
        <x:v>6</x:v>
      </x:c>
      <x:c r="X151" s="3"/>
      <x:c r="Y151" s="3"/>
      <x:c r="Z151" s="3"/>
    </x:row>
    <x:row r="152" ht="15" customHeight="1">
      <x:c r="A152" s="3"/>
      <x:c r="B152" s="3"/>
      <x:c r="C152" s="3"/>
      <x:c r="D152" s="3"/>
      <x:c r="E152" s="3"/>
      <x:c r="F152" s="3"/>
      <x:c r="G152" s="3"/>
      <x:c r="H152" s="3"/>
      <x:c r="I152" s="3"/>
      <x:c r="J152" s="10" t="n">
        <x:v>46003</x:v>
      </x:c>
      <x:c r="K152" s="8" t="n">
        <x:f>INDEX('Сводка'!$S$3:$S$397,U152)</x:f>
        <x:v>-37.7</x:v>
      </x:c>
      <x:c r="L152" s="8" t="n">
        <x:f>INDEX('Сводка'!$S$3:$S$397,V152)</x:f>
        <x:v>-38</x:v>
      </x:c>
      <x:c r="M152" s="8" t="n">
        <x:f>INDEX($K$388:$N$400,W152,1)*((J152-$T$405+1)/1000)^INDEX($K$388:$N$400,W152,2)+INDEX($O$388:$Z$400,W152,MONTH(J152))</x:f>
        <x:v>64.69120774475446</x:v>
      </x:c>
      <x:c r="N152" s="8" t="n">
        <x:f>K152-M152</x:f>
        <x:v>-102.39120774475447</x:v>
      </x:c>
      <x:c r="O152" s="8" t="n">
        <x:f>ABS(N152)</x:f>
        <x:v>102.39120774475447</x:v>
      </x:c>
      <x:c r="P152" s="8" t="n">
        <x:f>N152^2</x:f>
        <x:v>10483.959423429467</x:v>
      </x:c>
      <x:c r="Q152" s="8" t="n">
        <x:f>K152-L152</x:f>
        <x:v>0.29999999999999716</x:v>
      </x:c>
      <x:c r="R152" s="9" t="n">
        <x:f>IF(AND(INDEX('Сводка'!$T$3:$T$397,U152)=0,INDEX('Сводка'!$T$3:$T$397,V152)=0),1,0)</x:f>
        <x:v>0</x:v>
      </x:c>
      <x:c r="S152" s="9" t="n">
        <x:f>IF(AND(R152=1,O152&lt;=$G$13),1,0)</x:f>
        <x:v>0</x:v>
      </x:c>
      <x:c r="T152" s="10" t="n">
        <x:f>EOMONTH(J152-'Сводка'!$B$11,-1)</x:f>
        <x:v>45991</x:v>
      </x:c>
      <x:c r="U152" s="4" t="n">
        <x:f>MATCH(J152,'Сводка'!$R$3:$R$397,0)</x:f>
        <x:v>163</x:v>
      </x:c>
      <x:c r="V152" s="4" t="n">
        <x:f>MATCH(J152-'Сводка'!$B$11,'Сводка'!$R$3:$R$397,0)</x:f>
        <x:v>162</x:v>
      </x:c>
      <x:c r="W152" s="4" t="n">
        <x:f>MATCH(T152,$J$388:$J$400,0)</x:f>
        <x:v>6</x:v>
      </x:c>
      <x:c r="X152" s="3"/>
      <x:c r="Y152" s="3"/>
      <x:c r="Z152" s="3"/>
    </x:row>
    <x:row r="153" ht="15" customHeight="1">
      <x:c r="A153" s="3"/>
      <x:c r="B153" s="3"/>
      <x:c r="C153" s="3"/>
      <x:c r="D153" s="3"/>
      <x:c r="E153" s="3"/>
      <x:c r="F153" s="3"/>
      <x:c r="G153" s="3"/>
      <x:c r="H153" s="3"/>
      <x:c r="I153" s="3"/>
      <x:c r="J153" s="10" t="n">
        <x:v>46004</x:v>
      </x:c>
      <x:c r="K153" s="8" t="n">
        <x:f>INDEX('Сводка'!$S$3:$S$397,U153)</x:f>
        <x:v>-37.3</x:v>
      </x:c>
      <x:c r="L153" s="8" t="n">
        <x:f>INDEX('Сводка'!$S$3:$S$397,V153)</x:f>
        <x:v>-37.7</x:v>
      </x:c>
      <x:c r="M153" s="8" t="n">
        <x:f>INDEX($K$388:$N$400,W153,1)*((J153-$T$405+1)/1000)^INDEX($K$388:$N$400,W153,2)+INDEX($O$388:$Z$400,W153,MONTH(J153))</x:f>
        <x:v>64.70887384716296</x:v>
      </x:c>
      <x:c r="N153" s="8" t="n">
        <x:f>K153-M153</x:f>
        <x:v>-102.00887384716296</x:v>
      </x:c>
      <x:c r="O153" s="8" t="n">
        <x:f>ABS(N153)</x:f>
        <x:v>102.00887384716296</x:v>
      </x:c>
      <x:c r="P153" s="8" t="n">
        <x:f>N153^2</x:f>
        <x:v>10405.810343566407</x:v>
      </x:c>
      <x:c r="Q153" s="8" t="n">
        <x:f>K153-L153</x:f>
        <x:v>0.4000000000000057</x:v>
      </x:c>
      <x:c r="R153" s="9" t="n">
        <x:f>IF(AND(INDEX('Сводка'!$T$3:$T$397,U153)=0,INDEX('Сводка'!$T$3:$T$397,V153)=0),1,0)</x:f>
        <x:v>0</x:v>
      </x:c>
      <x:c r="S153" s="9" t="n">
        <x:f>IF(AND(R153=1,O153&lt;=$G$13),1,0)</x:f>
        <x:v>0</x:v>
      </x:c>
      <x:c r="T153" s="10" t="n">
        <x:f>EOMONTH(J153-'Сводка'!$B$11,-1)</x:f>
        <x:v>45991</x:v>
      </x:c>
      <x:c r="U153" s="4" t="n">
        <x:f>MATCH(J153,'Сводка'!$R$3:$R$397,0)</x:f>
        <x:v>164</x:v>
      </x:c>
      <x:c r="V153" s="4" t="n">
        <x:f>MATCH(J153-'Сводка'!$B$11,'Сводка'!$R$3:$R$397,0)</x:f>
        <x:v>163</x:v>
      </x:c>
      <x:c r="W153" s="4" t="n">
        <x:f>MATCH(T153,$J$388:$J$400,0)</x:f>
        <x:v>6</x:v>
      </x:c>
      <x:c r="X153" s="3"/>
      <x:c r="Y153" s="3"/>
      <x:c r="Z153" s="3"/>
    </x:row>
    <x:row r="154" ht="15" customHeight="1">
      <x:c r="A154" s="3"/>
      <x:c r="B154" s="3"/>
      <x:c r="C154" s="3"/>
      <x:c r="D154" s="3"/>
      <x:c r="E154" s="3"/>
      <x:c r="F154" s="3"/>
      <x:c r="G154" s="3"/>
      <x:c r="H154" s="3"/>
      <x:c r="I154" s="3"/>
      <x:c r="J154" s="10" t="n">
        <x:v>46005</x:v>
      </x:c>
      <x:c r="K154" s="8" t="n">
        <x:f>INDEX('Сводка'!$S$3:$S$397,U154)</x:f>
        <x:v>-37</x:v>
      </x:c>
      <x:c r="L154" s="8" t="n">
        <x:f>INDEX('Сводка'!$S$3:$S$397,V154)</x:f>
        <x:v>-37.3</x:v>
      </x:c>
      <x:c r="M154" s="8" t="n">
        <x:f>INDEX($K$388:$N$400,W154,1)*((J154-$T$405+1)/1000)^INDEX($K$388:$N$400,W154,2)+INDEX($O$388:$Z$400,W154,MONTH(J154))</x:f>
        <x:v>64.72654007683882</x:v>
      </x:c>
      <x:c r="N154" s="8" t="n">
        <x:f>K154-M154</x:f>
        <x:v>-101.72654007683882</x:v>
      </x:c>
      <x:c r="O154" s="8" t="n">
        <x:f>ABS(N154)</x:f>
        <x:v>101.72654007683882</x:v>
      </x:c>
      <x:c r="P154" s="8" t="n">
        <x:f>N154^2</x:f>
        <x:v>10348.288956004693</x:v>
      </x:c>
      <x:c r="Q154" s="8" t="n">
        <x:f>K154-L154</x:f>
        <x:v>0.29999999999999716</x:v>
      </x:c>
      <x:c r="R154" s="9" t="n">
        <x:f>IF(AND(INDEX('Сводка'!$T$3:$T$397,U154)=0,INDEX('Сводка'!$T$3:$T$397,V154)=0),1,0)</x:f>
        <x:v>0</x:v>
      </x:c>
      <x:c r="S154" s="9" t="n">
        <x:f>IF(AND(R154=1,O154&lt;=$G$13),1,0)</x:f>
        <x:v>0</x:v>
      </x:c>
      <x:c r="T154" s="10" t="n">
        <x:f>EOMONTH(J154-'Сводка'!$B$11,-1)</x:f>
        <x:v>45991</x:v>
      </x:c>
      <x:c r="U154" s="4" t="n">
        <x:f>MATCH(J154,'Сводка'!$R$3:$R$397,0)</x:f>
        <x:v>165</x:v>
      </x:c>
      <x:c r="V154" s="4" t="n">
        <x:f>MATCH(J154-'Сводка'!$B$11,'Сводка'!$R$3:$R$397,0)</x:f>
        <x:v>164</x:v>
      </x:c>
      <x:c r="W154" s="4" t="n">
        <x:f>MATCH(T154,$J$388:$J$400,0)</x:f>
        <x:v>6</x:v>
      </x:c>
      <x:c r="X154" s="3"/>
      <x:c r="Y154" s="3"/>
      <x:c r="Z154" s="3"/>
    </x:row>
    <x:row r="155" ht="15" customHeight="1">
      <x:c r="A155" s="3"/>
      <x:c r="B155" s="3"/>
      <x:c r="C155" s="3"/>
      <x:c r="D155" s="3"/>
      <x:c r="E155" s="3"/>
      <x:c r="F155" s="3"/>
      <x:c r="G155" s="3"/>
      <x:c r="H155" s="3"/>
      <x:c r="I155" s="3"/>
      <x:c r="J155" s="10" t="n">
        <x:v>46006</x:v>
      </x:c>
      <x:c r="K155" s="8" t="n">
        <x:f>INDEX('Сводка'!$S$3:$S$397,U155)</x:f>
        <x:v>-37</x:v>
      </x:c>
      <x:c r="L155" s="8" t="n">
        <x:f>INDEX('Сводка'!$S$3:$S$397,V155)</x:f>
        <x:v>-37</x:v>
      </x:c>
      <x:c r="M155" s="8" t="n">
        <x:f>INDEX($K$388:$N$400,W155,1)*((J155-$T$405+1)/1000)^INDEX($K$388:$N$400,W155,2)+INDEX($O$388:$Z$400,W155,MONTH(J155))</x:f>
        <x:v>64.74420643376835</x:v>
      </x:c>
      <x:c r="N155" s="8" t="n">
        <x:f>K155-M155</x:f>
        <x:v>-101.74420643376835</x:v>
      </x:c>
      <x:c r="O155" s="8" t="n">
        <x:f>ABS(N155)</x:f>
        <x:v>101.74420643376835</x:v>
      </x:c>
      <x:c r="P155" s="8" t="n">
        <x:f>N155^2</x:f>
        <x:v>10351.88354283727</x:v>
      </x:c>
      <x:c r="Q155" s="8" t="n">
        <x:f>K155-L155</x:f>
        <x:v>0</x:v>
      </x:c>
      <x:c r="R155" s="9" t="n">
        <x:f>IF(AND(INDEX('Сводка'!$T$3:$T$397,U155)=0,INDEX('Сводка'!$T$3:$T$397,V155)=0),1,0)</x:f>
        <x:v>1</x:v>
      </x:c>
      <x:c r="S155" s="9" t="n">
        <x:f>IF(AND(R155=1,O155&lt;=$G$13),1,0)</x:f>
        <x:v>0</x:v>
      </x:c>
      <x:c r="T155" s="10" t="n">
        <x:f>EOMONTH(J155-'Сводка'!$B$11,-1)</x:f>
        <x:v>45991</x:v>
      </x:c>
      <x:c r="U155" s="4" t="n">
        <x:f>MATCH(J155,'Сводка'!$R$3:$R$397,0)</x:f>
        <x:v>166</x:v>
      </x:c>
      <x:c r="V155" s="4" t="n">
        <x:f>MATCH(J155-'Сводка'!$B$11,'Сводка'!$R$3:$R$397,0)</x:f>
        <x:v>165</x:v>
      </x:c>
      <x:c r="W155" s="4" t="n">
        <x:f>MATCH(T155,$J$388:$J$400,0)</x:f>
        <x:v>6</x:v>
      </x:c>
      <x:c r="X155" s="3"/>
      <x:c r="Y155" s="3"/>
      <x:c r="Z155" s="3"/>
    </x:row>
    <x:row r="156" ht="15" customHeight="1">
      <x:c r="A156" s="3"/>
      <x:c r="B156" s="3"/>
      <x:c r="C156" s="3"/>
      <x:c r="D156" s="3"/>
      <x:c r="E156" s="3"/>
      <x:c r="F156" s="3"/>
      <x:c r="G156" s="3"/>
      <x:c r="H156" s="3"/>
      <x:c r="I156" s="3"/>
      <x:c r="J156" s="10" t="n">
        <x:v>46007</x:v>
      </x:c>
      <x:c r="K156" s="8" t="n">
        <x:f>INDEX('Сводка'!$S$3:$S$397,U156)</x:f>
        <x:v>-41</x:v>
      </x:c>
      <x:c r="L156" s="8" t="n">
        <x:f>INDEX('Сводка'!$S$3:$S$397,V156)</x:f>
        <x:v>-37</x:v>
      </x:c>
      <x:c r="M156" s="8" t="n">
        <x:f>INDEX($K$388:$N$400,W156,1)*((J156-$T$405+1)/1000)^INDEX($K$388:$N$400,W156,2)+INDEX($O$388:$Z$400,W156,MONTH(J156))</x:f>
        <x:v>64.76187291793796</x:v>
      </x:c>
      <x:c r="N156" s="8" t="n">
        <x:f>K156-M156</x:f>
        <x:v>-105.76187291793796</x:v>
      </x:c>
      <x:c r="O156" s="8" t="n">
        <x:f>ABS(N156)</x:f>
        <x:v>105.76187291793796</x:v>
      </x:c>
      <x:c r="P156" s="8" t="n">
        <x:f>N156^2</x:f>
        <x:v>11185.57376311006</x:v>
      </x:c>
      <x:c r="Q156" s="8" t="n">
        <x:f>K156-L156</x:f>
        <x:v>-4</x:v>
      </x:c>
      <x:c r="R156" s="9" t="n">
        <x:f>IF(AND(INDEX('Сводка'!$T$3:$T$397,U156)=0,INDEX('Сводка'!$T$3:$T$397,V156)=0),1,0)</x:f>
        <x:v>1</x:v>
      </x:c>
      <x:c r="S156" s="9" t="n">
        <x:f>IF(AND(R156=1,O156&lt;=$G$13),1,0)</x:f>
        <x:v>0</x:v>
      </x:c>
      <x:c r="T156" s="10" t="n">
        <x:f>EOMONTH(J156-'Сводка'!$B$11,-1)</x:f>
        <x:v>45991</x:v>
      </x:c>
      <x:c r="U156" s="4" t="n">
        <x:f>MATCH(J156,'Сводка'!$R$3:$R$397,0)</x:f>
        <x:v>167</x:v>
      </x:c>
      <x:c r="V156" s="4" t="n">
        <x:f>MATCH(J156-'Сводка'!$B$11,'Сводка'!$R$3:$R$397,0)</x:f>
        <x:v>166</x:v>
      </x:c>
      <x:c r="W156" s="4" t="n">
        <x:f>MATCH(T156,$J$388:$J$400,0)</x:f>
        <x:v>6</x:v>
      </x:c>
      <x:c r="X156" s="3"/>
      <x:c r="Y156" s="3"/>
      <x:c r="Z156" s="3"/>
    </x:row>
    <x:row r="157" ht="15" customHeight="1">
      <x:c r="A157" s="3"/>
      <x:c r="B157" s="3"/>
      <x:c r="C157" s="3"/>
      <x:c r="D157" s="3"/>
      <x:c r="E157" s="3"/>
      <x:c r="F157" s="3"/>
      <x:c r="G157" s="3"/>
      <x:c r="H157" s="3"/>
      <x:c r="I157" s="3"/>
      <x:c r="J157" s="10" t="n">
        <x:v>46008</x:v>
      </x:c>
      <x:c r="K157" s="8" t="n">
        <x:f>INDEX('Сводка'!$S$3:$S$397,U157)</x:f>
        <x:v>-35</x:v>
      </x:c>
      <x:c r="L157" s="8" t="n">
        <x:f>INDEX('Сводка'!$S$3:$S$397,V157)</x:f>
        <x:v>-41</x:v>
      </x:c>
      <x:c r="M157" s="8" t="n">
        <x:f>INDEX($K$388:$N$400,W157,1)*((J157-$T$405+1)/1000)^INDEX($K$388:$N$400,W157,2)+INDEX($O$388:$Z$400,W157,MONTH(J157))</x:f>
        <x:v>64.77953952933403</x:v>
      </x:c>
      <x:c r="N157" s="8" t="n">
        <x:f>K157-M157</x:f>
        <x:v>-99.77953952933403</x:v>
      </x:c>
      <x:c r="O157" s="8" t="n">
        <x:f>ABS(N157)</x:f>
        <x:v>99.77953952933403</x:v>
      </x:c>
      <x:c r="P157" s="8" t="n">
        <x:f>N157^2</x:f>
        <x:v>9955.956508685933</x:v>
      </x:c>
      <x:c r="Q157" s="8" t="n">
        <x:f>K157-L157</x:f>
        <x:v>6</x:v>
      </x:c>
      <x:c r="R157" s="9" t="n">
        <x:f>IF(AND(INDEX('Сводка'!$T$3:$T$397,U157)=0,INDEX('Сводка'!$T$3:$T$397,V157)=0),1,0)</x:f>
        <x:v>1</x:v>
      </x:c>
      <x:c r="S157" s="9" t="n">
        <x:f>IF(AND(R157=1,O157&lt;=$G$13),1,0)</x:f>
        <x:v>0</x:v>
      </x:c>
      <x:c r="T157" s="10" t="n">
        <x:f>EOMONTH(J157-'Сводка'!$B$11,-1)</x:f>
        <x:v>45991</x:v>
      </x:c>
      <x:c r="U157" s="4" t="n">
        <x:f>MATCH(J157,'Сводка'!$R$3:$R$397,0)</x:f>
        <x:v>168</x:v>
      </x:c>
      <x:c r="V157" s="4" t="n">
        <x:f>MATCH(J157-'Сводка'!$B$11,'Сводка'!$R$3:$R$397,0)</x:f>
        <x:v>167</x:v>
      </x:c>
      <x:c r="W157" s="4" t="n">
        <x:f>MATCH(T157,$J$388:$J$400,0)</x:f>
        <x:v>6</x:v>
      </x:c>
      <x:c r="X157" s="3"/>
      <x:c r="Y157" s="3"/>
      <x:c r="Z157" s="3"/>
    </x:row>
    <x:row r="158" ht="15" customHeight="1">
      <x:c r="A158" s="3"/>
      <x:c r="B158" s="3"/>
      <x:c r="C158" s="3"/>
      <x:c r="D158" s="3"/>
      <x:c r="E158" s="3"/>
      <x:c r="F158" s="3"/>
      <x:c r="G158" s="3"/>
      <x:c r="H158" s="3"/>
      <x:c r="I158" s="3"/>
      <x:c r="J158" s="10" t="n">
        <x:v>46009</x:v>
      </x:c>
      <x:c r="K158" s="8" t="n">
        <x:f>INDEX('Сводка'!$S$3:$S$397,U158)</x:f>
        <x:v>-33</x:v>
      </x:c>
      <x:c r="L158" s="8" t="n">
        <x:f>INDEX('Сводка'!$S$3:$S$397,V158)</x:f>
        <x:v>-35</x:v>
      </x:c>
      <x:c r="M158" s="8" t="n">
        <x:f>INDEX($K$388:$N$400,W158,1)*((J158-$T$405+1)/1000)^INDEX($K$388:$N$400,W158,2)+INDEX($O$388:$Z$400,W158,MONTH(J158))</x:f>
        <x:v>64.79720626794288</x:v>
      </x:c>
      <x:c r="N158" s="8" t="n">
        <x:f>K158-M158</x:f>
        <x:v>-97.79720626794288</x:v>
      </x:c>
      <x:c r="O158" s="8" t="n">
        <x:f>ABS(N158)</x:f>
        <x:v>97.79720626794288</x:v>
      </x:c>
      <x:c r="P158" s="8" t="n">
        <x:f>N158^2</x:f>
        <x:v>9564.293553814567</x:v>
      </x:c>
      <x:c r="Q158" s="8" t="n">
        <x:f>K158-L158</x:f>
        <x:v>2</x:v>
      </x:c>
      <x:c r="R158" s="9" t="n">
        <x:f>IF(AND(INDEX('Сводка'!$T$3:$T$397,U158)=0,INDEX('Сводка'!$T$3:$T$397,V158)=0),1,0)</x:f>
        <x:v>1</x:v>
      </x:c>
      <x:c r="S158" s="9" t="n">
        <x:f>IF(AND(R158=1,O158&lt;=$G$13),1,0)</x:f>
        <x:v>0</x:v>
      </x:c>
      <x:c r="T158" s="10" t="n">
        <x:f>EOMONTH(J158-'Сводка'!$B$11,-1)</x:f>
        <x:v>45991</x:v>
      </x:c>
      <x:c r="U158" s="4" t="n">
        <x:f>MATCH(J158,'Сводка'!$R$3:$R$397,0)</x:f>
        <x:v>169</x:v>
      </x:c>
      <x:c r="V158" s="4" t="n">
        <x:f>MATCH(J158-'Сводка'!$B$11,'Сводка'!$R$3:$R$397,0)</x:f>
        <x:v>168</x:v>
      </x:c>
      <x:c r="W158" s="4" t="n">
        <x:f>MATCH(T158,$J$388:$J$400,0)</x:f>
        <x:v>6</x:v>
      </x:c>
      <x:c r="X158" s="3"/>
      <x:c r="Y158" s="3"/>
      <x:c r="Z158" s="3"/>
    </x:row>
    <x:row r="159" ht="15" customHeight="1">
      <x:c r="A159" s="3"/>
      <x:c r="B159" s="3"/>
      <x:c r="C159" s="3"/>
      <x:c r="D159" s="3"/>
      <x:c r="E159" s="3"/>
      <x:c r="F159" s="3"/>
      <x:c r="G159" s="3"/>
      <x:c r="H159" s="3"/>
      <x:c r="I159" s="3"/>
      <x:c r="J159" s="10" t="n">
        <x:v>46010</x:v>
      </x:c>
      <x:c r="K159" s="8" t="n">
        <x:f>INDEX('Сводка'!$S$3:$S$397,U159)</x:f>
        <x:v>-31</x:v>
      </x:c>
      <x:c r="L159" s="8" t="n">
        <x:f>INDEX('Сводка'!$S$3:$S$397,V159)</x:f>
        <x:v>-33</x:v>
      </x:c>
      <x:c r="M159" s="8" t="n">
        <x:f>INDEX($K$388:$N$400,W159,1)*((J159-$T$405+1)/1000)^INDEX($K$388:$N$400,W159,2)+INDEX($O$388:$Z$400,W159,MONTH(J159))</x:f>
        <x:v>64.81487313375096</x:v>
      </x:c>
      <x:c r="N159" s="8" t="n">
        <x:f>K159-M159</x:f>
        <x:v>-95.81487313375096</x:v>
      </x:c>
      <x:c r="O159" s="8" t="n">
        <x:f>ABS(N159)</x:f>
        <x:v>95.81487313375096</x:v>
      </x:c>
      <x:c r="P159" s="8" t="n">
        <x:f>N159^2</x:f>
        <x:v>9180.489913636793</x:v>
      </x:c>
      <x:c r="Q159" s="8" t="n">
        <x:f>K159-L159</x:f>
        <x:v>2</x:v>
      </x:c>
      <x:c r="R159" s="9" t="n">
        <x:f>IF(AND(INDEX('Сводка'!$T$3:$T$397,U159)=0,INDEX('Сводка'!$T$3:$T$397,V159)=0),1,0)</x:f>
        <x:v>1</x:v>
      </x:c>
      <x:c r="S159" s="9" t="n">
        <x:f>IF(AND(R159=1,O159&lt;=$G$13),1,0)</x:f>
        <x:v>0</x:v>
      </x:c>
      <x:c r="T159" s="10" t="n">
        <x:f>EOMONTH(J159-'Сводка'!$B$11,-1)</x:f>
        <x:v>45991</x:v>
      </x:c>
      <x:c r="U159" s="4" t="n">
        <x:f>MATCH(J159,'Сводка'!$R$3:$R$397,0)</x:f>
        <x:v>170</x:v>
      </x:c>
      <x:c r="V159" s="4" t="n">
        <x:f>MATCH(J159-'Сводка'!$B$11,'Сводка'!$R$3:$R$397,0)</x:f>
        <x:v>169</x:v>
      </x:c>
      <x:c r="W159" s="4" t="n">
        <x:f>MATCH(T159,$J$388:$J$400,0)</x:f>
        <x:v>6</x:v>
      </x:c>
      <x:c r="X159" s="3"/>
      <x:c r="Y159" s="3"/>
      <x:c r="Z159" s="3"/>
    </x:row>
    <x:row r="160" ht="15" customHeight="1">
      <x:c r="A160" s="3"/>
      <x:c r="B160" s="3"/>
      <x:c r="C160" s="3"/>
      <x:c r="D160" s="3"/>
      <x:c r="E160" s="3"/>
      <x:c r="F160" s="3"/>
      <x:c r="G160" s="3"/>
      <x:c r="H160" s="3"/>
      <x:c r="I160" s="3"/>
      <x:c r="J160" s="10" t="n">
        <x:v>46011</x:v>
      </x:c>
      <x:c r="K160" s="8" t="n">
        <x:f>INDEX('Сводка'!$S$3:$S$397,U160)</x:f>
        <x:v>-31</x:v>
      </x:c>
      <x:c r="L160" s="8" t="n">
        <x:f>INDEX('Сводка'!$S$3:$S$397,V160)</x:f>
        <x:v>-31</x:v>
      </x:c>
      <x:c r="M160" s="8" t="n">
        <x:f>INDEX($K$388:$N$400,W160,1)*((J160-$T$405+1)/1000)^INDEX($K$388:$N$400,W160,2)+INDEX($O$388:$Z$400,W160,MONTH(J160))</x:f>
        <x:v>64.83254012674463</x:v>
      </x:c>
      <x:c r="N160" s="8" t="n">
        <x:f>K160-M160</x:f>
        <x:v>-95.83254012674463</x:v>
      </x:c>
      <x:c r="O160" s="8" t="n">
        <x:f>ABS(N160)</x:f>
        <x:v>95.83254012674463</x:v>
      </x:c>
      <x:c r="P160" s="8" t="n">
        <x:f>N160^2</x:f>
        <x:v>9183.87574714412</x:v>
      </x:c>
      <x:c r="Q160" s="8" t="n">
        <x:f>K160-L160</x:f>
        <x:v>0</x:v>
      </x:c>
      <x:c r="R160" s="9" t="n">
        <x:f>IF(AND(INDEX('Сводка'!$T$3:$T$397,U160)=0,INDEX('Сводка'!$T$3:$T$397,V160)=0),1,0)</x:f>
        <x:v>1</x:v>
      </x:c>
      <x:c r="S160" s="9" t="n">
        <x:f>IF(AND(R160=1,O160&lt;=$G$13),1,0)</x:f>
        <x:v>0</x:v>
      </x:c>
      <x:c r="T160" s="10" t="n">
        <x:f>EOMONTH(J160-'Сводка'!$B$11,-1)</x:f>
        <x:v>45991</x:v>
      </x:c>
      <x:c r="U160" s="4" t="n">
        <x:f>MATCH(J160,'Сводка'!$R$3:$R$397,0)</x:f>
        <x:v>171</x:v>
      </x:c>
      <x:c r="V160" s="4" t="n">
        <x:f>MATCH(J160-'Сводка'!$B$11,'Сводка'!$R$3:$R$397,0)</x:f>
        <x:v>170</x:v>
      </x:c>
      <x:c r="W160" s="4" t="n">
        <x:f>MATCH(T160,$J$388:$J$400,0)</x:f>
        <x:v>6</x:v>
      </x:c>
      <x:c r="X160" s="3"/>
      <x:c r="Y160" s="3"/>
      <x:c r="Z160" s="3"/>
    </x:row>
    <x:row r="161" ht="15" customHeight="1">
      <x:c r="A161" s="3"/>
      <x:c r="B161" s="3"/>
      <x:c r="C161" s="3"/>
      <x:c r="D161" s="3"/>
      <x:c r="E161" s="3"/>
      <x:c r="F161" s="3"/>
      <x:c r="G161" s="3"/>
      <x:c r="H161" s="3"/>
      <x:c r="I161" s="3"/>
      <x:c r="J161" s="10" t="n">
        <x:v>46012</x:v>
      </x:c>
      <x:c r="K161" s="8" t="n">
        <x:f>INDEX('Сводка'!$S$3:$S$397,U161)</x:f>
        <x:v>-30</x:v>
      </x:c>
      <x:c r="L161" s="8" t="n">
        <x:f>INDEX('Сводка'!$S$3:$S$397,V161)</x:f>
        <x:v>-31</x:v>
      </x:c>
      <x:c r="M161" s="8" t="n">
        <x:f>INDEX($K$388:$N$400,W161,1)*((J161-$T$405+1)/1000)^INDEX($K$388:$N$400,W161,2)+INDEX($O$388:$Z$400,W161,MONTH(J161))</x:f>
        <x:v>64.85020724691024</x:v>
      </x:c>
      <x:c r="N161" s="8" t="n">
        <x:f>K161-M161</x:f>
        <x:v>-94.85020724691024</x:v>
      </x:c>
      <x:c r="O161" s="8" t="n">
        <x:f>ABS(N161)</x:f>
        <x:v>94.85020724691024</x:v>
      </x:c>
      <x:c r="P161" s="8" t="n">
        <x:f>N161^2</x:f>
        <x:v>8996.561814781824</x:v>
      </x:c>
      <x:c r="Q161" s="8" t="n">
        <x:f>K161-L161</x:f>
        <x:v>1</x:v>
      </x:c>
      <x:c r="R161" s="9" t="n">
        <x:f>IF(AND(INDEX('Сводка'!$T$3:$T$397,U161)=0,INDEX('Сводка'!$T$3:$T$397,V161)=0),1,0)</x:f>
        <x:v>1</x:v>
      </x:c>
      <x:c r="S161" s="9" t="n">
        <x:f>IF(AND(R161=1,O161&lt;=$G$13),1,0)</x:f>
        <x:v>0</x:v>
      </x:c>
      <x:c r="T161" s="10" t="n">
        <x:f>EOMONTH(J161-'Сводка'!$B$11,-1)</x:f>
        <x:v>45991</x:v>
      </x:c>
      <x:c r="U161" s="4" t="n">
        <x:f>MATCH(J161,'Сводка'!$R$3:$R$397,0)</x:f>
        <x:v>172</x:v>
      </x:c>
      <x:c r="V161" s="4" t="n">
        <x:f>MATCH(J161-'Сводка'!$B$11,'Сводка'!$R$3:$R$397,0)</x:f>
        <x:v>171</x:v>
      </x:c>
      <x:c r="W161" s="4" t="n">
        <x:f>MATCH(T161,$J$388:$J$400,0)</x:f>
        <x:v>6</x:v>
      </x:c>
      <x:c r="X161" s="3"/>
      <x:c r="Y161" s="3"/>
      <x:c r="Z161" s="3"/>
    </x:row>
    <x:row r="162" ht="15" customHeight="1">
      <x:c r="A162" s="3"/>
      <x:c r="B162" s="3"/>
      <x:c r="C162" s="3"/>
      <x:c r="D162" s="3"/>
      <x:c r="E162" s="3"/>
      <x:c r="F162" s="3"/>
      <x:c r="G162" s="3"/>
      <x:c r="H162" s="3"/>
      <x:c r="I162" s="3"/>
      <x:c r="J162" s="10" t="n">
        <x:v>46013</x:v>
      </x:c>
      <x:c r="K162" s="8" t="n">
        <x:f>INDEX('Сводка'!$S$3:$S$397,U162)</x:f>
        <x:v>-27</x:v>
      </x:c>
      <x:c r="L162" s="8" t="n">
        <x:f>INDEX('Сводка'!$S$3:$S$397,V162)</x:f>
        <x:v>-30</x:v>
      </x:c>
      <x:c r="M162" s="8" t="n">
        <x:f>INDEX($K$388:$N$400,W162,1)*((J162-$T$405+1)/1000)^INDEX($K$388:$N$400,W162,2)+INDEX($O$388:$Z$400,W162,MONTH(J162))</x:f>
        <x:v>64.86787449423427</x:v>
      </x:c>
      <x:c r="N162" s="8" t="n">
        <x:f>K162-M162</x:f>
        <x:v>-91.86787449423427</x:v>
      </x:c>
      <x:c r="O162" s="8" t="n">
        <x:f>ABS(N162)</x:f>
        <x:v>91.86787449423427</x:v>
      </x:c>
      <x:c r="P162" s="8" t="n">
        <x:f>N162^2</x:f>
        <x:v>8439.70636408838</x:v>
      </x:c>
      <x:c r="Q162" s="8" t="n">
        <x:f>K162-L162</x:f>
        <x:v>3</x:v>
      </x:c>
      <x:c r="R162" s="9" t="n">
        <x:f>IF(AND(INDEX('Сводка'!$T$3:$T$397,U162)=0,INDEX('Сводка'!$T$3:$T$397,V162)=0),1,0)</x:f>
        <x:v>1</x:v>
      </x:c>
      <x:c r="S162" s="9" t="n">
        <x:f>IF(AND(R162=1,O162&lt;=$G$13),1,0)</x:f>
        <x:v>0</x:v>
      </x:c>
      <x:c r="T162" s="10" t="n">
        <x:f>EOMONTH(J162-'Сводка'!$B$11,-1)</x:f>
        <x:v>45991</x:v>
      </x:c>
      <x:c r="U162" s="4" t="n">
        <x:f>MATCH(J162,'Сводка'!$R$3:$R$397,0)</x:f>
        <x:v>173</x:v>
      </x:c>
      <x:c r="V162" s="4" t="n">
        <x:f>MATCH(J162-'Сводка'!$B$11,'Сводка'!$R$3:$R$397,0)</x:f>
        <x:v>172</x:v>
      </x:c>
      <x:c r="W162" s="4" t="n">
        <x:f>MATCH(T162,$J$388:$J$400,0)</x:f>
        <x:v>6</x:v>
      </x:c>
      <x:c r="X162" s="3"/>
      <x:c r="Y162" s="3"/>
      <x:c r="Z162" s="3"/>
    </x:row>
    <x:row r="163" ht="15" customHeight="1">
      <x:c r="A163" s="3"/>
      <x:c r="B163" s="3"/>
      <x:c r="C163" s="3"/>
      <x:c r="D163" s="3"/>
      <x:c r="E163" s="3"/>
      <x:c r="F163" s="3"/>
      <x:c r="G163" s="3"/>
      <x:c r="H163" s="3"/>
      <x:c r="I163" s="3"/>
      <x:c r="J163" s="10" t="n">
        <x:v>46014</x:v>
      </x:c>
      <x:c r="K163" s="8" t="n">
        <x:f>INDEX('Сводка'!$S$3:$S$397,U163)</x:f>
        <x:v>-23</x:v>
      </x:c>
      <x:c r="L163" s="8" t="n">
        <x:f>INDEX('Сводка'!$S$3:$S$397,V163)</x:f>
        <x:v>-27</x:v>
      </x:c>
      <x:c r="M163" s="8" t="n">
        <x:f>INDEX($K$388:$N$400,W163,1)*((J163-$T$405+1)/1000)^INDEX($K$388:$N$400,W163,2)+INDEX($O$388:$Z$400,W163,MONTH(J163))</x:f>
        <x:v>64.88554186870302</x:v>
      </x:c>
      <x:c r="N163" s="8" t="n">
        <x:f>K163-M163</x:f>
        <x:v>-87.88554186870302</x:v>
      </x:c>
      <x:c r="O163" s="8" t="n">
        <x:f>ABS(N163)</x:f>
        <x:v>87.88554186870302</x:v>
      </x:c>
      <x:c r="P163" s="8" t="n">
        <x:f>N163^2</x:f>
        <x:v>7723.86846955555</x:v>
      </x:c>
      <x:c r="Q163" s="8" t="n">
        <x:f>K163-L163</x:f>
        <x:v>4</x:v>
      </x:c>
      <x:c r="R163" s="9" t="n">
        <x:f>IF(AND(INDEX('Сводка'!$T$3:$T$397,U163)=0,INDEX('Сводка'!$T$3:$T$397,V163)=0),1,0)</x:f>
        <x:v>1</x:v>
      </x:c>
      <x:c r="S163" s="9" t="n">
        <x:f>IF(AND(R163=1,O163&lt;=$G$13),1,0)</x:f>
        <x:v>0</x:v>
      </x:c>
      <x:c r="T163" s="10" t="n">
        <x:f>EOMONTH(J163-'Сводка'!$B$11,-1)</x:f>
        <x:v>45991</x:v>
      </x:c>
      <x:c r="U163" s="4" t="n">
        <x:f>MATCH(J163,'Сводка'!$R$3:$R$397,0)</x:f>
        <x:v>174</x:v>
      </x:c>
      <x:c r="V163" s="4" t="n">
        <x:f>MATCH(J163-'Сводка'!$B$11,'Сводка'!$R$3:$R$397,0)</x:f>
        <x:v>173</x:v>
      </x:c>
      <x:c r="W163" s="4" t="n">
        <x:f>MATCH(T163,$J$388:$J$400,0)</x:f>
        <x:v>6</x:v>
      </x:c>
      <x:c r="X163" s="3"/>
      <x:c r="Y163" s="3"/>
      <x:c r="Z163" s="3"/>
    </x:row>
    <x:row r="164" ht="15" customHeight="1">
      <x:c r="A164" s="3"/>
      <x:c r="B164" s="3"/>
      <x:c r="C164" s="3"/>
      <x:c r="D164" s="3"/>
      <x:c r="E164" s="3"/>
      <x:c r="F164" s="3"/>
      <x:c r="G164" s="3"/>
      <x:c r="H164" s="3"/>
      <x:c r="I164" s="3"/>
      <x:c r="J164" s="10" t="n">
        <x:v>46015</x:v>
      </x:c>
      <x:c r="K164" s="8" t="n">
        <x:f>INDEX('Сводка'!$S$3:$S$397,U164)</x:f>
        <x:v>-21</x:v>
      </x:c>
      <x:c r="L164" s="8" t="n">
        <x:f>INDEX('Сводка'!$S$3:$S$397,V164)</x:f>
        <x:v>-23</x:v>
      </x:c>
      <x:c r="M164" s="8" t="n">
        <x:f>INDEX($K$388:$N$400,W164,1)*((J164-$T$405+1)/1000)^INDEX($K$388:$N$400,W164,2)+INDEX($O$388:$Z$400,W164,MONTH(J164))</x:f>
        <x:v>64.903209370303</x:v>
      </x:c>
      <x:c r="N164" s="8" t="n">
        <x:f>K164-M164</x:f>
        <x:v>-85.903209370303</x:v>
      </x:c>
      <x:c r="O164" s="8" t="n">
        <x:f>ABS(N164)</x:f>
        <x:v>85.903209370303</x:v>
      </x:c>
      <x:c r="P164" s="8" t="n">
        <x:f>N164^2</x:f>
        <x:v>7379.361380118114</x:v>
      </x:c>
      <x:c r="Q164" s="8" t="n">
        <x:f>K164-L164</x:f>
        <x:v>2</x:v>
      </x:c>
      <x:c r="R164" s="9" t="n">
        <x:f>IF(AND(INDEX('Сводка'!$T$3:$T$397,U164)=0,INDEX('Сводка'!$T$3:$T$397,V164)=0),1,0)</x:f>
        <x:v>1</x:v>
      </x:c>
      <x:c r="S164" s="9" t="n">
        <x:f>IF(AND(R164=1,O164&lt;=$G$13),1,0)</x:f>
        <x:v>0</x:v>
      </x:c>
      <x:c r="T164" s="10" t="n">
        <x:f>EOMONTH(J164-'Сводка'!$B$11,-1)</x:f>
        <x:v>45991</x:v>
      </x:c>
      <x:c r="U164" s="4" t="n">
        <x:f>MATCH(J164,'Сводка'!$R$3:$R$397,0)</x:f>
        <x:v>175</x:v>
      </x:c>
      <x:c r="V164" s="4" t="n">
        <x:f>MATCH(J164-'Сводка'!$B$11,'Сводка'!$R$3:$R$397,0)</x:f>
        <x:v>174</x:v>
      </x:c>
      <x:c r="W164" s="4" t="n">
        <x:f>MATCH(T164,$J$388:$J$400,0)</x:f>
        <x:v>6</x:v>
      </x:c>
      <x:c r="X164" s="3"/>
      <x:c r="Y164" s="3"/>
      <x:c r="Z164" s="3"/>
    </x:row>
    <x:row r="165" ht="15" customHeight="1">
      <x:c r="A165" s="3"/>
      <x:c r="B165" s="3"/>
      <x:c r="C165" s="3"/>
      <x:c r="D165" s="3"/>
      <x:c r="E165" s="3"/>
      <x:c r="F165" s="3"/>
      <x:c r="G165" s="3"/>
      <x:c r="H165" s="3"/>
      <x:c r="I165" s="3"/>
      <x:c r="J165" s="10" t="n">
        <x:v>46016</x:v>
      </x:c>
      <x:c r="K165" s="8" t="n">
        <x:f>INDEX('Сводка'!$S$3:$S$397,U165)</x:f>
        <x:v>-19</x:v>
      </x:c>
      <x:c r="L165" s="8" t="n">
        <x:f>INDEX('Сводка'!$S$3:$S$397,V165)</x:f>
        <x:v>-21</x:v>
      </x:c>
      <x:c r="M165" s="8" t="n">
        <x:f>INDEX($K$388:$N$400,W165,1)*((J165-$T$405+1)/1000)^INDEX($K$388:$N$400,W165,2)+INDEX($O$388:$Z$400,W165,MONTH(J165))</x:f>
        <x:v>64.92087699902048</x:v>
      </x:c>
      <x:c r="N165" s="8" t="n">
        <x:f>K165-M165</x:f>
        <x:v>-83.92087699902048</x:v>
      </x:c>
      <x:c r="O165" s="8" t="n">
        <x:f>ABS(N165)</x:f>
        <x:v>83.92087699902048</x:v>
      </x:c>
      <x:c r="P165" s="8" t="n">
        <x:f>N165^2</x:f>
        <x:v>7042.713596284724</x:v>
      </x:c>
      <x:c r="Q165" s="8" t="n">
        <x:f>K165-L165</x:f>
        <x:v>2</x:v>
      </x:c>
      <x:c r="R165" s="9" t="n">
        <x:f>IF(AND(INDEX('Сводка'!$T$3:$T$397,U165)=0,INDEX('Сводка'!$T$3:$T$397,V165)=0),1,0)</x:f>
        <x:v>1</x:v>
      </x:c>
      <x:c r="S165" s="9" t="n">
        <x:f>IF(AND(R165=1,O165&lt;=$G$13),1,0)</x:f>
        <x:v>0</x:v>
      </x:c>
      <x:c r="T165" s="10" t="n">
        <x:f>EOMONTH(J165-'Сводка'!$B$11,-1)</x:f>
        <x:v>45991</x:v>
      </x:c>
      <x:c r="U165" s="4" t="n">
        <x:f>MATCH(J165,'Сводка'!$R$3:$R$397,0)</x:f>
        <x:v>176</x:v>
      </x:c>
      <x:c r="V165" s="4" t="n">
        <x:f>MATCH(J165-'Сводка'!$B$11,'Сводка'!$R$3:$R$397,0)</x:f>
        <x:v>175</x:v>
      </x:c>
      <x:c r="W165" s="4" t="n">
        <x:f>MATCH(T165,$J$388:$J$400,0)</x:f>
        <x:v>6</x:v>
      </x:c>
      <x:c r="X165" s="3"/>
      <x:c r="Y165" s="3"/>
      <x:c r="Z165" s="3"/>
    </x:row>
    <x:row r="166" ht="15" customHeight="1">
      <x:c r="A166" s="3"/>
      <x:c r="B166" s="3"/>
      <x:c r="C166" s="3"/>
      <x:c r="D166" s="3"/>
      <x:c r="E166" s="3"/>
      <x:c r="F166" s="3"/>
      <x:c r="G166" s="3"/>
      <x:c r="H166" s="3"/>
      <x:c r="I166" s="3"/>
      <x:c r="J166" s="10" t="n">
        <x:v>46017</x:v>
      </x:c>
      <x:c r="K166" s="8" t="n">
        <x:f>INDEX('Сводка'!$S$3:$S$397,U166)</x:f>
        <x:v>-17</x:v>
      </x:c>
      <x:c r="L166" s="8" t="n">
        <x:f>INDEX('Сводка'!$S$3:$S$397,V166)</x:f>
        <x:v>-19</x:v>
      </x:c>
      <x:c r="M166" s="8" t="n">
        <x:f>INDEX($K$388:$N$400,W166,1)*((J166-$T$405+1)/1000)^INDEX($K$388:$N$400,W166,2)+INDEX($O$388:$Z$400,W166,MONTH(J166))</x:f>
        <x:v>64.93854475484197</x:v>
      </x:c>
      <x:c r="N166" s="8" t="n">
        <x:f>K166-M166</x:f>
        <x:v>-81.93854475484197</x:v>
      </x:c>
      <x:c r="O166" s="8" t="n">
        <x:f>ABS(N166)</x:f>
        <x:v>81.93854475484197</x:v>
      </x:c>
      <x:c r="P166" s="8" t="n">
        <x:f>N166^2</x:f>
        <x:v>6713.925116541241</x:v>
      </x:c>
      <x:c r="Q166" s="8" t="n">
        <x:f>K166-L166</x:f>
        <x:v>2</x:v>
      </x:c>
      <x:c r="R166" s="9" t="n">
        <x:f>IF(AND(INDEX('Сводка'!$T$3:$T$397,U166)=0,INDEX('Сводка'!$T$3:$T$397,V166)=0),1,0)</x:f>
        <x:v>1</x:v>
      </x:c>
      <x:c r="S166" s="9" t="n">
        <x:f>IF(AND(R166=1,O166&lt;=$G$13),1,0)</x:f>
        <x:v>0</x:v>
      </x:c>
      <x:c r="T166" s="10" t="n">
        <x:f>EOMONTH(J166-'Сводка'!$B$11,-1)</x:f>
        <x:v>45991</x:v>
      </x:c>
      <x:c r="U166" s="4" t="n">
        <x:f>MATCH(J166,'Сводка'!$R$3:$R$397,0)</x:f>
        <x:v>177</x:v>
      </x:c>
      <x:c r="V166" s="4" t="n">
        <x:f>MATCH(J166-'Сводка'!$B$11,'Сводка'!$R$3:$R$397,0)</x:f>
        <x:v>176</x:v>
      </x:c>
      <x:c r="W166" s="4" t="n">
        <x:f>MATCH(T166,$J$388:$J$400,0)</x:f>
        <x:v>6</x:v>
      </x:c>
      <x:c r="X166" s="3"/>
      <x:c r="Y166" s="3"/>
      <x:c r="Z166" s="3"/>
    </x:row>
    <x:row r="167" ht="15" customHeight="1">
      <x:c r="A167" s="3"/>
      <x:c r="B167" s="3"/>
      <x:c r="C167" s="3"/>
      <x:c r="D167" s="3"/>
      <x:c r="E167" s="3"/>
      <x:c r="F167" s="3"/>
      <x:c r="G167" s="3"/>
      <x:c r="H167" s="3"/>
      <x:c r="I167" s="3"/>
      <x:c r="J167" s="10" t="n">
        <x:v>46018</x:v>
      </x:c>
      <x:c r="K167" s="8" t="n">
        <x:f>INDEX('Сводка'!$S$3:$S$397,U167)</x:f>
        <x:v>-15</x:v>
      </x:c>
      <x:c r="L167" s="8" t="n">
        <x:f>INDEX('Сводка'!$S$3:$S$397,V167)</x:f>
        <x:v>-17</x:v>
      </x:c>
      <x:c r="M167" s="8" t="n">
        <x:f>INDEX($K$388:$N$400,W167,1)*((J167-$T$405+1)/1000)^INDEX($K$388:$N$400,W167,2)+INDEX($O$388:$Z$400,W167,MONTH(J167))</x:f>
        <x:v>64.95621263775381</x:v>
      </x:c>
      <x:c r="N167" s="8" t="n">
        <x:f>K167-M167</x:f>
        <x:v>-79.95621263775381</x:v>
      </x:c>
      <x:c r="O167" s="8" t="n">
        <x:f>ABS(N167)</x:f>
        <x:v>79.95621263775381</x:v>
      </x:c>
      <x:c r="P167" s="8" t="n">
        <x:f>N167^2</x:f>
        <x:v>6392.995939373702</x:v>
      </x:c>
      <x:c r="Q167" s="8" t="n">
        <x:f>K167-L167</x:f>
        <x:v>2</x:v>
      </x:c>
      <x:c r="R167" s="9" t="n">
        <x:f>IF(AND(INDEX('Сводка'!$T$3:$T$397,U167)=0,INDEX('Сводка'!$T$3:$T$397,V167)=0),1,0)</x:f>
        <x:v>1</x:v>
      </x:c>
      <x:c r="S167" s="9" t="n">
        <x:f>IF(AND(R167=1,O167&lt;=$G$13),1,0)</x:f>
        <x:v>0</x:v>
      </x:c>
      <x:c r="T167" s="10" t="n">
        <x:f>EOMONTH(J167-'Сводка'!$B$11,-1)</x:f>
        <x:v>45991</x:v>
      </x:c>
      <x:c r="U167" s="4" t="n">
        <x:f>MATCH(J167,'Сводка'!$R$3:$R$397,0)</x:f>
        <x:v>178</x:v>
      </x:c>
      <x:c r="V167" s="4" t="n">
        <x:f>MATCH(J167-'Сводка'!$B$11,'Сводка'!$R$3:$R$397,0)</x:f>
        <x:v>177</x:v>
      </x:c>
      <x:c r="W167" s="4" t="n">
        <x:f>MATCH(T167,$J$388:$J$400,0)</x:f>
        <x:v>6</x:v>
      </x:c>
      <x:c r="X167" s="3"/>
      <x:c r="Y167" s="3"/>
      <x:c r="Z167" s="3"/>
    </x:row>
    <x:row r="168" ht="15" customHeight="1">
      <x:c r="A168" s="3"/>
      <x:c r="B168" s="3"/>
      <x:c r="C168" s="3"/>
      <x:c r="D168" s="3"/>
      <x:c r="E168" s="3"/>
      <x:c r="F168" s="3"/>
      <x:c r="G168" s="3"/>
      <x:c r="H168" s="3"/>
      <x:c r="I168" s="3"/>
      <x:c r="J168" s="10" t="n">
        <x:v>46019</x:v>
      </x:c>
      <x:c r="K168" s="8" t="n">
        <x:f>INDEX('Сводка'!$S$3:$S$397,U168)</x:f>
        <x:v>-12</x:v>
      </x:c>
      <x:c r="L168" s="8" t="n">
        <x:f>INDEX('Сводка'!$S$3:$S$397,V168)</x:f>
        <x:v>-15</x:v>
      </x:c>
      <x:c r="M168" s="8" t="n">
        <x:f>INDEX($K$388:$N$400,W168,1)*((J168-$T$405+1)/1000)^INDEX($K$388:$N$400,W168,2)+INDEX($O$388:$Z$400,W168,MONTH(J168))</x:f>
        <x:v>64.97388064774243</x:v>
      </x:c>
      <x:c r="N168" s="8" t="n">
        <x:f>K168-M168</x:f>
        <x:v>-76.97388064774243</x:v>
      </x:c>
      <x:c r="O168" s="8" t="n">
        <x:f>ABS(N168)</x:f>
        <x:v>76.97388064774243</x:v>
      </x:c>
      <x:c r="P168" s="8" t="n">
        <x:f>N168^2</x:f>
        <x:v>5924.9783019728975</x:v>
      </x:c>
      <x:c r="Q168" s="8" t="n">
        <x:f>K168-L168</x:f>
        <x:v>3</x:v>
      </x:c>
      <x:c r="R168" s="9" t="n">
        <x:f>IF(AND(INDEX('Сводка'!$T$3:$T$397,U168)=0,INDEX('Сводка'!$T$3:$T$397,V168)=0),1,0)</x:f>
        <x:v>1</x:v>
      </x:c>
      <x:c r="S168" s="9" t="n">
        <x:f>IF(AND(R168=1,O168&lt;=$G$13),1,0)</x:f>
        <x:v>0</x:v>
      </x:c>
      <x:c r="T168" s="10" t="n">
        <x:f>EOMONTH(J168-'Сводка'!$B$11,-1)</x:f>
        <x:v>45991</x:v>
      </x:c>
      <x:c r="U168" s="4" t="n">
        <x:f>MATCH(J168,'Сводка'!$R$3:$R$397,0)</x:f>
        <x:v>179</x:v>
      </x:c>
      <x:c r="V168" s="4" t="n">
        <x:f>MATCH(J168-'Сводка'!$B$11,'Сводка'!$R$3:$R$397,0)</x:f>
        <x:v>178</x:v>
      </x:c>
      <x:c r="W168" s="4" t="n">
        <x:f>MATCH(T168,$J$388:$J$400,0)</x:f>
        <x:v>6</x:v>
      </x:c>
      <x:c r="X168" s="3"/>
      <x:c r="Y168" s="3"/>
      <x:c r="Z168" s="3"/>
    </x:row>
    <x:row r="169" ht="15" customHeight="1">
      <x:c r="A169" s="3"/>
      <x:c r="B169" s="3"/>
      <x:c r="C169" s="3"/>
      <x:c r="D169" s="3"/>
      <x:c r="E169" s="3"/>
      <x:c r="F169" s="3"/>
      <x:c r="G169" s="3"/>
      <x:c r="H169" s="3"/>
      <x:c r="I169" s="3"/>
      <x:c r="J169" s="10" t="n">
        <x:v>46020</x:v>
      </x:c>
      <x:c r="K169" s="8" t="n">
        <x:f>INDEX('Сводка'!$S$3:$S$397,U169)</x:f>
        <x:v>-6</x:v>
      </x:c>
      <x:c r="L169" s="8" t="n">
        <x:f>INDEX('Сводка'!$S$3:$S$397,V169)</x:f>
        <x:v>-12</x:v>
      </x:c>
      <x:c r="M169" s="8" t="n">
        <x:f>INDEX($K$388:$N$400,W169,1)*((J169-$T$405+1)/1000)^INDEX($K$388:$N$400,W169,2)+INDEX($O$388:$Z$400,W169,MONTH(J169))</x:f>
        <x:v>64.99154878479423</x:v>
      </x:c>
      <x:c r="N169" s="8" t="n">
        <x:f>K169-M169</x:f>
        <x:v>-70.99154878479423</x:v>
      </x:c>
      <x:c r="O169" s="8" t="n">
        <x:f>ABS(N169)</x:f>
        <x:v>70.99154878479423</x:v>
      </x:c>
      <x:c r="P169" s="8" t="n">
        <x:f>N169^2</x:f>
        <x:v>5039.799998863819</x:v>
      </x:c>
      <x:c r="Q169" s="8" t="n">
        <x:f>K169-L169</x:f>
        <x:v>6</x:v>
      </x:c>
      <x:c r="R169" s="9" t="n">
        <x:f>IF(AND(INDEX('Сводка'!$T$3:$T$397,U169)=0,INDEX('Сводка'!$T$3:$T$397,V169)=0),1,0)</x:f>
        <x:v>1</x:v>
      </x:c>
      <x:c r="S169" s="9" t="n">
        <x:f>IF(AND(R169=1,O169&lt;=$G$13),1,0)</x:f>
        <x:v>0</x:v>
      </x:c>
      <x:c r="T169" s="10" t="n">
        <x:f>EOMONTH(J169-'Сводка'!$B$11,-1)</x:f>
        <x:v>45991</x:v>
      </x:c>
      <x:c r="U169" s="4" t="n">
        <x:f>MATCH(J169,'Сводка'!$R$3:$R$397,0)</x:f>
        <x:v>180</x:v>
      </x:c>
      <x:c r="V169" s="4" t="n">
        <x:f>MATCH(J169-'Сводка'!$B$11,'Сводка'!$R$3:$R$397,0)</x:f>
        <x:v>179</x:v>
      </x:c>
      <x:c r="W169" s="4" t="n">
        <x:f>MATCH(T169,$J$388:$J$400,0)</x:f>
        <x:v>6</x:v>
      </x:c>
      <x:c r="X169" s="3"/>
      <x:c r="Y169" s="3"/>
      <x:c r="Z169" s="3"/>
    </x:row>
    <x:row r="170" ht="15" customHeight="1">
      <x:c r="A170" s="3"/>
      <x:c r="B170" s="3"/>
      <x:c r="C170" s="3"/>
      <x:c r="D170" s="3"/>
      <x:c r="E170" s="3"/>
      <x:c r="F170" s="3"/>
      <x:c r="G170" s="3"/>
      <x:c r="H170" s="3"/>
      <x:c r="I170" s="3"/>
      <x:c r="J170" s="10" t="n">
        <x:v>46021</x:v>
      </x:c>
      <x:c r="K170" s="8" t="n">
        <x:f>INDEX('Сводка'!$S$3:$S$397,U170)</x:f>
        <x:v>-3</x:v>
      </x:c>
      <x:c r="L170" s="8" t="n">
        <x:f>INDEX('Сводка'!$S$3:$S$397,V170)</x:f>
        <x:v>-6</x:v>
      </x:c>
      <x:c r="M170" s="8" t="n">
        <x:f>INDEX($K$388:$N$400,W170,1)*((J170-$T$405+1)/1000)^INDEX($K$388:$N$400,W170,2)+INDEX($O$388:$Z$400,W170,MONTH(J170))</x:f>
        <x:v>65.00921704889568</x:v>
      </x:c>
      <x:c r="N170" s="8" t="n">
        <x:f>K170-M170</x:f>
        <x:v>-68.00921704889568</x:v>
      </x:c>
      <x:c r="O170" s="8" t="n">
        <x:f>ABS(N170)</x:f>
        <x:v>68.00921704889568</x:v>
      </x:c>
      <x:c r="P170" s="8" t="n">
        <x:f>N170^2</x:f>
        <x:v>4625.253603603803</x:v>
      </x:c>
      <x:c r="Q170" s="8" t="n">
        <x:f>K170-L170</x:f>
        <x:v>3</x:v>
      </x:c>
      <x:c r="R170" s="9" t="n">
        <x:f>IF(AND(INDEX('Сводка'!$T$3:$T$397,U170)=0,INDEX('Сводка'!$T$3:$T$397,V170)=0),1,0)</x:f>
        <x:v>1</x:v>
      </x:c>
      <x:c r="S170" s="9" t="n">
        <x:f>IF(AND(R170=1,O170&lt;=$G$13),1,0)</x:f>
        <x:v>0</x:v>
      </x:c>
      <x:c r="T170" s="10" t="n">
        <x:f>EOMONTH(J170-'Сводка'!$B$11,-1)</x:f>
        <x:v>45991</x:v>
      </x:c>
      <x:c r="U170" s="4" t="n">
        <x:f>MATCH(J170,'Сводка'!$R$3:$R$397,0)</x:f>
        <x:v>181</x:v>
      </x:c>
      <x:c r="V170" s="4" t="n">
        <x:f>MATCH(J170-'Сводка'!$B$11,'Сводка'!$R$3:$R$397,0)</x:f>
        <x:v>180</x:v>
      </x:c>
      <x:c r="W170" s="4" t="n">
        <x:f>MATCH(T170,$J$388:$J$400,0)</x:f>
        <x:v>6</x:v>
      </x:c>
      <x:c r="X170" s="3"/>
      <x:c r="Y170" s="3"/>
      <x:c r="Z170" s="3"/>
    </x:row>
    <x:row r="171" ht="15" customHeight="1">
      <x:c r="A171" s="3"/>
      <x:c r="B171" s="3"/>
      <x:c r="C171" s="3"/>
      <x:c r="D171" s="3"/>
      <x:c r="E171" s="3"/>
      <x:c r="F171" s="3"/>
      <x:c r="G171" s="3"/>
      <x:c r="H171" s="3"/>
      <x:c r="I171" s="3"/>
      <x:c r="J171" s="10" t="n">
        <x:v>46022</x:v>
      </x:c>
      <x:c r="K171" s="8" t="n">
        <x:f>INDEX('Сводка'!$S$3:$S$397,U171)</x:f>
        <x:v>0</x:v>
      </x:c>
      <x:c r="L171" s="8" t="n">
        <x:f>INDEX('Сводка'!$S$3:$S$397,V171)</x:f>
        <x:v>-3</x:v>
      </x:c>
      <x:c r="M171" s="8" t="n">
        <x:f>INDEX($K$388:$N$400,W171,1)*((J171-$T$405+1)/1000)^INDEX($K$388:$N$400,W171,2)+INDEX($O$388:$Z$400,W171,MONTH(J171))</x:f>
        <x:v>65.0268854400331</x:v>
      </x:c>
      <x:c r="N171" s="8" t="n">
        <x:f>K171-M171</x:f>
        <x:v>-65.0268854400331</x:v>
      </x:c>
      <x:c r="O171" s="8" t="n">
        <x:f>ABS(N171)</x:f>
        <x:v>65.0268854400331</x:v>
      </x:c>
      <x:c r="P171" s="8" t="n">
        <x:f>N171^2</x:f>
        <x:v>4228.495830031188</x:v>
      </x:c>
      <x:c r="Q171" s="8" t="n">
        <x:f>K171-L171</x:f>
        <x:v>3</x:v>
      </x:c>
      <x:c r="R171" s="9" t="n">
        <x:f>IF(AND(INDEX('Сводка'!$T$3:$T$397,U171)=0,INDEX('Сводка'!$T$3:$T$397,V171)=0),1,0)</x:f>
        <x:v>0</x:v>
      </x:c>
      <x:c r="S171" s="9" t="n">
        <x:f>IF(AND(R171=1,O171&lt;=$G$13),1,0)</x:f>
        <x:v>0</x:v>
      </x:c>
      <x:c r="T171" s="10" t="n">
        <x:f>EOMONTH(J171-'Сводка'!$B$11,-1)</x:f>
        <x:v>45991</x:v>
      </x:c>
      <x:c r="U171" s="4" t="n">
        <x:f>MATCH(J171,'Сводка'!$R$3:$R$397,0)</x:f>
        <x:v>182</x:v>
      </x:c>
      <x:c r="V171" s="4" t="n">
        <x:f>MATCH(J171-'Сводка'!$B$11,'Сводка'!$R$3:$R$397,0)</x:f>
        <x:v>181</x:v>
      </x:c>
      <x:c r="W171" s="4" t="n">
        <x:f>MATCH(T171,$J$388:$J$400,0)</x:f>
        <x:v>6</x:v>
      </x:c>
      <x:c r="X171" s="3"/>
      <x:c r="Y171" s="3"/>
      <x:c r="Z171" s="3"/>
    </x:row>
    <x:row r="172" ht="15" customHeight="1">
      <x:c r="A172" s="3"/>
      <x:c r="B172" s="3"/>
      <x:c r="C172" s="3"/>
      <x:c r="D172" s="3"/>
      <x:c r="E172" s="3"/>
      <x:c r="F172" s="3"/>
      <x:c r="G172" s="3"/>
      <x:c r="H172" s="3"/>
      <x:c r="I172" s="3"/>
      <x:c r="J172" s="10" t="n">
        <x:v>46023</x:v>
      </x:c>
      <x:c r="K172" s="8" t="n">
        <x:f>INDEX('Сводка'!$S$3:$S$397,U172)</x:f>
        <x:v>3</x:v>
      </x:c>
      <x:c r="L172" s="8" t="n">
        <x:f>INDEX('Сводка'!$S$3:$S$397,V172)</x:f>
        <x:v>0</x:v>
      </x:c>
      <x:c r="M172" s="8" t="n">
        <x:f>INDEX($K$388:$N$400,W172,1)*((J172-$T$405+1)/1000)^INDEX($K$388:$N$400,W172,2)+INDEX($O$388:$Z$400,W172,MONTH(J172))</x:f>
        <x:v>52.034831939350326</x:v>
      </x:c>
      <x:c r="N172" s="8" t="n">
        <x:f>K172-M172</x:f>
        <x:v>-49.034831939350326</x:v>
      </x:c>
      <x:c r="O172" s="8" t="n">
        <x:f>ABS(N172)</x:f>
        <x:v>49.034831939350326</x:v>
      </x:c>
      <x:c r="P172" s="8" t="n">
        <x:f>N172^2</x:f>
        <x:v>2404.4147433203307</x:v>
      </x:c>
      <x:c r="Q172" s="8" t="n">
        <x:f>K172-L172</x:f>
        <x:v>3</x:v>
      </x:c>
      <x:c r="R172" s="9" t="n">
        <x:f>IF(AND(INDEX('Сводка'!$T$3:$T$397,U172)=0,INDEX('Сводка'!$T$3:$T$397,V172)=0),1,0)</x:f>
        <x:v>0</x:v>
      </x:c>
      <x:c r="S172" s="9" t="n">
        <x:f>IF(AND(R172=1,O172&lt;=$G$13),1,0)</x:f>
        <x:v>0</x:v>
      </x:c>
      <x:c r="T172" s="10" t="n">
        <x:f>EOMONTH(J172-'Сводка'!$B$11,-1)</x:f>
        <x:v>45991</x:v>
      </x:c>
      <x:c r="U172" s="4" t="n">
        <x:f>MATCH(J172,'Сводка'!$R$3:$R$397,0)</x:f>
        <x:v>183</x:v>
      </x:c>
      <x:c r="V172" s="4" t="n">
        <x:f>MATCH(J172-'Сводка'!$B$11,'Сводка'!$R$3:$R$397,0)</x:f>
        <x:v>182</x:v>
      </x:c>
      <x:c r="W172" s="4" t="n">
        <x:f>MATCH(T172,$J$388:$J$400,0)</x:f>
        <x:v>6</x:v>
      </x:c>
      <x:c r="X172" s="3"/>
      <x:c r="Y172" s="3"/>
      <x:c r="Z172" s="3"/>
    </x:row>
    <x:row r="173" ht="15" customHeight="1">
      <x:c r="A173" s="3"/>
      <x:c r="B173" s="3"/>
      <x:c r="C173" s="3"/>
      <x:c r="D173" s="3"/>
      <x:c r="E173" s="3"/>
      <x:c r="F173" s="3"/>
      <x:c r="G173" s="3"/>
      <x:c r="H173" s="3"/>
      <x:c r="I173" s="3"/>
      <x:c r="J173" s="10" t="n">
        <x:v>46024</x:v>
      </x:c>
      <x:c r="K173" s="8" t="n">
        <x:f>INDEX('Сводка'!$S$3:$S$397,U173)</x:f>
        <x:v>6</x:v>
      </x:c>
      <x:c r="L173" s="8" t="n">
        <x:f>INDEX('Сводка'!$S$3:$S$397,V173)</x:f>
        <x:v>3</x:v>
      </x:c>
      <x:c r="M173" s="8" t="n">
        <x:f>INDEX($K$388:$N$400,W173,1)*((J173-$T$405+1)/1000)^INDEX($K$388:$N$400,W173,2)+INDEX($O$388:$Z$400,W173,MONTH(J173))</x:f>
        <x:v>50.65340482688387</x:v>
      </x:c>
      <x:c r="N173" s="8" t="n">
        <x:f>K173-M173</x:f>
        <x:v>-44.65340482688387</x:v>
      </x:c>
      <x:c r="O173" s="8" t="n">
        <x:f>ABS(N173)</x:f>
        <x:v>44.65340482688387</x:v>
      </x:c>
      <x:c r="P173" s="8" t="n">
        <x:f>N173^2</x:f>
        <x:v>1993.926562633576</x:v>
      </x:c>
      <x:c r="Q173" s="8" t="n">
        <x:f>K173-L173</x:f>
        <x:v>3</x:v>
      </x:c>
      <x:c r="R173" s="9" t="n">
        <x:f>IF(AND(INDEX('Сводка'!$T$3:$T$397,U173)=0,INDEX('Сводка'!$T$3:$T$397,V173)=0),1,0)</x:f>
        <x:v>1</x:v>
      </x:c>
      <x:c r="S173" s="9" t="n">
        <x:f>IF(AND(R173=1,O173&lt;=$G$13),1,0)</x:f>
        <x:v>0</x:v>
      </x:c>
      <x:c r="T173" s="10" t="n">
        <x:f>EOMONTH(J173-'Сводка'!$B$11,-1)</x:f>
        <x:v>46022</x:v>
      </x:c>
      <x:c r="U173" s="4" t="n">
        <x:f>MATCH(J173,'Сводка'!$R$3:$R$397,0)</x:f>
        <x:v>184</x:v>
      </x:c>
      <x:c r="V173" s="4" t="n">
        <x:f>MATCH(J173-'Сводка'!$B$11,'Сводка'!$R$3:$R$397,0)</x:f>
        <x:v>183</x:v>
      </x:c>
      <x:c r="W173" s="4" t="n">
        <x:f>MATCH(T173,$J$388:$J$400,0)</x:f>
        <x:v>7</x:v>
      </x:c>
      <x:c r="X173" s="3"/>
      <x:c r="Y173" s="3"/>
      <x:c r="Z173" s="3"/>
    </x:row>
    <x:row r="174" ht="15" customHeight="1">
      <x:c r="A174" s="3"/>
      <x:c r="B174" s="3"/>
      <x:c r="C174" s="3"/>
      <x:c r="D174" s="3"/>
      <x:c r="E174" s="3"/>
      <x:c r="F174" s="3"/>
      <x:c r="G174" s="3"/>
      <x:c r="H174" s="3"/>
      <x:c r="I174" s="3"/>
      <x:c r="J174" s="10" t="n">
        <x:v>46025</x:v>
      </x:c>
      <x:c r="K174" s="8" t="n">
        <x:f>INDEX('Сводка'!$S$3:$S$397,U174)</x:f>
        <x:v>6</x:v>
      </x:c>
      <x:c r="L174" s="8" t="n">
        <x:f>INDEX('Сводка'!$S$3:$S$397,V174)</x:f>
        <x:v>6</x:v>
      </x:c>
      <x:c r="M174" s="8" t="n">
        <x:f>INDEX($K$388:$N$400,W174,1)*((J174-$T$405+1)/1000)^INDEX($K$388:$N$400,W174,2)+INDEX($O$388:$Z$400,W174,MONTH(J174))</x:f>
        <x:v>50.670664583512945</x:v>
      </x:c>
      <x:c r="N174" s="8" t="n">
        <x:f>K174-M174</x:f>
        <x:v>-44.670664583512945</x:v>
      </x:c>
      <x:c r="O174" s="8" t="n">
        <x:f>ABS(N174)</x:f>
        <x:v>44.670664583512945</x:v>
      </x:c>
      <x:c r="P174" s="8" t="n">
        <x:f>N174^2</x:f>
        <x:v>1995.4682743327178</x:v>
      </x:c>
      <x:c r="Q174" s="8" t="n">
        <x:f>K174-L174</x:f>
        <x:v>0</x:v>
      </x:c>
      <x:c r="R174" s="9" t="n">
        <x:f>IF(AND(INDEX('Сводка'!$T$3:$T$397,U174)=0,INDEX('Сводка'!$T$3:$T$397,V174)=0),1,0)</x:f>
        <x:v>1</x:v>
      </x:c>
      <x:c r="S174" s="9" t="n">
        <x:f>IF(AND(R174=1,O174&lt;=$G$13),1,0)</x:f>
        <x:v>0</x:v>
      </x:c>
      <x:c r="T174" s="10" t="n">
        <x:f>EOMONTH(J174-'Сводка'!$B$11,-1)</x:f>
        <x:v>46022</x:v>
      </x:c>
      <x:c r="U174" s="4" t="n">
        <x:f>MATCH(J174,'Сводка'!$R$3:$R$397,0)</x:f>
        <x:v>185</x:v>
      </x:c>
      <x:c r="V174" s="4" t="n">
        <x:f>MATCH(J174-'Сводка'!$B$11,'Сводка'!$R$3:$R$397,0)</x:f>
        <x:v>184</x:v>
      </x:c>
      <x:c r="W174" s="4" t="n">
        <x:f>MATCH(T174,$J$388:$J$400,0)</x:f>
        <x:v>7</x:v>
      </x:c>
      <x:c r="X174" s="3"/>
      <x:c r="Y174" s="3"/>
      <x:c r="Z174" s="3"/>
    </x:row>
    <x:row r="175" ht="15" customHeight="1">
      <x:c r="A175" s="3"/>
      <x:c r="B175" s="3"/>
      <x:c r="C175" s="3"/>
      <x:c r="D175" s="3"/>
      <x:c r="E175" s="3"/>
      <x:c r="F175" s="3"/>
      <x:c r="G175" s="3"/>
      <x:c r="H175" s="3"/>
      <x:c r="I175" s="3"/>
      <x:c r="J175" s="10" t="n">
        <x:v>46026</x:v>
      </x:c>
      <x:c r="K175" s="8" t="n">
        <x:f>INDEX('Сводка'!$S$3:$S$397,U175)</x:f>
        <x:v>6</x:v>
      </x:c>
      <x:c r="L175" s="8" t="n">
        <x:f>INDEX('Сводка'!$S$3:$S$397,V175)</x:f>
        <x:v>6</x:v>
      </x:c>
      <x:c r="M175" s="8" t="n">
        <x:f>INDEX($K$388:$N$400,W175,1)*((J175-$T$405+1)/1000)^INDEX($K$388:$N$400,W175,2)+INDEX($O$388:$Z$400,W175,MONTH(J175))</x:f>
        <x:v>50.687924438220506</x:v>
      </x:c>
      <x:c r="N175" s="8" t="n">
        <x:f>K175-M175</x:f>
        <x:v>-44.687924438220506</x:v>
      </x:c>
      <x:c r="O175" s="8" t="n">
        <x:f>ABS(N175)</x:f>
        <x:v>44.687924438220506</x:v>
      </x:c>
      <x:c r="P175" s="8" t="n">
        <x:f>N175^2</x:f>
        <x:v>1997.0105905961054</x:v>
      </x:c>
      <x:c r="Q175" s="8" t="n">
        <x:f>K175-L175</x:f>
        <x:v>0</x:v>
      </x:c>
      <x:c r="R175" s="9" t="n">
        <x:f>IF(AND(INDEX('Сводка'!$T$3:$T$397,U175)=0,INDEX('Сводка'!$T$3:$T$397,V175)=0),1,0)</x:f>
        <x:v>1</x:v>
      </x:c>
      <x:c r="S175" s="9" t="n">
        <x:f>IF(AND(R175=1,O175&lt;=$G$13),1,0)</x:f>
        <x:v>0</x:v>
      </x:c>
      <x:c r="T175" s="10" t="n">
        <x:f>EOMONTH(J175-'Сводка'!$B$11,-1)</x:f>
        <x:v>46022</x:v>
      </x:c>
      <x:c r="U175" s="4" t="n">
        <x:f>MATCH(J175,'Сводка'!$R$3:$R$397,0)</x:f>
        <x:v>186</x:v>
      </x:c>
      <x:c r="V175" s="4" t="n">
        <x:f>MATCH(J175-'Сводка'!$B$11,'Сводка'!$R$3:$R$397,0)</x:f>
        <x:v>185</x:v>
      </x:c>
      <x:c r="W175" s="4" t="n">
        <x:f>MATCH(T175,$J$388:$J$400,0)</x:f>
        <x:v>7</x:v>
      </x:c>
      <x:c r="X175" s="3"/>
      <x:c r="Y175" s="3"/>
      <x:c r="Z175" s="3"/>
    </x:row>
    <x:row r="176" ht="15" customHeight="1">
      <x:c r="A176" s="3"/>
      <x:c r="B176" s="3"/>
      <x:c r="C176" s="3"/>
      <x:c r="D176" s="3"/>
      <x:c r="E176" s="3"/>
      <x:c r="F176" s="3"/>
      <x:c r="G176" s="3"/>
      <x:c r="H176" s="3"/>
      <x:c r="I176" s="3"/>
      <x:c r="J176" s="10" t="n">
        <x:v>46027</x:v>
      </x:c>
      <x:c r="K176" s="8" t="n">
        <x:f>INDEX('Сводка'!$S$3:$S$397,U176)</x:f>
        <x:v>6</x:v>
      </x:c>
      <x:c r="L176" s="8" t="n">
        <x:f>INDEX('Сводка'!$S$3:$S$397,V176)</x:f>
        <x:v>6</x:v>
      </x:c>
      <x:c r="M176" s="8" t="n">
        <x:f>INDEX($K$388:$N$400,W176,1)*((J176-$T$405+1)/1000)^INDEX($K$388:$N$400,W176,2)+INDEX($O$388:$Z$400,W176,MONTH(J176))</x:f>
        <x:v>50.705184390995896</x:v>
      </x:c>
      <x:c r="N176" s="8" t="n">
        <x:f>K176-M176</x:f>
        <x:v>-44.705184390995896</x:v>
      </x:c>
      <x:c r="O176" s="8" t="n">
        <x:f>ABS(N176)</x:f>
        <x:v>44.705184390995896</x:v>
      </x:c>
      <x:c r="P176" s="8" t="n">
        <x:f>N176^2</x:f>
        <x:v>1998.5535114329432</x:v>
      </x:c>
      <x:c r="Q176" s="8" t="n">
        <x:f>K176-L176</x:f>
        <x:v>0</x:v>
      </x:c>
      <x:c r="R176" s="9" t="n">
        <x:f>IF(AND(INDEX('Сводка'!$T$3:$T$397,U176)=0,INDEX('Сводка'!$T$3:$T$397,V176)=0),1,0)</x:f>
        <x:v>1</x:v>
      </x:c>
      <x:c r="S176" s="9" t="n">
        <x:f>IF(AND(R176=1,O176&lt;=$G$13),1,0)</x:f>
        <x:v>0</x:v>
      </x:c>
      <x:c r="T176" s="10" t="n">
        <x:f>EOMONTH(J176-'Сводка'!$B$11,-1)</x:f>
        <x:v>46022</x:v>
      </x:c>
      <x:c r="U176" s="4" t="n">
        <x:f>MATCH(J176,'Сводка'!$R$3:$R$397,0)</x:f>
        <x:v>187</x:v>
      </x:c>
      <x:c r="V176" s="4" t="n">
        <x:f>MATCH(J176-'Сводка'!$B$11,'Сводка'!$R$3:$R$397,0)</x:f>
        <x:v>186</x:v>
      </x:c>
      <x:c r="W176" s="4" t="n">
        <x:f>MATCH(T176,$J$388:$J$400,0)</x:f>
        <x:v>7</x:v>
      </x:c>
      <x:c r="X176" s="3"/>
      <x:c r="Y176" s="3"/>
      <x:c r="Z176" s="3"/>
    </x:row>
    <x:row r="177" ht="15" customHeight="1">
      <x:c r="A177" s="3"/>
      <x:c r="B177" s="3"/>
      <x:c r="C177" s="3"/>
      <x:c r="D177" s="3"/>
      <x:c r="E177" s="3"/>
      <x:c r="F177" s="3"/>
      <x:c r="G177" s="3"/>
      <x:c r="H177" s="3"/>
      <x:c r="I177" s="3"/>
      <x:c r="J177" s="10" t="n">
        <x:v>46028</x:v>
      </x:c>
      <x:c r="K177" s="8" t="n">
        <x:f>INDEX('Сводка'!$S$3:$S$397,U177)</x:f>
        <x:v>2</x:v>
      </x:c>
      <x:c r="L177" s="8" t="n">
        <x:f>INDEX('Сводка'!$S$3:$S$397,V177)</x:f>
        <x:v>6</x:v>
      </x:c>
      <x:c r="M177" s="8" t="n">
        <x:f>INDEX($K$388:$N$400,W177,1)*((J177-$T$405+1)/1000)^INDEX($K$388:$N$400,W177,2)+INDEX($O$388:$Z$400,W177,MONTH(J177))</x:f>
        <x:v>50.722444441828486</x:v>
      </x:c>
      <x:c r="N177" s="8" t="n">
        <x:f>K177-M177</x:f>
        <x:v>-48.722444441828486</x:v>
      </x:c>
      <x:c r="O177" s="8" t="n">
        <x:f>ABS(N177)</x:f>
        <x:v>48.722444441828486</x:v>
      </x:c>
      <x:c r="P177" s="8" t="n">
        <x:f>N177^2</x:f>
        <x:v>2373.8765923870637</x:v>
      </x:c>
      <x:c r="Q177" s="8" t="n">
        <x:f>K177-L177</x:f>
        <x:v>-4</x:v>
      </x:c>
      <x:c r="R177" s="9" t="n">
        <x:f>IF(AND(INDEX('Сводка'!$T$3:$T$397,U177)=0,INDEX('Сводка'!$T$3:$T$397,V177)=0),1,0)</x:f>
        <x:v>1</x:v>
      </x:c>
      <x:c r="S177" s="9" t="n">
        <x:f>IF(AND(R177=1,O177&lt;=$G$13),1,0)</x:f>
        <x:v>0</x:v>
      </x:c>
      <x:c r="T177" s="10" t="n">
        <x:f>EOMONTH(J177-'Сводка'!$B$11,-1)</x:f>
        <x:v>46022</x:v>
      </x:c>
      <x:c r="U177" s="4" t="n">
        <x:f>MATCH(J177,'Сводка'!$R$3:$R$397,0)</x:f>
        <x:v>188</x:v>
      </x:c>
      <x:c r="V177" s="4" t="n">
        <x:f>MATCH(J177-'Сводка'!$B$11,'Сводка'!$R$3:$R$397,0)</x:f>
        <x:v>187</x:v>
      </x:c>
      <x:c r="W177" s="4" t="n">
        <x:f>MATCH(T177,$J$388:$J$400,0)</x:f>
        <x:v>7</x:v>
      </x:c>
      <x:c r="X177" s="3"/>
      <x:c r="Y177" s="3"/>
      <x:c r="Z177" s="3"/>
    </x:row>
    <x:row r="178" ht="15" customHeight="1">
      <x:c r="A178" s="3"/>
      <x:c r="B178" s="3"/>
      <x:c r="C178" s="3"/>
      <x:c r="D178" s="3"/>
      <x:c r="E178" s="3"/>
      <x:c r="F178" s="3"/>
      <x:c r="G178" s="3"/>
      <x:c r="H178" s="3"/>
      <x:c r="I178" s="3"/>
      <x:c r="J178" s="10" t="n">
        <x:v>46029</x:v>
      </x:c>
      <x:c r="K178" s="8" t="n">
        <x:f>INDEX('Сводка'!$S$3:$S$397,U178)</x:f>
        <x:v>-2</x:v>
      </x:c>
      <x:c r="L178" s="8" t="n">
        <x:f>INDEX('Сводка'!$S$3:$S$397,V178)</x:f>
        <x:v>2</x:v>
      </x:c>
      <x:c r="M178" s="8" t="n">
        <x:f>INDEX($K$388:$N$400,W178,1)*((J178-$T$405+1)/1000)^INDEX($K$388:$N$400,W178,2)+INDEX($O$388:$Z$400,W178,MONTH(J178))</x:f>
        <x:v>50.739704590707674</x:v>
      </x:c>
      <x:c r="N178" s="8" t="n">
        <x:f>K178-M178</x:f>
        <x:v>-52.739704590707674</x:v>
      </x:c>
      <x:c r="O178" s="8" t="n">
        <x:f>ABS(N178)</x:f>
        <x:v>52.739704590707674</x:v>
      </x:c>
      <x:c r="P178" s="8" t="n">
        <x:f>N178^2</x:f>
        <x:v>2781.476440315112</x:v>
      </x:c>
      <x:c r="Q178" s="8" t="n">
        <x:f>K178-L178</x:f>
        <x:v>-4</x:v>
      </x:c>
      <x:c r="R178" s="9" t="n">
        <x:f>IF(AND(INDEX('Сводка'!$T$3:$T$397,U178)=0,INDEX('Сводка'!$T$3:$T$397,V178)=0),1,0)</x:f>
        <x:v>1</x:v>
      </x:c>
      <x:c r="S178" s="9" t="n">
        <x:f>IF(AND(R178=1,O178&lt;=$G$13),1,0)</x:f>
        <x:v>0</x:v>
      </x:c>
      <x:c r="T178" s="10" t="n">
        <x:f>EOMONTH(J178-'Сводка'!$B$11,-1)</x:f>
        <x:v>46022</x:v>
      </x:c>
      <x:c r="U178" s="4" t="n">
        <x:f>MATCH(J178,'Сводка'!$R$3:$R$397,0)</x:f>
        <x:v>189</x:v>
      </x:c>
      <x:c r="V178" s="4" t="n">
        <x:f>MATCH(J178-'Сводка'!$B$11,'Сводка'!$R$3:$R$397,0)</x:f>
        <x:v>188</x:v>
      </x:c>
      <x:c r="W178" s="4" t="n">
        <x:f>MATCH(T178,$J$388:$J$400,0)</x:f>
        <x:v>7</x:v>
      </x:c>
      <x:c r="X178" s="3"/>
      <x:c r="Y178" s="3"/>
      <x:c r="Z178" s="3"/>
    </x:row>
    <x:row r="179" ht="15" customHeight="1">
      <x:c r="A179" s="3"/>
      <x:c r="B179" s="3"/>
      <x:c r="C179" s="3"/>
      <x:c r="D179" s="3"/>
      <x:c r="E179" s="3"/>
      <x:c r="F179" s="3"/>
      <x:c r="G179" s="3"/>
      <x:c r="H179" s="3"/>
      <x:c r="I179" s="3"/>
      <x:c r="J179" s="10" t="n">
        <x:v>46030</x:v>
      </x:c>
      <x:c r="K179" s="8" t="n">
        <x:f>INDEX('Сводка'!$S$3:$S$397,U179)</x:f>
        <x:v>-7</x:v>
      </x:c>
      <x:c r="L179" s="8" t="n">
        <x:f>INDEX('Сводка'!$S$3:$S$397,V179)</x:f>
        <x:v>-2</x:v>
      </x:c>
      <x:c r="M179" s="8" t="n">
        <x:f>INDEX($K$388:$N$400,W179,1)*((J179-$T$405+1)/1000)^INDEX($K$388:$N$400,W179,2)+INDEX($O$388:$Z$400,W179,MONTH(J179))</x:f>
        <x:v>50.75696483762286</x:v>
      </x:c>
      <x:c r="N179" s="8" t="n">
        <x:f>K179-M179</x:f>
        <x:v>-57.75696483762286</x:v>
      </x:c>
      <x:c r="O179" s="8" t="n">
        <x:f>ABS(N179)</x:f>
        <x:v>57.75696483762286</x:v>
      </x:c>
      <x:c r="P179" s="8" t="n">
        <x:f>N179^2</x:f>
        <x:v>3335.8669872544033</x:v>
      </x:c>
      <x:c r="Q179" s="8" t="n">
        <x:f>K179-L179</x:f>
        <x:v>-5</x:v>
      </x:c>
      <x:c r="R179" s="9" t="n">
        <x:f>IF(AND(INDEX('Сводка'!$T$3:$T$397,U179)=0,INDEX('Сводка'!$T$3:$T$397,V179)=0),1,0)</x:f>
        <x:v>1</x:v>
      </x:c>
      <x:c r="S179" s="9" t="n">
        <x:f>IF(AND(R179=1,O179&lt;=$G$13),1,0)</x:f>
        <x:v>0</x:v>
      </x:c>
      <x:c r="T179" s="10" t="n">
        <x:f>EOMONTH(J179-'Сводка'!$B$11,-1)</x:f>
        <x:v>46022</x:v>
      </x:c>
      <x:c r="U179" s="4" t="n">
        <x:f>MATCH(J179,'Сводка'!$R$3:$R$397,0)</x:f>
        <x:v>190</x:v>
      </x:c>
      <x:c r="V179" s="4" t="n">
        <x:f>MATCH(J179-'Сводка'!$B$11,'Сводка'!$R$3:$R$397,0)</x:f>
        <x:v>189</x:v>
      </x:c>
      <x:c r="W179" s="4" t="n">
        <x:f>MATCH(T179,$J$388:$J$400,0)</x:f>
        <x:v>7</x:v>
      </x:c>
      <x:c r="X179" s="3"/>
      <x:c r="Y179" s="3"/>
      <x:c r="Z179" s="3"/>
    </x:row>
    <x:row r="180" ht="15" customHeight="1">
      <x:c r="A180" s="3"/>
      <x:c r="B180" s="3"/>
      <x:c r="C180" s="3"/>
      <x:c r="D180" s="3"/>
      <x:c r="E180" s="3"/>
      <x:c r="F180" s="3"/>
      <x:c r="G180" s="3"/>
      <x:c r="H180" s="3"/>
      <x:c r="I180" s="3"/>
      <x:c r="J180" s="10" t="n">
        <x:v>46031</x:v>
      </x:c>
      <x:c r="K180" s="8" t="n">
        <x:f>INDEX('Сводка'!$S$3:$S$397,U180)</x:f>
        <x:v>-10</x:v>
      </x:c>
      <x:c r="L180" s="8" t="n">
        <x:f>INDEX('Сводка'!$S$3:$S$397,V180)</x:f>
        <x:v>-7</x:v>
      </x:c>
      <x:c r="M180" s="8" t="n">
        <x:f>INDEX($K$388:$N$400,W180,1)*((J180-$T$405+1)/1000)^INDEX($K$388:$N$400,W180,2)+INDEX($O$388:$Z$400,W180,MONTH(J180))</x:f>
        <x:v>50.77422518256341</x:v>
      </x:c>
      <x:c r="N180" s="8" t="n">
        <x:f>K180-M180</x:f>
        <x:v>-60.77422518256341</x:v>
      </x:c>
      <x:c r="O180" s="8" t="n">
        <x:f>ABS(N180)</x:f>
        <x:v>60.77422518256341</x:v>
      </x:c>
      <x:c r="P180" s="8" t="n">
        <x:f>N180^2</x:f>
        <x:v>3693.506446540925</x:v>
      </x:c>
      <x:c r="Q180" s="8" t="n">
        <x:f>K180-L180</x:f>
        <x:v>-3</x:v>
      </x:c>
      <x:c r="R180" s="9" t="n">
        <x:f>IF(AND(INDEX('Сводка'!$T$3:$T$397,U180)=0,INDEX('Сводка'!$T$3:$T$397,V180)=0),1,0)</x:f>
        <x:v>1</x:v>
      </x:c>
      <x:c r="S180" s="9" t="n">
        <x:f>IF(AND(R180=1,O180&lt;=$G$13),1,0)</x:f>
        <x:v>0</x:v>
      </x:c>
      <x:c r="T180" s="10" t="n">
        <x:f>EOMONTH(J180-'Сводка'!$B$11,-1)</x:f>
        <x:v>46022</x:v>
      </x:c>
      <x:c r="U180" s="4" t="n">
        <x:f>MATCH(J180,'Сводка'!$R$3:$R$397,0)</x:f>
        <x:v>191</x:v>
      </x:c>
      <x:c r="V180" s="4" t="n">
        <x:f>MATCH(J180-'Сводка'!$B$11,'Сводка'!$R$3:$R$397,0)</x:f>
        <x:v>190</x:v>
      </x:c>
      <x:c r="W180" s="4" t="n">
        <x:f>MATCH(T180,$J$388:$J$400,0)</x:f>
        <x:v>7</x:v>
      </x:c>
      <x:c r="X180" s="3"/>
      <x:c r="Y180" s="3"/>
      <x:c r="Z180" s="3"/>
    </x:row>
    <x:row r="181" ht="15" customHeight="1">
      <x:c r="A181" s="3"/>
      <x:c r="B181" s="3"/>
      <x:c r="C181" s="3"/>
      <x:c r="D181" s="3"/>
      <x:c r="E181" s="3"/>
      <x:c r="F181" s="3"/>
      <x:c r="G181" s="3"/>
      <x:c r="H181" s="3"/>
      <x:c r="I181" s="3"/>
      <x:c r="J181" s="10" t="n">
        <x:v>46032</x:v>
      </x:c>
      <x:c r="K181" s="8" t="n">
        <x:f>INDEX('Сводка'!$S$3:$S$397,U181)</x:f>
        <x:v>-13</x:v>
      </x:c>
      <x:c r="L181" s="8" t="n">
        <x:f>INDEX('Сводка'!$S$3:$S$397,V181)</x:f>
        <x:v>-10</x:v>
      </x:c>
      <x:c r="M181" s="8" t="n">
        <x:f>INDEX($K$388:$N$400,W181,1)*((J181-$T$405+1)/1000)^INDEX($K$388:$N$400,W181,2)+INDEX($O$388:$Z$400,W181,MONTH(J181))</x:f>
        <x:v>50.7914856255187</x:v>
      </x:c>
      <x:c r="N181" s="8" t="n">
        <x:f>K181-M181</x:f>
        <x:v>-63.7914856255187</x:v>
      </x:c>
      <x:c r="O181" s="8" t="n">
        <x:f>ABS(N181)</x:f>
        <x:v>63.7914856255187</x:v>
      </x:c>
      <x:c r="P181" s="8" t="n">
        <x:f>N181^2</x:f>
        <x:v>4069.3536383107594</x:v>
      </x:c>
      <x:c r="Q181" s="8" t="n">
        <x:f>K181-L181</x:f>
        <x:v>-3</x:v>
      </x:c>
      <x:c r="R181" s="9" t="n">
        <x:f>IF(AND(INDEX('Сводка'!$T$3:$T$397,U181)=0,INDEX('Сводка'!$T$3:$T$397,V181)=0),1,0)</x:f>
        <x:v>1</x:v>
      </x:c>
      <x:c r="S181" s="9" t="n">
        <x:f>IF(AND(R181=1,O181&lt;=$G$13),1,0)</x:f>
        <x:v>0</x:v>
      </x:c>
      <x:c r="T181" s="10" t="n">
        <x:f>EOMONTH(J181-'Сводка'!$B$11,-1)</x:f>
        <x:v>46022</x:v>
      </x:c>
      <x:c r="U181" s="4" t="n">
        <x:f>MATCH(J181,'Сводка'!$R$3:$R$397,0)</x:f>
        <x:v>192</x:v>
      </x:c>
      <x:c r="V181" s="4" t="n">
        <x:f>MATCH(J181-'Сводка'!$B$11,'Сводка'!$R$3:$R$397,0)</x:f>
        <x:v>191</x:v>
      </x:c>
      <x:c r="W181" s="4" t="n">
        <x:f>MATCH(T181,$J$388:$J$400,0)</x:f>
        <x:v>7</x:v>
      </x:c>
      <x:c r="X181" s="3"/>
      <x:c r="Y181" s="3"/>
      <x:c r="Z181" s="3"/>
    </x:row>
    <x:row r="182" ht="15" customHeight="1">
      <x:c r="A182" s="3"/>
      <x:c r="B182" s="3"/>
      <x:c r="C182" s="3"/>
      <x:c r="D182" s="3"/>
      <x:c r="E182" s="3"/>
      <x:c r="F182" s="3"/>
      <x:c r="G182" s="3"/>
      <x:c r="H182" s="3"/>
      <x:c r="I182" s="3"/>
      <x:c r="J182" s="10" t="n">
        <x:v>46033</x:v>
      </x:c>
      <x:c r="K182" s="8" t="n">
        <x:f>INDEX('Сводка'!$S$3:$S$397,U182)</x:f>
        <x:v>-17</x:v>
      </x:c>
      <x:c r="L182" s="8" t="n">
        <x:f>INDEX('Сводка'!$S$3:$S$397,V182)</x:f>
        <x:v>-13</x:v>
      </x:c>
      <x:c r="M182" s="8" t="n">
        <x:f>INDEX($K$388:$N$400,W182,1)*((J182-$T$405+1)/1000)^INDEX($K$388:$N$400,W182,2)+INDEX($O$388:$Z$400,W182,MONTH(J182))</x:f>
        <x:v>50.8087461664781</x:v>
      </x:c>
      <x:c r="N182" s="8" t="n">
        <x:f>K182-M182</x:f>
        <x:v>-67.8087461664781</x:v>
      </x:c>
      <x:c r="O182" s="8" t="n">
        <x:f>ABS(N182)</x:f>
        <x:v>67.8087461664781</x:v>
      </x:c>
      <x:c r="P182" s="8" t="n">
        <x:f>N182^2</x:f>
        <x:v>4598.026056669859</x:v>
      </x:c>
      <x:c r="Q182" s="8" t="n">
        <x:f>K182-L182</x:f>
        <x:v>-4</x:v>
      </x:c>
      <x:c r="R182" s="9" t="n">
        <x:f>IF(AND(INDEX('Сводка'!$T$3:$T$397,U182)=0,INDEX('Сводка'!$T$3:$T$397,V182)=0),1,0)</x:f>
        <x:v>1</x:v>
      </x:c>
      <x:c r="S182" s="9" t="n">
        <x:f>IF(AND(R182=1,O182&lt;=$G$13),1,0)</x:f>
        <x:v>0</x:v>
      </x:c>
      <x:c r="T182" s="10" t="n">
        <x:f>EOMONTH(J182-'Сводка'!$B$11,-1)</x:f>
        <x:v>46022</x:v>
      </x:c>
      <x:c r="U182" s="4" t="n">
        <x:f>MATCH(J182,'Сводка'!$R$3:$R$397,0)</x:f>
        <x:v>193</x:v>
      </x:c>
      <x:c r="V182" s="4" t="n">
        <x:f>MATCH(J182-'Сводка'!$B$11,'Сводка'!$R$3:$R$397,0)</x:f>
        <x:v>192</x:v>
      </x:c>
      <x:c r="W182" s="4" t="n">
        <x:f>MATCH(T182,$J$388:$J$400,0)</x:f>
        <x:v>7</x:v>
      </x:c>
      <x:c r="X182" s="3"/>
      <x:c r="Y182" s="3"/>
      <x:c r="Z182" s="3"/>
    </x:row>
    <x:row r="183" ht="15" customHeight="1">
      <x:c r="A183" s="3"/>
      <x:c r="B183" s="3"/>
      <x:c r="C183" s="3"/>
      <x:c r="D183" s="3"/>
      <x:c r="E183" s="3"/>
      <x:c r="F183" s="3"/>
      <x:c r="G183" s="3"/>
      <x:c r="H183" s="3"/>
      <x:c r="I183" s="3"/>
      <x:c r="J183" s="10" t="n">
        <x:v>46034</x:v>
      </x:c>
      <x:c r="K183" s="8" t="n">
        <x:f>INDEX('Сводка'!$S$3:$S$397,U183)</x:f>
        <x:v>-19</x:v>
      </x:c>
      <x:c r="L183" s="8" t="n">
        <x:f>INDEX('Сводка'!$S$3:$S$397,V183)</x:f>
        <x:v>-17</x:v>
      </x:c>
      <x:c r="M183" s="8" t="n">
        <x:f>INDEX($K$388:$N$400,W183,1)*((J183-$T$405+1)/1000)^INDEX($K$388:$N$400,W183,2)+INDEX($O$388:$Z$400,W183,MONTH(J183))</x:f>
        <x:v>50.826006805431064</x:v>
      </x:c>
      <x:c r="N183" s="8" t="n">
        <x:f>K183-M183</x:f>
        <x:v>-69.82600680543106</x:v>
      </x:c>
      <x:c r="O183" s="8" t="n">
        <x:f>ABS(N183)</x:f>
        <x:v>69.82600680543106</x:v>
      </x:c>
      <x:c r="P183" s="8" t="n">
        <x:f>N183^2</x:f>
        <x:v>4875.671226392105</x:v>
      </x:c>
      <x:c r="Q183" s="8" t="n">
        <x:f>K183-L183</x:f>
        <x:v>-2</x:v>
      </x:c>
      <x:c r="R183" s="9" t="n">
        <x:f>IF(AND(INDEX('Сводка'!$T$3:$T$397,U183)=0,INDEX('Сводка'!$T$3:$T$397,V183)=0),1,0)</x:f>
        <x:v>1</x:v>
      </x:c>
      <x:c r="S183" s="9" t="n">
        <x:f>IF(AND(R183=1,O183&lt;=$G$13),1,0)</x:f>
        <x:v>0</x:v>
      </x:c>
      <x:c r="T183" s="10" t="n">
        <x:f>EOMONTH(J183-'Сводка'!$B$11,-1)</x:f>
        <x:v>46022</x:v>
      </x:c>
      <x:c r="U183" s="4" t="n">
        <x:f>MATCH(J183,'Сводка'!$R$3:$R$397,0)</x:f>
        <x:v>194</x:v>
      </x:c>
      <x:c r="V183" s="4" t="n">
        <x:f>MATCH(J183-'Сводка'!$B$11,'Сводка'!$R$3:$R$397,0)</x:f>
        <x:v>193</x:v>
      </x:c>
      <x:c r="W183" s="4" t="n">
        <x:f>MATCH(T183,$J$388:$J$400,0)</x:f>
        <x:v>7</x:v>
      </x:c>
      <x:c r="X183" s="3"/>
      <x:c r="Y183" s="3"/>
      <x:c r="Z183" s="3"/>
    </x:row>
    <x:row r="184" ht="15" customHeight="1">
      <x:c r="A184" s="3"/>
      <x:c r="B184" s="3"/>
      <x:c r="C184" s="3"/>
      <x:c r="D184" s="3"/>
      <x:c r="E184" s="3"/>
      <x:c r="F184" s="3"/>
      <x:c r="G184" s="3"/>
      <x:c r="H184" s="3"/>
      <x:c r="I184" s="3"/>
      <x:c r="J184" s="10" t="n">
        <x:v>46035</x:v>
      </x:c>
      <x:c r="K184" s="8" t="n">
        <x:f>INDEX('Сводка'!$S$3:$S$397,U184)</x:f>
        <x:v>-22</x:v>
      </x:c>
      <x:c r="L184" s="8" t="n">
        <x:f>INDEX('Сводка'!$S$3:$S$397,V184)</x:f>
        <x:v>-19</x:v>
      </x:c>
      <x:c r="M184" s="8" t="n">
        <x:f>INDEX($K$388:$N$400,W184,1)*((J184-$T$405+1)/1000)^INDEX($K$388:$N$400,W184,2)+INDEX($O$388:$Z$400,W184,MONTH(J184))</x:f>
        <x:v>50.84326754236693</x:v>
      </x:c>
      <x:c r="N184" s="8" t="n">
        <x:f>K184-M184</x:f>
        <x:v>-72.84326754236693</x:v>
      </x:c>
      <x:c r="O184" s="8" t="n">
        <x:f>ABS(N184)</x:f>
        <x:v>72.84326754236693</x:v>
      </x:c>
      <x:c r="P184" s="8" t="n">
        <x:f>N184^2</x:f>
        <x:v>5306.141626248847</x:v>
      </x:c>
      <x:c r="Q184" s="8" t="n">
        <x:f>K184-L184</x:f>
        <x:v>-3</x:v>
      </x:c>
      <x:c r="R184" s="9" t="n">
        <x:f>IF(AND(INDEX('Сводка'!$T$3:$T$397,U184)=0,INDEX('Сводка'!$T$3:$T$397,V184)=0),1,0)</x:f>
        <x:v>1</x:v>
      </x:c>
      <x:c r="S184" s="9" t="n">
        <x:f>IF(AND(R184=1,O184&lt;=$G$13),1,0)</x:f>
        <x:v>0</x:v>
      </x:c>
      <x:c r="T184" s="10" t="n">
        <x:f>EOMONTH(J184-'Сводка'!$B$11,-1)</x:f>
        <x:v>46022</x:v>
      </x:c>
      <x:c r="U184" s="4" t="n">
        <x:f>MATCH(J184,'Сводка'!$R$3:$R$397,0)</x:f>
        <x:v>195</x:v>
      </x:c>
      <x:c r="V184" s="4" t="n">
        <x:f>MATCH(J184-'Сводка'!$B$11,'Сводка'!$R$3:$R$397,0)</x:f>
        <x:v>194</x:v>
      </x:c>
      <x:c r="W184" s="4" t="n">
        <x:f>MATCH(T184,$J$388:$J$400,0)</x:f>
        <x:v>7</x:v>
      </x:c>
      <x:c r="X184" s="3"/>
      <x:c r="Y184" s="3"/>
      <x:c r="Z184" s="3"/>
    </x:row>
    <x:row r="185" ht="15" customHeight="1">
      <x:c r="A185" s="3"/>
      <x:c r="B185" s="3"/>
      <x:c r="C185" s="3"/>
      <x:c r="D185" s="3"/>
      <x:c r="E185" s="3"/>
      <x:c r="F185" s="3"/>
      <x:c r="G185" s="3"/>
      <x:c r="H185" s="3"/>
      <x:c r="I185" s="3"/>
      <x:c r="J185" s="10" t="n">
        <x:v>46036</x:v>
      </x:c>
      <x:c r="K185" s="8" t="n">
        <x:f>INDEX('Сводка'!$S$3:$S$397,U185)</x:f>
        <x:v>-25</x:v>
      </x:c>
      <x:c r="L185" s="8" t="n">
        <x:f>INDEX('Сводка'!$S$3:$S$397,V185)</x:f>
        <x:v>-22</x:v>
      </x:c>
      <x:c r="M185" s="8" t="n">
        <x:f>INDEX($K$388:$N$400,W185,1)*((J185-$T$405+1)/1000)^INDEX($K$388:$N$400,W185,2)+INDEX($O$388:$Z$400,W185,MONTH(J185))</x:f>
        <x:v>50.8605283772751</x:v>
      </x:c>
      <x:c r="N185" s="8" t="n">
        <x:f>K185-M185</x:f>
        <x:v>-75.8605283772751</x:v>
      </x:c>
      <x:c r="O185" s="8" t="n">
        <x:f>ABS(N185)</x:f>
        <x:v>75.8605283772751</x:v>
      </x:c>
      <x:c r="P185" s="8" t="n">
        <x:f>N185^2</x:f>
        <x:v>5754.819765679361</x:v>
      </x:c>
      <x:c r="Q185" s="8" t="n">
        <x:f>K185-L185</x:f>
        <x:v>-3</x:v>
      </x:c>
      <x:c r="R185" s="9" t="n">
        <x:f>IF(AND(INDEX('Сводка'!$T$3:$T$397,U185)=0,INDEX('Сводка'!$T$3:$T$397,V185)=0),1,0)</x:f>
        <x:v>1</x:v>
      </x:c>
      <x:c r="S185" s="9" t="n">
        <x:f>IF(AND(R185=1,O185&lt;=$G$13),1,0)</x:f>
        <x:v>0</x:v>
      </x:c>
      <x:c r="T185" s="10" t="n">
        <x:f>EOMONTH(J185-'Сводка'!$B$11,-1)</x:f>
        <x:v>46022</x:v>
      </x:c>
      <x:c r="U185" s="4" t="n">
        <x:f>MATCH(J185,'Сводка'!$R$3:$R$397,0)</x:f>
        <x:v>196</x:v>
      </x:c>
      <x:c r="V185" s="4" t="n">
        <x:f>MATCH(J185-'Сводка'!$B$11,'Сводка'!$R$3:$R$397,0)</x:f>
        <x:v>195</x:v>
      </x:c>
      <x:c r="W185" s="4" t="n">
        <x:f>MATCH(T185,$J$388:$J$400,0)</x:f>
        <x:v>7</x:v>
      </x:c>
      <x:c r="X185" s="3"/>
      <x:c r="Y185" s="3"/>
      <x:c r="Z185" s="3"/>
    </x:row>
    <x:row r="186" ht="15" customHeight="1">
      <x:c r="A186" s="3"/>
      <x:c r="B186" s="3"/>
      <x:c r="C186" s="3"/>
      <x:c r="D186" s="3"/>
      <x:c r="E186" s="3"/>
      <x:c r="F186" s="3"/>
      <x:c r="G186" s="3"/>
      <x:c r="H186" s="3"/>
      <x:c r="I186" s="3"/>
      <x:c r="J186" s="10" t="n">
        <x:v>46037</x:v>
      </x:c>
      <x:c r="K186" s="8" t="n">
        <x:f>INDEX('Сводка'!$S$3:$S$397,U186)</x:f>
        <x:v>-26</x:v>
      </x:c>
      <x:c r="L186" s="8" t="n">
        <x:f>INDEX('Сводка'!$S$3:$S$397,V186)</x:f>
        <x:v>-25</x:v>
      </x:c>
      <x:c r="M186" s="8" t="n">
        <x:f>INDEX($K$388:$N$400,W186,1)*((J186-$T$405+1)/1000)^INDEX($K$388:$N$400,W186,2)+INDEX($O$388:$Z$400,W186,MONTH(J186))</x:f>
        <x:v>50.877789310145005</x:v>
      </x:c>
      <x:c r="N186" s="8" t="n">
        <x:f>K186-M186</x:f>
        <x:v>-76.877789310145</x:v>
      </x:c>
      <x:c r="O186" s="8" t="n">
        <x:f>ABS(N186)</x:f>
        <x:v>76.877789310145</x:v>
      </x:c>
      <x:c r="P186" s="8" t="n">
        <x:f>N186^2</x:f>
        <x:v>5910.194489215046</x:v>
      </x:c>
      <x:c r="Q186" s="8" t="n">
        <x:f>K186-L186</x:f>
        <x:v>-1</x:v>
      </x:c>
      <x:c r="R186" s="9" t="n">
        <x:f>IF(AND(INDEX('Сводка'!$T$3:$T$397,U186)=0,INDEX('Сводка'!$T$3:$T$397,V186)=0),1,0)</x:f>
        <x:v>1</x:v>
      </x:c>
      <x:c r="S186" s="9" t="n">
        <x:f>IF(AND(R186=1,O186&lt;=$G$13),1,0)</x:f>
        <x:v>0</x:v>
      </x:c>
      <x:c r="T186" s="10" t="n">
        <x:f>EOMONTH(J186-'Сводка'!$B$11,-1)</x:f>
        <x:v>46022</x:v>
      </x:c>
      <x:c r="U186" s="4" t="n">
        <x:f>MATCH(J186,'Сводка'!$R$3:$R$397,0)</x:f>
        <x:v>197</x:v>
      </x:c>
      <x:c r="V186" s="4" t="n">
        <x:f>MATCH(J186-'Сводка'!$B$11,'Сводка'!$R$3:$R$397,0)</x:f>
        <x:v>196</x:v>
      </x:c>
      <x:c r="W186" s="4" t="n">
        <x:f>MATCH(T186,$J$388:$J$400,0)</x:f>
        <x:v>7</x:v>
      </x:c>
      <x:c r="X186" s="3"/>
      <x:c r="Y186" s="3"/>
      <x:c r="Z186" s="3"/>
    </x:row>
    <x:row r="187" ht="15" customHeight="1">
      <x:c r="A187" s="3"/>
      <x:c r="B187" s="3"/>
      <x:c r="C187" s="3"/>
      <x:c r="D187" s="3"/>
      <x:c r="E187" s="3"/>
      <x:c r="F187" s="3"/>
      <x:c r="G187" s="3"/>
      <x:c r="H187" s="3"/>
      <x:c r="I187" s="3"/>
      <x:c r="J187" s="10" t="n">
        <x:v>46038</x:v>
      </x:c>
      <x:c r="K187" s="8" t="n">
        <x:f>INDEX('Сводка'!$S$3:$S$397,U187)</x:f>
        <x:v>-28</x:v>
      </x:c>
      <x:c r="L187" s="8" t="n">
        <x:f>INDEX('Сводка'!$S$3:$S$397,V187)</x:f>
        <x:v>-26</x:v>
      </x:c>
      <x:c r="M187" s="8" t="n">
        <x:f>INDEX($K$388:$N$400,W187,1)*((J187-$T$405+1)/1000)^INDEX($K$388:$N$400,W187,2)+INDEX($O$388:$Z$400,W187,MONTH(J187))</x:f>
        <x:v>50.89505034096598</x:v>
      </x:c>
      <x:c r="N187" s="8" t="n">
        <x:f>K187-M187</x:f>
        <x:v>-78.89505034096598</x:v>
      </x:c>
      <x:c r="O187" s="8" t="n">
        <x:f>ABS(N187)</x:f>
        <x:v>78.89505034096598</x:v>
      </x:c>
      <x:c r="P187" s="8" t="n">
        <x:f>N187^2</x:f>
        <x:v>6224.428968303556</x:v>
      </x:c>
      <x:c r="Q187" s="8" t="n">
        <x:f>K187-L187</x:f>
        <x:v>-2</x:v>
      </x:c>
      <x:c r="R187" s="9" t="n">
        <x:f>IF(AND(INDEX('Сводка'!$T$3:$T$397,U187)=0,INDEX('Сводка'!$T$3:$T$397,V187)=0),1,0)</x:f>
        <x:v>1</x:v>
      </x:c>
      <x:c r="S187" s="9" t="n">
        <x:f>IF(AND(R187=1,O187&lt;=$G$13),1,0)</x:f>
        <x:v>0</x:v>
      </x:c>
      <x:c r="T187" s="10" t="n">
        <x:f>EOMONTH(J187-'Сводка'!$B$11,-1)</x:f>
        <x:v>46022</x:v>
      </x:c>
      <x:c r="U187" s="4" t="n">
        <x:f>MATCH(J187,'Сводка'!$R$3:$R$397,0)</x:f>
        <x:v>198</x:v>
      </x:c>
      <x:c r="V187" s="4" t="n">
        <x:f>MATCH(J187-'Сводка'!$B$11,'Сводка'!$R$3:$R$397,0)</x:f>
        <x:v>197</x:v>
      </x:c>
      <x:c r="W187" s="4" t="n">
        <x:f>MATCH(T187,$J$388:$J$400,0)</x:f>
        <x:v>7</x:v>
      </x:c>
      <x:c r="X187" s="3"/>
      <x:c r="Y187" s="3"/>
      <x:c r="Z187" s="3"/>
    </x:row>
    <x:row r="188" ht="15" customHeight="1">
      <x:c r="A188" s="3"/>
      <x:c r="B188" s="3"/>
      <x:c r="C188" s="3"/>
      <x:c r="D188" s="3"/>
      <x:c r="E188" s="3"/>
      <x:c r="F188" s="3"/>
      <x:c r="G188" s="3"/>
      <x:c r="H188" s="3"/>
      <x:c r="I188" s="3"/>
      <x:c r="J188" s="10" t="n">
        <x:v>46039</x:v>
      </x:c>
      <x:c r="K188" s="8" t="n">
        <x:f>INDEX('Сводка'!$S$3:$S$397,U188)</x:f>
        <x:v>-29</x:v>
      </x:c>
      <x:c r="L188" s="8" t="n">
        <x:f>INDEX('Сводка'!$S$3:$S$397,V188)</x:f>
        <x:v>-28</x:v>
      </x:c>
      <x:c r="M188" s="8" t="n">
        <x:f>INDEX($K$388:$N$400,W188,1)*((J188-$T$405+1)/1000)^INDEX($K$388:$N$400,W188,2)+INDEX($O$388:$Z$400,W188,MONTH(J188))</x:f>
        <x:v>50.912311469727484</x:v>
      </x:c>
      <x:c r="N188" s="8" t="n">
        <x:f>K188-M188</x:f>
        <x:v>-79.91231146972748</x:v>
      </x:c>
      <x:c r="O188" s="8" t="n">
        <x:f>ABS(N188)</x:f>
        <x:v>79.91231146972748</x:v>
      </x:c>
      <x:c r="P188" s="8" t="n">
        <x:f>N188^2</x:f>
        <x:v>6385.977524434739</x:v>
      </x:c>
      <x:c r="Q188" s="8" t="n">
        <x:f>K188-L188</x:f>
        <x:v>-1</x:v>
      </x:c>
      <x:c r="R188" s="9" t="n">
        <x:f>IF(AND(INDEX('Сводка'!$T$3:$T$397,U188)=0,INDEX('Сводка'!$T$3:$T$397,V188)=0),1,0)</x:f>
        <x:v>1</x:v>
      </x:c>
      <x:c r="S188" s="9" t="n">
        <x:f>IF(AND(R188=1,O188&lt;=$G$13),1,0)</x:f>
        <x:v>0</x:v>
      </x:c>
      <x:c r="T188" s="10" t="n">
        <x:f>EOMONTH(J188-'Сводка'!$B$11,-1)</x:f>
        <x:v>46022</x:v>
      </x:c>
      <x:c r="U188" s="4" t="n">
        <x:f>MATCH(J188,'Сводка'!$R$3:$R$397,0)</x:f>
        <x:v>199</x:v>
      </x:c>
      <x:c r="V188" s="4" t="n">
        <x:f>MATCH(J188-'Сводка'!$B$11,'Сводка'!$R$3:$R$397,0)</x:f>
        <x:v>198</x:v>
      </x:c>
      <x:c r="W188" s="4" t="n">
        <x:f>MATCH(T188,$J$388:$J$400,0)</x:f>
        <x:v>7</x:v>
      </x:c>
      <x:c r="X188" s="3"/>
      <x:c r="Y188" s="3"/>
      <x:c r="Z188" s="3"/>
    </x:row>
    <x:row r="189" ht="15" customHeight="1">
      <x:c r="A189" s="3"/>
      <x:c r="B189" s="3"/>
      <x:c r="C189" s="3"/>
      <x:c r="D189" s="3"/>
      <x:c r="E189" s="3"/>
      <x:c r="F189" s="3"/>
      <x:c r="G189" s="3"/>
      <x:c r="H189" s="3"/>
      <x:c r="I189" s="3"/>
      <x:c r="J189" s="10" t="n">
        <x:v>46040</x:v>
      </x:c>
      <x:c r="K189" s="8" t="n">
        <x:f>INDEX('Сводка'!$S$3:$S$397,U189)</x:f>
        <x:v>-34</x:v>
      </x:c>
      <x:c r="L189" s="8" t="n">
        <x:f>INDEX('Сводка'!$S$3:$S$397,V189)</x:f>
        <x:v>-29</x:v>
      </x:c>
      <x:c r="M189" s="8" t="n">
        <x:f>INDEX($K$388:$N$400,W189,1)*((J189-$T$405+1)/1000)^INDEX($K$388:$N$400,W189,2)+INDEX($O$388:$Z$400,W189,MONTH(J189))</x:f>
        <x:v>50.929572696418916</x:v>
      </x:c>
      <x:c r="N189" s="8" t="n">
        <x:f>K189-M189</x:f>
        <x:v>-84.92957269641892</x:v>
      </x:c>
      <x:c r="O189" s="8" t="n">
        <x:f>ABS(N189)</x:f>
        <x:v>84.92957269641892</x:v>
      </x:c>
      <x:c r="P189" s="8" t="n">
        <x:f>N189^2</x:f>
        <x:v>7213.0323183963055</x:v>
      </x:c>
      <x:c r="Q189" s="8" t="n">
        <x:f>K189-L189</x:f>
        <x:v>-5</x:v>
      </x:c>
      <x:c r="R189" s="9" t="n">
        <x:f>IF(AND(INDEX('Сводка'!$T$3:$T$397,U189)=0,INDEX('Сводка'!$T$3:$T$397,V189)=0),1,0)</x:f>
        <x:v>1</x:v>
      </x:c>
      <x:c r="S189" s="9" t="n">
        <x:f>IF(AND(R189=1,O189&lt;=$G$13),1,0)</x:f>
        <x:v>0</x:v>
      </x:c>
      <x:c r="T189" s="10" t="n">
        <x:f>EOMONTH(J189-'Сводка'!$B$11,-1)</x:f>
        <x:v>46022</x:v>
      </x:c>
      <x:c r="U189" s="4" t="n">
        <x:f>MATCH(J189,'Сводка'!$R$3:$R$397,0)</x:f>
        <x:v>200</x:v>
      </x:c>
      <x:c r="V189" s="4" t="n">
        <x:f>MATCH(J189-'Сводка'!$B$11,'Сводка'!$R$3:$R$397,0)</x:f>
        <x:v>199</x:v>
      </x:c>
      <x:c r="W189" s="4" t="n">
        <x:f>MATCH(T189,$J$388:$J$400,0)</x:f>
        <x:v>7</x:v>
      </x:c>
      <x:c r="X189" s="3"/>
      <x:c r="Y189" s="3"/>
      <x:c r="Z189" s="3"/>
    </x:row>
    <x:row r="190" ht="15" customHeight="1">
      <x:c r="A190" s="3"/>
      <x:c r="B190" s="3"/>
      <x:c r="C190" s="3"/>
      <x:c r="D190" s="3"/>
      <x:c r="E190" s="3"/>
      <x:c r="F190" s="3"/>
      <x:c r="G190" s="3"/>
      <x:c r="H190" s="3"/>
      <x:c r="I190" s="3"/>
      <x:c r="J190" s="10" t="n">
        <x:v>46041</x:v>
      </x:c>
      <x:c r="K190" s="8" t="n">
        <x:f>INDEX('Сводка'!$S$3:$S$397,U190)</x:f>
        <x:v>-34</x:v>
      </x:c>
      <x:c r="L190" s="8" t="n">
        <x:f>INDEX('Сводка'!$S$3:$S$397,V190)</x:f>
        <x:v>-34</x:v>
      </x:c>
      <x:c r="M190" s="8" t="n">
        <x:f>INDEX($K$388:$N$400,W190,1)*((J190-$T$405+1)/1000)^INDEX($K$388:$N$400,W190,2)+INDEX($O$388:$Z$400,W190,MONTH(J190))</x:f>
        <x:v>50.94683402102967</x:v>
      </x:c>
      <x:c r="N190" s="8" t="n">
        <x:f>K190-M190</x:f>
        <x:v>-84.94683402102967</x:v>
      </x:c>
      <x:c r="O190" s="8" t="n">
        <x:f>ABS(N190)</x:f>
        <x:v>84.94683402102967</x:v>
      </x:c>
      <x:c r="P190" s="8" t="n">
        <x:f>N190^2</x:f>
        <x:v>7215.964610196364</x:v>
      </x:c>
      <x:c r="Q190" s="8" t="n">
        <x:f>K190-L190</x:f>
        <x:v>0</x:v>
      </x:c>
      <x:c r="R190" s="9" t="n">
        <x:f>IF(AND(INDEX('Сводка'!$T$3:$T$397,U190)=0,INDEX('Сводка'!$T$3:$T$397,V190)=0),1,0)</x:f>
        <x:v>1</x:v>
      </x:c>
      <x:c r="S190" s="9" t="n">
        <x:f>IF(AND(R190=1,O190&lt;=$G$13),1,0)</x:f>
        <x:v>0</x:v>
      </x:c>
      <x:c r="T190" s="10" t="n">
        <x:f>EOMONTH(J190-'Сводка'!$B$11,-1)</x:f>
        <x:v>46022</x:v>
      </x:c>
      <x:c r="U190" s="4" t="n">
        <x:f>MATCH(J190,'Сводка'!$R$3:$R$397,0)</x:f>
        <x:v>201</x:v>
      </x:c>
      <x:c r="V190" s="4" t="n">
        <x:f>MATCH(J190-'Сводка'!$B$11,'Сводка'!$R$3:$R$397,0)</x:f>
        <x:v>200</x:v>
      </x:c>
      <x:c r="W190" s="4" t="n">
        <x:f>MATCH(T190,$J$388:$J$400,0)</x:f>
        <x:v>7</x:v>
      </x:c>
      <x:c r="X190" s="3"/>
      <x:c r="Y190" s="3"/>
      <x:c r="Z190" s="3"/>
    </x:row>
    <x:row r="191" ht="15" customHeight="1">
      <x:c r="A191" s="3"/>
      <x:c r="B191" s="3"/>
      <x:c r="C191" s="3"/>
      <x:c r="D191" s="3"/>
      <x:c r="E191" s="3"/>
      <x:c r="F191" s="3"/>
      <x:c r="G191" s="3"/>
      <x:c r="H191" s="3"/>
      <x:c r="I191" s="3"/>
      <x:c r="J191" s="10" t="n">
        <x:v>46042</x:v>
      </x:c>
      <x:c r="K191" s="8" t="n">
        <x:f>INDEX('Сводка'!$S$3:$S$397,U191)</x:f>
        <x:v>-39</x:v>
      </x:c>
      <x:c r="L191" s="8" t="n">
        <x:f>INDEX('Сводка'!$S$3:$S$397,V191)</x:f>
        <x:v>-34</x:v>
      </x:c>
      <x:c r="M191" s="8" t="n">
        <x:f>INDEX($K$388:$N$400,W191,1)*((J191-$T$405+1)/1000)^INDEX($K$388:$N$400,W191,2)+INDEX($O$388:$Z$400,W191,MONTH(J191))</x:f>
        <x:v>50.96409544354913</x:v>
      </x:c>
      <x:c r="N191" s="8" t="n">
        <x:f>K191-M191</x:f>
        <x:v>-89.96409544354913</x:v>
      </x:c>
      <x:c r="O191" s="8" t="n">
        <x:f>ABS(N191)</x:f>
        <x:v>89.96409544354913</x:v>
      </x:c>
      <x:c r="P191" s="8" t="n">
        <x:f>N191^2</x:f>
        <x:v>8093.538468976017</x:v>
      </x:c>
      <x:c r="Q191" s="8" t="n">
        <x:f>K191-L191</x:f>
        <x:v>-5</x:v>
      </x:c>
      <x:c r="R191" s="9" t="n">
        <x:f>IF(AND(INDEX('Сводка'!$T$3:$T$397,U191)=0,INDEX('Сводка'!$T$3:$T$397,V191)=0),1,0)</x:f>
        <x:v>1</x:v>
      </x:c>
      <x:c r="S191" s="9" t="n">
        <x:f>IF(AND(R191=1,O191&lt;=$G$13),1,0)</x:f>
        <x:v>0</x:v>
      </x:c>
      <x:c r="T191" s="10" t="n">
        <x:f>EOMONTH(J191-'Сводка'!$B$11,-1)</x:f>
        <x:v>46022</x:v>
      </x:c>
      <x:c r="U191" s="4" t="n">
        <x:f>MATCH(J191,'Сводка'!$R$3:$R$397,0)</x:f>
        <x:v>202</x:v>
      </x:c>
      <x:c r="V191" s="4" t="n">
        <x:f>MATCH(J191-'Сводка'!$B$11,'Сводка'!$R$3:$R$397,0)</x:f>
        <x:v>201</x:v>
      </x:c>
      <x:c r="W191" s="4" t="n">
        <x:f>MATCH(T191,$J$388:$J$400,0)</x:f>
        <x:v>7</x:v>
      </x:c>
      <x:c r="X191" s="3"/>
      <x:c r="Y191" s="3"/>
      <x:c r="Z191" s="3"/>
    </x:row>
    <x:row r="192" ht="15" customHeight="1">
      <x:c r="A192" s="3"/>
      <x:c r="B192" s="3"/>
      <x:c r="C192" s="3"/>
      <x:c r="D192" s="3"/>
      <x:c r="E192" s="3"/>
      <x:c r="F192" s="3"/>
      <x:c r="G192" s="3"/>
      <x:c r="H192" s="3"/>
      <x:c r="I192" s="3"/>
      <x:c r="J192" s="10" t="n">
        <x:v>46043</x:v>
      </x:c>
      <x:c r="K192" s="8" t="n">
        <x:f>INDEX('Сводка'!$S$3:$S$397,U192)</x:f>
        <x:v>-41</x:v>
      </x:c>
      <x:c r="L192" s="8" t="n">
        <x:f>INDEX('Сводка'!$S$3:$S$397,V192)</x:f>
        <x:v>-39</x:v>
      </x:c>
      <x:c r="M192" s="8" t="n">
        <x:f>INDEX($K$388:$N$400,W192,1)*((J192-$T$405+1)/1000)^INDEX($K$388:$N$400,W192,2)+INDEX($O$388:$Z$400,W192,MONTH(J192))</x:f>
        <x:v>50.98135696396679</x:v>
      </x:c>
      <x:c r="N192" s="8" t="n">
        <x:f>K192-M192</x:f>
        <x:v>-91.98135696396679</x:v>
      </x:c>
      <x:c r="O192" s="8" t="n">
        <x:f>ABS(N192)</x:f>
        <x:v>91.98135696396679</x:v>
      </x:c>
      <x:c r="P192" s="8" t="n">
        <x:f>N192^2</x:f>
        <x:v>8460.570028932681</x:v>
      </x:c>
      <x:c r="Q192" s="8" t="n">
        <x:f>K192-L192</x:f>
        <x:v>-2</x:v>
      </x:c>
      <x:c r="R192" s="9" t="n">
        <x:f>IF(AND(INDEX('Сводка'!$T$3:$T$397,U192)=0,INDEX('Сводка'!$T$3:$T$397,V192)=0),1,0)</x:f>
        <x:v>1</x:v>
      </x:c>
      <x:c r="S192" s="9" t="n">
        <x:f>IF(AND(R192=1,O192&lt;=$G$13),1,0)</x:f>
        <x:v>0</x:v>
      </x:c>
      <x:c r="T192" s="10" t="n">
        <x:f>EOMONTH(J192-'Сводка'!$B$11,-1)</x:f>
        <x:v>46022</x:v>
      </x:c>
      <x:c r="U192" s="4" t="n">
        <x:f>MATCH(J192,'Сводка'!$R$3:$R$397,0)</x:f>
        <x:v>203</x:v>
      </x:c>
      <x:c r="V192" s="4" t="n">
        <x:f>MATCH(J192-'Сводка'!$B$11,'Сводка'!$R$3:$R$397,0)</x:f>
        <x:v>202</x:v>
      </x:c>
      <x:c r="W192" s="4" t="n">
        <x:f>MATCH(T192,$J$388:$J$400,0)</x:f>
        <x:v>7</x:v>
      </x:c>
      <x:c r="X192" s="3"/>
      <x:c r="Y192" s="3"/>
      <x:c r="Z192" s="3"/>
    </x:row>
    <x:row r="193" ht="15" customHeight="1">
      <x:c r="A193" s="3"/>
      <x:c r="B193" s="3"/>
      <x:c r="C193" s="3"/>
      <x:c r="D193" s="3"/>
      <x:c r="E193" s="3"/>
      <x:c r="F193" s="3"/>
      <x:c r="G193" s="3"/>
      <x:c r="H193" s="3"/>
      <x:c r="I193" s="3"/>
      <x:c r="J193" s="10" t="n">
        <x:v>46044</x:v>
      </x:c>
      <x:c r="K193" s="8" t="n">
        <x:f>INDEX('Сводка'!$S$3:$S$397,U193)</x:f>
        <x:v>-41</x:v>
      </x:c>
      <x:c r="L193" s="8" t="n">
        <x:f>INDEX('Сводка'!$S$3:$S$397,V193)</x:f>
        <x:v>-41</x:v>
      </x:c>
      <x:c r="M193" s="8" t="n">
        <x:f>INDEX($K$388:$N$400,W193,1)*((J193-$T$405+1)/1000)^INDEX($K$388:$N$400,W193,2)+INDEX($O$388:$Z$400,W193,MONTH(J193))</x:f>
        <x:v>50.99861858227197</x:v>
      </x:c>
      <x:c r="N193" s="8" t="n">
        <x:f>K193-M193</x:f>
        <x:v>-91.99861858227197</x:v>
      </x:c>
      <x:c r="O193" s="8" t="n">
        <x:f>ABS(N193)</x:f>
        <x:v>91.99861858227197</x:v>
      </x:c>
      <x:c r="P193" s="8" t="n">
        <x:f>N193^2</x:f>
        <x:v>8463.745821046357</x:v>
      </x:c>
      <x:c r="Q193" s="8" t="n">
        <x:f>K193-L193</x:f>
        <x:v>0</x:v>
      </x:c>
      <x:c r="R193" s="9" t="n">
        <x:f>IF(AND(INDEX('Сводка'!$T$3:$T$397,U193)=0,INDEX('Сводка'!$T$3:$T$397,V193)=0),1,0)</x:f>
        <x:v>1</x:v>
      </x:c>
      <x:c r="S193" s="9" t="n">
        <x:f>IF(AND(R193=1,O193&lt;=$G$13),1,0)</x:f>
        <x:v>0</x:v>
      </x:c>
      <x:c r="T193" s="10" t="n">
        <x:f>EOMONTH(J193-'Сводка'!$B$11,-1)</x:f>
        <x:v>46022</x:v>
      </x:c>
      <x:c r="U193" s="4" t="n">
        <x:f>MATCH(J193,'Сводка'!$R$3:$R$397,0)</x:f>
        <x:v>204</x:v>
      </x:c>
      <x:c r="V193" s="4" t="n">
        <x:f>MATCH(J193-'Сводка'!$B$11,'Сводка'!$R$3:$R$397,0)</x:f>
        <x:v>203</x:v>
      </x:c>
      <x:c r="W193" s="4" t="n">
        <x:f>MATCH(T193,$J$388:$J$400,0)</x:f>
        <x:v>7</x:v>
      </x:c>
      <x:c r="X193" s="3"/>
      <x:c r="Y193" s="3"/>
      <x:c r="Z193" s="3"/>
    </x:row>
    <x:row r="194" ht="15" customHeight="1">
      <x:c r="A194" s="3"/>
      <x:c r="B194" s="3"/>
      <x:c r="C194" s="3"/>
      <x:c r="D194" s="3"/>
      <x:c r="E194" s="3"/>
      <x:c r="F194" s="3"/>
      <x:c r="G194" s="3"/>
      <x:c r="H194" s="3"/>
      <x:c r="I194" s="3"/>
      <x:c r="J194" s="10" t="n">
        <x:v>46045</x:v>
      </x:c>
      <x:c r="K194" s="8" t="n">
        <x:f>INDEX('Сводка'!$S$3:$S$397,U194)</x:f>
        <x:v>-37</x:v>
      </x:c>
      <x:c r="L194" s="8" t="n">
        <x:f>INDEX('Сводка'!$S$3:$S$397,V194)</x:f>
        <x:v>-41</x:v>
      </x:c>
      <x:c r="M194" s="8" t="n">
        <x:f>INDEX($K$388:$N$400,W194,1)*((J194-$T$405+1)/1000)^INDEX($K$388:$N$400,W194,2)+INDEX($O$388:$Z$400,W194,MONTH(J194))</x:f>
        <x:v>51.01588029845408</x:v>
      </x:c>
      <x:c r="N194" s="8" t="n">
        <x:f>K194-M194</x:f>
        <x:v>-88.01588029845408</x:v>
      </x:c>
      <x:c r="O194" s="8" t="n">
        <x:f>ABS(N194)</x:f>
        <x:v>88.01588029845408</x:v>
      </x:c>
      <x:c r="P194" s="8" t="n">
        <x:f>N194^2</x:f>
        <x:v>7746.7951847117965</x:v>
      </x:c>
      <x:c r="Q194" s="8" t="n">
        <x:f>K194-L194</x:f>
        <x:v>4</x:v>
      </x:c>
      <x:c r="R194" s="9" t="n">
        <x:f>IF(AND(INDEX('Сводка'!$T$3:$T$397,U194)=0,INDEX('Сводка'!$T$3:$T$397,V194)=0),1,0)</x:f>
        <x:v>1</x:v>
      </x:c>
      <x:c r="S194" s="9" t="n">
        <x:f>IF(AND(R194=1,O194&lt;=$G$13),1,0)</x:f>
        <x:v>0</x:v>
      </x:c>
      <x:c r="T194" s="10" t="n">
        <x:f>EOMONTH(J194-'Сводка'!$B$11,-1)</x:f>
        <x:v>46022</x:v>
      </x:c>
      <x:c r="U194" s="4" t="n">
        <x:f>MATCH(J194,'Сводка'!$R$3:$R$397,0)</x:f>
        <x:v>205</x:v>
      </x:c>
      <x:c r="V194" s="4" t="n">
        <x:f>MATCH(J194-'Сводка'!$B$11,'Сводка'!$R$3:$R$397,0)</x:f>
        <x:v>204</x:v>
      </x:c>
      <x:c r="W194" s="4" t="n">
        <x:f>MATCH(T194,$J$388:$J$400,0)</x:f>
        <x:v>7</x:v>
      </x:c>
      <x:c r="X194" s="3"/>
      <x:c r="Y194" s="3"/>
      <x:c r="Z194" s="3"/>
    </x:row>
    <x:row r="195" ht="15" customHeight="1">
      <x:c r="A195" s="3"/>
      <x:c r="B195" s="3"/>
      <x:c r="C195" s="3"/>
      <x:c r="D195" s="3"/>
      <x:c r="E195" s="3"/>
      <x:c r="F195" s="3"/>
      <x:c r="G195" s="3"/>
      <x:c r="H195" s="3"/>
      <x:c r="I195" s="3"/>
      <x:c r="J195" s="10" t="n">
        <x:v>46046</x:v>
      </x:c>
      <x:c r="K195" s="8" t="n">
        <x:f>INDEX('Сводка'!$S$3:$S$397,U195)</x:f>
        <x:v>-39</x:v>
      </x:c>
      <x:c r="L195" s="8" t="n">
        <x:f>INDEX('Сводка'!$S$3:$S$397,V195)</x:f>
        <x:v>-37</x:v>
      </x:c>
      <x:c r="M195" s="8" t="n">
        <x:f>INDEX($K$388:$N$400,W195,1)*((J195-$T$405+1)/1000)^INDEX($K$388:$N$400,W195,2)+INDEX($O$388:$Z$400,W195,MONTH(J195))</x:f>
        <x:v>51.033142112502645</x:v>
      </x:c>
      <x:c r="N195" s="8" t="n">
        <x:f>K195-M195</x:f>
        <x:v>-90.03314211250265</x:v>
      </x:c>
      <x:c r="O195" s="8" t="n">
        <x:f>ABS(N195)</x:f>
        <x:v>90.03314211250265</x:v>
      </x:c>
      <x:c r="P195" s="8" t="n">
        <x:f>N195^2</x:f>
        <x:v>8105.9666786500975</x:v>
      </x:c>
      <x:c r="Q195" s="8" t="n">
        <x:f>K195-L195</x:f>
        <x:v>-2</x:v>
      </x:c>
      <x:c r="R195" s="9" t="n">
        <x:f>IF(AND(INDEX('Сводка'!$T$3:$T$397,U195)=0,INDEX('Сводка'!$T$3:$T$397,V195)=0),1,0)</x:f>
        <x:v>1</x:v>
      </x:c>
      <x:c r="S195" s="9" t="n">
        <x:f>IF(AND(R195=1,O195&lt;=$G$13),1,0)</x:f>
        <x:v>0</x:v>
      </x:c>
      <x:c r="T195" s="10" t="n">
        <x:f>EOMONTH(J195-'Сводка'!$B$11,-1)</x:f>
        <x:v>46022</x:v>
      </x:c>
      <x:c r="U195" s="4" t="n">
        <x:f>MATCH(J195,'Сводка'!$R$3:$R$397,0)</x:f>
        <x:v>206</x:v>
      </x:c>
      <x:c r="V195" s="4" t="n">
        <x:f>MATCH(J195-'Сводка'!$B$11,'Сводка'!$R$3:$R$397,0)</x:f>
        <x:v>205</x:v>
      </x:c>
      <x:c r="W195" s="4" t="n">
        <x:f>MATCH(T195,$J$388:$J$400,0)</x:f>
        <x:v>7</x:v>
      </x:c>
      <x:c r="X195" s="3"/>
      <x:c r="Y195" s="3"/>
      <x:c r="Z195" s="3"/>
    </x:row>
    <x:row r="196" ht="15" customHeight="1">
      <x:c r="A196" s="3"/>
      <x:c r="B196" s="3"/>
      <x:c r="C196" s="3"/>
      <x:c r="D196" s="3"/>
      <x:c r="E196" s="3"/>
      <x:c r="F196" s="3"/>
      <x:c r="G196" s="3"/>
      <x:c r="H196" s="3"/>
      <x:c r="I196" s="3"/>
      <x:c r="J196" s="10" t="n">
        <x:v>46047</x:v>
      </x:c>
      <x:c r="K196" s="8" t="n">
        <x:f>INDEX('Сводка'!$S$3:$S$397,U196)</x:f>
        <x:v>-36</x:v>
      </x:c>
      <x:c r="L196" s="8" t="n">
        <x:f>INDEX('Сводка'!$S$3:$S$397,V196)</x:f>
        <x:v>-39</x:v>
      </x:c>
      <x:c r="M196" s="8" t="n">
        <x:f>INDEX($K$388:$N$400,W196,1)*((J196-$T$405+1)/1000)^INDEX($K$388:$N$400,W196,2)+INDEX($O$388:$Z$400,W196,MONTH(J196))</x:f>
        <x:v>51.050404024407015</x:v>
      </x:c>
      <x:c r="N196" s="8" t="n">
        <x:f>K196-M196</x:f>
        <x:v>-87.05040402440702</x:v>
      </x:c>
      <x:c r="O196" s="8" t="n">
        <x:f>ABS(N196)</x:f>
        <x:v>87.05040402440702</x:v>
      </x:c>
      <x:c r="P196" s="8" t="n">
        <x:f>N196^2</x:f>
        <x:v>7577.772840812497</x:v>
      </x:c>
      <x:c r="Q196" s="8" t="n">
        <x:f>K196-L196</x:f>
        <x:v>3</x:v>
      </x:c>
      <x:c r="R196" s="9" t="n">
        <x:f>IF(AND(INDEX('Сводка'!$T$3:$T$397,U196)=0,INDEX('Сводка'!$T$3:$T$397,V196)=0),1,0)</x:f>
        <x:v>1</x:v>
      </x:c>
      <x:c r="S196" s="9" t="n">
        <x:f>IF(AND(R196=1,O196&lt;=$G$13),1,0)</x:f>
        <x:v>0</x:v>
      </x:c>
      <x:c r="T196" s="10" t="n">
        <x:f>EOMONTH(J196-'Сводка'!$B$11,-1)</x:f>
        <x:v>46022</x:v>
      </x:c>
      <x:c r="U196" s="4" t="n">
        <x:f>MATCH(J196,'Сводка'!$R$3:$R$397,0)</x:f>
        <x:v>207</x:v>
      </x:c>
      <x:c r="V196" s="4" t="n">
        <x:f>MATCH(J196-'Сводка'!$B$11,'Сводка'!$R$3:$R$397,0)</x:f>
        <x:v>206</x:v>
      </x:c>
      <x:c r="W196" s="4" t="n">
        <x:f>MATCH(T196,$J$388:$J$400,0)</x:f>
        <x:v>7</x:v>
      </x:c>
      <x:c r="X196" s="3"/>
      <x:c r="Y196" s="3"/>
      <x:c r="Z196" s="3"/>
    </x:row>
    <x:row r="197" ht="15" customHeight="1">
      <x:c r="A197" s="3"/>
      <x:c r="B197" s="3"/>
      <x:c r="C197" s="3"/>
      <x:c r="D197" s="3"/>
      <x:c r="E197" s="3"/>
      <x:c r="F197" s="3"/>
      <x:c r="G197" s="3"/>
      <x:c r="H197" s="3"/>
      <x:c r="I197" s="3"/>
      <x:c r="J197" s="10" t="n">
        <x:v>46048</x:v>
      </x:c>
      <x:c r="K197" s="8" t="n">
        <x:f>INDEX('Сводка'!$S$3:$S$397,U197)</x:f>
        <x:v>-36</x:v>
      </x:c>
      <x:c r="L197" s="8" t="n">
        <x:f>INDEX('Сводка'!$S$3:$S$397,V197)</x:f>
        <x:v>-36</x:v>
      </x:c>
      <x:c r="M197" s="8" t="n">
        <x:f>INDEX($K$388:$N$400,W197,1)*((J197-$T$405+1)/1000)^INDEX($K$388:$N$400,W197,2)+INDEX($O$388:$Z$400,W197,MONTH(J197))</x:f>
        <x:v>51.06766603415659</x:v>
      </x:c>
      <x:c r="N197" s="8" t="n">
        <x:f>K197-M197</x:f>
        <x:v>-87.06766603415659</x:v>
      </x:c>
      <x:c r="O197" s="8" t="n">
        <x:f>ABS(N197)</x:f>
        <x:v>87.06766603415659</x:v>
      </x:c>
      <x:c r="P197" s="8" t="n">
        <x:f>N197^2</x:f>
        <x:v>7580.778468635424</x:v>
      </x:c>
      <x:c r="Q197" s="8" t="n">
        <x:f>K197-L197</x:f>
        <x:v>0</x:v>
      </x:c>
      <x:c r="R197" s="9" t="n">
        <x:f>IF(AND(INDEX('Сводка'!$T$3:$T$397,U197)=0,INDEX('Сводка'!$T$3:$T$397,V197)=0),1,0)</x:f>
        <x:v>1</x:v>
      </x:c>
      <x:c r="S197" s="9" t="n">
        <x:f>IF(AND(R197=1,O197&lt;=$G$13),1,0)</x:f>
        <x:v>0</x:v>
      </x:c>
      <x:c r="T197" s="10" t="n">
        <x:f>EOMONTH(J197-'Сводка'!$B$11,-1)</x:f>
        <x:v>46022</x:v>
      </x:c>
      <x:c r="U197" s="4" t="n">
        <x:f>MATCH(J197,'Сводка'!$R$3:$R$397,0)</x:f>
        <x:v>208</x:v>
      </x:c>
      <x:c r="V197" s="4" t="n">
        <x:f>MATCH(J197-'Сводка'!$B$11,'Сводка'!$R$3:$R$397,0)</x:f>
        <x:v>207</x:v>
      </x:c>
      <x:c r="W197" s="4" t="n">
        <x:f>MATCH(T197,$J$388:$J$400,0)</x:f>
        <x:v>7</x:v>
      </x:c>
      <x:c r="X197" s="3"/>
      <x:c r="Y197" s="3"/>
      <x:c r="Z197" s="3"/>
    </x:row>
    <x:row r="198" ht="15" customHeight="1">
      <x:c r="A198" s="3"/>
      <x:c r="B198" s="3"/>
      <x:c r="C198" s="3"/>
      <x:c r="D198" s="3"/>
      <x:c r="E198" s="3"/>
      <x:c r="F198" s="3"/>
      <x:c r="G198" s="3"/>
      <x:c r="H198" s="3"/>
      <x:c r="I198" s="3"/>
      <x:c r="J198" s="10" t="n">
        <x:v>46049</x:v>
      </x:c>
      <x:c r="K198" s="8" t="n">
        <x:f>INDEX('Сводка'!$S$3:$S$397,U198)</x:f>
        <x:v>-38</x:v>
      </x:c>
      <x:c r="L198" s="8" t="n">
        <x:f>INDEX('Сводка'!$S$3:$S$397,V198)</x:f>
        <x:v>-36</x:v>
      </x:c>
      <x:c r="M198" s="8" t="n">
        <x:f>INDEX($K$388:$N$400,W198,1)*((J198-$T$405+1)/1000)^INDEX($K$388:$N$400,W198,2)+INDEX($O$388:$Z$400,W198,MONTH(J198))</x:f>
        <x:v>51.084928141740846</x:v>
      </x:c>
      <x:c r="N198" s="8" t="n">
        <x:f>K198-M198</x:f>
        <x:v>-89.08492814174085</x:v>
      </x:c>
      <x:c r="O198" s="8" t="n">
        <x:f>ABS(N198)</x:f>
        <x:v>89.08492814174085</x:v>
      </x:c>
      <x:c r="P198" s="8" t="n">
        <x:f>N198^2</x:f>
        <x:v>7936.12442201913</x:v>
      </x:c>
      <x:c r="Q198" s="8" t="n">
        <x:f>K198-L198</x:f>
        <x:v>-2</x:v>
      </x:c>
      <x:c r="R198" s="9" t="n">
        <x:f>IF(AND(INDEX('Сводка'!$T$3:$T$397,U198)=0,INDEX('Сводка'!$T$3:$T$397,V198)=0),1,0)</x:f>
        <x:v>1</x:v>
      </x:c>
      <x:c r="S198" s="9" t="n">
        <x:f>IF(AND(R198=1,O198&lt;=$G$13),1,0)</x:f>
        <x:v>0</x:v>
      </x:c>
      <x:c r="T198" s="10" t="n">
        <x:f>EOMONTH(J198-'Сводка'!$B$11,-1)</x:f>
        <x:v>46022</x:v>
      </x:c>
      <x:c r="U198" s="4" t="n">
        <x:f>MATCH(J198,'Сводка'!$R$3:$R$397,0)</x:f>
        <x:v>209</x:v>
      </x:c>
      <x:c r="V198" s="4" t="n">
        <x:f>MATCH(J198-'Сводка'!$B$11,'Сводка'!$R$3:$R$397,0)</x:f>
        <x:v>208</x:v>
      </x:c>
      <x:c r="W198" s="4" t="n">
        <x:f>MATCH(T198,$J$388:$J$400,0)</x:f>
        <x:v>7</x:v>
      </x:c>
      <x:c r="X198" s="3"/>
      <x:c r="Y198" s="3"/>
      <x:c r="Z198" s="3"/>
    </x:row>
    <x:row r="199" ht="15" customHeight="1">
      <x:c r="A199" s="3"/>
      <x:c r="B199" s="3"/>
      <x:c r="C199" s="3"/>
      <x:c r="D199" s="3"/>
      <x:c r="E199" s="3"/>
      <x:c r="F199" s="3"/>
      <x:c r="G199" s="3"/>
      <x:c r="H199" s="3"/>
      <x:c r="I199" s="3"/>
      <x:c r="J199" s="10" t="n">
        <x:v>46050</x:v>
      </x:c>
      <x:c r="K199" s="8" t="n">
        <x:f>INDEX('Сводка'!$S$3:$S$397,U199)</x:f>
        <x:v>-33</x:v>
      </x:c>
      <x:c r="L199" s="8" t="n">
        <x:f>INDEX('Сводка'!$S$3:$S$397,V199)</x:f>
        <x:v>-38</x:v>
      </x:c>
      <x:c r="M199" s="8" t="n">
        <x:f>INDEX($K$388:$N$400,W199,1)*((J199-$T$405+1)/1000)^INDEX($K$388:$N$400,W199,2)+INDEX($O$388:$Z$400,W199,MONTH(J199))</x:f>
        <x:v>51.10219034714922</x:v>
      </x:c>
      <x:c r="N199" s="8" t="n">
        <x:f>K199-M199</x:f>
        <x:v>-84.10219034714922</x:v>
      </x:c>
      <x:c r="O199" s="8" t="n">
        <x:f>ABS(N199)</x:f>
        <x:v>84.10219034714922</x:v>
      </x:c>
      <x:c r="P199" s="8" t="n">
        <x:f>N199^2</x:f>
        <x:v>7073.1784211881195</x:v>
      </x:c>
      <x:c r="Q199" s="8" t="n">
        <x:f>K199-L199</x:f>
        <x:v>5</x:v>
      </x:c>
      <x:c r="R199" s="9" t="n">
        <x:f>IF(AND(INDEX('Сводка'!$T$3:$T$397,U199)=0,INDEX('Сводка'!$T$3:$T$397,V199)=0),1,0)</x:f>
        <x:v>1</x:v>
      </x:c>
      <x:c r="S199" s="9" t="n">
        <x:f>IF(AND(R199=1,O199&lt;=$G$13),1,0)</x:f>
        <x:v>0</x:v>
      </x:c>
      <x:c r="T199" s="10" t="n">
        <x:f>EOMONTH(J199-'Сводка'!$B$11,-1)</x:f>
        <x:v>46022</x:v>
      </x:c>
      <x:c r="U199" s="4" t="n">
        <x:f>MATCH(J199,'Сводка'!$R$3:$R$397,0)</x:f>
        <x:v>210</x:v>
      </x:c>
      <x:c r="V199" s="4" t="n">
        <x:f>MATCH(J199-'Сводка'!$B$11,'Сводка'!$R$3:$R$397,0)</x:f>
        <x:v>209</x:v>
      </x:c>
      <x:c r="W199" s="4" t="n">
        <x:f>MATCH(T199,$J$388:$J$400,0)</x:f>
        <x:v>7</x:v>
      </x:c>
      <x:c r="X199" s="3"/>
      <x:c r="Y199" s="3"/>
      <x:c r="Z199" s="3"/>
    </x:row>
    <x:row r="200" ht="15" customHeight="1">
      <x:c r="A200" s="3"/>
      <x:c r="B200" s="3"/>
      <x:c r="C200" s="3"/>
      <x:c r="D200" s="3"/>
      <x:c r="E200" s="3"/>
      <x:c r="F200" s="3"/>
      <x:c r="G200" s="3"/>
      <x:c r="H200" s="3"/>
      <x:c r="I200" s="3"/>
      <x:c r="J200" s="10" t="n">
        <x:v>46051</x:v>
      </x:c>
      <x:c r="K200" s="8" t="n">
        <x:f>INDEX('Сводка'!$S$3:$S$397,U200)</x:f>
        <x:v>-33</x:v>
      </x:c>
      <x:c r="L200" s="8" t="n">
        <x:f>INDEX('Сводка'!$S$3:$S$397,V200)</x:f>
        <x:v>-33</x:v>
      </x:c>
      <x:c r="M200" s="8" t="n">
        <x:f>INDEX($K$388:$N$400,W200,1)*((J200-$T$405+1)/1000)^INDEX($K$388:$N$400,W200,2)+INDEX($O$388:$Z$400,W200,MONTH(J200))</x:f>
        <x:v>51.11945265037107</x:v>
      </x:c>
      <x:c r="N200" s="8" t="n">
        <x:f>K200-M200</x:f>
        <x:v>-84.11945265037107</x:v>
      </x:c>
      <x:c r="O200" s="8" t="n">
        <x:f>ABS(N200)</x:f>
        <x:v>84.11945265037107</x:v>
      </x:c>
      <x:c r="P200" s="8" t="n">
        <x:f>N200^2</x:f>
        <x:v>7076.082314198021</x:v>
      </x:c>
      <x:c r="Q200" s="8" t="n">
        <x:f>K200-L200</x:f>
        <x:v>0</x:v>
      </x:c>
      <x:c r="R200" s="9" t="n">
        <x:f>IF(AND(INDEX('Сводка'!$T$3:$T$397,U200)=0,INDEX('Сводка'!$T$3:$T$397,V200)=0),1,0)</x:f>
        <x:v>1</x:v>
      </x:c>
      <x:c r="S200" s="9" t="n">
        <x:f>IF(AND(R200=1,O200&lt;=$G$13),1,0)</x:f>
        <x:v>0</x:v>
      </x:c>
      <x:c r="T200" s="10" t="n">
        <x:f>EOMONTH(J200-'Сводка'!$B$11,-1)</x:f>
        <x:v>46022</x:v>
      </x:c>
      <x:c r="U200" s="4" t="n">
        <x:f>MATCH(J200,'Сводка'!$R$3:$R$397,0)</x:f>
        <x:v>211</x:v>
      </x:c>
      <x:c r="V200" s="4" t="n">
        <x:f>MATCH(J200-'Сводка'!$B$11,'Сводка'!$R$3:$R$397,0)</x:f>
        <x:v>210</x:v>
      </x:c>
      <x:c r="W200" s="4" t="n">
        <x:f>MATCH(T200,$J$388:$J$400,0)</x:f>
        <x:v>7</x:v>
      </x:c>
      <x:c r="X200" s="3"/>
      <x:c r="Y200" s="3"/>
      <x:c r="Z200" s="3"/>
    </x:row>
    <x:row r="201" ht="15" customHeight="1">
      <x:c r="A201" s="3"/>
      <x:c r="B201" s="3"/>
      <x:c r="C201" s="3"/>
      <x:c r="D201" s="3"/>
      <x:c r="E201" s="3"/>
      <x:c r="F201" s="3"/>
      <x:c r="G201" s="3"/>
      <x:c r="H201" s="3"/>
      <x:c r="I201" s="3"/>
      <x:c r="J201" s="10" t="n">
        <x:v>46052</x:v>
      </x:c>
      <x:c r="K201" s="8" t="n">
        <x:f>INDEX('Сводка'!$S$3:$S$397,U201)</x:f>
        <x:v>-36</x:v>
      </x:c>
      <x:c r="L201" s="8" t="n">
        <x:f>INDEX('Сводка'!$S$3:$S$397,V201)</x:f>
        <x:v>-33</x:v>
      </x:c>
      <x:c r="M201" s="8" t="n">
        <x:f>INDEX($K$388:$N$400,W201,1)*((J201-$T$405+1)/1000)^INDEX($K$388:$N$400,W201,2)+INDEX($O$388:$Z$400,W201,MONTH(J201))</x:f>
        <x:v>51.136715051395896</x:v>
      </x:c>
      <x:c r="N201" s="8" t="n">
        <x:f>K201-M201</x:f>
        <x:v>-87.1367150513959</x:v>
      </x:c>
      <x:c r="O201" s="8" t="n">
        <x:f>ABS(N201)</x:f>
        <x:v>87.1367150513959</x:v>
      </x:c>
      <x:c r="P201" s="8" t="n">
        <x:f>N201^2</x:f>
        <x:v>7592.807109948164</x:v>
      </x:c>
      <x:c r="Q201" s="8" t="n">
        <x:f>K201-L201</x:f>
        <x:v>-3</x:v>
      </x:c>
      <x:c r="R201" s="9" t="n">
        <x:f>IF(AND(INDEX('Сводка'!$T$3:$T$397,U201)=0,INDEX('Сводка'!$T$3:$T$397,V201)=0),1,0)</x:f>
        <x:v>1</x:v>
      </x:c>
      <x:c r="S201" s="9" t="n">
        <x:f>IF(AND(R201=1,O201&lt;=$G$13),1,0)</x:f>
        <x:v>0</x:v>
      </x:c>
      <x:c r="T201" s="10" t="n">
        <x:f>EOMONTH(J201-'Сводка'!$B$11,-1)</x:f>
        <x:v>46022</x:v>
      </x:c>
      <x:c r="U201" s="4" t="n">
        <x:f>MATCH(J201,'Сводка'!$R$3:$R$397,0)</x:f>
        <x:v>212</x:v>
      </x:c>
      <x:c r="V201" s="4" t="n">
        <x:f>MATCH(J201-'Сводка'!$B$11,'Сводка'!$R$3:$R$397,0)</x:f>
        <x:v>211</x:v>
      </x:c>
      <x:c r="W201" s="4" t="n">
        <x:f>MATCH(T201,$J$388:$J$400,0)</x:f>
        <x:v>7</x:v>
      </x:c>
      <x:c r="X201" s="3"/>
      <x:c r="Y201" s="3"/>
      <x:c r="Z201" s="3"/>
    </x:row>
    <x:row r="202" ht="15" customHeight="1">
      <x:c r="A202" s="3"/>
      <x:c r="B202" s="3"/>
      <x:c r="C202" s="3"/>
      <x:c r="D202" s="3"/>
      <x:c r="E202" s="3"/>
      <x:c r="F202" s="3"/>
      <x:c r="G202" s="3"/>
      <x:c r="H202" s="3"/>
      <x:c r="I202" s="3"/>
      <x:c r="J202" s="10" t="n">
        <x:v>46053</x:v>
      </x:c>
      <x:c r="K202" s="8" t="n">
        <x:f>INDEX('Сводка'!$S$3:$S$397,U202)</x:f>
        <x:v>-32</x:v>
      </x:c>
      <x:c r="L202" s="8" t="n">
        <x:f>INDEX('Сводка'!$S$3:$S$397,V202)</x:f>
        <x:v>-36</x:v>
      </x:c>
      <x:c r="M202" s="8" t="n">
        <x:f>INDEX($K$388:$N$400,W202,1)*((J202-$T$405+1)/1000)^INDEX($K$388:$N$400,W202,2)+INDEX($O$388:$Z$400,W202,MONTH(J202))</x:f>
        <x:v>51.15397755021311</x:v>
      </x:c>
      <x:c r="N202" s="8" t="n">
        <x:f>K202-M202</x:f>
        <x:v>-83.15397755021311</x:v>
      </x:c>
      <x:c r="O202" s="8" t="n">
        <x:f>ABS(N202)</x:f>
        <x:v>83.15397755021311</x:v>
      </x:c>
      <x:c r="P202" s="8" t="n">
        <x:f>N202^2</x:f>
        <x:v>6914.583982421346</x:v>
      </x:c>
      <x:c r="Q202" s="8" t="n">
        <x:f>K202-L202</x:f>
        <x:v>4</x:v>
      </x:c>
      <x:c r="R202" s="9" t="n">
        <x:f>IF(AND(INDEX('Сводка'!$T$3:$T$397,U202)=0,INDEX('Сводка'!$T$3:$T$397,V202)=0),1,0)</x:f>
        <x:v>1</x:v>
      </x:c>
      <x:c r="S202" s="9" t="n">
        <x:f>IF(AND(R202=1,O202&lt;=$G$13),1,0)</x:f>
        <x:v>0</x:v>
      </x:c>
      <x:c r="T202" s="10" t="n">
        <x:f>EOMONTH(J202-'Сводка'!$B$11,-1)</x:f>
        <x:v>46022</x:v>
      </x:c>
      <x:c r="U202" s="4" t="n">
        <x:f>MATCH(J202,'Сводка'!$R$3:$R$397,0)</x:f>
        <x:v>213</x:v>
      </x:c>
      <x:c r="V202" s="4" t="n">
        <x:f>MATCH(J202-'Сводка'!$B$11,'Сводка'!$R$3:$R$397,0)</x:f>
        <x:v>212</x:v>
      </x:c>
      <x:c r="W202" s="4" t="n">
        <x:f>MATCH(T202,$J$388:$J$400,0)</x:f>
        <x:v>7</x:v>
      </x:c>
      <x:c r="X202" s="3"/>
      <x:c r="Y202" s="3"/>
      <x:c r="Z202" s="3"/>
    </x:row>
    <x:row r="203" ht="15" customHeight="1">
      <x:c r="A203" s="3"/>
      <x:c r="B203" s="3"/>
      <x:c r="C203" s="3"/>
      <x:c r="D203" s="3"/>
      <x:c r="E203" s="3"/>
      <x:c r="F203" s="3"/>
      <x:c r="G203" s="3"/>
      <x:c r="H203" s="3"/>
      <x:c r="I203" s="3"/>
      <x:c r="J203" s="10" t="n">
        <x:v>46054</x:v>
      </x:c>
      <x:c r="K203" s="8" t="n">
        <x:f>INDEX('Сводка'!$S$3:$S$397,U203)</x:f>
        <x:v>-34</x:v>
      </x:c>
      <x:c r="L203" s="8" t="n">
        <x:f>INDEX('Сводка'!$S$3:$S$397,V203)</x:f>
        <x:v>-32</x:v>
      </x:c>
      <x:c r="M203" s="8" t="n">
        <x:f>INDEX($K$388:$N$400,W203,1)*((J203-$T$405+1)/1000)^INDEX($K$388:$N$400,W203,2)+INDEX($O$388:$Z$400,W203,MONTH(J203))</x:f>
        <x:v>0.24767117793876992</x:v>
      </x:c>
      <x:c r="N203" s="8" t="n">
        <x:f>K203-M203</x:f>
        <x:v>-34.24767117793877</x:v>
      </x:c>
      <x:c r="O203" s="8" t="n">
        <x:f>ABS(N203)</x:f>
        <x:v>34.24767117793877</x:v>
      </x:c>
      <x:c r="P203" s="8" t="n">
        <x:f>N203^2</x:f>
        <x:v>1172.902981112218</x:v>
      </x:c>
      <x:c r="Q203" s="8" t="n">
        <x:f>K203-L203</x:f>
        <x:v>-2</x:v>
      </x:c>
      <x:c r="R203" s="9" t="n">
        <x:f>IF(AND(INDEX('Сводка'!$T$3:$T$397,U203)=0,INDEX('Сводка'!$T$3:$T$397,V203)=0),1,0)</x:f>
        <x:v>1</x:v>
      </x:c>
      <x:c r="S203" s="9" t="n">
        <x:f>IF(AND(R203=1,O203&lt;=$G$13),1,0)</x:f>
        <x:v>0</x:v>
      </x:c>
      <x:c r="T203" s="10" t="n">
        <x:f>EOMONTH(J203-'Сводка'!$B$11,-1)</x:f>
        <x:v>46022</x:v>
      </x:c>
      <x:c r="U203" s="4" t="n">
        <x:f>MATCH(J203,'Сводка'!$R$3:$R$397,0)</x:f>
        <x:v>214</x:v>
      </x:c>
      <x:c r="V203" s="4" t="n">
        <x:f>MATCH(J203-'Сводка'!$B$11,'Сводка'!$R$3:$R$397,0)</x:f>
        <x:v>213</x:v>
      </x:c>
      <x:c r="W203" s="4" t="n">
        <x:f>MATCH(T203,$J$388:$J$400,0)</x:f>
        <x:v>7</x:v>
      </x:c>
      <x:c r="X203" s="3"/>
      <x:c r="Y203" s="3"/>
      <x:c r="Z203" s="3"/>
    </x:row>
    <x:row r="204" ht="15" customHeight="1">
      <x:c r="A204" s="3"/>
      <x:c r="B204" s="3"/>
      <x:c r="C204" s="3"/>
      <x:c r="D204" s="3"/>
      <x:c r="E204" s="3"/>
      <x:c r="F204" s="3"/>
      <x:c r="G204" s="3"/>
      <x:c r="H204" s="3"/>
      <x:c r="I204" s="3"/>
      <x:c r="J204" s="10" t="n">
        <x:v>46055</x:v>
      </x:c>
      <x:c r="K204" s="8" t="n">
        <x:f>INDEX('Сводка'!$S$3:$S$397,U204)</x:f>
        <x:v>-33</x:v>
      </x:c>
      <x:c r="L204" s="8" t="n">
        <x:f>INDEX('Сводка'!$S$3:$S$397,V204)</x:f>
        <x:v>-34</x:v>
      </x:c>
      <x:c r="M204" s="8" t="n">
        <x:f>INDEX($K$388:$N$400,W204,1)*((J204-$T$405+1)/1000)^INDEX($K$388:$N$400,W204,2)+INDEX($O$388:$Z$400,W204,MONTH(J204))</x:f>
        <x:v>-1.0827865205648948</x:v>
      </x:c>
      <x:c r="N204" s="8" t="n">
        <x:f>K204-M204</x:f>
        <x:v>-31.917213479435105</x:v>
      </x:c>
      <x:c r="O204" s="8" t="n">
        <x:f>ABS(N204)</x:f>
        <x:v>31.917213479435105</x:v>
      </x:c>
      <x:c r="P204" s="8" t="n">
        <x:f>N204^2</x:f>
        <x:v>1018.708516291834</x:v>
      </x:c>
      <x:c r="Q204" s="8" t="n">
        <x:f>K204-L204</x:f>
        <x:v>1</x:v>
      </x:c>
      <x:c r="R204" s="9" t="n">
        <x:f>IF(AND(INDEX('Сводка'!$T$3:$T$397,U204)=0,INDEX('Сводка'!$T$3:$T$397,V204)=0),1,0)</x:f>
        <x:v>1</x:v>
      </x:c>
      <x:c r="S204" s="9" t="n">
        <x:f>IF(AND(R204=1,O204&lt;=$G$13),1,0)</x:f>
        <x:v>0</x:v>
      </x:c>
      <x:c r="T204" s="10" t="n">
        <x:f>EOMONTH(J204-'Сводка'!$B$11,-1)</x:f>
        <x:v>46053</x:v>
      </x:c>
      <x:c r="U204" s="4" t="n">
        <x:f>MATCH(J204,'Сводка'!$R$3:$R$397,0)</x:f>
        <x:v>215</x:v>
      </x:c>
      <x:c r="V204" s="4" t="n">
        <x:f>MATCH(J204-'Сводка'!$B$11,'Сводка'!$R$3:$R$397,0)</x:f>
        <x:v>214</x:v>
      </x:c>
      <x:c r="W204" s="4" t="n">
        <x:f>MATCH(T204,$J$388:$J$400,0)</x:f>
        <x:v>8</x:v>
      </x:c>
      <x:c r="X204" s="3"/>
      <x:c r="Y204" s="3"/>
      <x:c r="Z204" s="3"/>
    </x:row>
    <x:row r="205" ht="15" customHeight="1">
      <x:c r="A205" s="3"/>
      <x:c r="B205" s="3"/>
      <x:c r="C205" s="3"/>
      <x:c r="D205" s="3"/>
      <x:c r="E205" s="3"/>
      <x:c r="F205" s="3"/>
      <x:c r="G205" s="3"/>
      <x:c r="H205" s="3"/>
      <x:c r="I205" s="3"/>
      <x:c r="J205" s="10" t="n">
        <x:v>46056</x:v>
      </x:c>
      <x:c r="K205" s="8" t="n">
        <x:f>INDEX('Сводка'!$S$3:$S$397,U205)</x:f>
        <x:v>-36</x:v>
      </x:c>
      <x:c r="L205" s="8" t="n">
        <x:f>INDEX('Сводка'!$S$3:$S$397,V205)</x:f>
        <x:v>-33</x:v>
      </x:c>
      <x:c r="M205" s="8" t="n">
        <x:f>INDEX($K$388:$N$400,W205,1)*((J205-$T$405+1)/1000)^INDEX($K$388:$N$400,W205,2)+INDEX($O$388:$Z$400,W205,MONTH(J205))</x:f>
        <x:v>-1.065910281120921</x:v>
      </x:c>
      <x:c r="N205" s="8" t="n">
        <x:f>K205-M205</x:f>
        <x:v>-34.93408971887908</x:v>
      </x:c>
      <x:c r="O205" s="8" t="n">
        <x:f>ABS(N205)</x:f>
        <x:v>34.93408971887908</x:v>
      </x:c>
      <x:c r="P205" s="8" t="n">
        <x:f>N205^2</x:f>
        <x:v>1220.390624486693</x:v>
      </x:c>
      <x:c r="Q205" s="8" t="n">
        <x:f>K205-L205</x:f>
        <x:v>-3</x:v>
      </x:c>
      <x:c r="R205" s="9" t="n">
        <x:f>IF(AND(INDEX('Сводка'!$T$3:$T$397,U205)=0,INDEX('Сводка'!$T$3:$T$397,V205)=0),1,0)</x:f>
        <x:v>1</x:v>
      </x:c>
      <x:c r="S205" s="9" t="n">
        <x:f>IF(AND(R205=1,O205&lt;=$G$13),1,0)</x:f>
        <x:v>0</x:v>
      </x:c>
      <x:c r="T205" s="10" t="n">
        <x:f>EOMONTH(J205-'Сводка'!$B$11,-1)</x:f>
        <x:v>46053</x:v>
      </x:c>
      <x:c r="U205" s="4" t="n">
        <x:f>MATCH(J205,'Сводка'!$R$3:$R$397,0)</x:f>
        <x:v>216</x:v>
      </x:c>
      <x:c r="V205" s="4" t="n">
        <x:f>MATCH(J205-'Сводка'!$B$11,'Сводка'!$R$3:$R$397,0)</x:f>
        <x:v>215</x:v>
      </x:c>
      <x:c r="W205" s="4" t="n">
        <x:f>MATCH(T205,$J$388:$J$400,0)</x:f>
        <x:v>8</x:v>
      </x:c>
      <x:c r="X205" s="3"/>
      <x:c r="Y205" s="3"/>
      <x:c r="Z205" s="3"/>
    </x:row>
    <x:row r="206" ht="15" customHeight="1">
      <x:c r="A206" s="3"/>
      <x:c r="B206" s="3"/>
      <x:c r="C206" s="3"/>
      <x:c r="D206" s="3"/>
      <x:c r="E206" s="3"/>
      <x:c r="F206" s="3"/>
      <x:c r="G206" s="3"/>
      <x:c r="H206" s="3"/>
      <x:c r="I206" s="3"/>
      <x:c r="J206" s="10" t="n">
        <x:v>46057</x:v>
      </x:c>
      <x:c r="K206" s="8" t="n">
        <x:f>INDEX('Сводка'!$S$3:$S$397,U206)</x:f>
        <x:v>-34</x:v>
      </x:c>
      <x:c r="L206" s="8" t="n">
        <x:f>INDEX('Сводка'!$S$3:$S$397,V206)</x:f>
        <x:v>-36</x:v>
      </x:c>
      <x:c r="M206" s="8" t="n">
        <x:f>INDEX($K$388:$N$400,W206,1)*((J206-$T$405+1)/1000)^INDEX($K$388:$N$400,W206,2)+INDEX($O$388:$Z$400,W206,MONTH(J206))</x:f>
        <x:v>-1.0490339702963354</x:v>
      </x:c>
      <x:c r="N206" s="8" t="n">
        <x:f>K206-M206</x:f>
        <x:v>-32.950966029703665</x:v>
      </x:c>
      <x:c r="O206" s="8" t="n">
        <x:f>ABS(N206)</x:f>
        <x:v>32.950966029703665</x:v>
      </x:c>
      <x:c r="P206" s="8" t="n">
        <x:f>N206^2</x:f>
        <x:v>1085.7661622906849</x:v>
      </x:c>
      <x:c r="Q206" s="8" t="n">
        <x:f>K206-L206</x:f>
        <x:v>2</x:v>
      </x:c>
      <x:c r="R206" s="9" t="n">
        <x:f>IF(AND(INDEX('Сводка'!$T$3:$T$397,U206)=0,INDEX('Сводка'!$T$3:$T$397,V206)=0),1,0)</x:f>
        <x:v>1</x:v>
      </x:c>
      <x:c r="S206" s="9" t="n">
        <x:f>IF(AND(R206=1,O206&lt;=$G$13),1,0)</x:f>
        <x:v>0</x:v>
      </x:c>
      <x:c r="T206" s="10" t="n">
        <x:f>EOMONTH(J206-'Сводка'!$B$11,-1)</x:f>
        <x:v>46053</x:v>
      </x:c>
      <x:c r="U206" s="4" t="n">
        <x:f>MATCH(J206,'Сводка'!$R$3:$R$397,0)</x:f>
        <x:v>217</x:v>
      </x:c>
      <x:c r="V206" s="4" t="n">
        <x:f>MATCH(J206-'Сводка'!$B$11,'Сводка'!$R$3:$R$397,0)</x:f>
        <x:v>216</x:v>
      </x:c>
      <x:c r="W206" s="4" t="n">
        <x:f>MATCH(T206,$J$388:$J$400,0)</x:f>
        <x:v>8</x:v>
      </x:c>
      <x:c r="X206" s="3"/>
      <x:c r="Y206" s="3"/>
      <x:c r="Z206" s="3"/>
    </x:row>
    <x:row r="207" ht="15" customHeight="1">
      <x:c r="A207" s="3"/>
      <x:c r="B207" s="3"/>
      <x:c r="C207" s="3"/>
      <x:c r="D207" s="3"/>
      <x:c r="E207" s="3"/>
      <x:c r="F207" s="3"/>
      <x:c r="G207" s="3"/>
      <x:c r="H207" s="3"/>
      <x:c r="I207" s="3"/>
      <x:c r="J207" s="10" t="n">
        <x:v>46058</x:v>
      </x:c>
      <x:c r="K207" s="8" t="n">
        <x:f>INDEX('Сводка'!$S$3:$S$397,U207)</x:f>
        <x:v>-35</x:v>
      </x:c>
      <x:c r="L207" s="8" t="n">
        <x:f>INDEX('Сводка'!$S$3:$S$397,V207)</x:f>
        <x:v>-34</x:v>
      </x:c>
      <x:c r="M207" s="8" t="n">
        <x:f>INDEX($K$388:$N$400,W207,1)*((J207-$T$405+1)/1000)^INDEX($K$388:$N$400,W207,2)+INDEX($O$388:$Z$400,W207,MONTH(J207))</x:f>
        <x:v>-1.0321575880988973</x:v>
      </x:c>
      <x:c r="N207" s="8" t="n">
        <x:f>K207-M207</x:f>
        <x:v>-33.9678424119011</x:v>
      </x:c>
      <x:c r="O207" s="8" t="n">
        <x:f>ABS(N207)</x:f>
        <x:v>33.9678424119011</x:v>
      </x:c>
      <x:c r="P207" s="8" t="n">
        <x:f>N207^2</x:f>
        <x:v>1153.8143181197472</x:v>
      </x:c>
      <x:c r="Q207" s="8" t="n">
        <x:f>K207-L207</x:f>
        <x:v>-1</x:v>
      </x:c>
      <x:c r="R207" s="9" t="n">
        <x:f>IF(AND(INDEX('Сводка'!$T$3:$T$397,U207)=0,INDEX('Сводка'!$T$3:$T$397,V207)=0),1,0)</x:f>
        <x:v>1</x:v>
      </x:c>
      <x:c r="S207" s="9" t="n">
        <x:f>IF(AND(R207=1,O207&lt;=$G$13),1,0)</x:f>
        <x:v>0</x:v>
      </x:c>
      <x:c r="T207" s="10" t="n">
        <x:f>EOMONTH(J207-'Сводка'!$B$11,-1)</x:f>
        <x:v>46053</x:v>
      </x:c>
      <x:c r="U207" s="4" t="n">
        <x:f>MATCH(J207,'Сводка'!$R$3:$R$397,0)</x:f>
        <x:v>218</x:v>
      </x:c>
      <x:c r="V207" s="4" t="n">
        <x:f>MATCH(J207-'Сводка'!$B$11,'Сводка'!$R$3:$R$397,0)</x:f>
        <x:v>217</x:v>
      </x:c>
      <x:c r="W207" s="4" t="n">
        <x:f>MATCH(T207,$J$388:$J$400,0)</x:f>
        <x:v>8</x:v>
      </x:c>
      <x:c r="X207" s="3"/>
      <x:c r="Y207" s="3"/>
      <x:c r="Z207" s="3"/>
    </x:row>
    <x:row r="208" ht="15" customHeight="1">
      <x:c r="A208" s="3"/>
      <x:c r="B208" s="3"/>
      <x:c r="C208" s="3"/>
      <x:c r="D208" s="3"/>
      <x:c r="E208" s="3"/>
      <x:c r="F208" s="3"/>
      <x:c r="G208" s="3"/>
      <x:c r="H208" s="3"/>
      <x:c r="I208" s="3"/>
      <x:c r="J208" s="10" t="n">
        <x:v>46059</x:v>
      </x:c>
      <x:c r="K208" s="8" t="n">
        <x:f>INDEX('Сводка'!$S$3:$S$397,U208)</x:f>
        <x:v>-38</x:v>
      </x:c>
      <x:c r="L208" s="8" t="n">
        <x:f>INDEX('Сводка'!$S$3:$S$397,V208)</x:f>
        <x:v>-35</x:v>
      </x:c>
      <x:c r="M208" s="8" t="n">
        <x:f>INDEX($K$388:$N$400,W208,1)*((J208-$T$405+1)/1000)^INDEX($K$388:$N$400,W208,2)+INDEX($O$388:$Z$400,W208,MONTH(J208))</x:f>
        <x:v>-1.0152811345363943</x:v>
      </x:c>
      <x:c r="N208" s="8" t="n">
        <x:f>K208-M208</x:f>
        <x:v>-36.984718865463606</x:v>
      </x:c>
      <x:c r="O208" s="8" t="n">
        <x:f>ABS(N208)</x:f>
        <x:v>36.984718865463606</x:v>
      </x:c>
      <x:c r="P208" s="8" t="n">
        <x:f>N208^2</x:f>
        <x:v>1367.8694295573796</x:v>
      </x:c>
      <x:c r="Q208" s="8" t="n">
        <x:f>K208-L208</x:f>
        <x:v>-3</x:v>
      </x:c>
      <x:c r="R208" s="9" t="n">
        <x:f>IF(AND(INDEX('Сводка'!$T$3:$T$397,U208)=0,INDEX('Сводка'!$T$3:$T$397,V208)=0),1,0)</x:f>
        <x:v>1</x:v>
      </x:c>
      <x:c r="S208" s="9" t="n">
        <x:f>IF(AND(R208=1,O208&lt;=$G$13),1,0)</x:f>
        <x:v>0</x:v>
      </x:c>
      <x:c r="T208" s="10" t="n">
        <x:f>EOMONTH(J208-'Сводка'!$B$11,-1)</x:f>
        <x:v>46053</x:v>
      </x:c>
      <x:c r="U208" s="4" t="n">
        <x:f>MATCH(J208,'Сводка'!$R$3:$R$397,0)</x:f>
        <x:v>219</x:v>
      </x:c>
      <x:c r="V208" s="4" t="n">
        <x:f>MATCH(J208-'Сводка'!$B$11,'Сводка'!$R$3:$R$397,0)</x:f>
        <x:v>218</x:v>
      </x:c>
      <x:c r="W208" s="4" t="n">
        <x:f>MATCH(T208,$J$388:$J$400,0)</x:f>
        <x:v>8</x:v>
      </x:c>
      <x:c r="X208" s="3"/>
      <x:c r="Y208" s="3"/>
      <x:c r="Z208" s="3"/>
    </x:row>
    <x:row r="209" ht="15" customHeight="1">
      <x:c r="A209" s="3"/>
      <x:c r="B209" s="3"/>
      <x:c r="C209" s="3"/>
      <x:c r="D209" s="3"/>
      <x:c r="E209" s="3"/>
      <x:c r="F209" s="3"/>
      <x:c r="G209" s="3"/>
      <x:c r="H209" s="3"/>
      <x:c r="I209" s="3"/>
      <x:c r="J209" s="10" t="n">
        <x:v>46060</x:v>
      </x:c>
      <x:c r="K209" s="8" t="n">
        <x:f>INDEX('Сводка'!$S$3:$S$397,U209)</x:f>
        <x:v>-41</x:v>
      </x:c>
      <x:c r="L209" s="8" t="n">
        <x:f>INDEX('Сводка'!$S$3:$S$397,V209)</x:f>
        <x:v>-38</x:v>
      </x:c>
      <x:c r="M209" s="8" t="n">
        <x:f>INDEX($K$388:$N$400,W209,1)*((J209-$T$405+1)/1000)^INDEX($K$388:$N$400,W209,2)+INDEX($O$388:$Z$400,W209,MONTH(J209))</x:f>
        <x:v>-0.9984046096167276</x:v>
      </x:c>
      <x:c r="N209" s="8" t="n">
        <x:f>K209-M209</x:f>
        <x:v>-40.00159539038327</x:v>
      </x:c>
      <x:c r="O209" s="8" t="n">
        <x:f>ABS(N209)</x:f>
        <x:v>40.00159539038327</x:v>
      </x:c>
      <x:c r="P209" s="8" t="n">
        <x:f>N209^2</x:f>
        <x:v>1600.1276337759323</x:v>
      </x:c>
      <x:c r="Q209" s="8" t="n">
        <x:f>K209-L209</x:f>
        <x:v>-3</x:v>
      </x:c>
      <x:c r="R209" s="9" t="n">
        <x:f>IF(AND(INDEX('Сводка'!$T$3:$T$397,U209)=0,INDEX('Сводка'!$T$3:$T$397,V209)=0),1,0)</x:f>
        <x:v>1</x:v>
      </x:c>
      <x:c r="S209" s="9" t="n">
        <x:f>IF(AND(R209=1,O209&lt;=$G$13),1,0)</x:f>
        <x:v>0</x:v>
      </x:c>
      <x:c r="T209" s="10" t="n">
        <x:f>EOMONTH(J209-'Сводка'!$B$11,-1)</x:f>
        <x:v>46053</x:v>
      </x:c>
      <x:c r="U209" s="4" t="n">
        <x:f>MATCH(J209,'Сводка'!$R$3:$R$397,0)</x:f>
        <x:v>220</x:v>
      </x:c>
      <x:c r="V209" s="4" t="n">
        <x:f>MATCH(J209-'Сводка'!$B$11,'Сводка'!$R$3:$R$397,0)</x:f>
        <x:v>219</x:v>
      </x:c>
      <x:c r="W209" s="4" t="n">
        <x:f>MATCH(T209,$J$388:$J$400,0)</x:f>
        <x:v>8</x:v>
      </x:c>
      <x:c r="X209" s="3"/>
      <x:c r="Y209" s="3"/>
      <x:c r="Z209" s="3"/>
    </x:row>
    <x:row r="210" ht="15" customHeight="1">
      <x:c r="A210" s="3"/>
      <x:c r="B210" s="3"/>
      <x:c r="C210" s="3"/>
      <x:c r="D210" s="3"/>
      <x:c r="E210" s="3"/>
      <x:c r="F210" s="3"/>
      <x:c r="G210" s="3"/>
      <x:c r="H210" s="3"/>
      <x:c r="I210" s="3"/>
      <x:c r="J210" s="10" t="n">
        <x:v>46061</x:v>
      </x:c>
      <x:c r="K210" s="8" t="n">
        <x:f>INDEX('Сводка'!$S$3:$S$397,U210)</x:f>
        <x:v>-43</x:v>
      </x:c>
      <x:c r="L210" s="8" t="n">
        <x:f>INDEX('Сводка'!$S$3:$S$397,V210)</x:f>
        <x:v>-41</x:v>
      </x:c>
      <x:c r="M210" s="8" t="n">
        <x:f>INDEX($K$388:$N$400,W210,1)*((J210-$T$405+1)/1000)^INDEX($K$388:$N$400,W210,2)+INDEX($O$388:$Z$400,W210,MONTH(J210))</x:f>
        <x:v>-0.9815280133476278</x:v>
      </x:c>
      <x:c r="N210" s="8" t="n">
        <x:f>K210-M210</x:f>
        <x:v>-42.01847198665237</x:v>
      </x:c>
      <x:c r="O210" s="8" t="n">
        <x:f>ABS(N210)</x:f>
        <x:v>42.01847198665237</x:v>
      </x:c>
      <x:c r="P210" s="8" t="n">
        <x:f>N210^2</x:f>
        <x:v>1765.5519880930901</x:v>
      </x:c>
      <x:c r="Q210" s="8" t="n">
        <x:f>K210-L210</x:f>
        <x:v>-2</x:v>
      </x:c>
      <x:c r="R210" s="9" t="n">
        <x:f>IF(AND(INDEX('Сводка'!$T$3:$T$397,U210)=0,INDEX('Сводка'!$T$3:$T$397,V210)=0),1,0)</x:f>
        <x:v>1</x:v>
      </x:c>
      <x:c r="S210" s="9" t="n">
        <x:f>IF(AND(R210=1,O210&lt;=$G$13),1,0)</x:f>
        <x:v>0</x:v>
      </x:c>
      <x:c r="T210" s="10" t="n">
        <x:f>EOMONTH(J210-'Сводка'!$B$11,-1)</x:f>
        <x:v>46053</x:v>
      </x:c>
      <x:c r="U210" s="4" t="n">
        <x:f>MATCH(J210,'Сводка'!$R$3:$R$397,0)</x:f>
        <x:v>221</x:v>
      </x:c>
      <x:c r="V210" s="4" t="n">
        <x:f>MATCH(J210-'Сводка'!$B$11,'Сводка'!$R$3:$R$397,0)</x:f>
        <x:v>220</x:v>
      </x:c>
      <x:c r="W210" s="4" t="n">
        <x:f>MATCH(T210,$J$388:$J$400,0)</x:f>
        <x:v>8</x:v>
      </x:c>
      <x:c r="X210" s="3"/>
      <x:c r="Y210" s="3"/>
      <x:c r="Z210" s="3"/>
    </x:row>
    <x:row r="211" ht="15" customHeight="1">
      <x:c r="A211" s="3"/>
      <x:c r="B211" s="3"/>
      <x:c r="C211" s="3"/>
      <x:c r="D211" s="3"/>
      <x:c r="E211" s="3"/>
      <x:c r="F211" s="3"/>
      <x:c r="G211" s="3"/>
      <x:c r="H211" s="3"/>
      <x:c r="I211" s="3"/>
      <x:c r="J211" s="10" t="n">
        <x:v>46062</x:v>
      </x:c>
      <x:c r="K211" s="8" t="n">
        <x:f>INDEX('Сводка'!$S$3:$S$397,U211)</x:f>
        <x:v>-43</x:v>
      </x:c>
      <x:c r="L211" s="8" t="n">
        <x:f>INDEX('Сводка'!$S$3:$S$397,V211)</x:f>
        <x:v>-43</x:v>
      </x:c>
      <x:c r="M211" s="8" t="n">
        <x:f>INDEX($K$388:$N$400,W211,1)*((J211-$T$405+1)/1000)^INDEX($K$388:$N$400,W211,2)+INDEX($O$388:$Z$400,W211,MONTH(J211))</x:f>
        <x:v>-0.9646513457369394</x:v>
      </x:c>
      <x:c r="N211" s="8" t="n">
        <x:f>K211-M211</x:f>
        <x:v>-42.03534865426306</x:v>
      </x:c>
      <x:c r="O211" s="8" t="n">
        <x:f>ABS(N211)</x:f>
        <x:v>42.03534865426306</x:v>
      </x:c>
      <x:c r="P211" s="8" t="n">
        <x:f>N211^2</x:f>
        <x:v>1766.9705364854553</x:v>
      </x:c>
      <x:c r="Q211" s="8" t="n">
        <x:f>K211-L211</x:f>
        <x:v>0</x:v>
      </x:c>
      <x:c r="R211" s="9" t="n">
        <x:f>IF(AND(INDEX('Сводка'!$T$3:$T$397,U211)=0,INDEX('Сводка'!$T$3:$T$397,V211)=0),1,0)</x:f>
        <x:v>1</x:v>
      </x:c>
      <x:c r="S211" s="9" t="n">
        <x:f>IF(AND(R211=1,O211&lt;=$G$13),1,0)</x:f>
        <x:v>0</x:v>
      </x:c>
      <x:c r="T211" s="10" t="n">
        <x:f>EOMONTH(J211-'Сводка'!$B$11,-1)</x:f>
        <x:v>46053</x:v>
      </x:c>
      <x:c r="U211" s="4" t="n">
        <x:f>MATCH(J211,'Сводка'!$R$3:$R$397,0)</x:f>
        <x:v>222</x:v>
      </x:c>
      <x:c r="V211" s="4" t="n">
        <x:f>MATCH(J211-'Сводка'!$B$11,'Сводка'!$R$3:$R$397,0)</x:f>
        <x:v>221</x:v>
      </x:c>
      <x:c r="W211" s="4" t="n">
        <x:f>MATCH(T211,$J$388:$J$400,0)</x:f>
        <x:v>8</x:v>
      </x:c>
      <x:c r="X211" s="3"/>
      <x:c r="Y211" s="3"/>
      <x:c r="Z211" s="3"/>
    </x:row>
    <x:row r="212" ht="15" customHeight="1">
      <x:c r="A212" s="3"/>
      <x:c r="B212" s="3"/>
      <x:c r="C212" s="3"/>
      <x:c r="D212" s="3"/>
      <x:c r="E212" s="3"/>
      <x:c r="F212" s="3"/>
      <x:c r="G212" s="3"/>
      <x:c r="H212" s="3"/>
      <x:c r="I212" s="3"/>
      <x:c r="J212" s="10" t="n">
        <x:v>46063</x:v>
      </x:c>
      <x:c r="K212" s="8" t="n">
        <x:f>INDEX('Сводка'!$S$3:$S$397,U212)</x:f>
        <x:v>-44</x:v>
      </x:c>
      <x:c r="L212" s="8" t="n">
        <x:f>INDEX('Сводка'!$S$3:$S$397,V212)</x:f>
        <x:v>-43</x:v>
      </x:c>
      <x:c r="M212" s="8" t="n">
        <x:f>INDEX($K$388:$N$400,W212,1)*((J212-$T$405+1)/1000)^INDEX($K$388:$N$400,W212,2)+INDEX($O$388:$Z$400,W212,MONTH(J212))</x:f>
        <x:v>-0.9477746067923647</x:v>
      </x:c>
      <x:c r="N212" s="8" t="n">
        <x:f>K212-M212</x:f>
        <x:v>-43.052225393207635</x:v>
      </x:c>
      <x:c r="O212" s="8" t="n">
        <x:f>ABS(N212)</x:f>
        <x:v>43.052225393207635</x:v>
      </x:c>
      <x:c r="P212" s="8" t="n">
        <x:f>N212^2</x:f>
        <x:v>1853.4941113075524</x:v>
      </x:c>
      <x:c r="Q212" s="8" t="n">
        <x:f>K212-L212</x:f>
        <x:v>-1</x:v>
      </x:c>
      <x:c r="R212" s="9" t="n">
        <x:f>IF(AND(INDEX('Сводка'!$T$3:$T$397,U212)=0,INDEX('Сводка'!$T$3:$T$397,V212)=0),1,0)</x:f>
        <x:v>1</x:v>
      </x:c>
      <x:c r="S212" s="9" t="n">
        <x:f>IF(AND(R212=1,O212&lt;=$G$13),1,0)</x:f>
        <x:v>0</x:v>
      </x:c>
      <x:c r="T212" s="10" t="n">
        <x:f>EOMONTH(J212-'Сводка'!$B$11,-1)</x:f>
        <x:v>46053</x:v>
      </x:c>
      <x:c r="U212" s="4" t="n">
        <x:f>MATCH(J212,'Сводка'!$R$3:$R$397,0)</x:f>
        <x:v>223</x:v>
      </x:c>
      <x:c r="V212" s="4" t="n">
        <x:f>MATCH(J212-'Сводка'!$B$11,'Сводка'!$R$3:$R$397,0)</x:f>
        <x:v>222</x:v>
      </x:c>
      <x:c r="W212" s="4" t="n">
        <x:f>MATCH(T212,$J$388:$J$400,0)</x:f>
        <x:v>8</x:v>
      </x:c>
      <x:c r="X212" s="3"/>
      <x:c r="Y212" s="3"/>
      <x:c r="Z212" s="3"/>
    </x:row>
    <x:row r="213" ht="15" customHeight="1">
      <x:c r="A213" s="3"/>
      <x:c r="B213" s="3"/>
      <x:c r="C213" s="3"/>
      <x:c r="D213" s="3"/>
      <x:c r="E213" s="3"/>
      <x:c r="F213" s="3"/>
      <x:c r="G213" s="3"/>
      <x:c r="H213" s="3"/>
      <x:c r="I213" s="3"/>
      <x:c r="J213" s="10" t="n">
        <x:v>46064</x:v>
      </x:c>
      <x:c r="K213" s="8" t="n">
        <x:f>INDEX('Сводка'!$S$3:$S$397,U213)</x:f>
        <x:v>-44</x:v>
      </x:c>
      <x:c r="L213" s="8" t="n">
        <x:f>INDEX('Сводка'!$S$3:$S$397,V213)</x:f>
        <x:v>-44</x:v>
      </x:c>
      <x:c r="M213" s="8" t="n">
        <x:f>INDEX($K$388:$N$400,W213,1)*((J213-$T$405+1)/1000)^INDEX($K$388:$N$400,W213,2)+INDEX($O$388:$Z$400,W213,MONTH(J213))</x:f>
        <x:v>-0.9308977965218048</x:v>
      </x:c>
      <x:c r="N213" s="8" t="n">
        <x:f>K213-M213</x:f>
        <x:v>-43.069102203478195</x:v>
      </x:c>
      <x:c r="O213" s="8" t="n">
        <x:f>ABS(N213)</x:f>
        <x:v>43.069102203478195</x:v>
      </x:c>
      <x:c r="P213" s="8" t="n">
        <x:f>N213^2</x:f>
        <x:v>1854.9475646136502</x:v>
      </x:c>
      <x:c r="Q213" s="8" t="n">
        <x:f>K213-L213</x:f>
        <x:v>0</x:v>
      </x:c>
      <x:c r="R213" s="9" t="n">
        <x:f>IF(AND(INDEX('Сводка'!$T$3:$T$397,U213)=0,INDEX('Сводка'!$T$3:$T$397,V213)=0),1,0)</x:f>
        <x:v>1</x:v>
      </x:c>
      <x:c r="S213" s="9" t="n">
        <x:f>IF(AND(R213=1,O213&lt;=$G$13),1,0)</x:f>
        <x:v>0</x:v>
      </x:c>
      <x:c r="T213" s="10" t="n">
        <x:f>EOMONTH(J213-'Сводка'!$B$11,-1)</x:f>
        <x:v>46053</x:v>
      </x:c>
      <x:c r="U213" s="4" t="n">
        <x:f>MATCH(J213,'Сводка'!$R$3:$R$397,0)</x:f>
        <x:v>224</x:v>
      </x:c>
      <x:c r="V213" s="4" t="n">
        <x:f>MATCH(J213-'Сводка'!$B$11,'Сводка'!$R$3:$R$397,0)</x:f>
        <x:v>223</x:v>
      </x:c>
      <x:c r="W213" s="4" t="n">
        <x:f>MATCH(T213,$J$388:$J$400,0)</x:f>
        <x:v>8</x:v>
      </x:c>
      <x:c r="X213" s="3"/>
      <x:c r="Y213" s="3"/>
      <x:c r="Z213" s="3"/>
    </x:row>
    <x:row r="214" ht="15" customHeight="1">
      <x:c r="A214" s="3"/>
      <x:c r="B214" s="3"/>
      <x:c r="C214" s="3"/>
      <x:c r="D214" s="3"/>
      <x:c r="E214" s="3"/>
      <x:c r="F214" s="3"/>
      <x:c r="G214" s="3"/>
      <x:c r="H214" s="3"/>
      <x:c r="I214" s="3"/>
      <x:c r="J214" s="10" t="n">
        <x:v>46065</x:v>
      </x:c>
      <x:c r="K214" s="8" t="n">
        <x:f>INDEX('Сводка'!$S$3:$S$397,U214)</x:f>
        <x:v>-44</x:v>
      </x:c>
      <x:c r="L214" s="8" t="n">
        <x:f>INDEX('Сводка'!$S$3:$S$397,V214)</x:f>
        <x:v>-44</x:v>
      </x:c>
      <x:c r="M214" s="8" t="n">
        <x:f>INDEX($K$388:$N$400,W214,1)*((J214-$T$405+1)/1000)^INDEX($K$388:$N$400,W214,2)+INDEX($O$388:$Z$400,W214,MONTH(J214))</x:f>
        <x:v>-0.9140209149330474</x:v>
      </x:c>
      <x:c r="N214" s="8" t="n">
        <x:f>K214-M214</x:f>
        <x:v>-43.08597908506695</x:v>
      </x:c>
      <x:c r="O214" s="8" t="n">
        <x:f>ABS(N214)</x:f>
        <x:v>43.08597908506695</x:v>
      </x:c>
      <x:c r="P214" s="8" t="n">
        <x:f>N214^2</x:f>
        <x:v>1856.401593718827</x:v>
      </x:c>
      <x:c r="Q214" s="8" t="n">
        <x:f>K214-L214</x:f>
        <x:v>0</x:v>
      </x:c>
      <x:c r="R214" s="9" t="n">
        <x:f>IF(AND(INDEX('Сводка'!$T$3:$T$397,U214)=0,INDEX('Сводка'!$T$3:$T$397,V214)=0),1,0)</x:f>
        <x:v>1</x:v>
      </x:c>
      <x:c r="S214" s="9" t="n">
        <x:f>IF(AND(R214=1,O214&lt;=$G$13),1,0)</x:f>
        <x:v>0</x:v>
      </x:c>
      <x:c r="T214" s="10" t="n">
        <x:f>EOMONTH(J214-'Сводка'!$B$11,-1)</x:f>
        <x:v>46053</x:v>
      </x:c>
      <x:c r="U214" s="4" t="n">
        <x:f>MATCH(J214,'Сводка'!$R$3:$R$397,0)</x:f>
        <x:v>225</x:v>
      </x:c>
      <x:c r="V214" s="4" t="n">
        <x:f>MATCH(J214-'Сводка'!$B$11,'Сводка'!$R$3:$R$397,0)</x:f>
        <x:v>224</x:v>
      </x:c>
      <x:c r="W214" s="4" t="n">
        <x:f>MATCH(T214,$J$388:$J$400,0)</x:f>
        <x:v>8</x:v>
      </x:c>
      <x:c r="X214" s="3"/>
      <x:c r="Y214" s="3"/>
      <x:c r="Z214" s="3"/>
    </x:row>
    <x:row r="215" ht="15" customHeight="1">
      <x:c r="A215" s="3"/>
      <x:c r="B215" s="3"/>
      <x:c r="C215" s="3"/>
      <x:c r="D215" s="3"/>
      <x:c r="E215" s="3"/>
      <x:c r="F215" s="3"/>
      <x:c r="G215" s="3"/>
      <x:c r="H215" s="3"/>
      <x:c r="I215" s="3"/>
      <x:c r="J215" s="10" t="n">
        <x:v>46066</x:v>
      </x:c>
      <x:c r="K215" s="8" t="n">
        <x:f>INDEX('Сводка'!$S$3:$S$397,U215)</x:f>
        <x:v>-41</x:v>
      </x:c>
      <x:c r="L215" s="8" t="n">
        <x:f>INDEX('Сводка'!$S$3:$S$397,V215)</x:f>
        <x:v>-44</x:v>
      </x:c>
      <x:c r="M215" s="8" t="n">
        <x:f>INDEX($K$388:$N$400,W215,1)*((J215-$T$405+1)/1000)^INDEX($K$388:$N$400,W215,2)+INDEX($O$388:$Z$400,W215,MONTH(J215))</x:f>
        <x:v>-0.8971439620338515</x:v>
      </x:c>
      <x:c r="N215" s="8" t="n">
        <x:f>K215-M215</x:f>
        <x:v>-40.10285603796615</x:v>
      </x:c>
      <x:c r="O215" s="8" t="n">
        <x:f>ABS(N215)</x:f>
        <x:v>40.10285603796615</x:v>
      </x:c>
      <x:c r="P215" s="8" t="n">
        <x:f>N215^2</x:f>
        <x:v>1608.239062401838</x:v>
      </x:c>
      <x:c r="Q215" s="8" t="n">
        <x:f>K215-L215</x:f>
        <x:v>3</x:v>
      </x:c>
      <x:c r="R215" s="9" t="n">
        <x:f>IF(AND(INDEX('Сводка'!$T$3:$T$397,U215)=0,INDEX('Сводка'!$T$3:$T$397,V215)=0),1,0)</x:f>
        <x:v>1</x:v>
      </x:c>
      <x:c r="S215" s="9" t="n">
        <x:f>IF(AND(R215=1,O215&lt;=$G$13),1,0)</x:f>
        <x:v>0</x:v>
      </x:c>
      <x:c r="T215" s="10" t="n">
        <x:f>EOMONTH(J215-'Сводка'!$B$11,-1)</x:f>
        <x:v>46053</x:v>
      </x:c>
      <x:c r="U215" s="4" t="n">
        <x:f>MATCH(J215,'Сводка'!$R$3:$R$397,0)</x:f>
        <x:v>226</x:v>
      </x:c>
      <x:c r="V215" s="4" t="n">
        <x:f>MATCH(J215-'Сводка'!$B$11,'Сводка'!$R$3:$R$397,0)</x:f>
        <x:v>225</x:v>
      </x:c>
      <x:c r="W215" s="4" t="n">
        <x:f>MATCH(T215,$J$388:$J$400,0)</x:f>
        <x:v>8</x:v>
      </x:c>
      <x:c r="X215" s="3"/>
      <x:c r="Y215" s="3"/>
      <x:c r="Z215" s="3"/>
    </x:row>
    <x:row r="216" ht="15" customHeight="1">
      <x:c r="A216" s="3"/>
      <x:c r="B216" s="3"/>
      <x:c r="C216" s="3"/>
      <x:c r="D216" s="3"/>
      <x:c r="E216" s="3"/>
      <x:c r="F216" s="3"/>
      <x:c r="G216" s="3"/>
      <x:c r="H216" s="3"/>
      <x:c r="I216" s="3"/>
      <x:c r="J216" s="10" t="n">
        <x:v>46067</x:v>
      </x:c>
      <x:c r="K216" s="8" t="n">
        <x:f>INDEX('Сводка'!$S$3:$S$397,U216)</x:f>
        <x:v>-39</x:v>
      </x:c>
      <x:c r="L216" s="8" t="n">
        <x:f>INDEX('Сводка'!$S$3:$S$397,V216)</x:f>
        <x:v>-41</x:v>
      </x:c>
      <x:c r="M216" s="8" t="n">
        <x:f>INDEX($K$388:$N$400,W216,1)*((J216-$T$405+1)/1000)^INDEX($K$388:$N$400,W216,2)+INDEX($O$388:$Z$400,W216,MONTH(J216))</x:f>
        <x:v>-0.8802669378320047</x:v>
      </x:c>
      <x:c r="N216" s="8" t="n">
        <x:f>K216-M216</x:f>
        <x:v>-38.119733062167995</x:v>
      </x:c>
      <x:c r="O216" s="8" t="n">
        <x:f>ABS(N216)</x:f>
        <x:v>38.119733062167995</x:v>
      </x:c>
      <x:c r="P216" s="8" t="n">
        <x:f>N216^2</x:f>
        <x:v>1453.1140487309438</x:v>
      </x:c>
      <x:c r="Q216" s="8" t="n">
        <x:f>K216-L216</x:f>
        <x:v>2</x:v>
      </x:c>
      <x:c r="R216" s="9" t="n">
        <x:f>IF(AND(INDEX('Сводка'!$T$3:$T$397,U216)=0,INDEX('Сводка'!$T$3:$T$397,V216)=0),1,0)</x:f>
        <x:v>1</x:v>
      </x:c>
      <x:c r="S216" s="9" t="n">
        <x:f>IF(AND(R216=1,O216&lt;=$G$13),1,0)</x:f>
        <x:v>0</x:v>
      </x:c>
      <x:c r="T216" s="10" t="n">
        <x:f>EOMONTH(J216-'Сводка'!$B$11,-1)</x:f>
        <x:v>46053</x:v>
      </x:c>
      <x:c r="U216" s="4" t="n">
        <x:f>MATCH(J216,'Сводка'!$R$3:$R$397,0)</x:f>
        <x:v>227</x:v>
      </x:c>
      <x:c r="V216" s="4" t="n">
        <x:f>MATCH(J216-'Сводка'!$B$11,'Сводка'!$R$3:$R$397,0)</x:f>
        <x:v>226</x:v>
      </x:c>
      <x:c r="W216" s="4" t="n">
        <x:f>MATCH(T216,$J$388:$J$400,0)</x:f>
        <x:v>8</x:v>
      </x:c>
      <x:c r="X216" s="3"/>
      <x:c r="Y216" s="3"/>
      <x:c r="Z216" s="3"/>
    </x:row>
    <x:row r="217" ht="15" customHeight="1">
      <x:c r="A217" s="3"/>
      <x:c r="B217" s="3"/>
      <x:c r="C217" s="3"/>
      <x:c r="D217" s="3"/>
      <x:c r="E217" s="3"/>
      <x:c r="F217" s="3"/>
      <x:c r="G217" s="3"/>
      <x:c r="H217" s="3"/>
      <x:c r="I217" s="3"/>
      <x:c r="J217" s="10" t="n">
        <x:v>46068</x:v>
      </x:c>
      <x:c r="K217" s="8" t="n">
        <x:f>INDEX('Сводка'!$S$3:$S$397,U217)</x:f>
        <x:v>-38</x:v>
      </x:c>
      <x:c r="L217" s="8" t="n">
        <x:f>INDEX('Сводка'!$S$3:$S$397,V217)</x:f>
        <x:v>-39</x:v>
      </x:c>
      <x:c r="M217" s="8" t="n">
        <x:f>INDEX($K$388:$N$400,W217,1)*((J217-$T$405+1)/1000)^INDEX($K$388:$N$400,W217,2)+INDEX($O$388:$Z$400,W217,MONTH(J217))</x:f>
        <x:v>-0.863389842335323</x:v>
      </x:c>
      <x:c r="N217" s="8" t="n">
        <x:f>K217-M217</x:f>
        <x:v>-37.13661015766468</x:v>
      </x:c>
      <x:c r="O217" s="8" t="n">
        <x:f>ABS(N217)</x:f>
        <x:v>37.13661015766468</x:v>
      </x:c>
      <x:c r="P217" s="8" t="n">
        <x:f>N217^2</x:f>
        <x:v>1379.1278140023633</x:v>
      </x:c>
      <x:c r="Q217" s="8" t="n">
        <x:f>K217-L217</x:f>
        <x:v>1</x:v>
      </x:c>
      <x:c r="R217" s="9" t="n">
        <x:f>IF(AND(INDEX('Сводка'!$T$3:$T$397,U217)=0,INDEX('Сводка'!$T$3:$T$397,V217)=0),1,0)</x:f>
        <x:v>1</x:v>
      </x:c>
      <x:c r="S217" s="9" t="n">
        <x:f>IF(AND(R217=1,O217&lt;=$G$13),1,0)</x:f>
        <x:v>0</x:v>
      </x:c>
      <x:c r="T217" s="10" t="n">
        <x:f>EOMONTH(J217-'Сводка'!$B$11,-1)</x:f>
        <x:v>46053</x:v>
      </x:c>
      <x:c r="U217" s="4" t="n">
        <x:f>MATCH(J217,'Сводка'!$R$3:$R$397,0)</x:f>
        <x:v>228</x:v>
      </x:c>
      <x:c r="V217" s="4" t="n">
        <x:f>MATCH(J217-'Сводка'!$B$11,'Сводка'!$R$3:$R$397,0)</x:f>
        <x:v>227</x:v>
      </x:c>
      <x:c r="W217" s="4" t="n">
        <x:f>MATCH(T217,$J$388:$J$400,0)</x:f>
        <x:v>8</x:v>
      </x:c>
      <x:c r="X217" s="3"/>
      <x:c r="Y217" s="3"/>
      <x:c r="Z217" s="3"/>
    </x:row>
    <x:row r="218" ht="15" customHeight="1">
      <x:c r="A218" s="3"/>
      <x:c r="B218" s="3"/>
      <x:c r="C218" s="3"/>
      <x:c r="D218" s="3"/>
      <x:c r="E218" s="3"/>
      <x:c r="F218" s="3"/>
      <x:c r="G218" s="3"/>
      <x:c r="H218" s="3"/>
      <x:c r="I218" s="3"/>
      <x:c r="J218" s="10" t="n">
        <x:v>46069</x:v>
      </x:c>
      <x:c r="K218" s="8" t="n">
        <x:f>INDEX('Сводка'!$S$3:$S$397,U218)</x:f>
        <x:v>-38</x:v>
      </x:c>
      <x:c r="L218" s="8" t="n">
        <x:f>INDEX('Сводка'!$S$3:$S$397,V218)</x:f>
        <x:v>-38</x:v>
      </x:c>
      <x:c r="M218" s="8" t="n">
        <x:f>INDEX($K$388:$N$400,W218,1)*((J218-$T$405+1)/1000)^INDEX($K$388:$N$400,W218,2)+INDEX($O$388:$Z$400,W218,MONTH(J218))</x:f>
        <x:v>-0.8465126755515655</x:v>
      </x:c>
      <x:c r="N218" s="8" t="n">
        <x:f>K218-M218</x:f>
        <x:v>-37.153487324448434</x:v>
      </x:c>
      <x:c r="O218" s="8" t="n">
        <x:f>ABS(N218)</x:f>
        <x:v>37.153487324448434</x:v>
      </x:c>
      <x:c r="P218" s="8" t="n">
        <x:f>N218^2</x:f>
        <x:v>1380.3816203679505</x:v>
      </x:c>
      <x:c r="Q218" s="8" t="n">
        <x:f>K218-L218</x:f>
        <x:v>0</x:v>
      </x:c>
      <x:c r="R218" s="9" t="n">
        <x:f>IF(AND(INDEX('Сводка'!$T$3:$T$397,U218)=0,INDEX('Сводка'!$T$3:$T$397,V218)=0),1,0)</x:f>
        <x:v>1</x:v>
      </x:c>
      <x:c r="S218" s="9" t="n">
        <x:f>IF(AND(R218=1,O218&lt;=$G$13),1,0)</x:f>
        <x:v>0</x:v>
      </x:c>
      <x:c r="T218" s="10" t="n">
        <x:f>EOMONTH(J218-'Сводка'!$B$11,-1)</x:f>
        <x:v>46053</x:v>
      </x:c>
      <x:c r="U218" s="4" t="n">
        <x:f>MATCH(J218,'Сводка'!$R$3:$R$397,0)</x:f>
        <x:v>229</x:v>
      </x:c>
      <x:c r="V218" s="4" t="n">
        <x:f>MATCH(J218-'Сводка'!$B$11,'Сводка'!$R$3:$R$397,0)</x:f>
        <x:v>228</x:v>
      </x:c>
      <x:c r="W218" s="4" t="n">
        <x:f>MATCH(T218,$J$388:$J$400,0)</x:f>
        <x:v>8</x:v>
      </x:c>
      <x:c r="X218" s="3"/>
      <x:c r="Y218" s="3"/>
      <x:c r="Z218" s="3"/>
    </x:row>
    <x:row r="219" ht="15" customHeight="1">
      <x:c r="A219" s="3"/>
      <x:c r="B219" s="3"/>
      <x:c r="C219" s="3"/>
      <x:c r="D219" s="3"/>
      <x:c r="E219" s="3"/>
      <x:c r="F219" s="3"/>
      <x:c r="G219" s="3"/>
      <x:c r="H219" s="3"/>
      <x:c r="I219" s="3"/>
      <x:c r="J219" s="10" t="n">
        <x:v>46070</x:v>
      </x:c>
      <x:c r="K219" s="8" t="n">
        <x:f>INDEX('Сводка'!$S$3:$S$397,U219)</x:f>
        <x:v>-40</x:v>
      </x:c>
      <x:c r="L219" s="8" t="n">
        <x:f>INDEX('Сводка'!$S$3:$S$397,V219)</x:f>
        <x:v>-38</x:v>
      </x:c>
      <x:c r="M219" s="8" t="n">
        <x:f>INDEX($K$388:$N$400,W219,1)*((J219-$T$405+1)/1000)^INDEX($K$388:$N$400,W219,2)+INDEX($O$388:$Z$400,W219,MONTH(J219))</x:f>
        <x:v>-0.8296354374885766</x:v>
      </x:c>
      <x:c r="N219" s="8" t="n">
        <x:f>K219-M219</x:f>
        <x:v>-39.17036456251142</x:v>
      </x:c>
      <x:c r="O219" s="8" t="n">
        <x:f>ABS(N219)</x:f>
        <x:v>39.17036456251142</x:v>
      </x:c>
      <x:c r="P219" s="8" t="n">
        <x:f>N219^2</x:f>
        <x:v>1534.3174599600507</x:v>
      </x:c>
      <x:c r="Q219" s="8" t="n">
        <x:f>K219-L219</x:f>
        <x:v>-2</x:v>
      </x:c>
      <x:c r="R219" s="9" t="n">
        <x:f>IF(AND(INDEX('Сводка'!$T$3:$T$397,U219)=0,INDEX('Сводка'!$T$3:$T$397,V219)=0),1,0)</x:f>
        <x:v>1</x:v>
      </x:c>
      <x:c r="S219" s="9" t="n">
        <x:f>IF(AND(R219=1,O219&lt;=$G$13),1,0)</x:f>
        <x:v>0</x:v>
      </x:c>
      <x:c r="T219" s="10" t="n">
        <x:f>EOMONTH(J219-'Сводка'!$B$11,-1)</x:f>
        <x:v>46053</x:v>
      </x:c>
      <x:c r="U219" s="4" t="n">
        <x:f>MATCH(J219,'Сводка'!$R$3:$R$397,0)</x:f>
        <x:v>230</x:v>
      </x:c>
      <x:c r="V219" s="4" t="n">
        <x:f>MATCH(J219-'Сводка'!$B$11,'Сводка'!$R$3:$R$397,0)</x:f>
        <x:v>229</x:v>
      </x:c>
      <x:c r="W219" s="4" t="n">
        <x:f>MATCH(T219,$J$388:$J$400,0)</x:f>
        <x:v>8</x:v>
      </x:c>
      <x:c r="X219" s="3"/>
      <x:c r="Y219" s="3"/>
      <x:c r="Z219" s="3"/>
    </x:row>
    <x:row r="220" ht="15" customHeight="1">
      <x:c r="A220" s="3"/>
      <x:c r="B220" s="3"/>
      <x:c r="C220" s="3"/>
      <x:c r="D220" s="3"/>
      <x:c r="E220" s="3"/>
      <x:c r="F220" s="3"/>
      <x:c r="G220" s="3"/>
      <x:c r="H220" s="3"/>
      <x:c r="I220" s="3"/>
      <x:c r="J220" s="10" t="n">
        <x:v>46071</x:v>
      </x:c>
      <x:c r="K220" s="8" t="n">
        <x:f>INDEX('Сводка'!$S$3:$S$397,U220)</x:f>
        <x:v>-40</x:v>
      </x:c>
      <x:c r="L220" s="8" t="n">
        <x:f>INDEX('Сводка'!$S$3:$S$397,V220)</x:f>
        <x:v>-40</x:v>
      </x:c>
      <x:c r="M220" s="8" t="n">
        <x:f>INDEX($K$388:$N$400,W220,1)*((J220-$T$405+1)/1000)^INDEX($K$388:$N$400,W220,2)+INDEX($O$388:$Z$400,W220,MONTH(J220))</x:f>
        <x:v>-0.8127581281541154</x:v>
      </x:c>
      <x:c r="N220" s="8" t="n">
        <x:f>K220-M220</x:f>
        <x:v>-39.187241871845885</x:v>
      </x:c>
      <x:c r="O220" s="8" t="n">
        <x:f>ABS(N220)</x:f>
        <x:v>39.187241871845885</x:v>
      </x:c>
      <x:c r="P220" s="8" t="n">
        <x:f>N220^2</x:f>
        <x:v>1535.6399255225513</x:v>
      </x:c>
      <x:c r="Q220" s="8" t="n">
        <x:f>K220-L220</x:f>
        <x:v>0</x:v>
      </x:c>
      <x:c r="R220" s="9" t="n">
        <x:f>IF(AND(INDEX('Сводка'!$T$3:$T$397,U220)=0,INDEX('Сводка'!$T$3:$T$397,V220)=0),1,0)</x:f>
        <x:v>1</x:v>
      </x:c>
      <x:c r="S220" s="9" t="n">
        <x:f>IF(AND(R220=1,O220&lt;=$G$13),1,0)</x:f>
        <x:v>0</x:v>
      </x:c>
      <x:c r="T220" s="10" t="n">
        <x:f>EOMONTH(J220-'Сводка'!$B$11,-1)</x:f>
        <x:v>46053</x:v>
      </x:c>
      <x:c r="U220" s="4" t="n">
        <x:f>MATCH(J220,'Сводка'!$R$3:$R$397,0)</x:f>
        <x:v>231</x:v>
      </x:c>
      <x:c r="V220" s="4" t="n">
        <x:f>MATCH(J220-'Сводка'!$B$11,'Сводка'!$R$3:$R$397,0)</x:f>
        <x:v>230</x:v>
      </x:c>
      <x:c r="W220" s="4" t="n">
        <x:f>MATCH(T220,$J$388:$J$400,0)</x:f>
        <x:v>8</x:v>
      </x:c>
      <x:c r="X220" s="3"/>
      <x:c r="Y220" s="3"/>
      <x:c r="Z220" s="3"/>
    </x:row>
    <x:row r="221" ht="15" customHeight="1">
      <x:c r="A221" s="3"/>
      <x:c r="B221" s="3"/>
      <x:c r="C221" s="3"/>
      <x:c r="D221" s="3"/>
      <x:c r="E221" s="3"/>
      <x:c r="F221" s="3"/>
      <x:c r="G221" s="3"/>
      <x:c r="H221" s="3"/>
      <x:c r="I221" s="3"/>
      <x:c r="J221" s="10" t="n">
        <x:v>46072</x:v>
      </x:c>
      <x:c r="K221" s="8" t="n">
        <x:f>INDEX('Сводка'!$S$3:$S$397,U221)</x:f>
        <x:v>-42</x:v>
      </x:c>
      <x:c r="L221" s="8" t="n">
        <x:f>INDEX('Сводка'!$S$3:$S$397,V221)</x:f>
        <x:v>-40</x:v>
      </x:c>
      <x:c r="M221" s="8" t="n">
        <x:f>INDEX($K$388:$N$400,W221,1)*((J221-$T$405+1)/1000)^INDEX($K$388:$N$400,W221,2)+INDEX($O$388:$Z$400,W221,MONTH(J221))</x:f>
        <x:v>-0.7958807475559411</x:v>
      </x:c>
      <x:c r="N221" s="8" t="n">
        <x:f>K221-M221</x:f>
        <x:v>-41.20411925244406</x:v>
      </x:c>
      <x:c r="O221" s="8" t="n">
        <x:f>ABS(N221)</x:f>
        <x:v>41.20411925244406</x:v>
      </x:c>
      <x:c r="P221" s="8" t="n">
        <x:f>N221^2</x:f>
        <x:v>1697.779443369631</x:v>
      </x:c>
      <x:c r="Q221" s="8" t="n">
        <x:f>K221-L221</x:f>
        <x:v>-2</x:v>
      </x:c>
      <x:c r="R221" s="9" t="n">
        <x:f>IF(AND(INDEX('Сводка'!$T$3:$T$397,U221)=0,INDEX('Сводка'!$T$3:$T$397,V221)=0),1,0)</x:f>
        <x:v>1</x:v>
      </x:c>
      <x:c r="S221" s="9" t="n">
        <x:f>IF(AND(R221=1,O221&lt;=$G$13),1,0)</x:f>
        <x:v>0</x:v>
      </x:c>
      <x:c r="T221" s="10" t="n">
        <x:f>EOMONTH(J221-'Сводка'!$B$11,-1)</x:f>
        <x:v>46053</x:v>
      </x:c>
      <x:c r="U221" s="4" t="n">
        <x:f>MATCH(J221,'Сводка'!$R$3:$R$397,0)</x:f>
        <x:v>232</x:v>
      </x:c>
      <x:c r="V221" s="4" t="n">
        <x:f>MATCH(J221-'Сводка'!$B$11,'Сводка'!$R$3:$R$397,0)</x:f>
        <x:v>231</x:v>
      </x:c>
      <x:c r="W221" s="4" t="n">
        <x:f>MATCH(T221,$J$388:$J$400,0)</x:f>
        <x:v>8</x:v>
      </x:c>
      <x:c r="X221" s="3"/>
      <x:c r="Y221" s="3"/>
      <x:c r="Z221" s="3"/>
    </x:row>
    <x:row r="222" ht="15" customHeight="1">
      <x:c r="A222" s="3"/>
      <x:c r="B222" s="3"/>
      <x:c r="C222" s="3"/>
      <x:c r="D222" s="3"/>
      <x:c r="E222" s="3"/>
      <x:c r="F222" s="3"/>
      <x:c r="G222" s="3"/>
      <x:c r="H222" s="3"/>
      <x:c r="I222" s="3"/>
      <x:c r="J222" s="10" t="n">
        <x:v>46073</x:v>
      </x:c>
      <x:c r="K222" s="8" t="n">
        <x:f>INDEX('Сводка'!$S$3:$S$397,U222)</x:f>
        <x:v>-43</x:v>
      </x:c>
      <x:c r="L222" s="8" t="n">
        <x:f>INDEX('Сводка'!$S$3:$S$397,V222)</x:f>
        <x:v>-42</x:v>
      </x:c>
      <x:c r="M222" s="8" t="n">
        <x:f>INDEX($K$388:$N$400,W222,1)*((J222-$T$405+1)/1000)^INDEX($K$388:$N$400,W222,2)+INDEX($O$388:$Z$400,W222,MONTH(J222))</x:f>
        <x:v>-0.7790032957018695</x:v>
      </x:c>
      <x:c r="N222" s="8" t="n">
        <x:f>K222-M222</x:f>
        <x:v>-42.22099670429813</x:v>
      </x:c>
      <x:c r="O222" s="8" t="n">
        <x:f>ABS(N222)</x:f>
        <x:v>42.22099670429813</x:v>
      </x:c>
      <x:c r="P222" s="8" t="n">
        <x:f>N222^2</x:f>
        <x:v>1782.6125627043536</x:v>
      </x:c>
      <x:c r="Q222" s="8" t="n">
        <x:f>K222-L222</x:f>
        <x:v>-1</x:v>
      </x:c>
      <x:c r="R222" s="9" t="n">
        <x:f>IF(AND(INDEX('Сводка'!$T$3:$T$397,U222)=0,INDEX('Сводка'!$T$3:$T$397,V222)=0),1,0)</x:f>
        <x:v>1</x:v>
      </x:c>
      <x:c r="S222" s="9" t="n">
        <x:f>IF(AND(R222=1,O222&lt;=$G$13),1,0)</x:f>
        <x:v>0</x:v>
      </x:c>
      <x:c r="T222" s="10" t="n">
        <x:f>EOMONTH(J222-'Сводка'!$B$11,-1)</x:f>
        <x:v>46053</x:v>
      </x:c>
      <x:c r="U222" s="4" t="n">
        <x:f>MATCH(J222,'Сводка'!$R$3:$R$397,0)</x:f>
        <x:v>233</x:v>
      </x:c>
      <x:c r="V222" s="4" t="n">
        <x:f>MATCH(J222-'Сводка'!$B$11,'Сводка'!$R$3:$R$397,0)</x:f>
        <x:v>232</x:v>
      </x:c>
      <x:c r="W222" s="4" t="n">
        <x:f>MATCH(T222,$J$388:$J$400,0)</x:f>
        <x:v>8</x:v>
      </x:c>
      <x:c r="X222" s="3"/>
      <x:c r="Y222" s="3"/>
      <x:c r="Z222" s="3"/>
    </x:row>
    <x:row r="223" ht="15" customHeight="1">
      <x:c r="A223" s="3"/>
      <x:c r="B223" s="3"/>
      <x:c r="C223" s="3"/>
      <x:c r="D223" s="3"/>
      <x:c r="E223" s="3"/>
      <x:c r="F223" s="3"/>
      <x:c r="G223" s="3"/>
      <x:c r="H223" s="3"/>
      <x:c r="I223" s="3"/>
      <x:c r="J223" s="10" t="n">
        <x:v>46074</x:v>
      </x:c>
      <x:c r="K223" s="8" t="n">
        <x:f>INDEX('Сводка'!$S$3:$S$397,U223)</x:f>
        <x:v>-43</x:v>
      </x:c>
      <x:c r="L223" s="8" t="n">
        <x:f>INDEX('Сводка'!$S$3:$S$397,V223)</x:f>
        <x:v>-43</x:v>
      </x:c>
      <x:c r="M223" s="8" t="n">
        <x:f>INDEX($K$388:$N$400,W223,1)*((J223-$T$405+1)/1000)^INDEX($K$388:$N$400,W223,2)+INDEX($O$388:$Z$400,W223,MONTH(J223))</x:f>
        <x:v>-0.76212577259966</x:v>
      </x:c>
      <x:c r="N223" s="8" t="n">
        <x:f>K223-M223</x:f>
        <x:v>-42.23787422740034</x:v>
      </x:c>
      <x:c r="O223" s="8" t="n">
        <x:f>ABS(N223)</x:f>
        <x:v>42.23787422740034</x:v>
      </x:c>
      <x:c r="P223" s="8" t="n">
        <x:f>N223^2</x:f>
        <x:v>1784.0380192496898</x:v>
      </x:c>
      <x:c r="Q223" s="8" t="n">
        <x:f>K223-L223</x:f>
        <x:v>0</x:v>
      </x:c>
      <x:c r="R223" s="9" t="n">
        <x:f>IF(AND(INDEX('Сводка'!$T$3:$T$397,U223)=0,INDEX('Сводка'!$T$3:$T$397,V223)=0),1,0)</x:f>
        <x:v>1</x:v>
      </x:c>
      <x:c r="S223" s="9" t="n">
        <x:f>IF(AND(R223=1,O223&lt;=$G$13),1,0)</x:f>
        <x:v>0</x:v>
      </x:c>
      <x:c r="T223" s="10" t="n">
        <x:f>EOMONTH(J223-'Сводка'!$B$11,-1)</x:f>
        <x:v>46053</x:v>
      </x:c>
      <x:c r="U223" s="4" t="n">
        <x:f>MATCH(J223,'Сводка'!$R$3:$R$397,0)</x:f>
        <x:v>234</x:v>
      </x:c>
      <x:c r="V223" s="4" t="n">
        <x:f>MATCH(J223-'Сводка'!$B$11,'Сводка'!$R$3:$R$397,0)</x:f>
        <x:v>233</x:v>
      </x:c>
      <x:c r="W223" s="4" t="n">
        <x:f>MATCH(T223,$J$388:$J$400,0)</x:f>
        <x:v>8</x:v>
      </x:c>
      <x:c r="X223" s="3"/>
      <x:c r="Y223" s="3"/>
      <x:c r="Z223" s="3"/>
    </x:row>
    <x:row r="224" ht="15" customHeight="1">
      <x:c r="A224" s="3"/>
      <x:c r="B224" s="3"/>
      <x:c r="C224" s="3"/>
      <x:c r="D224" s="3"/>
      <x:c r="E224" s="3"/>
      <x:c r="F224" s="3"/>
      <x:c r="G224" s="3"/>
      <x:c r="H224" s="3"/>
      <x:c r="I224" s="3"/>
      <x:c r="J224" s="10" t="n">
        <x:v>46075</x:v>
      </x:c>
      <x:c r="K224" s="8" t="n">
        <x:f>INDEX('Сводка'!$S$3:$S$397,U224)</x:f>
        <x:v>-43</x:v>
      </x:c>
      <x:c r="L224" s="8" t="n">
        <x:f>INDEX('Сводка'!$S$3:$S$397,V224)</x:f>
        <x:v>-43</x:v>
      </x:c>
      <x:c r="M224" s="8" t="n">
        <x:f>INDEX($K$388:$N$400,W224,1)*((J224-$T$405+1)/1000)^INDEX($K$388:$N$400,W224,2)+INDEX($O$388:$Z$400,W224,MONTH(J224))</x:f>
        <x:v>-0.745248178257043</x:v>
      </x:c>
      <x:c r="N224" s="8" t="n">
        <x:f>K224-M224</x:f>
        <x:v>-42.25475182174296</x:v>
      </x:c>
      <x:c r="O224" s="8" t="n">
        <x:f>ABS(N224)</x:f>
        <x:v>42.25475182174296</x:v>
      </x:c>
      <x:c r="P224" s="8" t="n">
        <x:f>N224^2</x:f>
        <x:v>1785.4640515170897</x:v>
      </x:c>
      <x:c r="Q224" s="8" t="n">
        <x:f>K224-L224</x:f>
        <x:v>0</x:v>
      </x:c>
      <x:c r="R224" s="9" t="n">
        <x:f>IF(AND(INDEX('Сводка'!$T$3:$T$397,U224)=0,INDEX('Сводка'!$T$3:$T$397,V224)=0),1,0)</x:f>
        <x:v>1</x:v>
      </x:c>
      <x:c r="S224" s="9" t="n">
        <x:f>IF(AND(R224=1,O224&lt;=$G$13),1,0)</x:f>
        <x:v>0</x:v>
      </x:c>
      <x:c r="T224" s="10" t="n">
        <x:f>EOMONTH(J224-'Сводка'!$B$11,-1)</x:f>
        <x:v>46053</x:v>
      </x:c>
      <x:c r="U224" s="4" t="n">
        <x:f>MATCH(J224,'Сводка'!$R$3:$R$397,0)</x:f>
        <x:v>235</x:v>
      </x:c>
      <x:c r="V224" s="4" t="n">
        <x:f>MATCH(J224-'Сводка'!$B$11,'Сводка'!$R$3:$R$397,0)</x:f>
        <x:v>234</x:v>
      </x:c>
      <x:c r="W224" s="4" t="n">
        <x:f>MATCH(T224,$J$388:$J$400,0)</x:f>
        <x:v>8</x:v>
      </x:c>
      <x:c r="X224" s="3"/>
      <x:c r="Y224" s="3"/>
      <x:c r="Z224" s="3"/>
    </x:row>
    <x:row r="225" ht="15" customHeight="1">
      <x:c r="A225" s="3"/>
      <x:c r="B225" s="3"/>
      <x:c r="C225" s="3"/>
      <x:c r="D225" s="3"/>
      <x:c r="E225" s="3"/>
      <x:c r="F225" s="3"/>
      <x:c r="G225" s="3"/>
      <x:c r="H225" s="3"/>
      <x:c r="I225" s="3"/>
      <x:c r="J225" s="10" t="n">
        <x:v>46076</x:v>
      </x:c>
      <x:c r="K225" s="8" t="n">
        <x:f>INDEX('Сводка'!$S$3:$S$397,U225)</x:f>
        <x:v>-44</x:v>
      </x:c>
      <x:c r="L225" s="8" t="n">
        <x:f>INDEX('Сводка'!$S$3:$S$397,V225)</x:f>
        <x:v>-43</x:v>
      </x:c>
      <x:c r="M225" s="8" t="n">
        <x:f>INDEX($K$388:$N$400,W225,1)*((J225-$T$405+1)/1000)^INDEX($K$388:$N$400,W225,2)+INDEX($O$388:$Z$400,W225,MONTH(J225))</x:f>
        <x:v>-0.72837051268192</x:v>
      </x:c>
      <x:c r="N225" s="8" t="n">
        <x:f>K225-M225</x:f>
        <x:v>-43.27162948731808</x:v>
      </x:c>
      <x:c r="O225" s="8" t="n">
        <x:f>ABS(N225)</x:f>
        <x:v>43.27162948731808</x:v>
      </x:c>
      <x:c r="P225" s="8" t="n">
        <x:f>N225^2</x:f>
        <x:v>1872.4339184877356</x:v>
      </x:c>
      <x:c r="Q225" s="8" t="n">
        <x:f>K225-L225</x:f>
        <x:v>-1</x:v>
      </x:c>
      <x:c r="R225" s="9" t="n">
        <x:f>IF(AND(INDEX('Сводка'!$T$3:$T$397,U225)=0,INDEX('Сводка'!$T$3:$T$397,V225)=0),1,0)</x:f>
        <x:v>1</x:v>
      </x:c>
      <x:c r="S225" s="9" t="n">
        <x:f>IF(AND(R225=1,O225&lt;=$G$13),1,0)</x:f>
        <x:v>0</x:v>
      </x:c>
      <x:c r="T225" s="10" t="n">
        <x:f>EOMONTH(J225-'Сводка'!$B$11,-1)</x:f>
        <x:v>46053</x:v>
      </x:c>
      <x:c r="U225" s="4" t="n">
        <x:f>MATCH(J225,'Сводка'!$R$3:$R$397,0)</x:f>
        <x:v>236</x:v>
      </x:c>
      <x:c r="V225" s="4" t="n">
        <x:f>MATCH(J225-'Сводка'!$B$11,'Сводка'!$R$3:$R$397,0)</x:f>
        <x:v>235</x:v>
      </x:c>
      <x:c r="W225" s="4" t="n">
        <x:f>MATCH(T225,$J$388:$J$400,0)</x:f>
        <x:v>8</x:v>
      </x:c>
      <x:c r="X225" s="3"/>
      <x:c r="Y225" s="3"/>
      <x:c r="Z225" s="3"/>
    </x:row>
    <x:row r="226" ht="15" customHeight="1">
      <x:c r="A226" s="3"/>
      <x:c r="B226" s="3"/>
      <x:c r="C226" s="3"/>
      <x:c r="D226" s="3"/>
      <x:c r="E226" s="3"/>
      <x:c r="F226" s="3"/>
      <x:c r="G226" s="3"/>
      <x:c r="H226" s="3"/>
      <x:c r="I226" s="3"/>
      <x:c r="J226" s="10" t="n">
        <x:v>46077</x:v>
      </x:c>
      <x:c r="K226" s="8" t="n">
        <x:f>INDEX('Сводка'!$S$3:$S$397,U226)</x:f>
        <x:v>-46</x:v>
      </x:c>
      <x:c r="L226" s="8" t="n">
        <x:f>INDEX('Сводка'!$S$3:$S$397,V226)</x:f>
        <x:v>-44</x:v>
      </x:c>
      <x:c r="M226" s="8" t="n">
        <x:f>INDEX($K$388:$N$400,W226,1)*((J226-$T$405+1)/1000)^INDEX($K$388:$N$400,W226,2)+INDEX($O$388:$Z$400,W226,MONTH(J226))</x:f>
        <x:v>-0.7114927758819931</x:v>
      </x:c>
      <x:c r="N226" s="8" t="n">
        <x:f>K226-M226</x:f>
        <x:v>-45.28850722411801</x:v>
      </x:c>
      <x:c r="O226" s="8" t="n">
        <x:f>ABS(N226)</x:f>
        <x:v>45.28850722411801</x:v>
      </x:c>
      <x:c r="P226" s="8" t="n">
        <x:f>N226^2</x:f>
        <x:v>2051.048886588989</x:v>
      </x:c>
      <x:c r="Q226" s="8" t="n">
        <x:f>K226-L226</x:f>
        <x:v>-2</x:v>
      </x:c>
      <x:c r="R226" s="9" t="n">
        <x:f>IF(AND(INDEX('Сводка'!$T$3:$T$397,U226)=0,INDEX('Сводка'!$T$3:$T$397,V226)=0),1,0)</x:f>
        <x:v>1</x:v>
      </x:c>
      <x:c r="S226" s="9" t="n">
        <x:f>IF(AND(R226=1,O226&lt;=$G$13),1,0)</x:f>
        <x:v>0</x:v>
      </x:c>
      <x:c r="T226" s="10" t="n">
        <x:f>EOMONTH(J226-'Сводка'!$B$11,-1)</x:f>
        <x:v>46053</x:v>
      </x:c>
      <x:c r="U226" s="4" t="n">
        <x:f>MATCH(J226,'Сводка'!$R$3:$R$397,0)</x:f>
        <x:v>237</x:v>
      </x:c>
      <x:c r="V226" s="4" t="n">
        <x:f>MATCH(J226-'Сводка'!$B$11,'Сводка'!$R$3:$R$397,0)</x:f>
        <x:v>236</x:v>
      </x:c>
      <x:c r="W226" s="4" t="n">
        <x:f>MATCH(T226,$J$388:$J$400,0)</x:f>
        <x:v>8</x:v>
      </x:c>
      <x:c r="X226" s="3"/>
      <x:c r="Y226" s="3"/>
      <x:c r="Z226" s="3"/>
    </x:row>
    <x:row r="227" ht="15" customHeight="1">
      <x:c r="A227" s="3"/>
      <x:c r="B227" s="3"/>
      <x:c r="C227" s="3"/>
      <x:c r="D227" s="3"/>
      <x:c r="E227" s="3"/>
      <x:c r="F227" s="3"/>
      <x:c r="G227" s="3"/>
      <x:c r="H227" s="3"/>
      <x:c r="I227" s="3"/>
      <x:c r="J227" s="10" t="n">
        <x:v>46078</x:v>
      </x:c>
      <x:c r="K227" s="8" t="n">
        <x:f>INDEX('Сводка'!$S$3:$S$397,U227)</x:f>
        <x:v>-46</x:v>
      </x:c>
      <x:c r="L227" s="8" t="n">
        <x:f>INDEX('Сводка'!$S$3:$S$397,V227)</x:f>
        <x:v>-46</x:v>
      </x:c>
      <x:c r="M227" s="8" t="n">
        <x:f>INDEX($K$388:$N$400,W227,1)*((J227-$T$405+1)/1000)^INDEX($K$388:$N$400,W227,2)+INDEX($O$388:$Z$400,W227,MONTH(J227))</x:f>
        <x:v>-0.6946149678650215</x:v>
      </x:c>
      <x:c r="N227" s="8" t="n">
        <x:f>K227-M227</x:f>
        <x:v>-45.30538503213498</x:v>
      </x:c>
      <x:c r="O227" s="8" t="n">
        <x:f>ABS(N227)</x:f>
        <x:v>45.30538503213498</x:v>
      </x:c>
      <x:c r="P227" s="8" t="n">
        <x:f>N227^2</x:f>
        <x:v>2052.57791291</x:v>
      </x:c>
      <x:c r="Q227" s="8" t="n">
        <x:f>K227-L227</x:f>
        <x:v>0</x:v>
      </x:c>
      <x:c r="R227" s="9" t="n">
        <x:f>IF(AND(INDEX('Сводка'!$T$3:$T$397,U227)=0,INDEX('Сводка'!$T$3:$T$397,V227)=0),1,0)</x:f>
        <x:v>1</x:v>
      </x:c>
      <x:c r="S227" s="9" t="n">
        <x:f>IF(AND(R227=1,O227&lt;=$G$13),1,0)</x:f>
        <x:v>0</x:v>
      </x:c>
      <x:c r="T227" s="10" t="n">
        <x:f>EOMONTH(J227-'Сводка'!$B$11,-1)</x:f>
        <x:v>46053</x:v>
      </x:c>
      <x:c r="U227" s="4" t="n">
        <x:f>MATCH(J227,'Сводка'!$R$3:$R$397,0)</x:f>
        <x:v>238</x:v>
      </x:c>
      <x:c r="V227" s="4" t="n">
        <x:f>MATCH(J227-'Сводка'!$B$11,'Сводка'!$R$3:$R$397,0)</x:f>
        <x:v>237</x:v>
      </x:c>
      <x:c r="W227" s="4" t="n">
        <x:f>MATCH(T227,$J$388:$J$400,0)</x:f>
        <x:v>8</x:v>
      </x:c>
      <x:c r="X227" s="3"/>
      <x:c r="Y227" s="3"/>
      <x:c r="Z227" s="3"/>
    </x:row>
    <x:row r="228" ht="15" customHeight="1">
      <x:c r="A228" s="3"/>
      <x:c r="B228" s="3"/>
      <x:c r="C228" s="3"/>
      <x:c r="D228" s="3"/>
      <x:c r="E228" s="3"/>
      <x:c r="F228" s="3"/>
      <x:c r="G228" s="3"/>
      <x:c r="H228" s="3"/>
      <x:c r="I228" s="3"/>
      <x:c r="J228" s="10" t="n">
        <x:v>46079</x:v>
      </x:c>
      <x:c r="K228" s="8" t="n">
        <x:f>INDEX('Сводка'!$S$3:$S$397,U228)</x:f>
        <x:v>-48</x:v>
      </x:c>
      <x:c r="L228" s="8" t="n">
        <x:f>INDEX('Сводка'!$S$3:$S$397,V228)</x:f>
        <x:v>-46</x:v>
      </x:c>
      <x:c r="M228" s="8" t="n">
        <x:f>INDEX($K$388:$N$400,W228,1)*((J228-$T$405+1)/1000)^INDEX($K$388:$N$400,W228,2)+INDEX($O$388:$Z$400,W228,MONTH(J228))</x:f>
        <x:v>-0.6777370886387928</x:v>
      </x:c>
      <x:c r="N228" s="8" t="n">
        <x:f>K228-M228</x:f>
        <x:v>-47.32226291136121</x:v>
      </x:c>
      <x:c r="O228" s="8" t="n">
        <x:f>ABS(N228)</x:f>
        <x:v>47.32226291136121</x:v>
      </x:c>
      <x:c r="P228" s="8" t="n">
        <x:f>N228^2</x:f>
        <x:v>2239.3965670519924</x:v>
      </x:c>
      <x:c r="Q228" s="8" t="n">
        <x:f>K228-L228</x:f>
        <x:v>-2</x:v>
      </x:c>
      <x:c r="R228" s="9" t="n">
        <x:f>IF(AND(INDEX('Сводка'!$T$3:$T$397,U228)=0,INDEX('Сводка'!$T$3:$T$397,V228)=0),1,0)</x:f>
        <x:v>1</x:v>
      </x:c>
      <x:c r="S228" s="9" t="n">
        <x:f>IF(AND(R228=1,O228&lt;=$G$13),1,0)</x:f>
        <x:v>0</x:v>
      </x:c>
      <x:c r="T228" s="10" t="n">
        <x:f>EOMONTH(J228-'Сводка'!$B$11,-1)</x:f>
        <x:v>46053</x:v>
      </x:c>
      <x:c r="U228" s="4" t="n">
        <x:f>MATCH(J228,'Сводка'!$R$3:$R$397,0)</x:f>
        <x:v>239</x:v>
      </x:c>
      <x:c r="V228" s="4" t="n">
        <x:f>MATCH(J228-'Сводка'!$B$11,'Сводка'!$R$3:$R$397,0)</x:f>
        <x:v>238</x:v>
      </x:c>
      <x:c r="W228" s="4" t="n">
        <x:f>MATCH(T228,$J$388:$J$400,0)</x:f>
        <x:v>8</x:v>
      </x:c>
      <x:c r="X228" s="3"/>
      <x:c r="Y228" s="3"/>
      <x:c r="Z228" s="3"/>
    </x:row>
    <x:row r="229" ht="15" customHeight="1">
      <x:c r="A229" s="3"/>
      <x:c r="B229" s="3"/>
      <x:c r="C229" s="3"/>
      <x:c r="D229" s="3"/>
      <x:c r="E229" s="3"/>
      <x:c r="F229" s="3"/>
      <x:c r="G229" s="3"/>
      <x:c r="H229" s="3"/>
      <x:c r="I229" s="3"/>
      <x:c r="J229" s="10" t="n">
        <x:v>46080</x:v>
      </x:c>
      <x:c r="K229" s="8" t="n">
        <x:f>INDEX('Сводка'!$S$3:$S$397,U229)</x:f>
        <x:v>-51</x:v>
      </x:c>
      <x:c r="L229" s="8" t="n">
        <x:f>INDEX('Сводка'!$S$3:$S$397,V229)</x:f>
        <x:v>-48</x:v>
      </x:c>
      <x:c r="M229" s="8" t="n">
        <x:f>INDEX($K$388:$N$400,W229,1)*((J229-$T$405+1)/1000)^INDEX($K$388:$N$400,W229,2)+INDEX($O$388:$Z$400,W229,MONTH(J229))</x:f>
        <x:v>-0.6608591382110944</x:v>
      </x:c>
      <x:c r="N229" s="8" t="n">
        <x:f>K229-M229</x:f>
        <x:v>-50.339140861788906</x:v>
      </x:c>
      <x:c r="O229" s="8" t="n">
        <x:f>ABS(N229)</x:f>
        <x:v>50.339140861788906</x:v>
      </x:c>
      <x:c r="P229" s="8" t="n">
        <x:f>N229^2</x:f>
        <x:v>2534.0291027030253</x:v>
      </x:c>
      <x:c r="Q229" s="8" t="n">
        <x:f>K229-L229</x:f>
        <x:v>-3</x:v>
      </x:c>
      <x:c r="R229" s="9" t="n">
        <x:f>IF(AND(INDEX('Сводка'!$T$3:$T$397,U229)=0,INDEX('Сводка'!$T$3:$T$397,V229)=0),1,0)</x:f>
        <x:v>1</x:v>
      </x:c>
      <x:c r="S229" s="9" t="n">
        <x:f>IF(AND(R229=1,O229&lt;=$G$13),1,0)</x:f>
        <x:v>0</x:v>
      </x:c>
      <x:c r="T229" s="10" t="n">
        <x:f>EOMONTH(J229-'Сводка'!$B$11,-1)</x:f>
        <x:v>46053</x:v>
      </x:c>
      <x:c r="U229" s="4" t="n">
        <x:f>MATCH(J229,'Сводка'!$R$3:$R$397,0)</x:f>
        <x:v>240</x:v>
      </x:c>
      <x:c r="V229" s="4" t="n">
        <x:f>MATCH(J229-'Сводка'!$B$11,'Сводка'!$R$3:$R$397,0)</x:f>
        <x:v>239</x:v>
      </x:c>
      <x:c r="W229" s="4" t="n">
        <x:f>MATCH(T229,$J$388:$J$400,0)</x:f>
        <x:v>8</x:v>
      </x:c>
      <x:c r="X229" s="3"/>
      <x:c r="Y229" s="3"/>
      <x:c r="Z229" s="3"/>
    </x:row>
    <x:row r="230" ht="15" customHeight="1">
      <x:c r="A230" s="3"/>
      <x:c r="B230" s="3"/>
      <x:c r="C230" s="3"/>
      <x:c r="D230" s="3"/>
      <x:c r="E230" s="3"/>
      <x:c r="F230" s="3"/>
      <x:c r="G230" s="3"/>
      <x:c r="H230" s="3"/>
      <x:c r="I230" s="3"/>
      <x:c r="J230" s="10" t="n">
        <x:v>46081</x:v>
      </x:c>
      <x:c r="K230" s="8" t="n">
        <x:f>INDEX('Сводка'!$S$3:$S$397,U230)</x:f>
        <x:v>-54</x:v>
      </x:c>
      <x:c r="L230" s="8" t="n">
        <x:f>INDEX('Сводка'!$S$3:$S$397,V230)</x:f>
        <x:v>-51</x:v>
      </x:c>
      <x:c r="M230" s="8" t="n">
        <x:f>INDEX($K$388:$N$400,W230,1)*((J230-$T$405+1)/1000)^INDEX($K$388:$N$400,W230,2)+INDEX($O$388:$Z$400,W230,MONTH(J230))</x:f>
        <x:v>-0.643981116589714</x:v>
      </x:c>
      <x:c r="N230" s="8" t="n">
        <x:f>K230-M230</x:f>
        <x:v>-53.356018883410286</x:v>
      </x:c>
      <x:c r="O230" s="8" t="n">
        <x:f>ABS(N230)</x:f>
        <x:v>53.356018883410286</x:v>
      </x:c>
      <x:c r="P230" s="8" t="n">
        <x:f>N230^2</x:f>
        <x:v>2846.864751086835</x:v>
      </x:c>
      <x:c r="Q230" s="8" t="n">
        <x:f>K230-L230</x:f>
        <x:v>-3</x:v>
      </x:c>
      <x:c r="R230" s="9" t="n">
        <x:f>IF(AND(INDEX('Сводка'!$T$3:$T$397,U230)=0,INDEX('Сводка'!$T$3:$T$397,V230)=0),1,0)</x:f>
        <x:v>1</x:v>
      </x:c>
      <x:c r="S230" s="9" t="n">
        <x:f>IF(AND(R230=1,O230&lt;=$G$13),1,0)</x:f>
        <x:v>0</x:v>
      </x:c>
      <x:c r="T230" s="10" t="n">
        <x:f>EOMONTH(J230-'Сводка'!$B$11,-1)</x:f>
        <x:v>46053</x:v>
      </x:c>
      <x:c r="U230" s="4" t="n">
        <x:f>MATCH(J230,'Сводка'!$R$3:$R$397,0)</x:f>
        <x:v>241</x:v>
      </x:c>
      <x:c r="V230" s="4" t="n">
        <x:f>MATCH(J230-'Сводка'!$B$11,'Сводка'!$R$3:$R$397,0)</x:f>
        <x:v>240</x:v>
      </x:c>
      <x:c r="W230" s="4" t="n">
        <x:f>MATCH(T230,$J$388:$J$400,0)</x:f>
        <x:v>8</x:v>
      </x:c>
      <x:c r="X230" s="3"/>
      <x:c r="Y230" s="3"/>
      <x:c r="Z230" s="3"/>
    </x:row>
    <x:row r="231" ht="15" customHeight="1">
      <x:c r="A231" s="3"/>
      <x:c r="B231" s="3"/>
      <x:c r="C231" s="3"/>
      <x:c r="D231" s="3"/>
      <x:c r="E231" s="3"/>
      <x:c r="F231" s="3"/>
      <x:c r="G231" s="3"/>
      <x:c r="H231" s="3"/>
      <x:c r="I231" s="3"/>
      <x:c r="J231" s="10" t="n">
        <x:v>46082</x:v>
      </x:c>
      <x:c r="K231" s="8" t="n">
        <x:f>INDEX('Сводка'!$S$3:$S$397,U231)</x:f>
        <x:v>-55</x:v>
      </x:c>
      <x:c r="L231" s="8" t="n">
        <x:f>INDEX('Сводка'!$S$3:$S$397,V231)</x:f>
        <x:v>-54</x:v>
      </x:c>
      <x:c r="M231" s="8" t="n">
        <x:f>INDEX($K$388:$N$400,W231,1)*((J231-$T$405+1)/1000)^INDEX($K$388:$N$400,W231,2)+INDEX($O$388:$Z$400,W231,MONTH(J231))</x:f>
        <x:v>-13.205818013327331</x:v>
      </x:c>
      <x:c r="N231" s="8" t="n">
        <x:f>K231-M231</x:f>
        <x:v>-41.79418198667267</x:v>
      </x:c>
      <x:c r="O231" s="8" t="n">
        <x:f>ABS(N231)</x:f>
        <x:v>41.79418198667267</x:v>
      </x:c>
      <x:c r="P231" s="8" t="n">
        <x:f>N231^2</x:f>
        <x:v>1746.7536479351143</x:v>
      </x:c>
      <x:c r="Q231" s="8" t="n">
        <x:f>K231-L231</x:f>
        <x:v>-1</x:v>
      </x:c>
      <x:c r="R231" s="9" t="n">
        <x:f>IF(AND(INDEX('Сводка'!$T$3:$T$397,U231)=0,INDEX('Сводка'!$T$3:$T$397,V231)=0),1,0)</x:f>
        <x:v>1</x:v>
      </x:c>
      <x:c r="S231" s="9" t="n">
        <x:f>IF(AND(R231=1,O231&lt;=$G$13),1,0)</x:f>
        <x:v>0</x:v>
      </x:c>
      <x:c r="T231" s="10" t="n">
        <x:f>EOMONTH(J231-'Сводка'!$B$11,-1)</x:f>
        <x:v>46053</x:v>
      </x:c>
      <x:c r="U231" s="4" t="n">
        <x:f>MATCH(J231,'Сводка'!$R$3:$R$397,0)</x:f>
        <x:v>242</x:v>
      </x:c>
      <x:c r="V231" s="4" t="n">
        <x:f>MATCH(J231-'Сводка'!$B$11,'Сводка'!$R$3:$R$397,0)</x:f>
        <x:v>241</x:v>
      </x:c>
      <x:c r="W231" s="4" t="n">
        <x:f>MATCH(T231,$J$388:$J$400,0)</x:f>
        <x:v>8</x:v>
      </x:c>
      <x:c r="X231" s="3"/>
      <x:c r="Y231" s="3"/>
      <x:c r="Z231" s="3"/>
    </x:row>
    <x:row r="232" ht="15" customHeight="1">
      <x:c r="A232" s="3"/>
      <x:c r="B232" s="3"/>
      <x:c r="C232" s="3"/>
      <x:c r="D232" s="3"/>
      <x:c r="E232" s="3"/>
      <x:c r="F232" s="3"/>
      <x:c r="G232" s="3"/>
      <x:c r="H232" s="3"/>
      <x:c r="I232" s="3"/>
      <x:c r="J232" s="10" t="n">
        <x:v>46083</x:v>
      </x:c>
      <x:c r="K232" s="8" t="n">
        <x:f>INDEX('Сводка'!$S$3:$S$397,U232)</x:f>
        <x:v>-57</x:v>
      </x:c>
      <x:c r="L232" s="8" t="n">
        <x:f>INDEX('Сводка'!$S$3:$S$397,V232)</x:f>
        <x:v>-55</x:v>
      </x:c>
      <x:c r="M232" s="8" t="n">
        <x:f>INDEX($K$388:$N$400,W232,1)*((J232-$T$405+1)/1000)^INDEX($K$388:$N$400,W232,2)+INDEX($O$388:$Z$400,W232,MONTH(J232))</x:f>
        <x:v>-13.83337591414238</x:v>
      </x:c>
      <x:c r="N232" s="8" t="n">
        <x:f>K232-M232</x:f>
        <x:v>-43.16662408585762</x:v>
      </x:c>
      <x:c r="O232" s="8" t="n">
        <x:f>ABS(N232)</x:f>
        <x:v>43.16662408585762</x:v>
      </x:c>
      <x:c r="P232" s="8" t="n">
        <x:f>N232^2</x:f>
        <x:v>1863.3574349697433</x:v>
      </x:c>
      <x:c r="Q232" s="8" t="n">
        <x:f>K232-L232</x:f>
        <x:v>-2</x:v>
      </x:c>
      <x:c r="R232" s="9" t="n">
        <x:f>IF(AND(INDEX('Сводка'!$T$3:$T$397,U232)=0,INDEX('Сводка'!$T$3:$T$397,V232)=0),1,0)</x:f>
        <x:v>1</x:v>
      </x:c>
      <x:c r="S232" s="9" t="n">
        <x:f>IF(AND(R232=1,O232&lt;=$G$13),1,0)</x:f>
        <x:v>0</x:v>
      </x:c>
      <x:c r="T232" s="10" t="n">
        <x:f>EOMONTH(J232-'Сводка'!$B$11,-1)</x:f>
        <x:v>46081</x:v>
      </x:c>
      <x:c r="U232" s="4" t="n">
        <x:f>MATCH(J232,'Сводка'!$R$3:$R$397,0)</x:f>
        <x:v>243</x:v>
      </x:c>
      <x:c r="V232" s="4" t="n">
        <x:f>MATCH(J232-'Сводка'!$B$11,'Сводка'!$R$3:$R$397,0)</x:f>
        <x:v>242</x:v>
      </x:c>
      <x:c r="W232" s="4" t="n">
        <x:f>MATCH(T232,$J$388:$J$400,0)</x:f>
        <x:v>9</x:v>
      </x:c>
      <x:c r="X232" s="3"/>
      <x:c r="Y232" s="3"/>
      <x:c r="Z232" s="3"/>
    </x:row>
    <x:row r="233" ht="15" customHeight="1">
      <x:c r="A233" s="3"/>
      <x:c r="B233" s="3"/>
      <x:c r="C233" s="3"/>
      <x:c r="D233" s="3"/>
      <x:c r="E233" s="3"/>
      <x:c r="F233" s="3"/>
      <x:c r="G233" s="3"/>
      <x:c r="H233" s="3"/>
      <x:c r="I233" s="3"/>
      <x:c r="J233" s="10" t="n">
        <x:v>46084</x:v>
      </x:c>
      <x:c r="K233" s="8" t="n">
        <x:f>INDEX('Сводка'!$S$3:$S$397,U233)</x:f>
        <x:v>-58</x:v>
      </x:c>
      <x:c r="L233" s="8" t="n">
        <x:f>INDEX('Сводка'!$S$3:$S$397,V233)</x:f>
        <x:v>-57</x:v>
      </x:c>
      <x:c r="M233" s="8" t="n">
        <x:f>INDEX($K$388:$N$400,W233,1)*((J233-$T$405+1)/1000)^INDEX($K$388:$N$400,W233,2)+INDEX($O$388:$Z$400,W233,MONTH(J233))</x:f>
        <x:v>-13.816686759244334</x:v>
      </x:c>
      <x:c r="N233" s="8" t="n">
        <x:f>K233-M233</x:f>
        <x:v>-44.183313240755666</x:v>
      </x:c>
      <x:c r="O233" s="8" t="n">
        <x:f>ABS(N233)</x:f>
        <x:v>44.183313240755666</x:v>
      </x:c>
      <x:c r="P233" s="8" t="n">
        <x:f>N233^2</x:f>
        <x:v>1952.165168930735</x:v>
      </x:c>
      <x:c r="Q233" s="8" t="n">
        <x:f>K233-L233</x:f>
        <x:v>-1</x:v>
      </x:c>
      <x:c r="R233" s="9" t="n">
        <x:f>IF(AND(INDEX('Сводка'!$T$3:$T$397,U233)=0,INDEX('Сводка'!$T$3:$T$397,V233)=0),1,0)</x:f>
        <x:v>1</x:v>
      </x:c>
      <x:c r="S233" s="9" t="n">
        <x:f>IF(AND(R233=1,O233&lt;=$G$13),1,0)</x:f>
        <x:v>0</x:v>
      </x:c>
      <x:c r="T233" s="10" t="n">
        <x:f>EOMONTH(J233-'Сводка'!$B$11,-1)</x:f>
        <x:v>46081</x:v>
      </x:c>
      <x:c r="U233" s="4" t="n">
        <x:f>MATCH(J233,'Сводка'!$R$3:$R$397,0)</x:f>
        <x:v>244</x:v>
      </x:c>
      <x:c r="V233" s="4" t="n">
        <x:f>MATCH(J233-'Сводка'!$B$11,'Сводка'!$R$3:$R$397,0)</x:f>
        <x:v>243</x:v>
      </x:c>
      <x:c r="W233" s="4" t="n">
        <x:f>MATCH(T233,$J$388:$J$400,0)</x:f>
        <x:v>9</x:v>
      </x:c>
      <x:c r="X233" s="3"/>
      <x:c r="Y233" s="3"/>
      <x:c r="Z233" s="3"/>
    </x:row>
    <x:row r="234" ht="15" customHeight="1">
      <x:c r="A234" s="3"/>
      <x:c r="B234" s="3"/>
      <x:c r="C234" s="3"/>
      <x:c r="D234" s="3"/>
      <x:c r="E234" s="3"/>
      <x:c r="F234" s="3"/>
      <x:c r="G234" s="3"/>
      <x:c r="H234" s="3"/>
      <x:c r="I234" s="3"/>
      <x:c r="J234" s="10" t="n">
        <x:v>46085</x:v>
      </x:c>
      <x:c r="K234" s="8" t="n">
        <x:f>INDEX('Сводка'!$S$3:$S$397,U234)</x:f>
        <x:v>-58</x:v>
      </x:c>
      <x:c r="L234" s="8" t="n">
        <x:f>INDEX('Сводка'!$S$3:$S$397,V234)</x:f>
        <x:v>-58</x:v>
      </x:c>
      <x:c r="M234" s="8" t="n">
        <x:f>INDEX($K$388:$N$400,W234,1)*((J234-$T$405+1)/1000)^INDEX($K$388:$N$400,W234,2)+INDEX($O$388:$Z$400,W234,MONTH(J234))</x:f>
        <x:v>-13.799997545536542</x:v>
      </x:c>
      <x:c r="N234" s="8" t="n">
        <x:f>K234-M234</x:f>
        <x:v>-44.20000245446346</x:v>
      </x:c>
      <x:c r="O234" s="8" t="n">
        <x:f>ABS(N234)</x:f>
        <x:v>44.20000245446346</x:v>
      </x:c>
      <x:c r="P234" s="8" t="n">
        <x:f>N234^2</x:f>
        <x:v>1953.6402169745757</x:v>
      </x:c>
      <x:c r="Q234" s="8" t="n">
        <x:f>K234-L234</x:f>
        <x:v>0</x:v>
      </x:c>
      <x:c r="R234" s="9" t="n">
        <x:f>IF(AND(INDEX('Сводка'!$T$3:$T$397,U234)=0,INDEX('Сводка'!$T$3:$T$397,V234)=0),1,0)</x:f>
        <x:v>1</x:v>
      </x:c>
      <x:c r="S234" s="9" t="n">
        <x:f>IF(AND(R234=1,O234&lt;=$G$13),1,0)</x:f>
        <x:v>0</x:v>
      </x:c>
      <x:c r="T234" s="10" t="n">
        <x:f>EOMONTH(J234-'Сводка'!$B$11,-1)</x:f>
        <x:v>46081</x:v>
      </x:c>
      <x:c r="U234" s="4" t="n">
        <x:f>MATCH(J234,'Сводка'!$R$3:$R$397,0)</x:f>
        <x:v>245</x:v>
      </x:c>
      <x:c r="V234" s="4" t="n">
        <x:f>MATCH(J234-'Сводка'!$B$11,'Сводка'!$R$3:$R$397,0)</x:f>
        <x:v>244</x:v>
      </x:c>
      <x:c r="W234" s="4" t="n">
        <x:f>MATCH(T234,$J$388:$J$400,0)</x:f>
        <x:v>9</x:v>
      </x:c>
      <x:c r="X234" s="3"/>
      <x:c r="Y234" s="3"/>
      <x:c r="Z234" s="3"/>
    </x:row>
    <x:row r="235" ht="15" customHeight="1">
      <x:c r="A235" s="3"/>
      <x:c r="B235" s="3"/>
      <x:c r="C235" s="3"/>
      <x:c r="D235" s="3"/>
      <x:c r="E235" s="3"/>
      <x:c r="F235" s="3"/>
      <x:c r="G235" s="3"/>
      <x:c r="H235" s="3"/>
      <x:c r="I235" s="3"/>
      <x:c r="J235" s="10" t="n">
        <x:v>46086</x:v>
      </x:c>
      <x:c r="K235" s="8" t="n">
        <x:f>INDEX('Сводка'!$S$3:$S$397,U235)</x:f>
        <x:v>-58</x:v>
      </x:c>
      <x:c r="L235" s="8" t="n">
        <x:f>INDEX('Сводка'!$S$3:$S$397,V235)</x:f>
        <x:v>-58</x:v>
      </x:c>
      <x:c r="M235" s="8" t="n">
        <x:f>INDEX($K$388:$N$400,W235,1)*((J235-$T$405+1)/1000)^INDEX($K$388:$N$400,W235,2)+INDEX($O$388:$Z$400,W235,MONTH(J235))</x:f>
        <x:v>-13.783308273025511</x:v>
      </x:c>
      <x:c r="N235" s="8" t="n">
        <x:f>K235-M235</x:f>
        <x:v>-44.21669172697449</x:v>
      </x:c>
      <x:c r="O235" s="8" t="n">
        <x:f>ABS(N235)</x:f>
        <x:v>44.21669172697449</x:v>
      </x:c>
      <x:c r="P235" s="8" t="n">
        <x:f>N235^2</x:f>
        <x:v>1955.115827278294</x:v>
      </x:c>
      <x:c r="Q235" s="8" t="n">
        <x:f>K235-L235</x:f>
        <x:v>0</x:v>
      </x:c>
      <x:c r="R235" s="9" t="n">
        <x:f>IF(AND(INDEX('Сводка'!$T$3:$T$397,U235)=0,INDEX('Сводка'!$T$3:$T$397,V235)=0),1,0)</x:f>
        <x:v>1</x:v>
      </x:c>
      <x:c r="S235" s="9" t="n">
        <x:f>IF(AND(R235=1,O235&lt;=$G$13),1,0)</x:f>
        <x:v>0</x:v>
      </x:c>
      <x:c r="T235" s="10" t="n">
        <x:f>EOMONTH(J235-'Сводка'!$B$11,-1)</x:f>
        <x:v>46081</x:v>
      </x:c>
      <x:c r="U235" s="4" t="n">
        <x:f>MATCH(J235,'Сводка'!$R$3:$R$397,0)</x:f>
        <x:v>246</x:v>
      </x:c>
      <x:c r="V235" s="4" t="n">
        <x:f>MATCH(J235-'Сводка'!$B$11,'Сводка'!$R$3:$R$397,0)</x:f>
        <x:v>245</x:v>
      </x:c>
      <x:c r="W235" s="4" t="n">
        <x:f>MATCH(T235,$J$388:$J$400,0)</x:f>
        <x:v>9</x:v>
      </x:c>
      <x:c r="X235" s="3"/>
      <x:c r="Y235" s="3"/>
      <x:c r="Z235" s="3"/>
    </x:row>
    <x:row r="236" ht="15" customHeight="1">
      <x:c r="A236" s="3"/>
      <x:c r="B236" s="3"/>
      <x:c r="C236" s="3"/>
      <x:c r="D236" s="3"/>
      <x:c r="E236" s="3"/>
      <x:c r="F236" s="3"/>
      <x:c r="G236" s="3"/>
      <x:c r="H236" s="3"/>
      <x:c r="I236" s="3"/>
      <x:c r="J236" s="10" t="n">
        <x:v>46087</x:v>
      </x:c>
      <x:c r="K236" s="8" t="n">
        <x:f>INDEX('Сводка'!$S$3:$S$397,U236)</x:f>
        <x:v>-57</x:v>
      </x:c>
      <x:c r="L236" s="8" t="n">
        <x:f>INDEX('Сводка'!$S$3:$S$397,V236)</x:f>
        <x:v>-58</x:v>
      </x:c>
      <x:c r="M236" s="8" t="n">
        <x:f>INDEX($K$388:$N$400,W236,1)*((J236-$T$405+1)/1000)^INDEX($K$388:$N$400,W236,2)+INDEX($O$388:$Z$400,W236,MONTH(J236))</x:f>
        <x:v>-13.766618941717638</x:v>
      </x:c>
      <x:c r="N236" s="8" t="n">
        <x:f>K236-M236</x:f>
        <x:v>-43.23338105828236</x:v>
      </x:c>
      <x:c r="O236" s="8" t="n">
        <x:f>ABS(N236)</x:f>
        <x:v>43.23338105828236</x:v>
      </x:c>
      <x:c r="P236" s="8" t="n">
        <x:f>N236^2</x:f>
        <x:v>1869.125237730648</x:v>
      </x:c>
      <x:c r="Q236" s="8" t="n">
        <x:f>K236-L236</x:f>
        <x:v>1</x:v>
      </x:c>
      <x:c r="R236" s="9" t="n">
        <x:f>IF(AND(INDEX('Сводка'!$T$3:$T$397,U236)=0,INDEX('Сводка'!$T$3:$T$397,V236)=0),1,0)</x:f>
        <x:v>1</x:v>
      </x:c>
      <x:c r="S236" s="9" t="n">
        <x:f>IF(AND(R236=1,O236&lt;=$G$13),1,0)</x:f>
        <x:v>0</x:v>
      </x:c>
      <x:c r="T236" s="10" t="n">
        <x:f>EOMONTH(J236-'Сводка'!$B$11,-1)</x:f>
        <x:v>46081</x:v>
      </x:c>
      <x:c r="U236" s="4" t="n">
        <x:f>MATCH(J236,'Сводка'!$R$3:$R$397,0)</x:f>
        <x:v>247</x:v>
      </x:c>
      <x:c r="V236" s="4" t="n">
        <x:f>MATCH(J236-'Сводка'!$B$11,'Сводка'!$R$3:$R$397,0)</x:f>
        <x:v>246</x:v>
      </x:c>
      <x:c r="W236" s="4" t="n">
        <x:f>MATCH(T236,$J$388:$J$400,0)</x:f>
        <x:v>9</x:v>
      </x:c>
      <x:c r="X236" s="3"/>
      <x:c r="Y236" s="3"/>
      <x:c r="Z236" s="3"/>
    </x:row>
    <x:row r="237" ht="15" customHeight="1">
      <x:c r="A237" s="3"/>
      <x:c r="B237" s="3"/>
      <x:c r="C237" s="3"/>
      <x:c r="D237" s="3"/>
      <x:c r="E237" s="3"/>
      <x:c r="F237" s="3"/>
      <x:c r="G237" s="3"/>
      <x:c r="H237" s="3"/>
      <x:c r="I237" s="3"/>
      <x:c r="J237" s="10" t="n">
        <x:v>46088</x:v>
      </x:c>
      <x:c r="K237" s="8" t="n">
        <x:f>INDEX('Сводка'!$S$3:$S$397,U237)</x:f>
        <x:v>-57</x:v>
      </x:c>
      <x:c r="L237" s="8" t="n">
        <x:f>INDEX('Сводка'!$S$3:$S$397,V237)</x:f>
        <x:v>-57</x:v>
      </x:c>
      <x:c r="M237" s="8" t="n">
        <x:f>INDEX($K$388:$N$400,W237,1)*((J237-$T$405+1)/1000)^INDEX($K$388:$N$400,W237,2)+INDEX($O$388:$Z$400,W237,MONTH(J237))</x:f>
        <x:v>-13.749929551619374</x:v>
      </x:c>
      <x:c r="N237" s="8" t="n">
        <x:f>K237-M237</x:f>
        <x:v>-43.250070448380626</x:v>
      </x:c>
      <x:c r="O237" s="8" t="n">
        <x:f>ABS(N237)</x:f>
        <x:v>43.250070448380626</x:v>
      </x:c>
      <x:c r="P237" s="8" t="n">
        <x:f>N237^2</x:f>
        <x:v>1870.568593789887</x:v>
      </x:c>
      <x:c r="Q237" s="8" t="n">
        <x:f>K237-L237</x:f>
        <x:v>0</x:v>
      </x:c>
      <x:c r="R237" s="9" t="n">
        <x:f>IF(AND(INDEX('Сводка'!$T$3:$T$397,U237)=0,INDEX('Сводка'!$T$3:$T$397,V237)=0),1,0)</x:f>
        <x:v>1</x:v>
      </x:c>
      <x:c r="S237" s="9" t="n">
        <x:f>IF(AND(R237=1,O237&lt;=$G$13),1,0)</x:f>
        <x:v>0</x:v>
      </x:c>
      <x:c r="T237" s="10" t="n">
        <x:f>EOMONTH(J237-'Сводка'!$B$11,-1)</x:f>
        <x:v>46081</x:v>
      </x:c>
      <x:c r="U237" s="4" t="n">
        <x:f>MATCH(J237,'Сводка'!$R$3:$R$397,0)</x:f>
        <x:v>248</x:v>
      </x:c>
      <x:c r="V237" s="4" t="n">
        <x:f>MATCH(J237-'Сводка'!$B$11,'Сводка'!$R$3:$R$397,0)</x:f>
        <x:v>247</x:v>
      </x:c>
      <x:c r="W237" s="4" t="n">
        <x:f>MATCH(T237,$J$388:$J$400,0)</x:f>
        <x:v>9</x:v>
      </x:c>
      <x:c r="X237" s="3"/>
      <x:c r="Y237" s="3"/>
      <x:c r="Z237" s="3"/>
    </x:row>
    <x:row r="238" ht="15" customHeight="1">
      <x:c r="A238" s="3"/>
      <x:c r="B238" s="3"/>
      <x:c r="C238" s="3"/>
      <x:c r="D238" s="3"/>
      <x:c r="E238" s="3"/>
      <x:c r="F238" s="3"/>
      <x:c r="G238" s="3"/>
      <x:c r="H238" s="3"/>
      <x:c r="I238" s="3"/>
      <x:c r="J238" s="10" t="n">
        <x:v>46089</x:v>
      </x:c>
      <x:c r="K238" s="8" t="n">
        <x:f>INDEX('Сводка'!$S$3:$S$397,U238)</x:f>
        <x:v>-59</x:v>
      </x:c>
      <x:c r="L238" s="8" t="n">
        <x:f>INDEX('Сводка'!$S$3:$S$397,V238)</x:f>
        <x:v>-57</x:v>
      </x:c>
      <x:c r="M238" s="8" t="n">
        <x:f>INDEX($K$388:$N$400,W238,1)*((J238-$T$405+1)/1000)^INDEX($K$388:$N$400,W238,2)+INDEX($O$388:$Z$400,W238,MONTH(J238))</x:f>
        <x:v>-13.733240102737255</x:v>
      </x:c>
      <x:c r="N238" s="8" t="n">
        <x:f>K238-M238</x:f>
        <x:v>-45.266759897262745</x:v>
      </x:c>
      <x:c r="O238" s="8" t="n">
        <x:f>ABS(N238)</x:f>
        <x:v>45.266759897262745</x:v>
      </x:c>
      <x:c r="P238" s="8" t="n">
        <x:f>N238^2</x:f>
        <x:v>2049.0795515964346</x:v>
      </x:c>
      <x:c r="Q238" s="8" t="n">
        <x:f>K238-L238</x:f>
        <x:v>-2</x:v>
      </x:c>
      <x:c r="R238" s="9" t="n">
        <x:f>IF(AND(INDEX('Сводка'!$T$3:$T$397,U238)=0,INDEX('Сводка'!$T$3:$T$397,V238)=0),1,0)</x:f>
        <x:v>1</x:v>
      </x:c>
      <x:c r="S238" s="9" t="n">
        <x:f>IF(AND(R238=1,O238&lt;=$G$13),1,0)</x:f>
        <x:v>0</x:v>
      </x:c>
      <x:c r="T238" s="10" t="n">
        <x:f>EOMONTH(J238-'Сводка'!$B$11,-1)</x:f>
        <x:v>46081</x:v>
      </x:c>
      <x:c r="U238" s="4" t="n">
        <x:f>MATCH(J238,'Сводка'!$R$3:$R$397,0)</x:f>
        <x:v>249</x:v>
      </x:c>
      <x:c r="V238" s="4" t="n">
        <x:f>MATCH(J238-'Сводка'!$B$11,'Сводка'!$R$3:$R$397,0)</x:f>
        <x:v>248</x:v>
      </x:c>
      <x:c r="W238" s="4" t="n">
        <x:f>MATCH(T238,$J$388:$J$400,0)</x:f>
        <x:v>9</x:v>
      </x:c>
      <x:c r="X238" s="3"/>
      <x:c r="Y238" s="3"/>
      <x:c r="Z238" s="3"/>
    </x:row>
    <x:row r="239" ht="15" customHeight="1">
      <x:c r="A239" s="3"/>
      <x:c r="B239" s="3"/>
      <x:c r="C239" s="3"/>
      <x:c r="D239" s="3"/>
      <x:c r="E239" s="3"/>
      <x:c r="F239" s="3"/>
      <x:c r="G239" s="3"/>
      <x:c r="H239" s="3"/>
      <x:c r="I239" s="3"/>
      <x:c r="J239" s="10" t="n">
        <x:v>46090</x:v>
      </x:c>
      <x:c r="K239" s="8" t="n">
        <x:f>INDEX('Сводка'!$S$3:$S$397,U239)</x:f>
        <x:v>-61</x:v>
      </x:c>
      <x:c r="L239" s="8" t="n">
        <x:f>INDEX('Сводка'!$S$3:$S$397,V239)</x:f>
        <x:v>-59</x:v>
      </x:c>
      <x:c r="M239" s="8" t="n">
        <x:f>INDEX($K$388:$N$400,W239,1)*((J239-$T$405+1)/1000)^INDEX($K$388:$N$400,W239,2)+INDEX($O$388:$Z$400,W239,MONTH(J239))</x:f>
        <x:v>-13.71655059507765</x:v>
      </x:c>
      <x:c r="N239" s="8" t="n">
        <x:f>K239-M239</x:f>
        <x:v>-47.28344940492235</x:v>
      </x:c>
      <x:c r="O239" s="8" t="n">
        <x:f>ABS(N239)</x:f>
        <x:v>47.28344940492235</x:v>
      </x:c>
      <x:c r="P239" s="8" t="n">
        <x:f>N239^2</x:f>
        <x:v>2235.7245876278516</x:v>
      </x:c>
      <x:c r="Q239" s="8" t="n">
        <x:f>K239-L239</x:f>
        <x:v>-2</x:v>
      </x:c>
      <x:c r="R239" s="9" t="n">
        <x:f>IF(AND(INDEX('Сводка'!$T$3:$T$397,U239)=0,INDEX('Сводка'!$T$3:$T$397,V239)=0),1,0)</x:f>
        <x:v>1</x:v>
      </x:c>
      <x:c r="S239" s="9" t="n">
        <x:f>IF(AND(R239=1,O239&lt;=$G$13),1,0)</x:f>
        <x:v>0</x:v>
      </x:c>
      <x:c r="T239" s="10" t="n">
        <x:f>EOMONTH(J239-'Сводка'!$B$11,-1)</x:f>
        <x:v>46081</x:v>
      </x:c>
      <x:c r="U239" s="4" t="n">
        <x:f>MATCH(J239,'Сводка'!$R$3:$R$397,0)</x:f>
        <x:v>250</x:v>
      </x:c>
      <x:c r="V239" s="4" t="n">
        <x:f>MATCH(J239-'Сводка'!$B$11,'Сводка'!$R$3:$R$397,0)</x:f>
        <x:v>249</x:v>
      </x:c>
      <x:c r="W239" s="4" t="n">
        <x:f>MATCH(T239,$J$388:$J$400,0)</x:f>
        <x:v>9</x:v>
      </x:c>
      <x:c r="X239" s="3"/>
      <x:c r="Y239" s="3"/>
      <x:c r="Z239" s="3"/>
    </x:row>
    <x:row r="240" ht="15" customHeight="1">
      <x:c r="A240" s="3"/>
      <x:c r="B240" s="3"/>
      <x:c r="C240" s="3"/>
      <x:c r="D240" s="3"/>
      <x:c r="E240" s="3"/>
      <x:c r="F240" s="3"/>
      <x:c r="G240" s="3"/>
      <x:c r="H240" s="3"/>
      <x:c r="I240" s="3"/>
      <x:c r="J240" s="10" t="n">
        <x:v>46091</x:v>
      </x:c>
      <x:c r="K240" s="8" t="n">
        <x:f>INDEX('Сводка'!$S$3:$S$397,U240)</x:f>
        <x:v>-64</x:v>
      </x:c>
      <x:c r="L240" s="8" t="n">
        <x:f>INDEX('Сводка'!$S$3:$S$397,V240)</x:f>
        <x:v>-61</x:v>
      </x:c>
      <x:c r="M240" s="8" t="n">
        <x:f>INDEX($K$388:$N$400,W240,1)*((J240-$T$405+1)/1000)^INDEX($K$388:$N$400,W240,2)+INDEX($O$388:$Z$400,W240,MONTH(J240))</x:f>
        <x:v>-13.699861028647007</x:v>
      </x:c>
      <x:c r="N240" s="8" t="n">
        <x:f>K240-M240</x:f>
        <x:v>-50.30013897135299</x:v>
      </x:c>
      <x:c r="O240" s="8" t="n">
        <x:f>ABS(N240)</x:f>
        <x:v>50.30013897135299</x:v>
      </x:c>
      <x:c r="P240" s="8" t="n">
        <x:f>N240^2</x:f>
        <x:v>2530.103980537424</x:v>
      </x:c>
      <x:c r="Q240" s="8" t="n">
        <x:f>K240-L240</x:f>
        <x:v>-3</x:v>
      </x:c>
      <x:c r="R240" s="9" t="n">
        <x:f>IF(AND(INDEX('Сводка'!$T$3:$T$397,U240)=0,INDEX('Сводка'!$T$3:$T$397,V240)=0),1,0)</x:f>
        <x:v>1</x:v>
      </x:c>
      <x:c r="S240" s="9" t="n">
        <x:f>IF(AND(R240=1,O240&lt;=$G$13),1,0)</x:f>
        <x:v>0</x:v>
      </x:c>
      <x:c r="T240" s="10" t="n">
        <x:f>EOMONTH(J240-'Сводка'!$B$11,-1)</x:f>
        <x:v>46081</x:v>
      </x:c>
      <x:c r="U240" s="4" t="n">
        <x:f>MATCH(J240,'Сводка'!$R$3:$R$397,0)</x:f>
        <x:v>251</x:v>
      </x:c>
      <x:c r="V240" s="4" t="n">
        <x:f>MATCH(J240-'Сводка'!$B$11,'Сводка'!$R$3:$R$397,0)</x:f>
        <x:v>250</x:v>
      </x:c>
      <x:c r="W240" s="4" t="n">
        <x:f>MATCH(T240,$J$388:$J$400,0)</x:f>
        <x:v>9</x:v>
      </x:c>
      <x:c r="X240" s="3"/>
      <x:c r="Y240" s="3"/>
      <x:c r="Z240" s="3"/>
    </x:row>
    <x:row r="241" ht="15" customHeight="1">
      <x:c r="A241" s="3"/>
      <x:c r="B241" s="3"/>
      <x:c r="C241" s="3"/>
      <x:c r="D241" s="3"/>
      <x:c r="E241" s="3"/>
      <x:c r="F241" s="3"/>
      <x:c r="G241" s="3"/>
      <x:c r="H241" s="3"/>
      <x:c r="I241" s="3"/>
      <x:c r="J241" s="10" t="n">
        <x:v>46092</x:v>
      </x:c>
      <x:c r="K241" s="8" t="n">
        <x:f>INDEX('Сводка'!$S$3:$S$397,U241)</x:f>
        <x:v>-69</x:v>
      </x:c>
      <x:c r="L241" s="8" t="n">
        <x:f>INDEX('Сводка'!$S$3:$S$397,V241)</x:f>
        <x:v>-64</x:v>
      </x:c>
      <x:c r="M241" s="8" t="n">
        <x:f>INDEX($K$388:$N$400,W241,1)*((J241-$T$405+1)/1000)^INDEX($K$388:$N$400,W241,2)+INDEX($O$388:$Z$400,W241,MONTH(J241))</x:f>
        <x:v>-13.683171403451809</x:v>
      </x:c>
      <x:c r="N241" s="8" t="n">
        <x:f>K241-M241</x:f>
        <x:v>-55.31682859654819</x:v>
      </x:c>
      <x:c r="O241" s="8" t="n">
        <x:f>ABS(N241)</x:f>
        <x:v>55.31682859654819</x:v>
      </x:c>
      <x:c r="P241" s="8" t="n">
        <x:f>N241^2</x:f>
        <x:v>3059.951525979892</x:v>
      </x:c>
      <x:c r="Q241" s="8" t="n">
        <x:f>K241-L241</x:f>
        <x:v>-5</x:v>
      </x:c>
      <x:c r="R241" s="9" t="n">
        <x:f>IF(AND(INDEX('Сводка'!$T$3:$T$397,U241)=0,INDEX('Сводка'!$T$3:$T$397,V241)=0),1,0)</x:f>
        <x:v>1</x:v>
      </x:c>
      <x:c r="S241" s="9" t="n">
        <x:f>IF(AND(R241=1,O241&lt;=$G$13),1,0)</x:f>
        <x:v>0</x:v>
      </x:c>
      <x:c r="T241" s="10" t="n">
        <x:f>EOMONTH(J241-'Сводка'!$B$11,-1)</x:f>
        <x:v>46081</x:v>
      </x:c>
      <x:c r="U241" s="4" t="n">
        <x:f>MATCH(J241,'Сводка'!$R$3:$R$397,0)</x:f>
        <x:v>252</x:v>
      </x:c>
      <x:c r="V241" s="4" t="n">
        <x:f>MATCH(J241-'Сводка'!$B$11,'Сводка'!$R$3:$R$397,0)</x:f>
        <x:v>251</x:v>
      </x:c>
      <x:c r="W241" s="4" t="n">
        <x:f>MATCH(T241,$J$388:$J$400,0)</x:f>
        <x:v>9</x:v>
      </x:c>
      <x:c r="X241" s="3"/>
      <x:c r="Y241" s="3"/>
      <x:c r="Z241" s="3"/>
    </x:row>
    <x:row r="242" ht="15" customHeight="1">
      <x:c r="A242" s="3"/>
      <x:c r="B242" s="3"/>
      <x:c r="C242" s="3"/>
      <x:c r="D242" s="3"/>
      <x:c r="E242" s="3"/>
      <x:c r="F242" s="3"/>
      <x:c r="G242" s="3"/>
      <x:c r="H242" s="3"/>
      <x:c r="I242" s="3"/>
      <x:c r="J242" s="10" t="n">
        <x:v>46093</x:v>
      </x:c>
      <x:c r="K242" s="8" t="n">
        <x:f>INDEX('Сводка'!$S$3:$S$397,U242)</x:f>
        <x:v>-73</x:v>
      </x:c>
      <x:c r="L242" s="8" t="n">
        <x:f>INDEX('Сводка'!$S$3:$S$397,V242)</x:f>
        <x:v>-69</x:v>
      </x:c>
      <x:c r="M242" s="8" t="n">
        <x:f>INDEX($K$388:$N$400,W242,1)*((J242-$T$405+1)/1000)^INDEX($K$388:$N$400,W242,2)+INDEX($O$388:$Z$400,W242,MONTH(J242))</x:f>
        <x:v>-13.666481719498478</x:v>
      </x:c>
      <x:c r="N242" s="8" t="n">
        <x:f>K242-M242</x:f>
        <x:v>-59.33351828050152</x:v>
      </x:c>
      <x:c r="O242" s="8" t="n">
        <x:f>ABS(N242)</x:f>
        <x:v>59.33351828050152</x:v>
      </x:c>
      <x:c r="P242" s="8" t="n">
        <x:f>N242^2</x:f>
        <x:v>3520.466391542608</x:v>
      </x:c>
      <x:c r="Q242" s="8" t="n">
        <x:f>K242-L242</x:f>
        <x:v>-4</x:v>
      </x:c>
      <x:c r="R242" s="9" t="n">
        <x:f>IF(AND(INDEX('Сводка'!$T$3:$T$397,U242)=0,INDEX('Сводка'!$T$3:$T$397,V242)=0),1,0)</x:f>
        <x:v>1</x:v>
      </x:c>
      <x:c r="S242" s="9" t="n">
        <x:f>IF(AND(R242=1,O242&lt;=$G$13),1,0)</x:f>
        <x:v>0</x:v>
      </x:c>
      <x:c r="T242" s="10" t="n">
        <x:f>EOMONTH(J242-'Сводка'!$B$11,-1)</x:f>
        <x:v>46081</x:v>
      </x:c>
      <x:c r="U242" s="4" t="n">
        <x:f>MATCH(J242,'Сводка'!$R$3:$R$397,0)</x:f>
        <x:v>253</x:v>
      </x:c>
      <x:c r="V242" s="4" t="n">
        <x:f>MATCH(J242-'Сводка'!$B$11,'Сводка'!$R$3:$R$397,0)</x:f>
        <x:v>252</x:v>
      </x:c>
      <x:c r="W242" s="4" t="n">
        <x:f>MATCH(T242,$J$388:$J$400,0)</x:f>
        <x:v>9</x:v>
      </x:c>
      <x:c r="X242" s="3"/>
      <x:c r="Y242" s="3"/>
      <x:c r="Z242" s="3"/>
    </x:row>
    <x:row r="243" ht="15" customHeight="1">
      <x:c r="A243" s="3"/>
      <x:c r="B243" s="3"/>
      <x:c r="C243" s="3"/>
      <x:c r="D243" s="3"/>
      <x:c r="E243" s="3"/>
      <x:c r="F243" s="3"/>
      <x:c r="G243" s="3"/>
      <x:c r="H243" s="3"/>
      <x:c r="I243" s="3"/>
      <x:c r="J243" s="10" t="n">
        <x:v>46094</x:v>
      </x:c>
      <x:c r="K243" s="8" t="n">
        <x:f>INDEX('Сводка'!$S$3:$S$397,U243)</x:f>
        <x:v>-73</x:v>
      </x:c>
      <x:c r="L243" s="8" t="n">
        <x:f>INDEX('Сводка'!$S$3:$S$397,V243)</x:f>
        <x:v>-73</x:v>
      </x:c>
      <x:c r="M243" s="8" t="n">
        <x:f>INDEX($K$388:$N$400,W243,1)*((J243-$T$405+1)/1000)^INDEX($K$388:$N$400,W243,2)+INDEX($O$388:$Z$400,W243,MONTH(J243))</x:f>
        <x:v>-13.649791976793466</x:v>
      </x:c>
      <x:c r="N243" s="8" t="n">
        <x:f>K243-M243</x:f>
        <x:v>-59.350208023206534</x:v>
      </x:c>
      <x:c r="O243" s="8" t="n">
        <x:f>ABS(N243)</x:f>
        <x:v>59.350208023206534</x:v>
      </x:c>
      <x:c r="P243" s="8" t="n">
        <x:f>N243^2</x:f>
        <x:v>3522.447192397889</x:v>
      </x:c>
      <x:c r="Q243" s="8" t="n">
        <x:f>K243-L243</x:f>
        <x:v>0</x:v>
      </x:c>
      <x:c r="R243" s="9" t="n">
        <x:f>IF(AND(INDEX('Сводка'!$T$3:$T$397,U243)=0,INDEX('Сводка'!$T$3:$T$397,V243)=0),1,0)</x:f>
        <x:v>1</x:v>
      </x:c>
      <x:c r="S243" s="9" t="n">
        <x:f>IF(AND(R243=1,O243&lt;=$G$13),1,0)</x:f>
        <x:v>0</x:v>
      </x:c>
      <x:c r="T243" s="10" t="n">
        <x:f>EOMONTH(J243-'Сводка'!$B$11,-1)</x:f>
        <x:v>46081</x:v>
      </x:c>
      <x:c r="U243" s="4" t="n">
        <x:f>MATCH(J243,'Сводка'!$R$3:$R$397,0)</x:f>
        <x:v>254</x:v>
      </x:c>
      <x:c r="V243" s="4" t="n">
        <x:f>MATCH(J243-'Сводка'!$B$11,'Сводка'!$R$3:$R$397,0)</x:f>
        <x:v>253</x:v>
      </x:c>
      <x:c r="W243" s="4" t="n">
        <x:f>MATCH(T243,$J$388:$J$400,0)</x:f>
        <x:v>9</x:v>
      </x:c>
      <x:c r="X243" s="3"/>
      <x:c r="Y243" s="3"/>
      <x:c r="Z243" s="3"/>
    </x:row>
    <x:row r="244" ht="15" customHeight="1">
      <x:c r="A244" s="3"/>
      <x:c r="B244" s="3"/>
      <x:c r="C244" s="3"/>
      <x:c r="D244" s="3"/>
      <x:c r="E244" s="3"/>
      <x:c r="F244" s="3"/>
      <x:c r="G244" s="3"/>
      <x:c r="H244" s="3"/>
      <x:c r="I244" s="3"/>
      <x:c r="J244" s="10" t="n">
        <x:v>46095</x:v>
      </x:c>
      <x:c r="K244" s="8" t="n">
        <x:f>INDEX('Сводка'!$S$3:$S$397,U244)</x:f>
        <x:v>-75</x:v>
      </x:c>
      <x:c r="L244" s="8" t="n">
        <x:f>INDEX('Сводка'!$S$3:$S$397,V244)</x:f>
        <x:v>-73</x:v>
      </x:c>
      <x:c r="M244" s="8" t="n">
        <x:f>INDEX($K$388:$N$400,W244,1)*((J244-$T$405+1)/1000)^INDEX($K$388:$N$400,W244,2)+INDEX($O$388:$Z$400,W244,MONTH(J244))</x:f>
        <x:v>-13.633102175343168</x:v>
      </x:c>
      <x:c r="N244" s="8" t="n">
        <x:f>K244-M244</x:f>
        <x:v>-61.36689782465683</x:v>
      </x:c>
      <x:c r="O244" s="8" t="n">
        <x:f>ABS(N244)</x:f>
        <x:v>61.36689782465683</x:v>
      </x:c>
      <x:c r="P244" s="8" t="n">
        <x:f>N244^2</x:f>
        <x:v>3765.8961486218714</x:v>
      </x:c>
      <x:c r="Q244" s="8" t="n">
        <x:f>K244-L244</x:f>
        <x:v>-2</x:v>
      </x:c>
      <x:c r="R244" s="9" t="n">
        <x:f>IF(AND(INDEX('Сводка'!$T$3:$T$397,U244)=0,INDEX('Сводка'!$T$3:$T$397,V244)=0),1,0)</x:f>
        <x:v>1</x:v>
      </x:c>
      <x:c r="S244" s="9" t="n">
        <x:f>IF(AND(R244=1,O244&lt;=$G$13),1,0)</x:f>
        <x:v>0</x:v>
      </x:c>
      <x:c r="T244" s="10" t="n">
        <x:f>EOMONTH(J244-'Сводка'!$B$11,-1)</x:f>
        <x:v>46081</x:v>
      </x:c>
      <x:c r="U244" s="4" t="n">
        <x:f>MATCH(J244,'Сводка'!$R$3:$R$397,0)</x:f>
        <x:v>255</x:v>
      </x:c>
      <x:c r="V244" s="4" t="n">
        <x:f>MATCH(J244-'Сводка'!$B$11,'Сводка'!$R$3:$R$397,0)</x:f>
        <x:v>254</x:v>
      </x:c>
      <x:c r="W244" s="4" t="n">
        <x:f>MATCH(T244,$J$388:$J$400,0)</x:f>
        <x:v>9</x:v>
      </x:c>
      <x:c r="X244" s="3"/>
      <x:c r="Y244" s="3"/>
      <x:c r="Z244" s="3"/>
    </x:row>
    <x:row r="245" ht="15" customHeight="1">
      <x:c r="A245" s="3"/>
      <x:c r="B245" s="3"/>
      <x:c r="C245" s="3"/>
      <x:c r="D245" s="3"/>
      <x:c r="E245" s="3"/>
      <x:c r="F245" s="3"/>
      <x:c r="G245" s="3"/>
      <x:c r="H245" s="3"/>
      <x:c r="I245" s="3"/>
      <x:c r="J245" s="10" t="n">
        <x:v>46096</x:v>
      </x:c>
      <x:c r="K245" s="8" t="n">
        <x:f>INDEX('Сводка'!$S$3:$S$397,U245)</x:f>
        <x:v>-76</x:v>
      </x:c>
      <x:c r="L245" s="8" t="n">
        <x:f>INDEX('Сводка'!$S$3:$S$397,V245)</x:f>
        <x:v>-75</x:v>
      </x:c>
      <x:c r="M245" s="8" t="n">
        <x:f>INDEX($K$388:$N$400,W245,1)*((J245-$T$405+1)/1000)^INDEX($K$388:$N$400,W245,2)+INDEX($O$388:$Z$400,W245,MONTH(J245))</x:f>
        <x:v>-13.616412315154093</x:v>
      </x:c>
      <x:c r="N245" s="8" t="n">
        <x:f>K245-M245</x:f>
        <x:v>-62.38358768484591</x:v>
      </x:c>
      <x:c r="O245" s="8" t="n">
        <x:f>ABS(N245)</x:f>
        <x:v>62.38358768484591</x:v>
      </x:c>
      <x:c r="P245" s="8" t="n">
        <x:f>N245^2</x:f>
        <x:v>3891.712012432858</x:v>
      </x:c>
      <x:c r="Q245" s="8" t="n">
        <x:f>K245-L245</x:f>
        <x:v>-1</x:v>
      </x:c>
      <x:c r="R245" s="9" t="n">
        <x:f>IF(AND(INDEX('Сводка'!$T$3:$T$397,U245)=0,INDEX('Сводка'!$T$3:$T$397,V245)=0),1,0)</x:f>
        <x:v>1</x:v>
      </x:c>
      <x:c r="S245" s="9" t="n">
        <x:f>IF(AND(R245=1,O245&lt;=$G$13),1,0)</x:f>
        <x:v>0</x:v>
      </x:c>
      <x:c r="T245" s="10" t="n">
        <x:f>EOMONTH(J245-'Сводка'!$B$11,-1)</x:f>
        <x:v>46081</x:v>
      </x:c>
      <x:c r="U245" s="4" t="n">
        <x:f>MATCH(J245,'Сводка'!$R$3:$R$397,0)</x:f>
        <x:v>256</x:v>
      </x:c>
      <x:c r="V245" s="4" t="n">
        <x:f>MATCH(J245-'Сводка'!$B$11,'Сводка'!$R$3:$R$397,0)</x:f>
        <x:v>255</x:v>
      </x:c>
      <x:c r="W245" s="4" t="n">
        <x:f>MATCH(T245,$J$388:$J$400,0)</x:f>
        <x:v>9</x:v>
      </x:c>
      <x:c r="X245" s="3"/>
      <x:c r="Y245" s="3"/>
      <x:c r="Z245" s="3"/>
    </x:row>
    <x:row r="246" ht="15" customHeight="1">
      <x:c r="A246" s="3"/>
      <x:c r="B246" s="3"/>
      <x:c r="C246" s="3"/>
      <x:c r="D246" s="3"/>
      <x:c r="E246" s="3"/>
      <x:c r="F246" s="3"/>
      <x:c r="G246" s="3"/>
      <x:c r="H246" s="3"/>
      <x:c r="I246" s="3"/>
      <x:c r="J246" s="10" t="n">
        <x:v>46097</x:v>
      </x:c>
      <x:c r="K246" s="8" t="n">
        <x:f>INDEX('Сводка'!$S$3:$S$397,U246)</x:f>
        <x:v>-76</x:v>
      </x:c>
      <x:c r="L246" s="8" t="n">
        <x:f>INDEX('Сводка'!$S$3:$S$397,V246)</x:f>
        <x:v>-76</x:v>
      </x:c>
      <x:c r="M246" s="8" t="n">
        <x:f>INDEX($K$388:$N$400,W246,1)*((J246-$T$405+1)/1000)^INDEX($K$388:$N$400,W246,2)+INDEX($O$388:$Z$400,W246,MONTH(J246))</x:f>
        <x:v>-13.599722396232664</x:v>
      </x:c>
      <x:c r="N246" s="8" t="n">
        <x:f>K246-M246</x:f>
        <x:v>-62.400277603767336</x:v>
      </x:c>
      <x:c r="O246" s="8" t="n">
        <x:f>ABS(N246)</x:f>
        <x:v>62.400277603767336</x:v>
      </x:c>
      <x:c r="P246" s="8" t="n">
        <x:f>N246^2</x:f>
        <x:v>3893.7946450272275</x:v>
      </x:c>
      <x:c r="Q246" s="8" t="n">
        <x:f>K246-L246</x:f>
        <x:v>0</x:v>
      </x:c>
      <x:c r="R246" s="9" t="n">
        <x:f>IF(AND(INDEX('Сводка'!$T$3:$T$397,U246)=0,INDEX('Сводка'!$T$3:$T$397,V246)=0),1,0)</x:f>
        <x:v>1</x:v>
      </x:c>
      <x:c r="S246" s="9" t="n">
        <x:f>IF(AND(R246=1,O246&lt;=$G$13),1,0)</x:f>
        <x:v>0</x:v>
      </x:c>
      <x:c r="T246" s="10" t="n">
        <x:f>EOMONTH(J246-'Сводка'!$B$11,-1)</x:f>
        <x:v>46081</x:v>
      </x:c>
      <x:c r="U246" s="4" t="n">
        <x:f>MATCH(J246,'Сводка'!$R$3:$R$397,0)</x:f>
        <x:v>257</x:v>
      </x:c>
      <x:c r="V246" s="4" t="n">
        <x:f>MATCH(J246-'Сводка'!$B$11,'Сводка'!$R$3:$R$397,0)</x:f>
        <x:v>256</x:v>
      </x:c>
      <x:c r="W246" s="4" t="n">
        <x:f>MATCH(T246,$J$388:$J$400,0)</x:f>
        <x:v>9</x:v>
      </x:c>
      <x:c r="X246" s="3"/>
      <x:c r="Y246" s="3"/>
      <x:c r="Z246" s="3"/>
    </x:row>
    <x:row r="247" ht="15" customHeight="1">
      <x:c r="A247" s="3"/>
      <x:c r="B247" s="3"/>
      <x:c r="C247" s="3"/>
      <x:c r="D247" s="3"/>
      <x:c r="E247" s="3"/>
      <x:c r="F247" s="3"/>
      <x:c r="G247" s="3"/>
      <x:c r="H247" s="3"/>
      <x:c r="I247" s="3"/>
      <x:c r="J247" s="10" t="n">
        <x:v>46098</x:v>
      </x:c>
      <x:c r="K247" s="8" t="n">
        <x:f>INDEX('Сводка'!$S$3:$S$397,U247)</x:f>
        <x:v>-76</x:v>
      </x:c>
      <x:c r="L247" s="8" t="n">
        <x:f>INDEX('Сводка'!$S$3:$S$397,V247)</x:f>
        <x:v>-76</x:v>
      </x:c>
      <x:c r="M247" s="8" t="n">
        <x:f>INDEX($K$388:$N$400,W247,1)*((J247-$T$405+1)/1000)^INDEX($K$388:$N$400,W247,2)+INDEX($O$388:$Z$400,W247,MONTH(J247))</x:f>
        <x:v>-13.583032418585276</x:v>
      </x:c>
      <x:c r="N247" s="8" t="n">
        <x:f>K247-M247</x:f>
        <x:v>-62.416967581414724</x:v>
      </x:c>
      <x:c r="O247" s="8" t="n">
        <x:f>ABS(N247)</x:f>
        <x:v>62.416967581414724</x:v>
      </x:c>
      <x:c r="P247" s="8" t="n">
        <x:f>N247^2</x:f>
        <x:v>3895.8778420593767</x:v>
      </x:c>
      <x:c r="Q247" s="8" t="n">
        <x:f>K247-L247</x:f>
        <x:v>0</x:v>
      </x:c>
      <x:c r="R247" s="9" t="n">
        <x:f>IF(AND(INDEX('Сводка'!$T$3:$T$397,U247)=0,INDEX('Сводка'!$T$3:$T$397,V247)=0),1,0)</x:f>
        <x:v>1</x:v>
      </x:c>
      <x:c r="S247" s="9" t="n">
        <x:f>IF(AND(R247=1,O247&lt;=$G$13),1,0)</x:f>
        <x:v>0</x:v>
      </x:c>
      <x:c r="T247" s="10" t="n">
        <x:f>EOMONTH(J247-'Сводка'!$B$11,-1)</x:f>
        <x:v>46081</x:v>
      </x:c>
      <x:c r="U247" s="4" t="n">
        <x:f>MATCH(J247,'Сводка'!$R$3:$R$397,0)</x:f>
        <x:v>258</x:v>
      </x:c>
      <x:c r="V247" s="4" t="n">
        <x:f>MATCH(J247-'Сводка'!$B$11,'Сводка'!$R$3:$R$397,0)</x:f>
        <x:v>257</x:v>
      </x:c>
      <x:c r="W247" s="4" t="n">
        <x:f>MATCH(T247,$J$388:$J$400,0)</x:f>
        <x:v>9</x:v>
      </x:c>
      <x:c r="X247" s="3"/>
      <x:c r="Y247" s="3"/>
      <x:c r="Z247" s="3"/>
    </x:row>
    <x:row r="248" ht="15" customHeight="1">
      <x:c r="A248" s="3"/>
      <x:c r="B248" s="3"/>
      <x:c r="C248" s="3"/>
      <x:c r="D248" s="3"/>
      <x:c r="E248" s="3"/>
      <x:c r="F248" s="3"/>
      <x:c r="G248" s="3"/>
      <x:c r="H248" s="3"/>
      <x:c r="I248" s="3"/>
      <x:c r="J248" s="10" t="n">
        <x:v>46099</x:v>
      </x:c>
      <x:c r="K248" s="8" t="n">
        <x:f>INDEX('Сводка'!$S$3:$S$397,U248)</x:f>
        <x:v>-74</x:v>
      </x:c>
      <x:c r="L248" s="8" t="n">
        <x:f>INDEX('Сводка'!$S$3:$S$397,V248)</x:f>
        <x:v>-76</x:v>
      </x:c>
      <x:c r="M248" s="8" t="n">
        <x:f>INDEX($K$388:$N$400,W248,1)*((J248-$T$405+1)/1000)^INDEX($K$388:$N$400,W248,2)+INDEX($O$388:$Z$400,W248,MONTH(J248))</x:f>
        <x:v>-13.566342382218409</x:v>
      </x:c>
      <x:c r="N248" s="8" t="n">
        <x:f>K248-M248</x:f>
        <x:v>-60.43365761778159</x:v>
      </x:c>
      <x:c r="O248" s="8" t="n">
        <x:f>ABS(N248)</x:f>
        <x:v>60.43365761778159</x:v>
      </x:c>
      <x:c r="P248" s="8" t="n">
        <x:f>N248^2</x:f>
        <x:v>3652.226973063251</x:v>
      </x:c>
      <x:c r="Q248" s="8" t="n">
        <x:f>K248-L248</x:f>
        <x:v>2</x:v>
      </x:c>
      <x:c r="R248" s="9" t="n">
        <x:f>IF(AND(INDEX('Сводка'!$T$3:$T$397,U248)=0,INDEX('Сводка'!$T$3:$T$397,V248)=0),1,0)</x:f>
        <x:v>1</x:v>
      </x:c>
      <x:c r="S248" s="9" t="n">
        <x:f>IF(AND(R248=1,O248&lt;=$G$13),1,0)</x:f>
        <x:v>0</x:v>
      </x:c>
      <x:c r="T248" s="10" t="n">
        <x:f>EOMONTH(J248-'Сводка'!$B$11,-1)</x:f>
        <x:v>46081</x:v>
      </x:c>
      <x:c r="U248" s="4" t="n">
        <x:f>MATCH(J248,'Сводка'!$R$3:$R$397,0)</x:f>
        <x:v>259</x:v>
      </x:c>
      <x:c r="V248" s="4" t="n">
        <x:f>MATCH(J248-'Сводка'!$B$11,'Сводка'!$R$3:$R$397,0)</x:f>
        <x:v>258</x:v>
      </x:c>
      <x:c r="W248" s="4" t="n">
        <x:f>MATCH(T248,$J$388:$J$400,0)</x:f>
        <x:v>9</x:v>
      </x:c>
      <x:c r="X248" s="3"/>
      <x:c r="Y248" s="3"/>
      <x:c r="Z248" s="3"/>
    </x:row>
    <x:row r="249" ht="15" customHeight="1">
      <x:c r="A249" s="3"/>
      <x:c r="B249" s="3"/>
      <x:c r="C249" s="3"/>
      <x:c r="D249" s="3"/>
      <x:c r="E249" s="3"/>
      <x:c r="F249" s="3"/>
      <x:c r="G249" s="3"/>
      <x:c r="H249" s="3"/>
      <x:c r="I249" s="3"/>
      <x:c r="J249" s="10" t="n">
        <x:v>46100</x:v>
      </x:c>
      <x:c r="K249" s="8" t="n">
        <x:f>INDEX('Сводка'!$S$3:$S$397,U249)</x:f>
        <x:v>-73</x:v>
      </x:c>
      <x:c r="L249" s="8" t="n">
        <x:f>INDEX('Сводка'!$S$3:$S$397,V249)</x:f>
        <x:v>-74</x:v>
      </x:c>
      <x:c r="M249" s="8" t="n">
        <x:f>INDEX($K$388:$N$400,W249,1)*((J249-$T$405+1)/1000)^INDEX($K$388:$N$400,W249,2)+INDEX($O$388:$Z$400,W249,MONTH(J249))</x:f>
        <x:v>-13.549652287138457</x:v>
      </x:c>
      <x:c r="N249" s="8" t="n">
        <x:f>K249-M249</x:f>
        <x:v>-59.45034771286154</x:v>
      </x:c>
      <x:c r="O249" s="8" t="n">
        <x:f>ABS(N249)</x:f>
        <x:v>59.45034771286154</x:v>
      </x:c>
      <x:c r="P249" s="8" t="n">
        <x:f>N249^2</x:f>
        <x:v>3534.343843180142</x:v>
      </x:c>
      <x:c r="Q249" s="8" t="n">
        <x:f>K249-L249</x:f>
        <x:v>1</x:v>
      </x:c>
      <x:c r="R249" s="9" t="n">
        <x:f>IF(AND(INDEX('Сводка'!$T$3:$T$397,U249)=0,INDEX('Сводка'!$T$3:$T$397,V249)=0),1,0)</x:f>
        <x:v>1</x:v>
      </x:c>
      <x:c r="S249" s="9" t="n">
        <x:f>IF(AND(R249=1,O249&lt;=$G$13),1,0)</x:f>
        <x:v>0</x:v>
      </x:c>
      <x:c r="T249" s="10" t="n">
        <x:f>EOMONTH(J249-'Сводка'!$B$11,-1)</x:f>
        <x:v>46081</x:v>
      </x:c>
      <x:c r="U249" s="4" t="n">
        <x:f>MATCH(J249,'Сводка'!$R$3:$R$397,0)</x:f>
        <x:v>260</x:v>
      </x:c>
      <x:c r="V249" s="4" t="n">
        <x:f>MATCH(J249-'Сводка'!$B$11,'Сводка'!$R$3:$R$397,0)</x:f>
        <x:v>259</x:v>
      </x:c>
      <x:c r="W249" s="4" t="n">
        <x:f>MATCH(T249,$J$388:$J$400,0)</x:f>
        <x:v>9</x:v>
      </x:c>
      <x:c r="X249" s="3"/>
      <x:c r="Y249" s="3"/>
      <x:c r="Z249" s="3"/>
    </x:row>
    <x:row r="250" ht="15" customHeight="1">
      <x:c r="A250" s="3"/>
      <x:c r="B250" s="3"/>
      <x:c r="C250" s="3"/>
      <x:c r="D250" s="3"/>
      <x:c r="E250" s="3"/>
      <x:c r="F250" s="3"/>
      <x:c r="G250" s="3"/>
      <x:c r="H250" s="3"/>
      <x:c r="I250" s="3"/>
      <x:c r="J250" s="10" t="n">
        <x:v>46101</x:v>
      </x:c>
      <x:c r="K250" s="8" t="n">
        <x:f>INDEX('Сводка'!$S$3:$S$397,U250)</x:f>
        <x:v>-73</x:v>
      </x:c>
      <x:c r="L250" s="8" t="n">
        <x:f>INDEX('Сводка'!$S$3:$S$397,V250)</x:f>
        <x:v>-73</x:v>
      </x:c>
      <x:c r="M250" s="8" t="n">
        <x:f>INDEX($K$388:$N$400,W250,1)*((J250-$T$405+1)/1000)^INDEX($K$388:$N$400,W250,2)+INDEX($O$388:$Z$400,W250,MONTH(J250))</x:f>
        <x:v>-13.532962133351873</x:v>
      </x:c>
      <x:c r="N250" s="8" t="n">
        <x:f>K250-M250</x:f>
        <x:v>-59.46703786664813</x:v>
      </x:c>
      <x:c r="O250" s="8" t="n">
        <x:f>ABS(N250)</x:f>
        <x:v>59.46703786664813</x:v>
      </x:c>
      <x:c r="P250" s="8" t="n">
        <x:f>N250^2</x:f>
        <x:v>3536.3285926333624</x:v>
      </x:c>
      <x:c r="Q250" s="8" t="n">
        <x:f>K250-L250</x:f>
        <x:v>0</x:v>
      </x:c>
      <x:c r="R250" s="9" t="n">
        <x:f>IF(AND(INDEX('Сводка'!$T$3:$T$397,U250)=0,INDEX('Сводка'!$T$3:$T$397,V250)=0),1,0)</x:f>
        <x:v>1</x:v>
      </x:c>
      <x:c r="S250" s="9" t="n">
        <x:f>IF(AND(R250=1,O250&lt;=$G$13),1,0)</x:f>
        <x:v>0</x:v>
      </x:c>
      <x:c r="T250" s="10" t="n">
        <x:f>EOMONTH(J250-'Сводка'!$B$11,-1)</x:f>
        <x:v>46081</x:v>
      </x:c>
      <x:c r="U250" s="4" t="n">
        <x:f>MATCH(J250,'Сводка'!$R$3:$R$397,0)</x:f>
        <x:v>261</x:v>
      </x:c>
      <x:c r="V250" s="4" t="n">
        <x:f>MATCH(J250-'Сводка'!$B$11,'Сводка'!$R$3:$R$397,0)</x:f>
        <x:v>260</x:v>
      </x:c>
      <x:c r="W250" s="4" t="n">
        <x:f>MATCH(T250,$J$388:$J$400,0)</x:f>
        <x:v>9</x:v>
      </x:c>
      <x:c r="X250" s="3"/>
      <x:c r="Y250" s="3"/>
      <x:c r="Z250" s="3"/>
    </x:row>
    <x:row r="251" ht="15" customHeight="1">
      <x:c r="A251" s="3"/>
      <x:c r="B251" s="3"/>
      <x:c r="C251" s="3"/>
      <x:c r="D251" s="3"/>
      <x:c r="E251" s="3"/>
      <x:c r="F251" s="3"/>
      <x:c r="G251" s="3"/>
      <x:c r="H251" s="3"/>
      <x:c r="I251" s="3"/>
      <x:c r="J251" s="10" t="n">
        <x:v>46102</x:v>
      </x:c>
      <x:c r="K251" s="8" t="n">
        <x:f>INDEX('Сводка'!$S$3:$S$397,U251)</x:f>
        <x:v>-71</x:v>
      </x:c>
      <x:c r="L251" s="8" t="n">
        <x:f>INDEX('Сводка'!$S$3:$S$397,V251)</x:f>
        <x:v>-73</x:v>
      </x:c>
      <x:c r="M251" s="8" t="n">
        <x:f>INDEX($K$388:$N$400,W251,1)*((J251-$T$405+1)/1000)^INDEX($K$388:$N$400,W251,2)+INDEX($O$388:$Z$400,W251,MONTH(J251))</x:f>
        <x:v>-13.516271920865108</x:v>
      </x:c>
      <x:c r="N251" s="8" t="n">
        <x:f>K251-M251</x:f>
        <x:v>-57.48372807913489</x:v>
      </x:c>
      <x:c r="O251" s="8" t="n">
        <x:f>ABS(N251)</x:f>
        <x:v>57.48372807913489</x:v>
      </x:c>
      <x:c r="P251" s="8" t="n">
        <x:f>N251^2</x:f>
        <x:v>3304.378993875921</x:v>
      </x:c>
      <x:c r="Q251" s="8" t="n">
        <x:f>K251-L251</x:f>
        <x:v>2</x:v>
      </x:c>
      <x:c r="R251" s="9" t="n">
        <x:f>IF(AND(INDEX('Сводка'!$T$3:$T$397,U251)=0,INDEX('Сводка'!$T$3:$T$397,V251)=0),1,0)</x:f>
        <x:v>1</x:v>
      </x:c>
      <x:c r="S251" s="9" t="n">
        <x:f>IF(AND(R251=1,O251&lt;=$G$13),1,0)</x:f>
        <x:v>0</x:v>
      </x:c>
      <x:c r="T251" s="10" t="n">
        <x:f>EOMONTH(J251-'Сводка'!$B$11,-1)</x:f>
        <x:v>46081</x:v>
      </x:c>
      <x:c r="U251" s="4" t="n">
        <x:f>MATCH(J251,'Сводка'!$R$3:$R$397,0)</x:f>
        <x:v>262</x:v>
      </x:c>
      <x:c r="V251" s="4" t="n">
        <x:f>MATCH(J251-'Сводка'!$B$11,'Сводка'!$R$3:$R$397,0)</x:f>
        <x:v>261</x:v>
      </x:c>
      <x:c r="W251" s="4" t="n">
        <x:f>MATCH(T251,$J$388:$J$400,0)</x:f>
        <x:v>9</x:v>
      </x:c>
      <x:c r="X251" s="3"/>
      <x:c r="Y251" s="3"/>
      <x:c r="Z251" s="3"/>
    </x:row>
    <x:row r="252" ht="15" customHeight="1">
      <x:c r="A252" s="3"/>
      <x:c r="B252" s="3"/>
      <x:c r="C252" s="3"/>
      <x:c r="D252" s="3"/>
      <x:c r="E252" s="3"/>
      <x:c r="F252" s="3"/>
      <x:c r="G252" s="3"/>
      <x:c r="H252" s="3"/>
      <x:c r="I252" s="3"/>
      <x:c r="J252" s="10" t="n">
        <x:v>46103</x:v>
      </x:c>
      <x:c r="K252" s="8" t="n">
        <x:f>INDEX('Сводка'!$S$3:$S$397,U252)</x:f>
        <x:v>-71</x:v>
      </x:c>
      <x:c r="L252" s="8" t="n">
        <x:f>INDEX('Сводка'!$S$3:$S$397,V252)</x:f>
        <x:v>-71</x:v>
      </x:c>
      <x:c r="M252" s="8" t="n">
        <x:f>INDEX($K$388:$N$400,W252,1)*((J252-$T$405+1)/1000)^INDEX($K$388:$N$400,W252,2)+INDEX($O$388:$Z$400,W252,MONTH(J252))</x:f>
        <x:v>-13.49958164968453</x:v>
      </x:c>
      <x:c r="N252" s="8" t="n">
        <x:f>K252-M252</x:f>
        <x:v>-57.50041835031547</x:v>
      </x:c>
      <x:c r="O252" s="8" t="n">
        <x:f>ABS(N252)</x:f>
        <x:v>57.50041835031547</x:v>
      </x:c>
      <x:c r="P252" s="8" t="n">
        <x:f>N252^2</x:f>
        <x:v>3306.298110461296</x:v>
      </x:c>
      <x:c r="Q252" s="8" t="n">
        <x:f>K252-L252</x:f>
        <x:v>0</x:v>
      </x:c>
      <x:c r="R252" s="9" t="n">
        <x:f>IF(AND(INDEX('Сводка'!$T$3:$T$397,U252)=0,INDEX('Сводка'!$T$3:$T$397,V252)=0),1,0)</x:f>
        <x:v>1</x:v>
      </x:c>
      <x:c r="S252" s="9" t="n">
        <x:f>IF(AND(R252=1,O252&lt;=$G$13),1,0)</x:f>
        <x:v>0</x:v>
      </x:c>
      <x:c r="T252" s="10" t="n">
        <x:f>EOMONTH(J252-'Сводка'!$B$11,-1)</x:f>
        <x:v>46081</x:v>
      </x:c>
      <x:c r="U252" s="4" t="n">
        <x:f>MATCH(J252,'Сводка'!$R$3:$R$397,0)</x:f>
        <x:v>263</x:v>
      </x:c>
      <x:c r="V252" s="4" t="n">
        <x:f>MATCH(J252-'Сводка'!$B$11,'Сводка'!$R$3:$R$397,0)</x:f>
        <x:v>262</x:v>
      </x:c>
      <x:c r="W252" s="4" t="n">
        <x:f>MATCH(T252,$J$388:$J$400,0)</x:f>
        <x:v>9</x:v>
      </x:c>
      <x:c r="X252" s="3"/>
      <x:c r="Y252" s="3"/>
      <x:c r="Z252" s="3"/>
    </x:row>
    <x:row r="253" ht="15" customHeight="1">
      <x:c r="A253" s="3"/>
      <x:c r="B253" s="3"/>
      <x:c r="C253" s="3"/>
      <x:c r="D253" s="3"/>
      <x:c r="E253" s="3"/>
      <x:c r="F253" s="3"/>
      <x:c r="G253" s="3"/>
      <x:c r="H253" s="3"/>
      <x:c r="I253" s="3"/>
      <x:c r="J253" s="10" t="n">
        <x:v>46104</x:v>
      </x:c>
      <x:c r="K253" s="8" t="n">
        <x:f>INDEX('Сводка'!$S$3:$S$397,U253)</x:f>
        <x:v>-71</x:v>
      </x:c>
      <x:c r="L253" s="8" t="n">
        <x:f>INDEX('Сводка'!$S$3:$S$397,V253)</x:f>
        <x:v>-71</x:v>
      </x:c>
      <x:c r="M253" s="8" t="n">
        <x:f>INDEX($K$388:$N$400,W253,1)*((J253-$T$405+1)/1000)^INDEX($K$388:$N$400,W253,2)+INDEX($O$388:$Z$400,W253,MONTH(J253))</x:f>
        <x:v>-13.482891319816645</x:v>
      </x:c>
      <x:c r="N253" s="8" t="n">
        <x:f>K253-M253</x:f>
        <x:v>-57.517108680183355</x:v>
      </x:c>
      <x:c r="O253" s="8" t="n">
        <x:f>ABS(N253)</x:f>
        <x:v>57.517108680183355</x:v>
      </x:c>
      <x:c r="P253" s="8" t="n">
        <x:f>N253^2</x:f>
        <x:v>3308.2177909280235</x:v>
      </x:c>
      <x:c r="Q253" s="8" t="n">
        <x:f>K253-L253</x:f>
        <x:v>0</x:v>
      </x:c>
      <x:c r="R253" s="9" t="n">
        <x:f>IF(AND(INDEX('Сводка'!$T$3:$T$397,U253)=0,INDEX('Сводка'!$T$3:$T$397,V253)=0),1,0)</x:f>
        <x:v>1</x:v>
      </x:c>
      <x:c r="S253" s="9" t="n">
        <x:f>IF(AND(R253=1,O253&lt;=$G$13),1,0)</x:f>
        <x:v>0</x:v>
      </x:c>
      <x:c r="T253" s="10" t="n">
        <x:f>EOMONTH(J253-'Сводка'!$B$11,-1)</x:f>
        <x:v>46081</x:v>
      </x:c>
      <x:c r="U253" s="4" t="n">
        <x:f>MATCH(J253,'Сводка'!$R$3:$R$397,0)</x:f>
        <x:v>264</x:v>
      </x:c>
      <x:c r="V253" s="4" t="n">
        <x:f>MATCH(J253-'Сводка'!$B$11,'Сводка'!$R$3:$R$397,0)</x:f>
        <x:v>263</x:v>
      </x:c>
      <x:c r="W253" s="4" t="n">
        <x:f>MATCH(T253,$J$388:$J$400,0)</x:f>
        <x:v>9</x:v>
      </x:c>
      <x:c r="X253" s="3"/>
      <x:c r="Y253" s="3"/>
      <x:c r="Z253" s="3"/>
    </x:row>
    <x:row r="254" ht="15" customHeight="1">
      <x:c r="A254" s="3"/>
      <x:c r="B254" s="3"/>
      <x:c r="C254" s="3"/>
      <x:c r="D254" s="3"/>
      <x:c r="E254" s="3"/>
      <x:c r="F254" s="3"/>
      <x:c r="G254" s="3"/>
      <x:c r="H254" s="3"/>
      <x:c r="I254" s="3"/>
      <x:c r="J254" s="10" t="n">
        <x:v>46105</x:v>
      </x:c>
      <x:c r="K254" s="8" t="n">
        <x:f>INDEX('Сводка'!$S$3:$S$397,U254)</x:f>
        <x:v>-71</x:v>
      </x:c>
      <x:c r="L254" s="8" t="n">
        <x:f>INDEX('Сводка'!$S$3:$S$397,V254)</x:f>
        <x:v>-71</x:v>
      </x:c>
      <x:c r="M254" s="8" t="n">
        <x:f>INDEX($K$388:$N$400,W254,1)*((J254-$T$405+1)/1000)^INDEX($K$388:$N$400,W254,2)+INDEX($O$388:$Z$400,W254,MONTH(J254))</x:f>
        <x:v>-13.46620093126782</x:v>
      </x:c>
      <x:c r="N254" s="8" t="n">
        <x:f>K254-M254</x:f>
        <x:v>-57.53379906873218</x:v>
      </x:c>
      <x:c r="O254" s="8" t="n">
        <x:f>ABS(N254)</x:f>
        <x:v>57.53379906873218</x:v>
      </x:c>
      <x:c r="P254" s="8" t="n">
        <x:f>N254^2</x:f>
        <x:v>3310.138035281248</x:v>
      </x:c>
      <x:c r="Q254" s="8" t="n">
        <x:f>K254-L254</x:f>
        <x:v>0</x:v>
      </x:c>
      <x:c r="R254" s="9" t="n">
        <x:f>IF(AND(INDEX('Сводка'!$T$3:$T$397,U254)=0,INDEX('Сводка'!$T$3:$T$397,V254)=0),1,0)</x:f>
        <x:v>1</x:v>
      </x:c>
      <x:c r="S254" s="9" t="n">
        <x:f>IF(AND(R254=1,O254&lt;=$G$13),1,0)</x:f>
        <x:v>0</x:v>
      </x:c>
      <x:c r="T254" s="10" t="n">
        <x:f>EOMONTH(J254-'Сводка'!$B$11,-1)</x:f>
        <x:v>46081</x:v>
      </x:c>
      <x:c r="U254" s="4" t="n">
        <x:f>MATCH(J254,'Сводка'!$R$3:$R$397,0)</x:f>
        <x:v>265</x:v>
      </x:c>
      <x:c r="V254" s="4" t="n">
        <x:f>MATCH(J254-'Сводка'!$B$11,'Сводка'!$R$3:$R$397,0)</x:f>
        <x:v>264</x:v>
      </x:c>
      <x:c r="W254" s="4" t="n">
        <x:f>MATCH(T254,$J$388:$J$400,0)</x:f>
        <x:v>9</x:v>
      </x:c>
      <x:c r="X254" s="3"/>
      <x:c r="Y254" s="3"/>
      <x:c r="Z254" s="3"/>
    </x:row>
    <x:row r="255" ht="15" customHeight="1">
      <x:c r="A255" s="3"/>
      <x:c r="B255" s="3"/>
      <x:c r="C255" s="3"/>
      <x:c r="D255" s="3"/>
      <x:c r="E255" s="3"/>
      <x:c r="F255" s="3"/>
      <x:c r="G255" s="3"/>
      <x:c r="H255" s="3"/>
      <x:c r="I255" s="3"/>
      <x:c r="J255" s="10" t="n">
        <x:v>46106</x:v>
      </x:c>
      <x:c r="K255" s="8" t="n">
        <x:f>INDEX('Сводка'!$S$3:$S$397,U255)</x:f>
        <x:v>-72</x:v>
      </x:c>
      <x:c r="L255" s="8" t="n">
        <x:f>INDEX('Сводка'!$S$3:$S$397,V255)</x:f>
        <x:v>-71</x:v>
      </x:c>
      <x:c r="M255" s="8" t="n">
        <x:f>INDEX($K$388:$N$400,W255,1)*((J255-$T$405+1)/1000)^INDEX($K$388:$N$400,W255,2)+INDEX($O$388:$Z$400,W255,MONTH(J255))</x:f>
        <x:v>-13.449510484044538</x:v>
      </x:c>
      <x:c r="N255" s="8" t="n">
        <x:f>K255-M255</x:f>
        <x:v>-58.55048951595546</x:v>
      </x:c>
      <x:c r="O255" s="8" t="n">
        <x:f>ABS(N255)</x:f>
        <x:v>58.55048951595546</x:v>
      </x:c>
      <x:c r="P255" s="8" t="n">
        <x:f>N255^2</x:f>
        <x:v>3428.1598225580105</x:v>
      </x:c>
      <x:c r="Q255" s="8" t="n">
        <x:f>K255-L255</x:f>
        <x:v>-1</x:v>
      </x:c>
      <x:c r="R255" s="9" t="n">
        <x:f>IF(AND(INDEX('Сводка'!$T$3:$T$397,U255)=0,INDEX('Сводка'!$T$3:$T$397,V255)=0),1,0)</x:f>
        <x:v>1</x:v>
      </x:c>
      <x:c r="S255" s="9" t="n">
        <x:f>IF(AND(R255=1,O255&lt;=$G$13),1,0)</x:f>
        <x:v>0</x:v>
      </x:c>
      <x:c r="T255" s="10" t="n">
        <x:f>EOMONTH(J255-'Сводка'!$B$11,-1)</x:f>
        <x:v>46081</x:v>
      </x:c>
      <x:c r="U255" s="4" t="n">
        <x:f>MATCH(J255,'Сводка'!$R$3:$R$397,0)</x:f>
        <x:v>266</x:v>
      </x:c>
      <x:c r="V255" s="4" t="n">
        <x:f>MATCH(J255-'Сводка'!$B$11,'Сводка'!$R$3:$R$397,0)</x:f>
        <x:v>265</x:v>
      </x:c>
      <x:c r="W255" s="4" t="n">
        <x:f>MATCH(T255,$J$388:$J$400,0)</x:f>
        <x:v>9</x:v>
      </x:c>
      <x:c r="X255" s="3"/>
      <x:c r="Y255" s="3"/>
      <x:c r="Z255" s="3"/>
    </x:row>
    <x:row r="256" ht="15" customHeight="1">
      <x:c r="A256" s="3"/>
      <x:c r="B256" s="3"/>
      <x:c r="C256" s="3"/>
      <x:c r="D256" s="3"/>
      <x:c r="E256" s="3"/>
      <x:c r="F256" s="3"/>
      <x:c r="G256" s="3"/>
      <x:c r="H256" s="3"/>
      <x:c r="I256" s="3"/>
      <x:c r="J256" s="10" t="n">
        <x:v>46107</x:v>
      </x:c>
      <x:c r="K256" s="8" t="n">
        <x:f>INDEX('Сводка'!$S$3:$S$397,U256)</x:f>
        <x:v>-72</x:v>
      </x:c>
      <x:c r="L256" s="8" t="n">
        <x:f>INDEX('Сводка'!$S$3:$S$397,V256)</x:f>
        <x:v>-72</x:v>
      </x:c>
      <x:c r="M256" s="8" t="n">
        <x:f>INDEX($K$388:$N$400,W256,1)*((J256-$T$405+1)/1000)^INDEX($K$388:$N$400,W256,2)+INDEX($O$388:$Z$400,W256,MONTH(J256))</x:f>
        <x:v>-13.432819978153134</x:v>
      </x:c>
      <x:c r="N256" s="8" t="n">
        <x:f>K256-M256</x:f>
        <x:v>-58.567180021846866</x:v>
      </x:c>
      <x:c r="O256" s="8" t="n">
        <x:f>ABS(N256)</x:f>
        <x:v>58.567180021846866</x:v>
      </x:c>
      <x:c r="P256" s="8" t="n">
        <x:f>N256^2</x:f>
        <x:v>3430.1145757114186</x:v>
      </x:c>
      <x:c r="Q256" s="8" t="n">
        <x:f>K256-L256</x:f>
        <x:v>0</x:v>
      </x:c>
      <x:c r="R256" s="9" t="n">
        <x:f>IF(AND(INDEX('Сводка'!$T$3:$T$397,U256)=0,INDEX('Сводка'!$T$3:$T$397,V256)=0),1,0)</x:f>
        <x:v>1</x:v>
      </x:c>
      <x:c r="S256" s="9" t="n">
        <x:f>IF(AND(R256=1,O256&lt;=$G$13),1,0)</x:f>
        <x:v>0</x:v>
      </x:c>
      <x:c r="T256" s="10" t="n">
        <x:f>EOMONTH(J256-'Сводка'!$B$11,-1)</x:f>
        <x:v>46081</x:v>
      </x:c>
      <x:c r="U256" s="4" t="n">
        <x:f>MATCH(J256,'Сводка'!$R$3:$R$397,0)</x:f>
        <x:v>267</x:v>
      </x:c>
      <x:c r="V256" s="4" t="n">
        <x:f>MATCH(J256-'Сводка'!$B$11,'Сводка'!$R$3:$R$397,0)</x:f>
        <x:v>266</x:v>
      </x:c>
      <x:c r="W256" s="4" t="n">
        <x:f>MATCH(T256,$J$388:$J$400,0)</x:f>
        <x:v>9</x:v>
      </x:c>
      <x:c r="X256" s="3"/>
      <x:c r="Y256" s="3"/>
      <x:c r="Z256" s="3"/>
    </x:row>
    <x:row r="257" ht="15" customHeight="1">
      <x:c r="A257" s="3"/>
      <x:c r="B257" s="3"/>
      <x:c r="C257" s="3"/>
      <x:c r="D257" s="3"/>
      <x:c r="E257" s="3"/>
      <x:c r="F257" s="3"/>
      <x:c r="G257" s="3"/>
      <x:c r="H257" s="3"/>
      <x:c r="I257" s="3"/>
      <x:c r="J257" s="10" t="n">
        <x:v>46108</x:v>
      </x:c>
      <x:c r="K257" s="8" t="n">
        <x:f>INDEX('Сводка'!$S$3:$S$397,U257)</x:f>
        <x:v>-71</x:v>
      </x:c>
      <x:c r="L257" s="8" t="n">
        <x:f>INDEX('Сводка'!$S$3:$S$397,V257)</x:f>
        <x:v>-72</x:v>
      </x:c>
      <x:c r="M257" s="8" t="n">
        <x:f>INDEX($K$388:$N$400,W257,1)*((J257-$T$405+1)/1000)^INDEX($K$388:$N$400,W257,2)+INDEX($O$388:$Z$400,W257,MONTH(J257))</x:f>
        <x:v>-13.416129413600117</x:v>
      </x:c>
      <x:c r="N257" s="8" t="n">
        <x:f>K257-M257</x:f>
        <x:v>-57.58387058639988</x:v>
      </x:c>
      <x:c r="O257" s="8" t="n">
        <x:f>ABS(N257)</x:f>
        <x:v>57.58387058639988</x:v>
      </x:c>
      <x:c r="P257" s="8" t="n">
        <x:f>N257^2</x:f>
        <x:v>3315.9021517112496</x:v>
      </x:c>
      <x:c r="Q257" s="8" t="n">
        <x:f>K257-L257</x:f>
        <x:v>1</x:v>
      </x:c>
      <x:c r="R257" s="9" t="n">
        <x:f>IF(AND(INDEX('Сводка'!$T$3:$T$397,U257)=0,INDEX('Сводка'!$T$3:$T$397,V257)=0),1,0)</x:f>
        <x:v>1</x:v>
      </x:c>
      <x:c r="S257" s="9" t="n">
        <x:f>IF(AND(R257=1,O257&lt;=$G$13),1,0)</x:f>
        <x:v>0</x:v>
      </x:c>
      <x:c r="T257" s="10" t="n">
        <x:f>EOMONTH(J257-'Сводка'!$B$11,-1)</x:f>
        <x:v>46081</x:v>
      </x:c>
      <x:c r="U257" s="4" t="n">
        <x:f>MATCH(J257,'Сводка'!$R$3:$R$397,0)</x:f>
        <x:v>268</x:v>
      </x:c>
      <x:c r="V257" s="4" t="n">
        <x:f>MATCH(J257-'Сводка'!$B$11,'Сводка'!$R$3:$R$397,0)</x:f>
        <x:v>267</x:v>
      </x:c>
      <x:c r="W257" s="4" t="n">
        <x:f>MATCH(T257,$J$388:$J$400,0)</x:f>
        <x:v>9</x:v>
      </x:c>
      <x:c r="X257" s="3"/>
      <x:c r="Y257" s="3"/>
      <x:c r="Z257" s="3"/>
    </x:row>
    <x:row r="258" ht="15" customHeight="1">
      <x:c r="A258" s="3"/>
      <x:c r="B258" s="3"/>
      <x:c r="C258" s="3"/>
      <x:c r="D258" s="3"/>
      <x:c r="E258" s="3"/>
      <x:c r="F258" s="3"/>
      <x:c r="G258" s="3"/>
      <x:c r="H258" s="3"/>
      <x:c r="I258" s="3"/>
      <x:c r="J258" s="10" t="n">
        <x:v>46109</x:v>
      </x:c>
      <x:c r="K258" s="8" t="n">
        <x:f>INDEX('Сводка'!$S$3:$S$397,U258)</x:f>
        <x:v>-71</x:v>
      </x:c>
      <x:c r="L258" s="8" t="n">
        <x:f>INDEX('Сводка'!$S$3:$S$397,V258)</x:f>
        <x:v>-71</x:v>
      </x:c>
      <x:c r="M258" s="8" t="n">
        <x:f>INDEX($K$388:$N$400,W258,1)*((J258-$T$405+1)/1000)^INDEX($K$388:$N$400,W258,2)+INDEX($O$388:$Z$400,W258,MONTH(J258))</x:f>
        <x:v>-13.399438790391855</x:v>
      </x:c>
      <x:c r="N258" s="8" t="n">
        <x:f>K258-M258</x:f>
        <x:v>-57.600561209608145</x:v>
      </x:c>
      <x:c r="O258" s="8" t="n">
        <x:f>ABS(N258)</x:f>
        <x:v>57.600561209608145</x:v>
      </x:c>
      <x:c r="P258" s="8" t="n">
        <x:f>N258^2</x:f>
        <x:v>3317.8246516618146</x:v>
      </x:c>
      <x:c r="Q258" s="8" t="n">
        <x:f>K258-L258</x:f>
        <x:v>0</x:v>
      </x:c>
      <x:c r="R258" s="9" t="n">
        <x:f>IF(AND(INDEX('Сводка'!$T$3:$T$397,U258)=0,INDEX('Сводка'!$T$3:$T$397,V258)=0),1,0)</x:f>
        <x:v>1</x:v>
      </x:c>
      <x:c r="S258" s="9" t="n">
        <x:f>IF(AND(R258=1,O258&lt;=$G$13),1,0)</x:f>
        <x:v>0</x:v>
      </x:c>
      <x:c r="T258" s="10" t="n">
        <x:f>EOMONTH(J258-'Сводка'!$B$11,-1)</x:f>
        <x:v>46081</x:v>
      </x:c>
      <x:c r="U258" s="4" t="n">
        <x:f>MATCH(J258,'Сводка'!$R$3:$R$397,0)</x:f>
        <x:v>269</x:v>
      </x:c>
      <x:c r="V258" s="4" t="n">
        <x:f>MATCH(J258-'Сводка'!$B$11,'Сводка'!$R$3:$R$397,0)</x:f>
        <x:v>268</x:v>
      </x:c>
      <x:c r="W258" s="4" t="n">
        <x:f>MATCH(T258,$J$388:$J$400,0)</x:f>
        <x:v>9</x:v>
      </x:c>
      <x:c r="X258" s="3"/>
      <x:c r="Y258" s="3"/>
      <x:c r="Z258" s="3"/>
    </x:row>
    <x:row r="259" ht="15" customHeight="1">
      <x:c r="A259" s="3"/>
      <x:c r="B259" s="3"/>
      <x:c r="C259" s="3"/>
      <x:c r="D259" s="3"/>
      <x:c r="E259" s="3"/>
      <x:c r="F259" s="3"/>
      <x:c r="G259" s="3"/>
      <x:c r="H259" s="3"/>
      <x:c r="I259" s="3"/>
      <x:c r="J259" s="10" t="n">
        <x:v>46110</x:v>
      </x:c>
      <x:c r="K259" s="8" t="n">
        <x:f>INDEX('Сводка'!$S$3:$S$397,U259)</x:f>
        <x:v>-71</x:v>
      </x:c>
      <x:c r="L259" s="8" t="n">
        <x:f>INDEX('Сводка'!$S$3:$S$397,V259)</x:f>
        <x:v>-71</x:v>
      </x:c>
      <x:c r="M259" s="8" t="n">
        <x:f>INDEX($K$388:$N$400,W259,1)*((J259-$T$405+1)/1000)^INDEX($K$388:$N$400,W259,2)+INDEX($O$388:$Z$400,W259,MONTH(J259))</x:f>
        <x:v>-13.382748108534855</x:v>
      </x:c>
      <x:c r="N259" s="8" t="n">
        <x:f>K259-M259</x:f>
        <x:v>-57.617251891465145</x:v>
      </x:c>
      <x:c r="O259" s="8" t="n">
        <x:f>ABS(N259)</x:f>
        <x:v>57.617251891465145</x:v>
      </x:c>
      <x:c r="P259" s="8" t="n">
        <x:f>N259^2</x:f>
        <x:v>3319.7477155245438</x:v>
      </x:c>
      <x:c r="Q259" s="8" t="n">
        <x:f>K259-L259</x:f>
        <x:v>0</x:v>
      </x:c>
      <x:c r="R259" s="9" t="n">
        <x:f>IF(AND(INDEX('Сводка'!$T$3:$T$397,U259)=0,INDEX('Сводка'!$T$3:$T$397,V259)=0),1,0)</x:f>
        <x:v>1</x:v>
      </x:c>
      <x:c r="S259" s="9" t="n">
        <x:f>IF(AND(R259=1,O259&lt;=$G$13),1,0)</x:f>
        <x:v>0</x:v>
      </x:c>
      <x:c r="T259" s="10" t="n">
        <x:f>EOMONTH(J259-'Сводка'!$B$11,-1)</x:f>
        <x:v>46081</x:v>
      </x:c>
      <x:c r="U259" s="4" t="n">
        <x:f>MATCH(J259,'Сводка'!$R$3:$R$397,0)</x:f>
        <x:v>270</x:v>
      </x:c>
      <x:c r="V259" s="4" t="n">
        <x:f>MATCH(J259-'Сводка'!$B$11,'Сводка'!$R$3:$R$397,0)</x:f>
        <x:v>269</x:v>
      </x:c>
      <x:c r="W259" s="4" t="n">
        <x:f>MATCH(T259,$J$388:$J$400,0)</x:f>
        <x:v>9</x:v>
      </x:c>
      <x:c r="X259" s="3"/>
      <x:c r="Y259" s="3"/>
      <x:c r="Z259" s="3"/>
    </x:row>
    <x:row r="260" ht="15" customHeight="1">
      <x:c r="A260" s="3"/>
      <x:c r="B260" s="3"/>
      <x:c r="C260" s="3"/>
      <x:c r="D260" s="3"/>
      <x:c r="E260" s="3"/>
      <x:c r="F260" s="3"/>
      <x:c r="G260" s="3"/>
      <x:c r="H260" s="3"/>
      <x:c r="I260" s="3"/>
      <x:c r="J260" s="10" t="n">
        <x:v>46111</x:v>
      </x:c>
      <x:c r="K260" s="8" t="n">
        <x:f>INDEX('Сводка'!$S$3:$S$397,U260)</x:f>
        <x:v>-69</x:v>
      </x:c>
      <x:c r="L260" s="8" t="n">
        <x:f>INDEX('Сводка'!$S$3:$S$397,V260)</x:f>
        <x:v>-71</x:v>
      </x:c>
      <x:c r="M260" s="8" t="n">
        <x:f>INDEX($K$388:$N$400,W260,1)*((J260-$T$405+1)/1000)^INDEX($K$388:$N$400,W260,2)+INDEX($O$388:$Z$400,W260,MONTH(J260))</x:f>
        <x:v>-13.366057368035342</x:v>
      </x:c>
      <x:c r="N260" s="8" t="n">
        <x:f>K260-M260</x:f>
        <x:v>-55.63394263196466</x:v>
      </x:c>
      <x:c r="O260" s="8" t="n">
        <x:f>ABS(N260)</x:f>
        <x:v>55.63394263196466</x:v>
      </x:c>
      <x:c r="P260" s="8" t="n">
        <x:f>N260^2</x:f>
        <x:v>3095.1355727767345</x:v>
      </x:c>
      <x:c r="Q260" s="8" t="n">
        <x:f>K260-L260</x:f>
        <x:v>2</x:v>
      </x:c>
      <x:c r="R260" s="9" t="n">
        <x:f>IF(AND(INDEX('Сводка'!$T$3:$T$397,U260)=0,INDEX('Сводка'!$T$3:$T$397,V260)=0),1,0)</x:f>
        <x:v>1</x:v>
      </x:c>
      <x:c r="S260" s="9" t="n">
        <x:f>IF(AND(R260=1,O260&lt;=$G$13),1,0)</x:f>
        <x:v>0</x:v>
      </x:c>
      <x:c r="T260" s="10" t="n">
        <x:f>EOMONTH(J260-'Сводка'!$B$11,-1)</x:f>
        <x:v>46081</x:v>
      </x:c>
      <x:c r="U260" s="4" t="n">
        <x:f>MATCH(J260,'Сводка'!$R$3:$R$397,0)</x:f>
        <x:v>271</x:v>
      </x:c>
      <x:c r="V260" s="4" t="n">
        <x:f>MATCH(J260-'Сводка'!$B$11,'Сводка'!$R$3:$R$397,0)</x:f>
        <x:v>270</x:v>
      </x:c>
      <x:c r="W260" s="4" t="n">
        <x:f>MATCH(T260,$J$388:$J$400,0)</x:f>
        <x:v>9</x:v>
      </x:c>
      <x:c r="X260" s="3"/>
      <x:c r="Y260" s="3"/>
      <x:c r="Z260" s="3"/>
    </x:row>
    <x:row r="261" ht="15" customHeight="1">
      <x:c r="A261" s="3"/>
      <x:c r="B261" s="3"/>
      <x:c r="C261" s="3"/>
      <x:c r="D261" s="3"/>
      <x:c r="E261" s="3"/>
      <x:c r="F261" s="3"/>
      <x:c r="G261" s="3"/>
      <x:c r="H261" s="3"/>
      <x:c r="I261" s="3"/>
      <x:c r="J261" s="10" t="n">
        <x:v>46112</x:v>
      </x:c>
      <x:c r="K261" s="8" t="n">
        <x:f>INDEX('Сводка'!$S$3:$S$397,U261)</x:f>
        <x:v>-67</x:v>
      </x:c>
      <x:c r="L261" s="8" t="n">
        <x:f>INDEX('Сводка'!$S$3:$S$397,V261)</x:f>
        <x:v>-69</x:v>
      </x:c>
      <x:c r="M261" s="8" t="n">
        <x:f>INDEX($K$388:$N$400,W261,1)*((J261-$T$405+1)/1000)^INDEX($K$388:$N$400,W261,2)+INDEX($O$388:$Z$400,W261,MONTH(J261))</x:f>
        <x:v>-13.349366568899967</x:v>
      </x:c>
      <x:c r="N261" s="8" t="n">
        <x:f>K261-M261</x:f>
        <x:v>-53.65063343110003</x:v>
      </x:c>
      <x:c r="O261" s="8" t="n">
        <x:f>ABS(N261)</x:f>
        <x:v>53.65063343110003</x:v>
      </x:c>
      <x:c r="P261" s="8" t="n">
        <x:f>N261^2</x:f>
        <x:v>2878.3904675582685</x:v>
      </x:c>
      <x:c r="Q261" s="8" t="n">
        <x:f>K261-L261</x:f>
        <x:v>2</x:v>
      </x:c>
      <x:c r="R261" s="9" t="n">
        <x:f>IF(AND(INDEX('Сводка'!$T$3:$T$397,U261)=0,INDEX('Сводка'!$T$3:$T$397,V261)=0),1,0)</x:f>
        <x:v>1</x:v>
      </x:c>
      <x:c r="S261" s="9" t="n">
        <x:f>IF(AND(R261=1,O261&lt;=$G$13),1,0)</x:f>
        <x:v>0</x:v>
      </x:c>
      <x:c r="T261" s="10" t="n">
        <x:f>EOMONTH(J261-'Сводка'!$B$11,-1)</x:f>
        <x:v>46081</x:v>
      </x:c>
      <x:c r="U261" s="4" t="n">
        <x:f>MATCH(J261,'Сводка'!$R$3:$R$397,0)</x:f>
        <x:v>272</x:v>
      </x:c>
      <x:c r="V261" s="4" t="n">
        <x:f>MATCH(J261-'Сводка'!$B$11,'Сводка'!$R$3:$R$397,0)</x:f>
        <x:v>271</x:v>
      </x:c>
      <x:c r="W261" s="4" t="n">
        <x:f>MATCH(T261,$J$388:$J$400,0)</x:f>
        <x:v>9</x:v>
      </x:c>
      <x:c r="X261" s="3"/>
      <x:c r="Y261" s="3"/>
      <x:c r="Z261" s="3"/>
    </x:row>
    <x:row r="262" ht="15" customHeight="1">
      <x:c r="A262" s="3"/>
      <x:c r="B262" s="3"/>
      <x:c r="C262" s="3"/>
      <x:c r="D262" s="3"/>
      <x:c r="E262" s="3"/>
      <x:c r="F262" s="3"/>
      <x:c r="G262" s="3"/>
      <x:c r="H262" s="3"/>
      <x:c r="I262" s="3"/>
      <x:c r="J262" s="10" t="n">
        <x:v>46113</x:v>
      </x:c>
      <x:c r="K262" s="8" t="n">
        <x:f>INDEX('Сводка'!$S$3:$S$397,U262)</x:f>
        <x:v>-65</x:v>
      </x:c>
      <x:c r="L262" s="8" t="n">
        <x:f>INDEX('Сводка'!$S$3:$S$397,V262)</x:f>
        <x:v>-67</x:v>
      </x:c>
      <x:c r="M262" s="8" t="n">
        <x:f>INDEX($K$388:$N$400,W262,1)*((J262-$T$405+1)/1000)^INDEX($K$388:$N$400,W262,2)+INDEX($O$388:$Z$400,W262,MONTH(J262))</x:f>
        <x:v>102.12984140802219</x:v>
      </x:c>
      <x:c r="N262" s="8" t="n">
        <x:f>K262-M262</x:f>
        <x:v>-167.12984140802217</x:v>
      </x:c>
      <x:c r="O262" s="8" t="n">
        <x:f>ABS(N262)</x:f>
        <x:v>167.12984140802217</x:v>
      </x:c>
      <x:c r="P262" s="8" t="n">
        <x:f>N262^2</x:f>
        <x:v>27932.383889070643</x:v>
      </x:c>
      <x:c r="Q262" s="8" t="n">
        <x:f>K262-L262</x:f>
        <x:v>2</x:v>
      </x:c>
      <x:c r="R262" s="9" t="n">
        <x:f>IF(AND(INDEX('Сводка'!$T$3:$T$397,U262)=0,INDEX('Сводка'!$T$3:$T$397,V262)=0),1,0)</x:f>
        <x:v>1</x:v>
      </x:c>
      <x:c r="S262" s="9" t="n">
        <x:f>IF(AND(R262=1,O262&lt;=$G$13),1,0)</x:f>
        <x:v>0</x:v>
      </x:c>
      <x:c r="T262" s="10" t="n">
        <x:f>EOMONTH(J262-'Сводка'!$B$11,-1)</x:f>
        <x:v>46081</x:v>
      </x:c>
      <x:c r="U262" s="4" t="n">
        <x:f>MATCH(J262,'Сводка'!$R$3:$R$397,0)</x:f>
        <x:v>273</x:v>
      </x:c>
      <x:c r="V262" s="4" t="n">
        <x:f>MATCH(J262-'Сводка'!$B$11,'Сводка'!$R$3:$R$397,0)</x:f>
        <x:v>272</x:v>
      </x:c>
      <x:c r="W262" s="4" t="n">
        <x:f>MATCH(T262,$J$388:$J$400,0)</x:f>
        <x:v>9</x:v>
      </x:c>
      <x:c r="X262" s="3"/>
      <x:c r="Y262" s="3"/>
      <x:c r="Z262" s="3"/>
    </x:row>
    <x:row r="263" ht="15" customHeight="1">
      <x:c r="A263" s="3"/>
      <x:c r="B263" s="3"/>
      <x:c r="C263" s="3"/>
      <x:c r="D263" s="3"/>
      <x:c r="E263" s="3"/>
      <x:c r="F263" s="3"/>
      <x:c r="G263" s="3"/>
      <x:c r="H263" s="3"/>
      <x:c r="I263" s="3"/>
      <x:c r="J263" s="10" t="n">
        <x:v>46114</x:v>
      </x:c>
      <x:c r="K263" s="8" t="n">
        <x:f>INDEX('Сводка'!$S$3:$S$397,U263)</x:f>
        <x:v>-59</x:v>
      </x:c>
      <x:c r="L263" s="8" t="n">
        <x:f>INDEX('Сводка'!$S$3:$S$397,V263)</x:f>
        <x:v>-65</x:v>
      </x:c>
      <x:c r="M263" s="8" t="n">
        <x:f>INDEX($K$388:$N$400,W263,1)*((J263-$T$405+1)/1000)^INDEX($K$388:$N$400,W263,2)+INDEX($O$388:$Z$400,W263,MONTH(J263))</x:f>
        <x:v>101.27238240478891</x:v>
      </x:c>
      <x:c r="N263" s="8" t="n">
        <x:f>K263-M263</x:f>
        <x:v>-160.2723824047889</x:v>
      </x:c>
      <x:c r="O263" s="8" t="n">
        <x:f>ABS(N263)</x:f>
        <x:v>160.2723824047889</x:v>
      </x:c>
      <x:c r="P263" s="8" t="n">
        <x:f>N263^2</x:f>
        <x:v>25687.23656170689</x:v>
      </x:c>
      <x:c r="Q263" s="8" t="n">
        <x:f>K263-L263</x:f>
        <x:v>6</x:v>
      </x:c>
      <x:c r="R263" s="9" t="n">
        <x:f>IF(AND(INDEX('Сводка'!$T$3:$T$397,U263)=0,INDEX('Сводка'!$T$3:$T$397,V263)=0),1,0)</x:f>
        <x:v>1</x:v>
      </x:c>
      <x:c r="S263" s="9" t="n">
        <x:f>IF(AND(R263=1,O263&lt;=$G$13),1,0)</x:f>
        <x:v>0</x:v>
      </x:c>
      <x:c r="T263" s="10" t="n">
        <x:f>EOMONTH(J263-'Сводка'!$B$11,-1)</x:f>
        <x:v>46112</x:v>
      </x:c>
      <x:c r="U263" s="4" t="n">
        <x:f>MATCH(J263,'Сводка'!$R$3:$R$397,0)</x:f>
        <x:v>274</x:v>
      </x:c>
      <x:c r="V263" s="4" t="n">
        <x:f>MATCH(J263-'Сводка'!$B$11,'Сводка'!$R$3:$R$397,0)</x:f>
        <x:v>273</x:v>
      </x:c>
      <x:c r="W263" s="4" t="n">
        <x:f>MATCH(T263,$J$388:$J$400,0)</x:f>
        <x:v>10</x:v>
      </x:c>
      <x:c r="X263" s="3"/>
      <x:c r="Y263" s="3"/>
      <x:c r="Z263" s="3"/>
    </x:row>
    <x:row r="264" ht="15" customHeight="1">
      <x:c r="A264" s="3"/>
      <x:c r="B264" s="3"/>
      <x:c r="C264" s="3"/>
      <x:c r="D264" s="3"/>
      <x:c r="E264" s="3"/>
      <x:c r="F264" s="3"/>
      <x:c r="G264" s="3"/>
      <x:c r="H264" s="3"/>
      <x:c r="I264" s="3"/>
      <x:c r="J264" s="10" t="n">
        <x:v>46115</x:v>
      </x:c>
      <x:c r="K264" s="8" t="n">
        <x:f>INDEX('Сводка'!$S$3:$S$397,U264)</x:f>
        <x:v>-52</x:v>
      </x:c>
      <x:c r="L264" s="8" t="n">
        <x:f>INDEX('Сводка'!$S$3:$S$397,V264)</x:f>
        <x:v>-59</x:v>
      </x:c>
      <x:c r="M264" s="8" t="n">
        <x:f>INDEX($K$388:$N$400,W264,1)*((J264-$T$405+1)/1000)^INDEX($K$388:$N$400,W264,2)+INDEX($O$388:$Z$400,W264,MONTH(J264))</x:f>
        <x:v>101.288808281222</x:v>
      </x:c>
      <x:c r="N264" s="8" t="n">
        <x:f>K264-M264</x:f>
        <x:v>-153.288808281222</x:v>
      </x:c>
      <x:c r="O264" s="8" t="n">
        <x:f>ABS(N264)</x:f>
        <x:v>153.288808281222</x:v>
      </x:c>
      <x:c r="P264" s="8" t="n">
        <x:f>N264^2</x:f>
        <x:v>23497.458744277235</x:v>
      </x:c>
      <x:c r="Q264" s="8" t="n">
        <x:f>K264-L264</x:f>
        <x:v>7</x:v>
      </x:c>
      <x:c r="R264" s="9" t="n">
        <x:f>IF(AND(INDEX('Сводка'!$T$3:$T$397,U264)=0,INDEX('Сводка'!$T$3:$T$397,V264)=0),1,0)</x:f>
        <x:v>1</x:v>
      </x:c>
      <x:c r="S264" s="9" t="n">
        <x:f>IF(AND(R264=1,O264&lt;=$G$13),1,0)</x:f>
        <x:v>0</x:v>
      </x:c>
      <x:c r="T264" s="10" t="n">
        <x:f>EOMONTH(J264-'Сводка'!$B$11,-1)</x:f>
        <x:v>46112</x:v>
      </x:c>
      <x:c r="U264" s="4" t="n">
        <x:f>MATCH(J264,'Сводка'!$R$3:$R$397,0)</x:f>
        <x:v>275</x:v>
      </x:c>
      <x:c r="V264" s="4" t="n">
        <x:f>MATCH(J264-'Сводка'!$B$11,'Сводка'!$R$3:$R$397,0)</x:f>
        <x:v>274</x:v>
      </x:c>
      <x:c r="W264" s="4" t="n">
        <x:f>MATCH(T264,$J$388:$J$400,0)</x:f>
        <x:v>10</x:v>
      </x:c>
      <x:c r="X264" s="3"/>
      <x:c r="Y264" s="3"/>
      <x:c r="Z264" s="3"/>
    </x:row>
    <x:row r="265" ht="15" customHeight="1">
      <x:c r="A265" s="3"/>
      <x:c r="B265" s="3"/>
      <x:c r="C265" s="3"/>
      <x:c r="D265" s="3"/>
      <x:c r="E265" s="3"/>
      <x:c r="F265" s="3"/>
      <x:c r="G265" s="3"/>
      <x:c r="H265" s="3"/>
      <x:c r="I265" s="3"/>
      <x:c r="J265" s="10" t="n">
        <x:v>46116</x:v>
      </x:c>
      <x:c r="K265" s="8" t="n">
        <x:f>INDEX('Сводка'!$S$3:$S$397,U265)</x:f>
        <x:v>-42</x:v>
      </x:c>
      <x:c r="L265" s="8" t="n">
        <x:f>INDEX('Сводка'!$S$3:$S$397,V265)</x:f>
        <x:v>-52</x:v>
      </x:c>
      <x:c r="M265" s="8" t="n">
        <x:f>INDEX($K$388:$N$400,W265,1)*((J265-$T$405+1)/1000)^INDEX($K$388:$N$400,W265,2)+INDEX($O$388:$Z$400,W265,MONTH(J265))</x:f>
        <x:v>101.30523419894945</x:v>
      </x:c>
      <x:c r="N265" s="8" t="n">
        <x:f>K265-M265</x:f>
        <x:v>-143.30523419894945</x:v>
      </x:c>
      <x:c r="O265" s="8" t="n">
        <x:f>ABS(N265)</x:f>
        <x:v>143.30523419894945</x:v>
      </x:c>
      <x:c r="P265" s="8" t="n">
        <x:f>N265^2</x:f>
        <x:v>20536.39014881575</x:v>
      </x:c>
      <x:c r="Q265" s="8" t="n">
        <x:f>K265-L265</x:f>
        <x:v>10</x:v>
      </x:c>
      <x:c r="R265" s="9" t="n">
        <x:f>IF(AND(INDEX('Сводка'!$T$3:$T$397,U265)=0,INDEX('Сводка'!$T$3:$T$397,V265)=0),1,0)</x:f>
        <x:v>1</x:v>
      </x:c>
      <x:c r="S265" s="9" t="n">
        <x:f>IF(AND(R265=1,O265&lt;=$G$13),1,0)</x:f>
        <x:v>0</x:v>
      </x:c>
      <x:c r="T265" s="10" t="n">
        <x:f>EOMONTH(J265-'Сводка'!$B$11,-1)</x:f>
        <x:v>46112</x:v>
      </x:c>
      <x:c r="U265" s="4" t="n">
        <x:f>MATCH(J265,'Сводка'!$R$3:$R$397,0)</x:f>
        <x:v>276</x:v>
      </x:c>
      <x:c r="V265" s="4" t="n">
        <x:f>MATCH(J265-'Сводка'!$B$11,'Сводка'!$R$3:$R$397,0)</x:f>
        <x:v>275</x:v>
      </x:c>
      <x:c r="W265" s="4" t="n">
        <x:f>MATCH(T265,$J$388:$J$400,0)</x:f>
        <x:v>10</x:v>
      </x:c>
      <x:c r="X265" s="3"/>
      <x:c r="Y265" s="3"/>
      <x:c r="Z265" s="3"/>
    </x:row>
    <x:row r="266" ht="15" customHeight="1">
      <x:c r="A266" s="3"/>
      <x:c r="B266" s="3"/>
      <x:c r="C266" s="3"/>
      <x:c r="D266" s="3"/>
      <x:c r="E266" s="3"/>
      <x:c r="F266" s="3"/>
      <x:c r="G266" s="3"/>
      <x:c r="H266" s="3"/>
      <x:c r="I266" s="3"/>
      <x:c r="J266" s="10" t="n">
        <x:v>46117</x:v>
      </x:c>
      <x:c r="K266" s="8" t="n">
        <x:f>INDEX('Сводка'!$S$3:$S$397,U266)</x:f>
        <x:v>-35</x:v>
      </x:c>
      <x:c r="L266" s="8" t="n">
        <x:f>INDEX('Сводка'!$S$3:$S$397,V266)</x:f>
        <x:v>-42</x:v>
      </x:c>
      <x:c r="M266" s="8" t="n">
        <x:f>INDEX($K$388:$N$400,W266,1)*((J266-$T$405+1)/1000)^INDEX($K$388:$N$400,W266,2)+INDEX($O$388:$Z$400,W266,MONTH(J266))</x:f>
        <x:v>101.32166015796676</x:v>
      </x:c>
      <x:c r="N266" s="8" t="n">
        <x:f>K266-M266</x:f>
        <x:v>-136.32166015796676</x:v>
      </x:c>
      <x:c r="O266" s="8" t="n">
        <x:f>ABS(N266)</x:f>
        <x:v>136.32166015796676</x:v>
      </x:c>
      <x:c r="P266" s="8" t="n">
        <x:f>N266^2</x:f>
        <x:v>18583.595028224183</x:v>
      </x:c>
      <x:c r="Q266" s="8" t="n">
        <x:f>K266-L266</x:f>
        <x:v>7</x:v>
      </x:c>
      <x:c r="R266" s="9" t="n">
        <x:f>IF(AND(INDEX('Сводка'!$T$3:$T$397,U266)=0,INDEX('Сводка'!$T$3:$T$397,V266)=0),1,0)</x:f>
        <x:v>1</x:v>
      </x:c>
      <x:c r="S266" s="9" t="n">
        <x:f>IF(AND(R266=1,O266&lt;=$G$13),1,0)</x:f>
        <x:v>0</x:v>
      </x:c>
      <x:c r="T266" s="10" t="n">
        <x:f>EOMONTH(J266-'Сводка'!$B$11,-1)</x:f>
        <x:v>46112</x:v>
      </x:c>
      <x:c r="U266" s="4" t="n">
        <x:f>MATCH(J266,'Сводка'!$R$3:$R$397,0)</x:f>
        <x:v>277</x:v>
      </x:c>
      <x:c r="V266" s="4" t="n">
        <x:f>MATCH(J266-'Сводка'!$B$11,'Сводка'!$R$3:$R$397,0)</x:f>
        <x:v>276</x:v>
      </x:c>
      <x:c r="W266" s="4" t="n">
        <x:f>MATCH(T266,$J$388:$J$400,0)</x:f>
        <x:v>10</x:v>
      </x:c>
      <x:c r="X266" s="3"/>
      <x:c r="Y266" s="3"/>
      <x:c r="Z266" s="3"/>
    </x:row>
    <x:row r="267" ht="15" customHeight="1">
      <x:c r="A267" s="3"/>
      <x:c r="B267" s="3"/>
      <x:c r="C267" s="3"/>
      <x:c r="D267" s="3"/>
      <x:c r="E267" s="3"/>
      <x:c r="F267" s="3"/>
      <x:c r="G267" s="3"/>
      <x:c r="H267" s="3"/>
      <x:c r="I267" s="3"/>
      <x:c r="J267" s="10" t="n">
        <x:v>46118</x:v>
      </x:c>
      <x:c r="K267" s="8" t="n">
        <x:f>INDEX('Сводка'!$S$3:$S$397,U267)</x:f>
        <x:v>-17</x:v>
      </x:c>
      <x:c r="L267" s="8" t="n">
        <x:f>INDEX('Сводка'!$S$3:$S$397,V267)</x:f>
        <x:v>-35</x:v>
      </x:c>
      <x:c r="M267" s="8" t="n">
        <x:f>INDEX($K$388:$N$400,W267,1)*((J267-$T$405+1)/1000)^INDEX($K$388:$N$400,W267,2)+INDEX($O$388:$Z$400,W267,MONTH(J267))</x:f>
        <x:v>101.33808615826933</x:v>
      </x:c>
      <x:c r="N267" s="8" t="n">
        <x:f>K267-M267</x:f>
        <x:v>-118.33808615826933</x:v>
      </x:c>
      <x:c r="O267" s="8" t="n">
        <x:f>ABS(N267)</x:f>
        <x:v>118.33808615826933</x:v>
      </x:c>
      <x:c r="P267" s="8" t="n">
        <x:f>N267^2</x:f>
        <x:v>14003.902635601977</x:v>
      </x:c>
      <x:c r="Q267" s="8" t="n">
        <x:f>K267-L267</x:f>
        <x:v>18</x:v>
      </x:c>
      <x:c r="R267" s="9" t="n">
        <x:f>IF(AND(INDEX('Сводка'!$T$3:$T$397,U267)=0,INDEX('Сводка'!$T$3:$T$397,V267)=0),1,0)</x:f>
        <x:v>1</x:v>
      </x:c>
      <x:c r="S267" s="9" t="n">
        <x:f>IF(AND(R267=1,O267&lt;=$G$13),1,0)</x:f>
        <x:v>0</x:v>
      </x:c>
      <x:c r="T267" s="10" t="n">
        <x:f>EOMONTH(J267-'Сводка'!$B$11,-1)</x:f>
        <x:v>46112</x:v>
      </x:c>
      <x:c r="U267" s="4" t="n">
        <x:f>MATCH(J267,'Сводка'!$R$3:$R$397,0)</x:f>
        <x:v>278</x:v>
      </x:c>
      <x:c r="V267" s="4" t="n">
        <x:f>MATCH(J267-'Сводка'!$B$11,'Сводка'!$R$3:$R$397,0)</x:f>
        <x:v>277</x:v>
      </x:c>
      <x:c r="W267" s="4" t="n">
        <x:f>MATCH(T267,$J$388:$J$400,0)</x:f>
        <x:v>10</x:v>
      </x:c>
      <x:c r="X267" s="3"/>
      <x:c r="Y267" s="3"/>
      <x:c r="Z267" s="3"/>
    </x:row>
    <x:row r="268" ht="15" customHeight="1">
      <x:c r="A268" s="3"/>
      <x:c r="B268" s="3"/>
      <x:c r="C268" s="3"/>
      <x:c r="D268" s="3"/>
      <x:c r="E268" s="3"/>
      <x:c r="F268" s="3"/>
      <x:c r="G268" s="3"/>
      <x:c r="H268" s="3"/>
      <x:c r="I268" s="3"/>
      <x:c r="J268" s="10" t="n">
        <x:v>46119</x:v>
      </x:c>
      <x:c r="K268" s="8" t="n">
        <x:f>INDEX('Сводка'!$S$3:$S$397,U268)</x:f>
        <x:v>-3</x:v>
      </x:c>
      <x:c r="L268" s="8" t="n">
        <x:f>INDEX('Сводка'!$S$3:$S$397,V268)</x:f>
        <x:v>-17</x:v>
      </x:c>
      <x:c r="M268" s="8" t="n">
        <x:f>INDEX($K$388:$N$400,W268,1)*((J268-$T$405+1)/1000)^INDEX($K$388:$N$400,W268,2)+INDEX($O$388:$Z$400,W268,MONTH(J268))</x:f>
        <x:v>101.35451219985262</x:v>
      </x:c>
      <x:c r="N268" s="8" t="n">
        <x:f>K268-M268</x:f>
        <x:v>-104.35451219985262</x:v>
      </x:c>
      <x:c r="O268" s="8" t="n">
        <x:f>ABS(N268)</x:f>
        <x:v>104.35451219985262</x:v>
      </x:c>
      <x:c r="P268" s="8" t="n">
        <x:f>N268^2</x:f>
        <x:v>10889.86421646919</x:v>
      </x:c>
      <x:c r="Q268" s="8" t="n">
        <x:f>K268-L268</x:f>
        <x:v>14</x:v>
      </x:c>
      <x:c r="R268" s="9" t="n">
        <x:f>IF(AND(INDEX('Сводка'!$T$3:$T$397,U268)=0,INDEX('Сводка'!$T$3:$T$397,V268)=0),1,0)</x:f>
        <x:v>1</x:v>
      </x:c>
      <x:c r="S268" s="9" t="n">
        <x:f>IF(AND(R268=1,O268&lt;=$G$13),1,0)</x:f>
        <x:v>0</x:v>
      </x:c>
      <x:c r="T268" s="10" t="n">
        <x:f>EOMONTH(J268-'Сводка'!$B$11,-1)</x:f>
        <x:v>46112</x:v>
      </x:c>
      <x:c r="U268" s="4" t="n">
        <x:f>MATCH(J268,'Сводка'!$R$3:$R$397,0)</x:f>
        <x:v>279</x:v>
      </x:c>
      <x:c r="V268" s="4" t="n">
        <x:f>MATCH(J268-'Сводка'!$B$11,'Сводка'!$R$3:$R$397,0)</x:f>
        <x:v>278</x:v>
      </x:c>
      <x:c r="W268" s="4" t="n">
        <x:f>MATCH(T268,$J$388:$J$400,0)</x:f>
        <x:v>10</x:v>
      </x:c>
      <x:c r="X268" s="3"/>
      <x:c r="Y268" s="3"/>
      <x:c r="Z268" s="3"/>
    </x:row>
    <x:row r="269" ht="15" customHeight="1">
      <x:c r="A269" s="3"/>
      <x:c r="B269" s="3"/>
      <x:c r="C269" s="3"/>
      <x:c r="D269" s="3"/>
      <x:c r="E269" s="3"/>
      <x:c r="F269" s="3"/>
      <x:c r="G269" s="3"/>
      <x:c r="H269" s="3"/>
      <x:c r="I269" s="3"/>
      <x:c r="J269" s="10" t="n">
        <x:v>46120</x:v>
      </x:c>
      <x:c r="K269" s="8" t="n">
        <x:f>INDEX('Сводка'!$S$3:$S$397,U269)</x:f>
        <x:v>17</x:v>
      </x:c>
      <x:c r="L269" s="8" t="n">
        <x:f>INDEX('Сводка'!$S$3:$S$397,V269)</x:f>
        <x:v>-3</x:v>
      </x:c>
      <x:c r="M269" s="8" t="n">
        <x:f>INDEX($K$388:$N$400,W269,1)*((J269-$T$405+1)/1000)^INDEX($K$388:$N$400,W269,2)+INDEX($O$388:$Z$400,W269,MONTH(J269))</x:f>
        <x:v>101.3709382827121</x:v>
      </x:c>
      <x:c r="N269" s="8" t="n">
        <x:f>K269-M269</x:f>
        <x:v>-84.3709382827121</x:v>
      </x:c>
      <x:c r="O269" s="8" t="n">
        <x:f>ABS(N269)</x:f>
        <x:v>84.3709382827121</x:v>
      </x:c>
      <x:c r="P269" s="8" t="n">
        <x:f>N269^2</x:f>
        <x:v>7118.455226705215</x:v>
      </x:c>
      <x:c r="Q269" s="8" t="n">
        <x:f>K269-L269</x:f>
        <x:v>20</x:v>
      </x:c>
      <x:c r="R269" s="9" t="n">
        <x:f>IF(AND(INDEX('Сводка'!$T$3:$T$397,U269)=0,INDEX('Сводка'!$T$3:$T$397,V269)=0),1,0)</x:f>
        <x:v>1</x:v>
      </x:c>
      <x:c r="S269" s="9" t="n">
        <x:f>IF(AND(R269=1,O269&lt;=$G$13),1,0)</x:f>
        <x:v>0</x:v>
      </x:c>
      <x:c r="T269" s="10" t="n">
        <x:f>EOMONTH(J269-'Сводка'!$B$11,-1)</x:f>
        <x:v>46112</x:v>
      </x:c>
      <x:c r="U269" s="4" t="n">
        <x:f>MATCH(J269,'Сводка'!$R$3:$R$397,0)</x:f>
        <x:v>280</x:v>
      </x:c>
      <x:c r="V269" s="4" t="n">
        <x:f>MATCH(J269-'Сводка'!$B$11,'Сводка'!$R$3:$R$397,0)</x:f>
        <x:v>279</x:v>
      </x:c>
      <x:c r="W269" s="4" t="n">
        <x:f>MATCH(T269,$J$388:$J$400,0)</x:f>
        <x:v>10</x:v>
      </x:c>
      <x:c r="X269" s="3"/>
      <x:c r="Y269" s="3"/>
      <x:c r="Z269" s="3"/>
    </x:row>
    <x:row r="270" ht="15" customHeight="1">
      <x:c r="A270" s="3"/>
      <x:c r="B270" s="3"/>
      <x:c r="C270" s="3"/>
      <x:c r="D270" s="3"/>
      <x:c r="E270" s="3"/>
      <x:c r="F270" s="3"/>
      <x:c r="G270" s="3"/>
      <x:c r="H270" s="3"/>
      <x:c r="I270" s="3"/>
      <x:c r="J270" s="10" t="n">
        <x:v>46121</x:v>
      </x:c>
      <x:c r="K270" s="8" t="n">
        <x:f>INDEX('Сводка'!$S$3:$S$397,U270)</x:f>
        <x:v>44</x:v>
      </x:c>
      <x:c r="L270" s="8" t="n">
        <x:f>INDEX('Сводка'!$S$3:$S$397,V270)</x:f>
        <x:v>17</x:v>
      </x:c>
      <x:c r="M270" s="8" t="n">
        <x:f>INDEX($K$388:$N$400,W270,1)*((J270-$T$405+1)/1000)^INDEX($K$388:$N$400,W270,2)+INDEX($O$388:$Z$400,W270,MONTH(J270))</x:f>
        <x:v>101.3873644068432</x:v>
      </x:c>
      <x:c r="N270" s="8" t="n">
        <x:f>K270-M270</x:f>
        <x:v>-57.387364406843204</x:v>
      </x:c>
      <x:c r="O270" s="8" t="n">
        <x:f>ABS(N270)</x:f>
        <x:v>57.387364406843204</x:v>
      </x:c>
      <x:c r="P270" s="8" t="n">
        <x:f>N270^2</x:f>
        <x:v>3293.3095935638144</x:v>
      </x:c>
      <x:c r="Q270" s="8" t="n">
        <x:f>K270-L270</x:f>
        <x:v>27</x:v>
      </x:c>
      <x:c r="R270" s="9" t="n">
        <x:f>IF(AND(INDEX('Сводка'!$T$3:$T$397,U270)=0,INDEX('Сводка'!$T$3:$T$397,V270)=0),1,0)</x:f>
        <x:v>1</x:v>
      </x:c>
      <x:c r="S270" s="9" t="n">
        <x:f>IF(AND(R270=1,O270&lt;=$G$13),1,0)</x:f>
        <x:v>0</x:v>
      </x:c>
      <x:c r="T270" s="10" t="n">
        <x:f>EOMONTH(J270-'Сводка'!$B$11,-1)</x:f>
        <x:v>46112</x:v>
      </x:c>
      <x:c r="U270" s="4" t="n">
        <x:f>MATCH(J270,'Сводка'!$R$3:$R$397,0)</x:f>
        <x:v>281</x:v>
      </x:c>
      <x:c r="V270" s="4" t="n">
        <x:f>MATCH(J270-'Сводка'!$B$11,'Сводка'!$R$3:$R$397,0)</x:f>
        <x:v>280</x:v>
      </x:c>
      <x:c r="W270" s="4" t="n">
        <x:f>MATCH(T270,$J$388:$J$400,0)</x:f>
        <x:v>10</x:v>
      </x:c>
      <x:c r="X270" s="3"/>
      <x:c r="Y270" s="3"/>
      <x:c r="Z270" s="3"/>
    </x:row>
    <x:row r="271" ht="15" customHeight="1">
      <x:c r="A271" s="3"/>
      <x:c r="B271" s="3"/>
      <x:c r="C271" s="3"/>
      <x:c r="D271" s="3"/>
      <x:c r="E271" s="3"/>
      <x:c r="F271" s="3"/>
      <x:c r="G271" s="3"/>
      <x:c r="H271" s="3"/>
      <x:c r="I271" s="3"/>
      <x:c r="J271" s="10" t="n">
        <x:v>46122</x:v>
      </x:c>
      <x:c r="K271" s="8" t="n">
        <x:f>INDEX('Сводка'!$S$3:$S$397,U271)</x:f>
        <x:v>82</x:v>
      </x:c>
      <x:c r="L271" s="8" t="n">
        <x:f>INDEX('Сводка'!$S$3:$S$397,V271)</x:f>
        <x:v>44</x:v>
      </x:c>
      <x:c r="M271" s="8" t="n">
        <x:f>INDEX($K$388:$N$400,W271,1)*((J271-$T$405+1)/1000)^INDEX($K$388:$N$400,W271,2)+INDEX($O$388:$Z$400,W271,MONTH(J271))</x:f>
        <x:v>101.40379057224138</x:v>
      </x:c>
      <x:c r="N271" s="8" t="n">
        <x:f>K271-M271</x:f>
        <x:v>-19.403790572241377</x:v>
      </x:c>
      <x:c r="O271" s="8" t="n">
        <x:f>ABS(N271)</x:f>
        <x:v>19.403790572241377</x:v>
      </x:c>
      <x:c r="P271" s="8" t="n">
        <x:f>N271^2</x:f>
        <x:v>376.50708857140336</x:v>
      </x:c>
      <x:c r="Q271" s="8" t="n">
        <x:f>K271-L271</x:f>
        <x:v>38</x:v>
      </x:c>
      <x:c r="R271" s="9" t="n">
        <x:f>IF(AND(INDEX('Сводка'!$T$3:$T$397,U271)=0,INDEX('Сводка'!$T$3:$T$397,V271)=0),1,0)</x:f>
        <x:v>1</x:v>
      </x:c>
      <x:c r="S271" s="9" t="n">
        <x:f>IF(AND(R271=1,O271&lt;=$G$13),1,0)</x:f>
        <x:v>0</x:v>
      </x:c>
      <x:c r="T271" s="10" t="n">
        <x:f>EOMONTH(J271-'Сводка'!$B$11,-1)</x:f>
        <x:v>46112</x:v>
      </x:c>
      <x:c r="U271" s="4" t="n">
        <x:f>MATCH(J271,'Сводка'!$R$3:$R$397,0)</x:f>
        <x:v>282</x:v>
      </x:c>
      <x:c r="V271" s="4" t="n">
        <x:f>MATCH(J271-'Сводка'!$B$11,'Сводка'!$R$3:$R$397,0)</x:f>
        <x:v>281</x:v>
      </x:c>
      <x:c r="W271" s="4" t="n">
        <x:f>MATCH(T271,$J$388:$J$400,0)</x:f>
        <x:v>10</x:v>
      </x:c>
      <x:c r="X271" s="3"/>
      <x:c r="Y271" s="3"/>
      <x:c r="Z271" s="3"/>
    </x:row>
    <x:row r="272" ht="15" customHeight="1">
      <x:c r="A272" s="3"/>
      <x:c r="B272" s="3"/>
      <x:c r="C272" s="3"/>
      <x:c r="D272" s="3"/>
      <x:c r="E272" s="3"/>
      <x:c r="F272" s="3"/>
      <x:c r="G272" s="3"/>
      <x:c r="H272" s="3"/>
      <x:c r="I272" s="3"/>
      <x:c r="J272" s="10" t="n">
        <x:v>46123</x:v>
      </x:c>
      <x:c r="K272" s="8" t="n">
        <x:f>INDEX('Сводка'!$S$3:$S$397,U272)</x:f>
        <x:v>96</x:v>
      </x:c>
      <x:c r="L272" s="8" t="n">
        <x:f>INDEX('Сводка'!$S$3:$S$397,V272)</x:f>
        <x:v>82</x:v>
      </x:c>
      <x:c r="M272" s="8" t="n">
        <x:f>INDEX($K$388:$N$400,W272,1)*((J272-$T$405+1)/1000)^INDEX($K$388:$N$400,W272,2)+INDEX($O$388:$Z$400,W272,MONTH(J272))</x:f>
        <x:v>101.42021677890205</x:v>
      </x:c>
      <x:c r="N272" s="8" t="n">
        <x:f>K272-M272</x:f>
        <x:v>-5.420216778902045</x:v>
      </x:c>
      <x:c r="O272" s="8" t="n">
        <x:f>ABS(N272)</x:f>
        <x:v>5.420216778902045</x:v>
      </x:c>
      <x:c r="P272" s="8" t="n">
        <x:f>N272^2</x:f>
        <x:v>29.37874993029126</x:v>
      </x:c>
      <x:c r="Q272" s="8" t="n">
        <x:f>K272-L272</x:f>
        <x:v>14</x:v>
      </x:c>
      <x:c r="R272" s="9" t="n">
        <x:f>IF(AND(INDEX('Сводка'!$T$3:$T$397,U272)=0,INDEX('Сводка'!$T$3:$T$397,V272)=0),1,0)</x:f>
        <x:v>1</x:v>
      </x:c>
      <x:c r="S272" s="9" t="n">
        <x:f>IF(AND(R272=1,O272&lt;=$G$13),1,0)</x:f>
        <x:v>1</x:v>
      </x:c>
      <x:c r="T272" s="10" t="n">
        <x:f>EOMONTH(J272-'Сводка'!$B$11,-1)</x:f>
        <x:v>46112</x:v>
      </x:c>
      <x:c r="U272" s="4" t="n">
        <x:f>MATCH(J272,'Сводка'!$R$3:$R$397,0)</x:f>
        <x:v>283</x:v>
      </x:c>
      <x:c r="V272" s="4" t="n">
        <x:f>MATCH(J272-'Сводка'!$B$11,'Сводка'!$R$3:$R$397,0)</x:f>
        <x:v>282</x:v>
      </x:c>
      <x:c r="W272" s="4" t="n">
        <x:f>MATCH(T272,$J$388:$J$400,0)</x:f>
        <x:v>10</x:v>
      </x:c>
      <x:c r="X272" s="3"/>
      <x:c r="Y272" s="3"/>
      <x:c r="Z272" s="3"/>
    </x:row>
    <x:row r="273" ht="15" customHeight="1">
      <x:c r="A273" s="3"/>
      <x:c r="B273" s="3"/>
      <x:c r="C273" s="3"/>
      <x:c r="D273" s="3"/>
      <x:c r="E273" s="3"/>
      <x:c r="F273" s="3"/>
      <x:c r="G273" s="3"/>
      <x:c r="H273" s="3"/>
      <x:c r="I273" s="3"/>
      <x:c r="J273" s="10" t="n">
        <x:v>46124</x:v>
      </x:c>
      <x:c r="K273" s="8" t="n">
        <x:f>INDEX('Сводка'!$S$3:$S$397,U273)</x:f>
        <x:v>163</x:v>
      </x:c>
      <x:c r="L273" s="8" t="n">
        <x:f>INDEX('Сводка'!$S$3:$S$397,V273)</x:f>
        <x:v>96</x:v>
      </x:c>
      <x:c r="M273" s="8" t="n">
        <x:f>INDEX($K$388:$N$400,W273,1)*((J273-$T$405+1)/1000)^INDEX($K$388:$N$400,W273,2)+INDEX($O$388:$Z$400,W273,MONTH(J273))</x:f>
        <x:v>101.43664302682069</x:v>
      </x:c>
      <x:c r="N273" s="8" t="n">
        <x:f>K273-M273</x:f>
        <x:v>61.56335697317931</x:v>
      </x:c>
      <x:c r="O273" s="8" t="n">
        <x:f>ABS(N273)</x:f>
        <x:v>61.56335697317931</x:v>
      </x:c>
      <x:c r="P273" s="8" t="n">
        <x:f>N273^2</x:f>
        <x:v>3790.0469218071057</x:v>
      </x:c>
      <x:c r="Q273" s="8" t="n">
        <x:f>K273-L273</x:f>
        <x:v>67</x:v>
      </x:c>
      <x:c r="R273" s="9" t="n">
        <x:f>IF(AND(INDEX('Сводка'!$T$3:$T$397,U273)=0,INDEX('Сводка'!$T$3:$T$397,V273)=0),1,0)</x:f>
        <x:v>1</x:v>
      </x:c>
      <x:c r="S273" s="9" t="n">
        <x:f>IF(AND(R273=1,O273&lt;=$G$13),1,0)</x:f>
        <x:v>0</x:v>
      </x:c>
      <x:c r="T273" s="10" t="n">
        <x:f>EOMONTH(J273-'Сводка'!$B$11,-1)</x:f>
        <x:v>46112</x:v>
      </x:c>
      <x:c r="U273" s="4" t="n">
        <x:f>MATCH(J273,'Сводка'!$R$3:$R$397,0)</x:f>
        <x:v>284</x:v>
      </x:c>
      <x:c r="V273" s="4" t="n">
        <x:f>MATCH(J273-'Сводка'!$B$11,'Сводка'!$R$3:$R$397,0)</x:f>
        <x:v>283</x:v>
      </x:c>
      <x:c r="W273" s="4" t="n">
        <x:f>MATCH(T273,$J$388:$J$400,0)</x:f>
        <x:v>10</x:v>
      </x:c>
      <x:c r="X273" s="3"/>
      <x:c r="Y273" s="3"/>
      <x:c r="Z273" s="3"/>
    </x:row>
    <x:row r="274" ht="15" customHeight="1">
      <x:c r="A274" s="3"/>
      <x:c r="B274" s="3"/>
      <x:c r="C274" s="3"/>
      <x:c r="D274" s="3"/>
      <x:c r="E274" s="3"/>
      <x:c r="F274" s="3"/>
      <x:c r="G274" s="3"/>
      <x:c r="H274" s="3"/>
      <x:c r="I274" s="3"/>
      <x:c r="J274" s="10" t="n">
        <x:v>46125</x:v>
      </x:c>
      <x:c r="K274" s="8" t="n">
        <x:f>INDEX('Сводка'!$S$3:$S$397,U274)</x:f>
        <x:v>100</x:v>
      </x:c>
      <x:c r="L274" s="8" t="n">
        <x:f>INDEX('Сводка'!$S$3:$S$397,V274)</x:f>
        <x:v>163</x:v>
      </x:c>
      <x:c r="M274" s="8" t="n">
        <x:f>INDEX($K$388:$N$400,W274,1)*((J274-$T$405+1)/1000)^INDEX($K$388:$N$400,W274,2)+INDEX($O$388:$Z$400,W274,MONTH(J274))</x:f>
        <x:v>101.45306931599274</x:v>
      </x:c>
      <x:c r="N274" s="8" t="n">
        <x:f>K274-M274</x:f>
        <x:v>-1.4530693159927353</x:v>
      </x:c>
      <x:c r="O274" s="8" t="n">
        <x:f>ABS(N274)</x:f>
        <x:v>1.4530693159927353</x:v>
      </x:c>
      <x:c r="P274" s="8" t="n">
        <x:f>N274^2</x:f>
        <x:v>2.1114104370795954</x:v>
      </x:c>
      <x:c r="Q274" s="8" t="n">
        <x:f>K274-L274</x:f>
        <x:v>-63</x:v>
      </x:c>
      <x:c r="R274" s="9" t="n">
        <x:f>IF(AND(INDEX('Сводка'!$T$3:$T$397,U274)=0,INDEX('Сводка'!$T$3:$T$397,V274)=0),1,0)</x:f>
        <x:v>1</x:v>
      </x:c>
      <x:c r="S274" s="9" t="n">
        <x:f>IF(AND(R274=1,O274&lt;=$G$13),1,0)</x:f>
        <x:v>1</x:v>
      </x:c>
      <x:c r="T274" s="10" t="n">
        <x:f>EOMONTH(J274-'Сводка'!$B$11,-1)</x:f>
        <x:v>46112</x:v>
      </x:c>
      <x:c r="U274" s="4" t="n">
        <x:f>MATCH(J274,'Сводка'!$R$3:$R$397,0)</x:f>
        <x:v>285</x:v>
      </x:c>
      <x:c r="V274" s="4" t="n">
        <x:f>MATCH(J274-'Сводка'!$B$11,'Сводка'!$R$3:$R$397,0)</x:f>
        <x:v>284</x:v>
      </x:c>
      <x:c r="W274" s="4" t="n">
        <x:f>MATCH(T274,$J$388:$J$400,0)</x:f>
        <x:v>10</x:v>
      </x:c>
      <x:c r="X274" s="3"/>
      <x:c r="Y274" s="3"/>
      <x:c r="Z274" s="3"/>
    </x:row>
    <x:row r="275" ht="15" customHeight="1">
      <x:c r="A275" s="3"/>
      <x:c r="B275" s="3"/>
      <x:c r="C275" s="3"/>
      <x:c r="D275" s="3"/>
      <x:c r="E275" s="3"/>
      <x:c r="F275" s="3"/>
      <x:c r="G275" s="3"/>
      <x:c r="H275" s="3"/>
      <x:c r="I275" s="3"/>
      <x:c r="J275" s="10" t="n">
        <x:v>46126</x:v>
      </x:c>
      <x:c r="K275" s="8" t="n">
        <x:f>INDEX('Сводка'!$S$3:$S$397,U275)</x:f>
        <x:v>36</x:v>
      </x:c>
      <x:c r="L275" s="8" t="n">
        <x:f>INDEX('Сводка'!$S$3:$S$397,V275)</x:f>
        <x:v>100</x:v>
      </x:c>
      <x:c r="M275" s="8" t="n">
        <x:f>INDEX($K$388:$N$400,W275,1)*((J275-$T$405+1)/1000)^INDEX($K$388:$N$400,W275,2)+INDEX($O$388:$Z$400,W275,MONTH(J275))</x:f>
        <x:v>101.46949564641366</x:v>
      </x:c>
      <x:c r="N275" s="8" t="n">
        <x:f>K275-M275</x:f>
        <x:v>-65.46949564641366</x:v>
      </x:c>
      <x:c r="O275" s="8" t="n">
        <x:f>ABS(N275)</x:f>
        <x:v>65.46949564641366</x:v>
      </x:c>
      <x:c r="P275" s="8" t="n">
        <x:f>N275^2</x:f>
        <x:v>4286.254860195778</x:v>
      </x:c>
      <x:c r="Q275" s="8" t="n">
        <x:f>K275-L275</x:f>
        <x:v>-64</x:v>
      </x:c>
      <x:c r="R275" s="9" t="n">
        <x:f>IF(AND(INDEX('Сводка'!$T$3:$T$397,U275)=0,INDEX('Сводка'!$T$3:$T$397,V275)=0),1,0)</x:f>
        <x:v>1</x:v>
      </x:c>
      <x:c r="S275" s="9" t="n">
        <x:f>IF(AND(R275=1,O275&lt;=$G$13),1,0)</x:f>
        <x:v>0</x:v>
      </x:c>
      <x:c r="T275" s="10" t="n">
        <x:f>EOMONTH(J275-'Сводка'!$B$11,-1)</x:f>
        <x:v>46112</x:v>
      </x:c>
      <x:c r="U275" s="4" t="n">
        <x:f>MATCH(J275,'Сводка'!$R$3:$R$397,0)</x:f>
        <x:v>286</x:v>
      </x:c>
      <x:c r="V275" s="4" t="n">
        <x:f>MATCH(J275-'Сводка'!$B$11,'Сводка'!$R$3:$R$397,0)</x:f>
        <x:v>285</x:v>
      </x:c>
      <x:c r="W275" s="4" t="n">
        <x:f>MATCH(T275,$J$388:$J$400,0)</x:f>
        <x:v>10</x:v>
      </x:c>
      <x:c r="X275" s="3"/>
      <x:c r="Y275" s="3"/>
      <x:c r="Z275" s="3"/>
    </x:row>
    <x:row r="276" ht="15" customHeight="1">
      <x:c r="A276" s="3"/>
      <x:c r="B276" s="3"/>
      <x:c r="C276" s="3"/>
      <x:c r="D276" s="3"/>
      <x:c r="E276" s="3"/>
      <x:c r="F276" s="3"/>
      <x:c r="G276" s="3"/>
      <x:c r="H276" s="3"/>
      <x:c r="I276" s="3"/>
      <x:c r="J276" s="10" t="n">
        <x:v>46127</x:v>
      </x:c>
      <x:c r="K276" s="8" t="n">
        <x:f>INDEX('Сводка'!$S$3:$S$397,U276)</x:f>
        <x:v>-4</x:v>
      </x:c>
      <x:c r="L276" s="8" t="n">
        <x:f>INDEX('Сводка'!$S$3:$S$397,V276)</x:f>
        <x:v>36</x:v>
      </x:c>
      <x:c r="M276" s="8" t="n">
        <x:f>INDEX($K$388:$N$400,W276,1)*((J276-$T$405+1)/1000)^INDEX($K$388:$N$400,W276,2)+INDEX($O$388:$Z$400,W276,MONTH(J276))</x:f>
        <x:v>101.48592201807892</x:v>
      </x:c>
      <x:c r="N276" s="8" t="n">
        <x:f>K276-M276</x:f>
        <x:v>-105.48592201807892</x:v>
      </x:c>
      <x:c r="O276" s="8" t="n">
        <x:f>ABS(N276)</x:f>
        <x:v>105.48592201807892</x:v>
      </x:c>
      <x:c r="P276" s="8" t="n">
        <x:f>N276^2</x:f>
        <x:v>11127.279744004229</x:v>
      </x:c>
      <x:c r="Q276" s="8" t="n">
        <x:f>K276-L276</x:f>
        <x:v>-40</x:v>
      </x:c>
      <x:c r="R276" s="9" t="n">
        <x:f>IF(AND(INDEX('Сводка'!$T$3:$T$397,U276)=0,INDEX('Сводка'!$T$3:$T$397,V276)=0),1,0)</x:f>
        <x:v>1</x:v>
      </x:c>
      <x:c r="S276" s="9" t="n">
        <x:f>IF(AND(R276=1,O276&lt;=$G$13),1,0)</x:f>
        <x:v>0</x:v>
      </x:c>
      <x:c r="T276" s="10" t="n">
        <x:f>EOMONTH(J276-'Сводка'!$B$11,-1)</x:f>
        <x:v>46112</x:v>
      </x:c>
      <x:c r="U276" s="4" t="n">
        <x:f>MATCH(J276,'Сводка'!$R$3:$R$397,0)</x:f>
        <x:v>287</x:v>
      </x:c>
      <x:c r="V276" s="4" t="n">
        <x:f>MATCH(J276-'Сводка'!$B$11,'Сводка'!$R$3:$R$397,0)</x:f>
        <x:v>286</x:v>
      </x:c>
      <x:c r="W276" s="4" t="n">
        <x:f>MATCH(T276,$J$388:$J$400,0)</x:f>
        <x:v>10</x:v>
      </x:c>
      <x:c r="X276" s="3"/>
      <x:c r="Y276" s="3"/>
      <x:c r="Z276" s="3"/>
    </x:row>
    <x:row r="277" ht="15" customHeight="1">
      <x:c r="A277" s="3"/>
      <x:c r="B277" s="3"/>
      <x:c r="C277" s="3"/>
      <x:c r="D277" s="3"/>
      <x:c r="E277" s="3"/>
      <x:c r="F277" s="3"/>
      <x:c r="G277" s="3"/>
      <x:c r="H277" s="3"/>
      <x:c r="I277" s="3"/>
      <x:c r="J277" s="10" t="n">
        <x:v>46128</x:v>
      </x:c>
      <x:c r="K277" s="8" t="n">
        <x:f>INDEX('Сводка'!$S$3:$S$397,U277)</x:f>
        <x:v>-14</x:v>
      </x:c>
      <x:c r="L277" s="8" t="n">
        <x:f>INDEX('Сводка'!$S$3:$S$397,V277)</x:f>
        <x:v>-4</x:v>
      </x:c>
      <x:c r="M277" s="8" t="n">
        <x:f>INDEX($K$388:$N$400,W277,1)*((J277-$T$405+1)/1000)^INDEX($K$388:$N$400,W277,2)+INDEX($O$388:$Z$400,W277,MONTH(J277))</x:f>
        <x:v>101.50234843098394</x:v>
      </x:c>
      <x:c r="N277" s="8" t="n">
        <x:f>K277-M277</x:f>
        <x:v>-115.50234843098394</x:v>
      </x:c>
      <x:c r="O277" s="8" t="n">
        <x:f>ABS(N277)</x:f>
        <x:v>115.50234843098394</x:v>
      </x:c>
      <x:c r="P277" s="8" t="n">
        <x:f>N277^2</x:f>
        <x:v>13340.792493072418</x:v>
      </x:c>
      <x:c r="Q277" s="8" t="n">
        <x:f>K277-L277</x:f>
        <x:v>-10</x:v>
      </x:c>
      <x:c r="R277" s="9" t="n">
        <x:f>IF(AND(INDEX('Сводка'!$T$3:$T$397,U277)=0,INDEX('Сводка'!$T$3:$T$397,V277)=0),1,0)</x:f>
        <x:v>1</x:v>
      </x:c>
      <x:c r="S277" s="9" t="n">
        <x:f>IF(AND(R277=1,O277&lt;=$G$13),1,0)</x:f>
        <x:v>0</x:v>
      </x:c>
      <x:c r="T277" s="10" t="n">
        <x:f>EOMONTH(J277-'Сводка'!$B$11,-1)</x:f>
        <x:v>46112</x:v>
      </x:c>
      <x:c r="U277" s="4" t="n">
        <x:f>MATCH(J277,'Сводка'!$R$3:$R$397,0)</x:f>
        <x:v>288</x:v>
      </x:c>
      <x:c r="V277" s="4" t="n">
        <x:f>MATCH(J277-'Сводка'!$B$11,'Сводка'!$R$3:$R$397,0)</x:f>
        <x:v>287</x:v>
      </x:c>
      <x:c r="W277" s="4" t="n">
        <x:f>MATCH(T277,$J$388:$J$400,0)</x:f>
        <x:v>10</x:v>
      </x:c>
      <x:c r="X277" s="3"/>
      <x:c r="Y277" s="3"/>
      <x:c r="Z277" s="3"/>
    </x:row>
    <x:row r="278" ht="15" customHeight="1">
      <x:c r="A278" s="3"/>
      <x:c r="B278" s="3"/>
      <x:c r="C278" s="3"/>
      <x:c r="D278" s="3"/>
      <x:c r="E278" s="3"/>
      <x:c r="F278" s="3"/>
      <x:c r="G278" s="3"/>
      <x:c r="H278" s="3"/>
      <x:c r="I278" s="3"/>
      <x:c r="J278" s="10" t="n">
        <x:v>46129</x:v>
      </x:c>
      <x:c r="K278" s="8" t="n">
        <x:f>INDEX('Сводка'!$S$3:$S$397,U278)</x:f>
        <x:v>-6</x:v>
      </x:c>
      <x:c r="L278" s="8" t="n">
        <x:f>INDEX('Сводка'!$S$3:$S$397,V278)</x:f>
        <x:v>-14</x:v>
      </x:c>
      <x:c r="M278" s="8" t="n">
        <x:f>INDEX($K$388:$N$400,W278,1)*((J278-$T$405+1)/1000)^INDEX($K$388:$N$400,W278,2)+INDEX($O$388:$Z$400,W278,MONTH(J278))</x:f>
        <x:v>101.5187748851242</x:v>
      </x:c>
      <x:c r="N278" s="8" t="n">
        <x:f>K278-M278</x:f>
        <x:v>-107.5187748851242</x:v>
      </x:c>
      <x:c r="O278" s="8" t="n">
        <x:f>ABS(N278)</x:f>
        <x:v>107.5187748851242</x:v>
      </x:c>
      <x:c r="P278" s="8" t="n">
        <x:f>N278^2</x:f>
        <x:v>11560.286952798015</x:v>
      </x:c>
      <x:c r="Q278" s="8" t="n">
        <x:f>K278-L278</x:f>
        <x:v>8</x:v>
      </x:c>
      <x:c r="R278" s="9" t="n">
        <x:f>IF(AND(INDEX('Сводка'!$T$3:$T$397,U278)=0,INDEX('Сводка'!$T$3:$T$397,V278)=0),1,0)</x:f>
        <x:v>1</x:v>
      </x:c>
      <x:c r="S278" s="9" t="n">
        <x:f>IF(AND(R278=1,O278&lt;=$G$13),1,0)</x:f>
        <x:v>0</x:v>
      </x:c>
      <x:c r="T278" s="10" t="n">
        <x:f>EOMONTH(J278-'Сводка'!$B$11,-1)</x:f>
        <x:v>46112</x:v>
      </x:c>
      <x:c r="U278" s="4" t="n">
        <x:f>MATCH(J278,'Сводка'!$R$3:$R$397,0)</x:f>
        <x:v>289</x:v>
      </x:c>
      <x:c r="V278" s="4" t="n">
        <x:f>MATCH(J278-'Сводка'!$B$11,'Сводка'!$R$3:$R$397,0)</x:f>
        <x:v>288</x:v>
      </x:c>
      <x:c r="W278" s="4" t="n">
        <x:f>MATCH(T278,$J$388:$J$400,0)</x:f>
        <x:v>10</x:v>
      </x:c>
      <x:c r="X278" s="3"/>
      <x:c r="Y278" s="3"/>
      <x:c r="Z278" s="3"/>
    </x:row>
    <x:row r="279" ht="15" customHeight="1">
      <x:c r="A279" s="3"/>
      <x:c r="B279" s="3"/>
      <x:c r="C279" s="3"/>
      <x:c r="D279" s="3"/>
      <x:c r="E279" s="3"/>
      <x:c r="F279" s="3"/>
      <x:c r="G279" s="3"/>
      <x:c r="H279" s="3"/>
      <x:c r="I279" s="3"/>
      <x:c r="J279" s="10" t="n">
        <x:v>46130</x:v>
      </x:c>
      <x:c r="K279" s="8" t="n">
        <x:f>INDEX('Сводка'!$S$3:$S$397,U279)</x:f>
        <x:v>-4</x:v>
      </x:c>
      <x:c r="L279" s="8" t="n">
        <x:f>INDEX('Сводка'!$S$3:$S$397,V279)</x:f>
        <x:v>-6</x:v>
      </x:c>
      <x:c r="M279" s="8" t="n">
        <x:f>INDEX($K$388:$N$400,W279,1)*((J279-$T$405+1)/1000)^INDEX($K$388:$N$400,W279,2)+INDEX($O$388:$Z$400,W279,MONTH(J279))</x:f>
        <x:v>101.53520138049518</x:v>
      </x:c>
      <x:c r="N279" s="8" t="n">
        <x:f>K279-M279</x:f>
        <x:v>-105.53520138049518</x:v>
      </x:c>
      <x:c r="O279" s="8" t="n">
        <x:f>ABS(N279)</x:f>
        <x:v>105.53520138049518</x:v>
      </x:c>
      <x:c r="P279" s="8" t="n">
        <x:f>N279^2</x:f>
        <x:v>11137.678730421672</x:v>
      </x:c>
      <x:c r="Q279" s="8" t="n">
        <x:f>K279-L279</x:f>
        <x:v>2</x:v>
      </x:c>
      <x:c r="R279" s="9" t="n">
        <x:f>IF(AND(INDEX('Сводка'!$T$3:$T$397,U279)=0,INDEX('Сводка'!$T$3:$T$397,V279)=0),1,0)</x:f>
        <x:v>1</x:v>
      </x:c>
      <x:c r="S279" s="9" t="n">
        <x:f>IF(AND(R279=1,O279&lt;=$G$13),1,0)</x:f>
        <x:v>0</x:v>
      </x:c>
      <x:c r="T279" s="10" t="n">
        <x:f>EOMONTH(J279-'Сводка'!$B$11,-1)</x:f>
        <x:v>46112</x:v>
      </x:c>
      <x:c r="U279" s="4" t="n">
        <x:f>MATCH(J279,'Сводка'!$R$3:$R$397,0)</x:f>
        <x:v>290</x:v>
      </x:c>
      <x:c r="V279" s="4" t="n">
        <x:f>MATCH(J279-'Сводка'!$B$11,'Сводка'!$R$3:$R$397,0)</x:f>
        <x:v>289</x:v>
      </x:c>
      <x:c r="W279" s="4" t="n">
        <x:f>MATCH(T279,$J$388:$J$400,0)</x:f>
        <x:v>10</x:v>
      </x:c>
      <x:c r="X279" s="3"/>
      <x:c r="Y279" s="3"/>
      <x:c r="Z279" s="3"/>
    </x:row>
    <x:row r="280" ht="15" customHeight="1">
      <x:c r="A280" s="3"/>
      <x:c r="B280" s="3"/>
      <x:c r="C280" s="3"/>
      <x:c r="D280" s="3"/>
      <x:c r="E280" s="3"/>
      <x:c r="F280" s="3"/>
      <x:c r="G280" s="3"/>
      <x:c r="H280" s="3"/>
      <x:c r="I280" s="3"/>
      <x:c r="J280" s="10" t="n">
        <x:v>46131</x:v>
      </x:c>
      <x:c r="K280" s="8" t="n">
        <x:f>INDEX('Сводка'!$S$3:$S$397,U280)</x:f>
        <x:v>64</x:v>
      </x:c>
      <x:c r="L280" s="8" t="n">
        <x:f>INDEX('Сводка'!$S$3:$S$397,V280)</x:f>
        <x:v>-4</x:v>
      </x:c>
      <x:c r="M280" s="8" t="n">
        <x:f>INDEX($K$388:$N$400,W280,1)*((J280-$T$405+1)/1000)^INDEX($K$388:$N$400,W280,2)+INDEX($O$388:$Z$400,W280,MONTH(J280))</x:f>
        <x:v>101.55162791709225</x:v>
      </x:c>
      <x:c r="N280" s="8" t="n">
        <x:f>K280-M280</x:f>
        <x:v>-37.55162791709225</x:v>
      </x:c>
      <x:c r="O280" s="8" t="n">
        <x:f>ABS(N280)</x:f>
        <x:v>37.55162791709225</x:v>
      </x:c>
      <x:c r="P280" s="8" t="n">
        <x:f>N280^2</x:f>
        <x:v>1410.1247592237419</x:v>
      </x:c>
      <x:c r="Q280" s="8" t="n">
        <x:f>K280-L280</x:f>
        <x:v>68</x:v>
      </x:c>
      <x:c r="R280" s="9" t="n">
        <x:f>IF(AND(INDEX('Сводка'!$T$3:$T$397,U280)=0,INDEX('Сводка'!$T$3:$T$397,V280)=0),1,0)</x:f>
        <x:v>1</x:v>
      </x:c>
      <x:c r="S280" s="9" t="n">
        <x:f>IF(AND(R280=1,O280&lt;=$G$13),1,0)</x:f>
        <x:v>0</x:v>
      </x:c>
      <x:c r="T280" s="10" t="n">
        <x:f>EOMONTH(J280-'Сводка'!$B$11,-1)</x:f>
        <x:v>46112</x:v>
      </x:c>
      <x:c r="U280" s="4" t="n">
        <x:f>MATCH(J280,'Сводка'!$R$3:$R$397,0)</x:f>
        <x:v>291</x:v>
      </x:c>
      <x:c r="V280" s="4" t="n">
        <x:f>MATCH(J280-'Сводка'!$B$11,'Сводка'!$R$3:$R$397,0)</x:f>
        <x:v>290</x:v>
      </x:c>
      <x:c r="W280" s="4" t="n">
        <x:f>MATCH(T280,$J$388:$J$400,0)</x:f>
        <x:v>10</x:v>
      </x:c>
      <x:c r="X280" s="3"/>
      <x:c r="Y280" s="3"/>
      <x:c r="Z280" s="3"/>
    </x:row>
    <x:row r="281" ht="15" customHeight="1">
      <x:c r="A281" s="3"/>
      <x:c r="B281" s="3"/>
      <x:c r="C281" s="3"/>
      <x:c r="D281" s="3"/>
      <x:c r="E281" s="3"/>
      <x:c r="F281" s="3"/>
      <x:c r="G281" s="3"/>
      <x:c r="H281" s="3"/>
      <x:c r="I281" s="3"/>
      <x:c r="J281" s="10" t="n">
        <x:v>46132</x:v>
      </x:c>
      <x:c r="K281" s="8" t="n">
        <x:f>INDEX('Сводка'!$S$3:$S$397,U281)</x:f>
        <x:v>82</x:v>
      </x:c>
      <x:c r="L281" s="8" t="n">
        <x:f>INDEX('Сводка'!$S$3:$S$397,V281)</x:f>
        <x:v>64</x:v>
      </x:c>
      <x:c r="M281" s="8" t="n">
        <x:f>INDEX($K$388:$N$400,W281,1)*((J281-$T$405+1)/1000)^INDEX($K$388:$N$400,W281,2)+INDEX($O$388:$Z$400,W281,MONTH(J281))</x:f>
        <x:v>101.56805449491097</x:v>
      </x:c>
      <x:c r="N281" s="8" t="n">
        <x:f>K281-M281</x:f>
        <x:v>-19.568054494910967</x:v>
      </x:c>
      <x:c r="O281" s="8" t="n">
        <x:f>ABS(N281)</x:f>
        <x:v>19.568054494910967</x:v>
      </x:c>
      <x:c r="P281" s="8" t="n">
        <x:f>N281^2</x:f>
        <x:v>382.90875671580534</x:v>
      </x:c>
      <x:c r="Q281" s="8" t="n">
        <x:f>K281-L281</x:f>
        <x:v>18</x:v>
      </x:c>
      <x:c r="R281" s="9" t="n">
        <x:f>IF(AND(INDEX('Сводка'!$T$3:$T$397,U281)=0,INDEX('Сводка'!$T$3:$T$397,V281)=0),1,0)</x:f>
        <x:v>1</x:v>
      </x:c>
      <x:c r="S281" s="9" t="n">
        <x:f>IF(AND(R281=1,O281&lt;=$G$13),1,0)</x:f>
        <x:v>0</x:v>
      </x:c>
      <x:c r="T281" s="10" t="n">
        <x:f>EOMONTH(J281-'Сводка'!$B$11,-1)</x:f>
        <x:v>46112</x:v>
      </x:c>
      <x:c r="U281" s="4" t="n">
        <x:f>MATCH(J281,'Сводка'!$R$3:$R$397,0)</x:f>
        <x:v>292</x:v>
      </x:c>
      <x:c r="V281" s="4" t="n">
        <x:f>MATCH(J281-'Сводка'!$B$11,'Сводка'!$R$3:$R$397,0)</x:f>
        <x:v>291</x:v>
      </x:c>
      <x:c r="W281" s="4" t="n">
        <x:f>MATCH(T281,$J$388:$J$400,0)</x:f>
        <x:v>10</x:v>
      </x:c>
      <x:c r="X281" s="3"/>
      <x:c r="Y281" s="3"/>
      <x:c r="Z281" s="3"/>
    </x:row>
    <x:row r="282" ht="15" customHeight="1">
      <x:c r="A282" s="3"/>
      <x:c r="B282" s="3"/>
      <x:c r="C282" s="3"/>
      <x:c r="D282" s="3"/>
      <x:c r="E282" s="3"/>
      <x:c r="F282" s="3"/>
      <x:c r="G282" s="3"/>
      <x:c r="H282" s="3"/>
      <x:c r="I282" s="3"/>
      <x:c r="J282" s="10" t="n">
        <x:v>46133</x:v>
      </x:c>
      <x:c r="K282" s="8" t="n">
        <x:f>INDEX('Сводка'!$S$3:$S$397,U282)</x:f>
        <x:v>64</x:v>
      </x:c>
      <x:c r="L282" s="8" t="n">
        <x:f>INDEX('Сводка'!$S$3:$S$397,V282)</x:f>
        <x:v>82</x:v>
      </x:c>
      <x:c r="M282" s="8" t="n">
        <x:f>INDEX($K$388:$N$400,W282,1)*((J282-$T$405+1)/1000)^INDEX($K$388:$N$400,W282,2)+INDEX($O$388:$Z$400,W282,MONTH(J282))</x:f>
        <x:v>101.58448111394677</x:v>
      </x:c>
      <x:c r="N282" s="8" t="n">
        <x:f>K282-M282</x:f>
        <x:v>-37.584481113946765</x:v>
      </x:c>
      <x:c r="O282" s="8" t="n">
        <x:f>ABS(N282)</x:f>
        <x:v>37.584481113946765</x:v>
      </x:c>
      <x:c r="P282" s="8" t="n">
        <x:f>N282^2</x:f>
        <x:v>1412.5932206046211</x:v>
      </x:c>
      <x:c r="Q282" s="8" t="n">
        <x:f>K282-L282</x:f>
        <x:v>-18</x:v>
      </x:c>
      <x:c r="R282" s="9" t="n">
        <x:f>IF(AND(INDEX('Сводка'!$T$3:$T$397,U282)=0,INDEX('Сводка'!$T$3:$T$397,V282)=0),1,0)</x:f>
        <x:v>1</x:v>
      </x:c>
      <x:c r="S282" s="9" t="n">
        <x:f>IF(AND(R282=1,O282&lt;=$G$13),1,0)</x:f>
        <x:v>0</x:v>
      </x:c>
      <x:c r="T282" s="10" t="n">
        <x:f>EOMONTH(J282-'Сводка'!$B$11,-1)</x:f>
        <x:v>46112</x:v>
      </x:c>
      <x:c r="U282" s="4" t="n">
        <x:f>MATCH(J282,'Сводка'!$R$3:$R$397,0)</x:f>
        <x:v>293</x:v>
      </x:c>
      <x:c r="V282" s="4" t="n">
        <x:f>MATCH(J282-'Сводка'!$B$11,'Сводка'!$R$3:$R$397,0)</x:f>
        <x:v>292</x:v>
      </x:c>
      <x:c r="W282" s="4" t="n">
        <x:f>MATCH(T282,$J$388:$J$400,0)</x:f>
        <x:v>10</x:v>
      </x:c>
      <x:c r="X282" s="3"/>
      <x:c r="Y282" s="3"/>
      <x:c r="Z282" s="3"/>
    </x:row>
    <x:row r="283" ht="15" customHeight="1">
      <x:c r="A283" s="3"/>
      <x:c r="B283" s="3"/>
      <x:c r="C283" s="3"/>
      <x:c r="D283" s="3"/>
      <x:c r="E283" s="3"/>
      <x:c r="F283" s="3"/>
      <x:c r="G283" s="3"/>
      <x:c r="H283" s="3"/>
      <x:c r="I283" s="3"/>
      <x:c r="J283" s="10" t="n">
        <x:v>46134</x:v>
      </x:c>
      <x:c r="K283" s="8" t="n">
        <x:f>INDEX('Сводка'!$S$3:$S$397,U283)</x:f>
        <x:v>63</x:v>
      </x:c>
      <x:c r="L283" s="8" t="n">
        <x:f>INDEX('Сводка'!$S$3:$S$397,V283)</x:f>
        <x:v>64</x:v>
      </x:c>
      <x:c r="M283" s="8" t="n">
        <x:f>INDEX($K$388:$N$400,W283,1)*((J283-$T$405+1)/1000)^INDEX($K$388:$N$400,W283,2)+INDEX($O$388:$Z$400,W283,MONTH(J283))</x:f>
        <x:v>101.60090777419501</x:v>
      </x:c>
      <x:c r="N283" s="8" t="n">
        <x:f>K283-M283</x:f>
        <x:v>-38.60090777419501</x:v>
      </x:c>
      <x:c r="O283" s="8" t="n">
        <x:f>ABS(N283)</x:f>
        <x:v>38.60090777419501</x:v>
      </x:c>
      <x:c r="P283" s="8" t="n">
        <x:f>N283^2</x:f>
        <x:v>1490.0300809919086</x:v>
      </x:c>
      <x:c r="Q283" s="8" t="n">
        <x:f>K283-L283</x:f>
        <x:v>-1</x:v>
      </x:c>
      <x:c r="R283" s="9" t="n">
        <x:f>IF(AND(INDEX('Сводка'!$T$3:$T$397,U283)=0,INDEX('Сводка'!$T$3:$T$397,V283)=0),1,0)</x:f>
        <x:v>1</x:v>
      </x:c>
      <x:c r="S283" s="9" t="n">
        <x:f>IF(AND(R283=1,O283&lt;=$G$13),1,0)</x:f>
        <x:v>0</x:v>
      </x:c>
      <x:c r="T283" s="10" t="n">
        <x:f>EOMONTH(J283-'Сводка'!$B$11,-1)</x:f>
        <x:v>46112</x:v>
      </x:c>
      <x:c r="U283" s="4" t="n">
        <x:f>MATCH(J283,'Сводка'!$R$3:$R$397,0)</x:f>
        <x:v>294</x:v>
      </x:c>
      <x:c r="V283" s="4" t="n">
        <x:f>MATCH(J283-'Сводка'!$B$11,'Сводка'!$R$3:$R$397,0)</x:f>
        <x:v>293</x:v>
      </x:c>
      <x:c r="W283" s="4" t="n">
        <x:f>MATCH(T283,$J$388:$J$400,0)</x:f>
        <x:v>10</x:v>
      </x:c>
      <x:c r="X283" s="3"/>
      <x:c r="Y283" s="3"/>
      <x:c r="Z283" s="3"/>
    </x:row>
    <x:row r="284" ht="15" customHeight="1">
      <x:c r="A284" s="3"/>
      <x:c r="B284" s="3"/>
      <x:c r="C284" s="3"/>
      <x:c r="D284" s="3"/>
      <x:c r="E284" s="3"/>
      <x:c r="F284" s="3"/>
      <x:c r="G284" s="3"/>
      <x:c r="H284" s="3"/>
      <x:c r="I284" s="3"/>
      <x:c r="J284" s="10" t="n">
        <x:v>46135</x:v>
      </x:c>
      <x:c r="K284" s="8" t="n">
        <x:f>INDEX('Сводка'!$S$3:$S$397,U284)</x:f>
        <x:v>55</x:v>
      </x:c>
      <x:c r="L284" s="8" t="n">
        <x:f>INDEX('Сводка'!$S$3:$S$397,V284)</x:f>
        <x:v>63</x:v>
      </x:c>
      <x:c r="M284" s="8" t="n">
        <x:f>INDEX($K$388:$N$400,W284,1)*((J284-$T$405+1)/1000)^INDEX($K$388:$N$400,W284,2)+INDEX($O$388:$Z$400,W284,MONTH(J284))</x:f>
        <x:v>101.61733447565129</x:v>
      </x:c>
      <x:c r="N284" s="8" t="n">
        <x:f>K284-M284</x:f>
        <x:v>-46.61733447565129</x:v>
      </x:c>
      <x:c r="O284" s="8" t="n">
        <x:f>ABS(N284)</x:f>
        <x:v>46.61733447565129</x:v>
      </x:c>
      <x:c r="P284" s="8" t="n">
        <x:f>N284^2</x:f>
        <x:v>2173.1758736147463</x:v>
      </x:c>
      <x:c r="Q284" s="8" t="n">
        <x:f>K284-L284</x:f>
        <x:v>-8</x:v>
      </x:c>
      <x:c r="R284" s="9" t="n">
        <x:f>IF(AND(INDEX('Сводка'!$T$3:$T$397,U284)=0,INDEX('Сводка'!$T$3:$T$397,V284)=0),1,0)</x:f>
        <x:v>1</x:v>
      </x:c>
      <x:c r="S284" s="9" t="n">
        <x:f>IF(AND(R284=1,O284&lt;=$G$13),1,0)</x:f>
        <x:v>0</x:v>
      </x:c>
      <x:c r="T284" s="10" t="n">
        <x:f>EOMONTH(J284-'Сводка'!$B$11,-1)</x:f>
        <x:v>46112</x:v>
      </x:c>
      <x:c r="U284" s="4" t="n">
        <x:f>MATCH(J284,'Сводка'!$R$3:$R$397,0)</x:f>
        <x:v>295</x:v>
      </x:c>
      <x:c r="V284" s="4" t="n">
        <x:f>MATCH(J284-'Сводка'!$B$11,'Сводка'!$R$3:$R$397,0)</x:f>
        <x:v>294</x:v>
      </x:c>
      <x:c r="W284" s="4" t="n">
        <x:f>MATCH(T284,$J$388:$J$400,0)</x:f>
        <x:v>10</x:v>
      </x:c>
      <x:c r="X284" s="3"/>
      <x:c r="Y284" s="3"/>
      <x:c r="Z284" s="3"/>
    </x:row>
    <x:row r="285" ht="15" customHeight="1">
      <x:c r="A285" s="3"/>
      <x:c r="B285" s="3"/>
      <x:c r="C285" s="3"/>
      <x:c r="D285" s="3"/>
      <x:c r="E285" s="3"/>
      <x:c r="F285" s="3"/>
      <x:c r="G285" s="3"/>
      <x:c r="H285" s="3"/>
      <x:c r="I285" s="3"/>
      <x:c r="J285" s="10" t="n">
        <x:v>46136</x:v>
      </x:c>
      <x:c r="K285" s="8" t="n">
        <x:f>INDEX('Сводка'!$S$3:$S$397,U285)</x:f>
        <x:v>53</x:v>
      </x:c>
      <x:c r="L285" s="8" t="n">
        <x:f>INDEX('Сводка'!$S$3:$S$397,V285)</x:f>
        <x:v>55</x:v>
      </x:c>
      <x:c r="M285" s="8" t="n">
        <x:f>INDEX($K$388:$N$400,W285,1)*((J285-$T$405+1)/1000)^INDEX($K$388:$N$400,W285,2)+INDEX($O$388:$Z$400,W285,MONTH(J285))</x:f>
        <x:v>101.63376121831104</x:v>
      </x:c>
      <x:c r="N285" s="8" t="n">
        <x:f>K285-M285</x:f>
        <x:v>-48.63376121831104</x:v>
      </x:c>
      <x:c r="O285" s="8" t="n">
        <x:f>ABS(N285)</x:f>
        <x:v>48.63376121831104</x:v>
      </x:c>
      <x:c r="P285" s="8" t="n">
        <x:f>N285^2</x:f>
        <x:v>2365.2427302396945</x:v>
      </x:c>
      <x:c r="Q285" s="8" t="n">
        <x:f>K285-L285</x:f>
        <x:v>-2</x:v>
      </x:c>
      <x:c r="R285" s="9" t="n">
        <x:f>IF(AND(INDEX('Сводка'!$T$3:$T$397,U285)=0,INDEX('Сводка'!$T$3:$T$397,V285)=0),1,0)</x:f>
        <x:v>1</x:v>
      </x:c>
      <x:c r="S285" s="9" t="n">
        <x:f>IF(AND(R285=1,O285&lt;=$G$13),1,0)</x:f>
        <x:v>0</x:v>
      </x:c>
      <x:c r="T285" s="10" t="n">
        <x:f>EOMONTH(J285-'Сводка'!$B$11,-1)</x:f>
        <x:v>46112</x:v>
      </x:c>
      <x:c r="U285" s="4" t="n">
        <x:f>MATCH(J285,'Сводка'!$R$3:$R$397,0)</x:f>
        <x:v>296</x:v>
      </x:c>
      <x:c r="V285" s="4" t="n">
        <x:f>MATCH(J285-'Сводка'!$B$11,'Сводка'!$R$3:$R$397,0)</x:f>
        <x:v>295</x:v>
      </x:c>
      <x:c r="W285" s="4" t="n">
        <x:f>MATCH(T285,$J$388:$J$400,0)</x:f>
        <x:v>10</x:v>
      </x:c>
      <x:c r="X285" s="3"/>
      <x:c r="Y285" s="3"/>
      <x:c r="Z285" s="3"/>
    </x:row>
    <x:row r="286" ht="15" customHeight="1">
      <x:c r="A286" s="3"/>
      <x:c r="B286" s="3"/>
      <x:c r="C286" s="3"/>
      <x:c r="D286" s="3"/>
      <x:c r="E286" s="3"/>
      <x:c r="F286" s="3"/>
      <x:c r="G286" s="3"/>
      <x:c r="H286" s="3"/>
      <x:c r="I286" s="3"/>
      <x:c r="J286" s="10" t="n">
        <x:v>46137</x:v>
      </x:c>
      <x:c r="K286" s="8" t="n">
        <x:f>INDEX('Сводка'!$S$3:$S$397,U286)</x:f>
        <x:v>58</x:v>
      </x:c>
      <x:c r="L286" s="8" t="n">
        <x:f>INDEX('Сводка'!$S$3:$S$397,V286)</x:f>
        <x:v>53</x:v>
      </x:c>
      <x:c r="M286" s="8" t="n">
        <x:f>INDEX($K$388:$N$400,W286,1)*((J286-$T$405+1)/1000)^INDEX($K$388:$N$400,W286,2)+INDEX($O$388:$Z$400,W286,MONTH(J286))</x:f>
        <x:v>101.65018800216964</x:v>
      </x:c>
      <x:c r="N286" s="8" t="n">
        <x:f>K286-M286</x:f>
        <x:v>-43.65018800216964</x:v>
      </x:c>
      <x:c r="O286" s="8" t="n">
        <x:f>ABS(N286)</x:f>
        <x:v>43.65018800216964</x:v>
      </x:c>
      <x:c r="P286" s="8" t="n">
        <x:f>N286^2</x:f>
        <x:v>1905.3389126247546</x:v>
      </x:c>
      <x:c r="Q286" s="8" t="n">
        <x:f>K286-L286</x:f>
        <x:v>5</x:v>
      </x:c>
      <x:c r="R286" s="9" t="n">
        <x:f>IF(AND(INDEX('Сводка'!$T$3:$T$397,U286)=0,INDEX('Сводка'!$T$3:$T$397,V286)=0),1,0)</x:f>
        <x:v>1</x:v>
      </x:c>
      <x:c r="S286" s="9" t="n">
        <x:f>IF(AND(R286=1,O286&lt;=$G$13),1,0)</x:f>
        <x:v>0</x:v>
      </x:c>
      <x:c r="T286" s="10" t="n">
        <x:f>EOMONTH(J286-'Сводка'!$B$11,-1)</x:f>
        <x:v>46112</x:v>
      </x:c>
      <x:c r="U286" s="4" t="n">
        <x:f>MATCH(J286,'Сводка'!$R$3:$R$397,0)</x:f>
        <x:v>297</x:v>
      </x:c>
      <x:c r="V286" s="4" t="n">
        <x:f>MATCH(J286-'Сводка'!$B$11,'Сводка'!$R$3:$R$397,0)</x:f>
        <x:v>296</x:v>
      </x:c>
      <x:c r="W286" s="4" t="n">
        <x:f>MATCH(T286,$J$388:$J$400,0)</x:f>
        <x:v>10</x:v>
      </x:c>
      <x:c r="X286" s="3"/>
      <x:c r="Y286" s="3"/>
      <x:c r="Z286" s="3"/>
    </x:row>
    <x:row r="287" ht="15" customHeight="1">
      <x:c r="A287" s="3"/>
      <x:c r="B287" s="3"/>
      <x:c r="C287" s="3"/>
      <x:c r="D287" s="3"/>
      <x:c r="E287" s="3"/>
      <x:c r="F287" s="3"/>
      <x:c r="G287" s="3"/>
      <x:c r="H287" s="3"/>
      <x:c r="I287" s="3"/>
      <x:c r="J287" s="10" t="n">
        <x:v>46138</x:v>
      </x:c>
      <x:c r="K287" s="8" t="n">
        <x:f>INDEX('Сводка'!$S$3:$S$397,U287)</x:f>
        <x:v>58</x:v>
      </x:c>
      <x:c r="L287" s="8" t="n">
        <x:f>INDEX('Сводка'!$S$3:$S$397,V287)</x:f>
        <x:v>58</x:v>
      </x:c>
      <x:c r="M287" s="8" t="n">
        <x:f>INDEX($K$388:$N$400,W287,1)*((J287-$T$405+1)/1000)^INDEX($K$388:$N$400,W287,2)+INDEX($O$388:$Z$400,W287,MONTH(J287))</x:f>
        <x:v>101.66661482722265</x:v>
      </x:c>
      <x:c r="N287" s="8" t="n">
        <x:f>K287-M287</x:f>
        <x:v>-43.666614827222645</x:v>
      </x:c>
      <x:c r="O287" s="8" t="n">
        <x:f>ABS(N287)</x:f>
        <x:v>43.666614827222645</x:v>
      </x:c>
      <x:c r="P287" s="8" t="n">
        <x:f>N287^2</x:f>
        <x:v>1906.7732504690205</x:v>
      </x:c>
      <x:c r="Q287" s="8" t="n">
        <x:f>K287-L287</x:f>
        <x:v>0</x:v>
      </x:c>
      <x:c r="R287" s="9" t="n">
        <x:f>IF(AND(INDEX('Сводка'!$T$3:$T$397,U287)=0,INDEX('Сводка'!$T$3:$T$397,V287)=0),1,0)</x:f>
        <x:v>1</x:v>
      </x:c>
      <x:c r="S287" s="9" t="n">
        <x:f>IF(AND(R287=1,O287&lt;=$G$13),1,0)</x:f>
        <x:v>0</x:v>
      </x:c>
      <x:c r="T287" s="10" t="n">
        <x:f>EOMONTH(J287-'Сводка'!$B$11,-1)</x:f>
        <x:v>46112</x:v>
      </x:c>
      <x:c r="U287" s="4" t="n">
        <x:f>MATCH(J287,'Сводка'!$R$3:$R$397,0)</x:f>
        <x:v>298</x:v>
      </x:c>
      <x:c r="V287" s="4" t="n">
        <x:f>MATCH(J287-'Сводка'!$B$11,'Сводка'!$R$3:$R$397,0)</x:f>
        <x:v>297</x:v>
      </x:c>
      <x:c r="W287" s="4" t="n">
        <x:f>MATCH(T287,$J$388:$J$400,0)</x:f>
        <x:v>10</x:v>
      </x:c>
      <x:c r="X287" s="3"/>
      <x:c r="Y287" s="3"/>
      <x:c r="Z287" s="3"/>
    </x:row>
    <x:row r="288" ht="15" customHeight="1">
      <x:c r="A288" s="3"/>
      <x:c r="B288" s="3"/>
      <x:c r="C288" s="3"/>
      <x:c r="D288" s="3"/>
      <x:c r="E288" s="3"/>
      <x:c r="F288" s="3"/>
      <x:c r="G288" s="3"/>
      <x:c r="H288" s="3"/>
      <x:c r="I288" s="3"/>
      <x:c r="J288" s="10" t="n">
        <x:v>46139</x:v>
      </x:c>
      <x:c r="K288" s="8" t="n">
        <x:f>INDEX('Сводка'!$S$3:$S$397,U288)</x:f>
        <x:v>61</x:v>
      </x:c>
      <x:c r="L288" s="8" t="n">
        <x:f>INDEX('Сводка'!$S$3:$S$397,V288)</x:f>
        <x:v>58</x:v>
      </x:c>
      <x:c r="M288" s="8" t="n">
        <x:f>INDEX($K$388:$N$400,W288,1)*((J288-$T$405+1)/1000)^INDEX($K$388:$N$400,W288,2)+INDEX($O$388:$Z$400,W288,MONTH(J288))</x:f>
        <x:v>101.68304169346547</x:v>
      </x:c>
      <x:c r="N288" s="8" t="n">
        <x:f>K288-M288</x:f>
        <x:v>-40.68304169346547</x:v>
      </x:c>
      <x:c r="O288" s="8" t="n">
        <x:f>ABS(N288)</x:f>
        <x:v>40.68304169346547</x:v>
      </x:c>
      <x:c r="P288" s="8" t="n">
        <x:f>N288^2</x:f>
        <x:v>1655.1098814322497</x:v>
      </x:c>
      <x:c r="Q288" s="8" t="n">
        <x:f>K288-L288</x:f>
        <x:v>3</x:v>
      </x:c>
      <x:c r="R288" s="9" t="n">
        <x:f>IF(AND(INDEX('Сводка'!$T$3:$T$397,U288)=0,INDEX('Сводка'!$T$3:$T$397,V288)=0),1,0)</x:f>
        <x:v>1</x:v>
      </x:c>
      <x:c r="S288" s="9" t="n">
        <x:f>IF(AND(R288=1,O288&lt;=$G$13),1,0)</x:f>
        <x:v>0</x:v>
      </x:c>
      <x:c r="T288" s="10" t="n">
        <x:f>EOMONTH(J288-'Сводка'!$B$11,-1)</x:f>
        <x:v>46112</x:v>
      </x:c>
      <x:c r="U288" s="4" t="n">
        <x:f>MATCH(J288,'Сводка'!$R$3:$R$397,0)</x:f>
        <x:v>299</x:v>
      </x:c>
      <x:c r="V288" s="4" t="n">
        <x:f>MATCH(J288-'Сводка'!$B$11,'Сводка'!$R$3:$R$397,0)</x:f>
        <x:v>298</x:v>
      </x:c>
      <x:c r="W288" s="4" t="n">
        <x:f>MATCH(T288,$J$388:$J$400,0)</x:f>
        <x:v>10</x:v>
      </x:c>
      <x:c r="X288" s="3"/>
      <x:c r="Y288" s="3"/>
      <x:c r="Z288" s="3"/>
    </x:row>
    <x:row r="289" ht="15" customHeight="1">
      <x:c r="A289" s="3"/>
      <x:c r="B289" s="3"/>
      <x:c r="C289" s="3"/>
      <x:c r="D289" s="3"/>
      <x:c r="E289" s="3"/>
      <x:c r="F289" s="3"/>
      <x:c r="G289" s="3"/>
      <x:c r="H289" s="3"/>
      <x:c r="I289" s="3"/>
      <x:c r="J289" s="10" t="n">
        <x:v>46140</x:v>
      </x:c>
      <x:c r="K289" s="8" t="n">
        <x:f>INDEX('Сводка'!$S$3:$S$397,U289)</x:f>
        <x:v>47</x:v>
      </x:c>
      <x:c r="L289" s="8" t="n">
        <x:f>INDEX('Сводка'!$S$3:$S$397,V289)</x:f>
        <x:v>61</x:v>
      </x:c>
      <x:c r="M289" s="8" t="n">
        <x:f>INDEX($K$388:$N$400,W289,1)*((J289-$T$405+1)/1000)^INDEX($K$388:$N$400,W289,2)+INDEX($O$388:$Z$400,W289,MONTH(J289))</x:f>
        <x:v>101.69946860089365</x:v>
      </x:c>
      <x:c r="N289" s="8" t="n">
        <x:f>K289-M289</x:f>
        <x:v>-54.69946860089365</x:v>
      </x:c>
      <x:c r="O289" s="8" t="n">
        <x:f>ABS(N289)</x:f>
        <x:v>54.69946860089365</x:v>
      </x:c>
      <x:c r="P289" s="8" t="n">
        <x:f>N289^2</x:f>
        <x:v>2992.0318652201504</x:v>
      </x:c>
      <x:c r="Q289" s="8" t="n">
        <x:f>K289-L289</x:f>
        <x:v>-14</x:v>
      </x:c>
      <x:c r="R289" s="9" t="n">
        <x:f>IF(AND(INDEX('Сводка'!$T$3:$T$397,U289)=0,INDEX('Сводка'!$T$3:$T$397,V289)=0),1,0)</x:f>
        <x:v>1</x:v>
      </x:c>
      <x:c r="S289" s="9" t="n">
        <x:f>IF(AND(R289=1,O289&lt;=$G$13),1,0)</x:f>
        <x:v>0</x:v>
      </x:c>
      <x:c r="T289" s="10" t="n">
        <x:f>EOMONTH(J289-'Сводка'!$B$11,-1)</x:f>
        <x:v>46112</x:v>
      </x:c>
      <x:c r="U289" s="4" t="n">
        <x:f>MATCH(J289,'Сводка'!$R$3:$R$397,0)</x:f>
        <x:v>300</x:v>
      </x:c>
      <x:c r="V289" s="4" t="n">
        <x:f>MATCH(J289-'Сводка'!$B$11,'Сводка'!$R$3:$R$397,0)</x:f>
        <x:v>299</x:v>
      </x:c>
      <x:c r="W289" s="4" t="n">
        <x:f>MATCH(T289,$J$388:$J$400,0)</x:f>
        <x:v>10</x:v>
      </x:c>
      <x:c r="X289" s="3"/>
      <x:c r="Y289" s="3"/>
      <x:c r="Z289" s="3"/>
    </x:row>
    <x:row r="290" ht="15" customHeight="1">
      <x:c r="A290" s="3"/>
      <x:c r="B290" s="3"/>
      <x:c r="C290" s="3"/>
      <x:c r="D290" s="3"/>
      <x:c r="E290" s="3"/>
      <x:c r="F290" s="3"/>
      <x:c r="G290" s="3"/>
      <x:c r="H290" s="3"/>
      <x:c r="I290" s="3"/>
      <x:c r="J290" s="10" t="n">
        <x:v>46141</x:v>
      </x:c>
      <x:c r="K290" s="8" t="n">
        <x:f>INDEX('Сводка'!$S$3:$S$397,U290)</x:f>
        <x:v>37</x:v>
      </x:c>
      <x:c r="L290" s="8" t="n">
        <x:f>INDEX('Сводка'!$S$3:$S$397,V290)</x:f>
        <x:v>47</x:v>
      </x:c>
      <x:c r="M290" s="8" t="n">
        <x:f>INDEX($K$388:$N$400,W290,1)*((J290-$T$405+1)/1000)^INDEX($K$388:$N$400,W290,2)+INDEX($O$388:$Z$400,W290,MONTH(J290))</x:f>
        <x:v>101.71589554950253</x:v>
      </x:c>
      <x:c r="N290" s="8" t="n">
        <x:f>K290-M290</x:f>
        <x:v>-64.71589554950253</x:v>
      </x:c>
      <x:c r="O290" s="8" t="n">
        <x:f>ABS(N290)</x:f>
        <x:v>64.71589554950253</x:v>
      </x:c>
      <x:c r="P290" s="8" t="n">
        <x:f>N290^2</x:f>
        <x:v>4188.1471367741215</x:v>
      </x:c>
      <x:c r="Q290" s="8" t="n">
        <x:f>K290-L290</x:f>
        <x:v>-10</x:v>
      </x:c>
      <x:c r="R290" s="9" t="n">
        <x:f>IF(AND(INDEX('Сводка'!$T$3:$T$397,U290)=0,INDEX('Сводка'!$T$3:$T$397,V290)=0),1,0)</x:f>
        <x:v>1</x:v>
      </x:c>
      <x:c r="S290" s="9" t="n">
        <x:f>IF(AND(R290=1,O290&lt;=$G$13),1,0)</x:f>
        <x:v>0</x:v>
      </x:c>
      <x:c r="T290" s="10" t="n">
        <x:f>EOMONTH(J290-'Сводка'!$B$11,-1)</x:f>
        <x:v>46112</x:v>
      </x:c>
      <x:c r="U290" s="4" t="n">
        <x:f>MATCH(J290,'Сводка'!$R$3:$R$397,0)</x:f>
        <x:v>301</x:v>
      </x:c>
      <x:c r="V290" s="4" t="n">
        <x:f>MATCH(J290-'Сводка'!$B$11,'Сводка'!$R$3:$R$397,0)</x:f>
        <x:v>300</x:v>
      </x:c>
      <x:c r="W290" s="4" t="n">
        <x:f>MATCH(T290,$J$388:$J$400,0)</x:f>
        <x:v>10</x:v>
      </x:c>
      <x:c r="X290" s="3"/>
      <x:c r="Y290" s="3"/>
      <x:c r="Z290" s="3"/>
    </x:row>
    <x:row r="291" ht="15" customHeight="1">
      <x:c r="A291" s="3"/>
      <x:c r="B291" s="3"/>
      <x:c r="C291" s="3"/>
      <x:c r="D291" s="3"/>
      <x:c r="E291" s="3"/>
      <x:c r="F291" s="3"/>
      <x:c r="G291" s="3"/>
      <x:c r="H291" s="3"/>
      <x:c r="I291" s="3"/>
      <x:c r="J291" s="10" t="n">
        <x:v>46142</x:v>
      </x:c>
      <x:c r="K291" s="8" t="n">
        <x:f>INDEX('Сводка'!$S$3:$S$397,U291)</x:f>
        <x:v>33</x:v>
      </x:c>
      <x:c r="L291" s="8" t="n">
        <x:f>INDEX('Сводка'!$S$3:$S$397,V291)</x:f>
        <x:v>37</x:v>
      </x:c>
      <x:c r="M291" s="8" t="n">
        <x:f>INDEX($K$388:$N$400,W291,1)*((J291-$T$405+1)/1000)^INDEX($K$388:$N$400,W291,2)+INDEX($O$388:$Z$400,W291,MONTH(J291))</x:f>
        <x:v>101.73232253928771</x:v>
      </x:c>
      <x:c r="N291" s="8" t="n">
        <x:f>K291-M291</x:f>
        <x:v>-68.73232253928771</x:v>
      </x:c>
      <x:c r="O291" s="8" t="n">
        <x:f>ABS(N291)</x:f>
        <x:v>68.73232253928771</x:v>
      </x:c>
      <x:c r="P291" s="8" t="n">
        <x:f>N291^2</x:f>
        <x:v>4724.132161644677</x:v>
      </x:c>
      <x:c r="Q291" s="8" t="n">
        <x:f>K291-L291</x:f>
        <x:v>-4</x:v>
      </x:c>
      <x:c r="R291" s="9" t="n">
        <x:f>IF(AND(INDEX('Сводка'!$T$3:$T$397,U291)=0,INDEX('Сводка'!$T$3:$T$397,V291)=0),1,0)</x:f>
        <x:v>1</x:v>
      </x:c>
      <x:c r="S291" s="9" t="n">
        <x:f>IF(AND(R291=1,O291&lt;=$G$13),1,0)</x:f>
        <x:v>0</x:v>
      </x:c>
      <x:c r="T291" s="10" t="n">
        <x:f>EOMONTH(J291-'Сводка'!$B$11,-1)</x:f>
        <x:v>46112</x:v>
      </x:c>
      <x:c r="U291" s="4" t="n">
        <x:f>MATCH(J291,'Сводка'!$R$3:$R$397,0)</x:f>
        <x:v>302</x:v>
      </x:c>
      <x:c r="V291" s="4" t="n">
        <x:f>MATCH(J291-'Сводка'!$B$11,'Сводка'!$R$3:$R$397,0)</x:f>
        <x:v>301</x:v>
      </x:c>
      <x:c r="W291" s="4" t="n">
        <x:f>MATCH(T291,$J$388:$J$400,0)</x:f>
        <x:v>10</x:v>
      </x:c>
      <x:c r="X291" s="3"/>
      <x:c r="Y291" s="3"/>
      <x:c r="Z291" s="3"/>
    </x:row>
    <x:row r="292" ht="15" customHeight="1">
      <x:c r="A292" s="3"/>
      <x:c r="B292" s="3"/>
      <x:c r="C292" s="3"/>
      <x:c r="D292" s="3"/>
      <x:c r="E292" s="3"/>
      <x:c r="F292" s="3"/>
      <x:c r="G292" s="3"/>
      <x:c r="H292" s="3"/>
      <x:c r="I292" s="3"/>
      <x:c r="J292" s="10" t="n">
        <x:v>46143</x:v>
      </x:c>
      <x:c r="K292" s="8" t="n">
        <x:f>INDEX('Сводка'!$S$3:$S$397,U292)</x:f>
        <x:v>44</x:v>
      </x:c>
      <x:c r="L292" s="8" t="n">
        <x:f>INDEX('Сводка'!$S$3:$S$397,V292)</x:f>
        <x:v>33</x:v>
      </x:c>
      <x:c r="M292" s="8" t="n">
        <x:f>INDEX($K$388:$N$400,W292,1)*((J292-$T$405+1)/1000)^INDEX($K$388:$N$400,W292,2)+INDEX($O$388:$Z$400,W292,MONTH(J292))</x:f>
        <x:v>196.43016218869707</x:v>
      </x:c>
      <x:c r="N292" s="8" t="n">
        <x:f>K292-M292</x:f>
        <x:v>-152.43016218869707</x:v>
      </x:c>
      <x:c r="O292" s="8" t="n">
        <x:f>ABS(N292)</x:f>
        <x:v>152.43016218869707</x:v>
      </x:c>
      <x:c r="P292" s="8" t="n">
        <x:f>N292^2</x:f>
        <x:v>23234.954344872494</x:v>
      </x:c>
      <x:c r="Q292" s="8" t="n">
        <x:f>K292-L292</x:f>
        <x:v>11</x:v>
      </x:c>
      <x:c r="R292" s="9" t="n">
        <x:f>IF(AND(INDEX('Сводка'!$T$3:$T$397,U292)=0,INDEX('Сводка'!$T$3:$T$397,V292)=0),1,0)</x:f>
        <x:v>1</x:v>
      </x:c>
      <x:c r="S292" s="9" t="n">
        <x:f>IF(AND(R292=1,O292&lt;=$G$13),1,0)</x:f>
        <x:v>0</x:v>
      </x:c>
      <x:c r="T292" s="10" t="n">
        <x:f>EOMONTH(J292-'Сводка'!$B$11,-1)</x:f>
        <x:v>46112</x:v>
      </x:c>
      <x:c r="U292" s="4" t="n">
        <x:f>MATCH(J292,'Сводка'!$R$3:$R$397,0)</x:f>
        <x:v>303</x:v>
      </x:c>
      <x:c r="V292" s="4" t="n">
        <x:f>MATCH(J292-'Сводка'!$B$11,'Сводка'!$R$3:$R$397,0)</x:f>
        <x:v>302</x:v>
      </x:c>
      <x:c r="W292" s="4" t="n">
        <x:f>MATCH(T292,$J$388:$J$400,0)</x:f>
        <x:v>10</x:v>
      </x:c>
      <x:c r="X292" s="3"/>
      <x:c r="Y292" s="3"/>
      <x:c r="Z292" s="3"/>
    </x:row>
    <x:row r="293" ht="15" customHeight="1">
      <x:c r="A293" s="3"/>
      <x:c r="B293" s="3"/>
      <x:c r="C293" s="3"/>
      <x:c r="D293" s="3"/>
      <x:c r="E293" s="3"/>
      <x:c r="F293" s="3"/>
      <x:c r="G293" s="3"/>
      <x:c r="H293" s="3"/>
      <x:c r="I293" s="3"/>
      <x:c r="J293" s="10" t="n">
        <x:v>46144</x:v>
      </x:c>
      <x:c r="K293" s="8" t="n">
        <x:f>INDEX('Сводка'!$S$3:$S$397,U293)</x:f>
        <x:v>61</x:v>
      </x:c>
      <x:c r="L293" s="8" t="n">
        <x:f>INDEX('Сводка'!$S$3:$S$397,V293)</x:f>
        <x:v>44</x:v>
      </x:c>
      <x:c r="M293" s="8" t="n">
        <x:f>INDEX($K$388:$N$400,W293,1)*((J293-$T$405+1)/1000)^INDEX($K$388:$N$400,W293,2)+INDEX($O$388:$Z$400,W293,MONTH(J293))</x:f>
        <x:v>195.40597342134336</x:v>
      </x:c>
      <x:c r="N293" s="8" t="n">
        <x:f>K293-M293</x:f>
        <x:v>-134.40597342134336</x:v>
      </x:c>
      <x:c r="O293" s="8" t="n">
        <x:f>ABS(N293)</x:f>
        <x:v>134.40597342134336</x:v>
      </x:c>
      <x:c r="P293" s="8" t="n">
        <x:f>N293^2</x:f>
        <x:v>18064.965691338857</x:v>
      </x:c>
      <x:c r="Q293" s="8" t="n">
        <x:f>K293-L293</x:f>
        <x:v>17</x:v>
      </x:c>
      <x:c r="R293" s="9" t="n">
        <x:f>IF(AND(INDEX('Сводка'!$T$3:$T$397,U293)=0,INDEX('Сводка'!$T$3:$T$397,V293)=0),1,0)</x:f>
        <x:v>1</x:v>
      </x:c>
      <x:c r="S293" s="9" t="n">
        <x:f>IF(AND(R293=1,O293&lt;=$G$13),1,0)</x:f>
        <x:v>0</x:v>
      </x:c>
      <x:c r="T293" s="10" t="n">
        <x:f>EOMONTH(J293-'Сводка'!$B$11,-1)</x:f>
        <x:v>46142</x:v>
      </x:c>
      <x:c r="U293" s="4" t="n">
        <x:f>MATCH(J293,'Сводка'!$R$3:$R$397,0)</x:f>
        <x:v>304</x:v>
      </x:c>
      <x:c r="V293" s="4" t="n">
        <x:f>MATCH(J293-'Сводка'!$B$11,'Сводка'!$R$3:$R$397,0)</x:f>
        <x:v>303</x:v>
      </x:c>
      <x:c r="W293" s="4" t="n">
        <x:f>MATCH(T293,$J$388:$J$400,0)</x:f>
        <x:v>11</x:v>
      </x:c>
      <x:c r="X293" s="3"/>
      <x:c r="Y293" s="3"/>
      <x:c r="Z293" s="3"/>
    </x:row>
    <x:row r="294" ht="15" customHeight="1">
      <x:c r="A294" s="3"/>
      <x:c r="B294" s="3"/>
      <x:c r="C294" s="3"/>
      <x:c r="D294" s="3"/>
      <x:c r="E294" s="3"/>
      <x:c r="F294" s="3"/>
      <x:c r="G294" s="3"/>
      <x:c r="H294" s="3"/>
      <x:c r="I294" s="3"/>
      <x:c r="J294" s="10" t="n">
        <x:v>46145</x:v>
      </x:c>
      <x:c r="K294" s="8" t="n">
        <x:f>INDEX('Сводка'!$S$3:$S$397,U294)</x:f>
        <x:v>76</x:v>
      </x:c>
      <x:c r="L294" s="8" t="n">
        <x:f>INDEX('Сводка'!$S$3:$S$397,V294)</x:f>
        <x:v>61</x:v>
      </x:c>
      <x:c r="M294" s="8" t="n">
        <x:f>INDEX($K$388:$N$400,W294,1)*((J294-$T$405+1)/1000)^INDEX($K$388:$N$400,W294,2)+INDEX($O$388:$Z$400,W294,MONTH(J294))</x:f>
        <x:v>195.42208181494942</x:v>
      </x:c>
      <x:c r="N294" s="8" t="n">
        <x:f>K294-M294</x:f>
        <x:v>-119.42208181494942</x:v>
      </x:c>
      <x:c r="O294" s="8" t="n">
        <x:f>ABS(N294)</x:f>
        <x:v>119.42208181494942</x:v>
      </x:c>
      <x:c r="P294" s="8" t="n">
        <x:f>N294^2</x:f>
        <x:v>14261.633625016473</x:v>
      </x:c>
      <x:c r="Q294" s="8" t="n">
        <x:f>K294-L294</x:f>
        <x:v>15</x:v>
      </x:c>
      <x:c r="R294" s="9" t="n">
        <x:f>IF(AND(INDEX('Сводка'!$T$3:$T$397,U294)=0,INDEX('Сводка'!$T$3:$T$397,V294)=0),1,0)</x:f>
        <x:v>1</x:v>
      </x:c>
      <x:c r="S294" s="9" t="n">
        <x:f>IF(AND(R294=1,O294&lt;=$G$13),1,0)</x:f>
        <x:v>0</x:v>
      </x:c>
      <x:c r="T294" s="10" t="n">
        <x:f>EOMONTH(J294-'Сводка'!$B$11,-1)</x:f>
        <x:v>46142</x:v>
      </x:c>
      <x:c r="U294" s="4" t="n">
        <x:f>MATCH(J294,'Сводка'!$R$3:$R$397,0)</x:f>
        <x:v>305</x:v>
      </x:c>
      <x:c r="V294" s="4" t="n">
        <x:f>MATCH(J294-'Сводка'!$B$11,'Сводка'!$R$3:$R$397,0)</x:f>
        <x:v>304</x:v>
      </x:c>
      <x:c r="W294" s="4" t="n">
        <x:f>MATCH(T294,$J$388:$J$400,0)</x:f>
        <x:v>11</x:v>
      </x:c>
      <x:c r="X294" s="3"/>
      <x:c r="Y294" s="3"/>
      <x:c r="Z294" s="3"/>
    </x:row>
    <x:row r="295" ht="15" customHeight="1">
      <x:c r="A295" s="3"/>
      <x:c r="B295" s="3"/>
      <x:c r="C295" s="3"/>
      <x:c r="D295" s="3"/>
      <x:c r="E295" s="3"/>
      <x:c r="F295" s="3"/>
      <x:c r="G295" s="3"/>
      <x:c r="H295" s="3"/>
      <x:c r="I295" s="3"/>
      <x:c r="J295" s="10" t="n">
        <x:v>46146</x:v>
      </x:c>
      <x:c r="K295" s="8" t="n">
        <x:f>INDEX('Сводка'!$S$3:$S$397,U295)</x:f>
        <x:v>83</x:v>
      </x:c>
      <x:c r="L295" s="8" t="n">
        <x:f>INDEX('Сводка'!$S$3:$S$397,V295)</x:f>
        <x:v>76</x:v>
      </x:c>
      <x:c r="M295" s="8" t="n">
        <x:f>INDEX($K$388:$N$400,W295,1)*((J295-$T$405+1)/1000)^INDEX($K$388:$N$400,W295,2)+INDEX($O$388:$Z$400,W295,MONTH(J295))</x:f>
        <x:v>195.43819022950552</x:v>
      </x:c>
      <x:c r="N295" s="8" t="n">
        <x:f>K295-M295</x:f>
        <x:v>-112.43819022950552</x:v>
      </x:c>
      <x:c r="O295" s="8" t="n">
        <x:f>ABS(N295)</x:f>
        <x:v>112.43819022950552</x:v>
      </x:c>
      <x:c r="P295" s="8" t="n">
        <x:f>N295^2</x:f>
        <x:v>12642.346622086472</x:v>
      </x:c>
      <x:c r="Q295" s="8" t="n">
        <x:f>K295-L295</x:f>
        <x:v>7</x:v>
      </x:c>
      <x:c r="R295" s="9" t="n">
        <x:f>IF(AND(INDEX('Сводка'!$T$3:$T$397,U295)=0,INDEX('Сводка'!$T$3:$T$397,V295)=0),1,0)</x:f>
        <x:v>1</x:v>
      </x:c>
      <x:c r="S295" s="9" t="n">
        <x:f>IF(AND(R295=1,O295&lt;=$G$13),1,0)</x:f>
        <x:v>0</x:v>
      </x:c>
      <x:c r="T295" s="10" t="n">
        <x:f>EOMONTH(J295-'Сводка'!$B$11,-1)</x:f>
        <x:v>46142</x:v>
      </x:c>
      <x:c r="U295" s="4" t="n">
        <x:f>MATCH(J295,'Сводка'!$R$3:$R$397,0)</x:f>
        <x:v>306</x:v>
      </x:c>
      <x:c r="V295" s="4" t="n">
        <x:f>MATCH(J295-'Сводка'!$B$11,'Сводка'!$R$3:$R$397,0)</x:f>
        <x:v>305</x:v>
      </x:c>
      <x:c r="W295" s="4" t="n">
        <x:f>MATCH(T295,$J$388:$J$400,0)</x:f>
        <x:v>11</x:v>
      </x:c>
      <x:c r="X295" s="3"/>
      <x:c r="Y295" s="3"/>
      <x:c r="Z295" s="3"/>
    </x:row>
    <x:row r="296" ht="15" customHeight="1">
      <x:c r="A296" s="3"/>
      <x:c r="B296" s="3"/>
      <x:c r="C296" s="3"/>
      <x:c r="D296" s="3"/>
      <x:c r="E296" s="3"/>
      <x:c r="F296" s="3"/>
      <x:c r="G296" s="3"/>
      <x:c r="H296" s="3"/>
      <x:c r="I296" s="3"/>
      <x:c r="J296" s="10" t="n">
        <x:v>46147</x:v>
      </x:c>
      <x:c r="K296" s="8" t="n">
        <x:f>INDEX('Сводка'!$S$3:$S$397,U296)</x:f>
        <x:v>87</x:v>
      </x:c>
      <x:c r="L296" s="8" t="n">
        <x:f>INDEX('Сводка'!$S$3:$S$397,V296)</x:f>
        <x:v>83</x:v>
      </x:c>
      <x:c r="M296" s="8" t="n">
        <x:f>INDEX($K$388:$N$400,W296,1)*((J296-$T$405+1)/1000)^INDEX($K$388:$N$400,W296,2)+INDEX($O$388:$Z$400,W296,MONTH(J296))</x:f>
        <x:v>195.4542986650094</x:v>
      </x:c>
      <x:c r="N296" s="8" t="n">
        <x:f>K296-M296</x:f>
        <x:v>-108.45429866500939</x:v>
      </x:c>
      <x:c r="O296" s="8" t="n">
        <x:f>ABS(N296)</x:f>
        <x:v>108.45429866500939</x:v>
      </x:c>
      <x:c r="P296" s="8" t="n">
        <x:f>N296^2</x:f>
        <x:v>11762.334898919058</x:v>
      </x:c>
      <x:c r="Q296" s="8" t="n">
        <x:f>K296-L296</x:f>
        <x:v>4</x:v>
      </x:c>
      <x:c r="R296" s="9" t="n">
        <x:f>IF(AND(INDEX('Сводка'!$T$3:$T$397,U296)=0,INDEX('Сводка'!$T$3:$T$397,V296)=0),1,0)</x:f>
        <x:v>1</x:v>
      </x:c>
      <x:c r="S296" s="9" t="n">
        <x:f>IF(AND(R296=1,O296&lt;=$G$13),1,0)</x:f>
        <x:v>0</x:v>
      </x:c>
      <x:c r="T296" s="10" t="n">
        <x:f>EOMONTH(J296-'Сводка'!$B$11,-1)</x:f>
        <x:v>46142</x:v>
      </x:c>
      <x:c r="U296" s="4" t="n">
        <x:f>MATCH(J296,'Сводка'!$R$3:$R$397,0)</x:f>
        <x:v>307</x:v>
      </x:c>
      <x:c r="V296" s="4" t="n">
        <x:f>MATCH(J296-'Сводка'!$B$11,'Сводка'!$R$3:$R$397,0)</x:f>
        <x:v>306</x:v>
      </x:c>
      <x:c r="W296" s="4" t="n">
        <x:f>MATCH(T296,$J$388:$J$400,0)</x:f>
        <x:v>11</x:v>
      </x:c>
      <x:c r="X296" s="3"/>
      <x:c r="Y296" s="3"/>
      <x:c r="Z296" s="3"/>
    </x:row>
    <x:row r="297" ht="15" customHeight="1">
      <x:c r="A297" s="3"/>
      <x:c r="B297" s="3"/>
      <x:c r="C297" s="3"/>
      <x:c r="D297" s="3"/>
      <x:c r="E297" s="3"/>
      <x:c r="F297" s="3"/>
      <x:c r="G297" s="3"/>
      <x:c r="H297" s="3"/>
      <x:c r="I297" s="3"/>
      <x:c r="J297" s="10" t="n">
        <x:v>46148</x:v>
      </x:c>
      <x:c r="K297" s="8" t="n">
        <x:f>INDEX('Сводка'!$S$3:$S$397,U297)</x:f>
        <x:v>92</x:v>
      </x:c>
      <x:c r="L297" s="8" t="n">
        <x:f>INDEX('Сводка'!$S$3:$S$397,V297)</x:f>
        <x:v>87</x:v>
      </x:c>
      <x:c r="M297" s="8" t="n">
        <x:f>INDEX($K$388:$N$400,W297,1)*((J297-$T$405+1)/1000)^INDEX($K$388:$N$400,W297,2)+INDEX($O$388:$Z$400,W297,MONTH(J297))</x:f>
        <x:v>195.47040712145863</x:v>
      </x:c>
      <x:c r="N297" s="8" t="n">
        <x:f>K297-M297</x:f>
        <x:v>-103.47040712145863</x:v>
      </x:c>
      <x:c r="O297" s="8" t="n">
        <x:f>ABS(N297)</x:f>
        <x:v>103.47040712145863</x:v>
      </x:c>
      <x:c r="P297" s="8" t="n">
        <x:f>N297^2</x:f>
        <x:v>10706.125149880398</x:v>
      </x:c>
      <x:c r="Q297" s="8" t="n">
        <x:f>K297-L297</x:f>
        <x:v>5</x:v>
      </x:c>
      <x:c r="R297" s="9" t="n">
        <x:f>IF(AND(INDEX('Сводка'!$T$3:$T$397,U297)=0,INDEX('Сводка'!$T$3:$T$397,V297)=0),1,0)</x:f>
        <x:v>1</x:v>
      </x:c>
      <x:c r="S297" s="9" t="n">
        <x:f>IF(AND(R297=1,O297&lt;=$G$13),1,0)</x:f>
        <x:v>0</x:v>
      </x:c>
      <x:c r="T297" s="10" t="n">
        <x:f>EOMONTH(J297-'Сводка'!$B$11,-1)</x:f>
        <x:v>46142</x:v>
      </x:c>
      <x:c r="U297" s="4" t="n">
        <x:f>MATCH(J297,'Сводка'!$R$3:$R$397,0)</x:f>
        <x:v>308</x:v>
      </x:c>
      <x:c r="V297" s="4" t="n">
        <x:f>MATCH(J297-'Сводка'!$B$11,'Сводка'!$R$3:$R$397,0)</x:f>
        <x:v>307</x:v>
      </x:c>
      <x:c r="W297" s="4" t="n">
        <x:f>MATCH(T297,$J$388:$J$400,0)</x:f>
        <x:v>11</x:v>
      </x:c>
      <x:c r="X297" s="3"/>
      <x:c r="Y297" s="3"/>
      <x:c r="Z297" s="3"/>
    </x:row>
    <x:row r="298" ht="15" customHeight="1">
      <x:c r="A298" s="3"/>
      <x:c r="B298" s="3"/>
      <x:c r="C298" s="3"/>
      <x:c r="D298" s="3"/>
      <x:c r="E298" s="3"/>
      <x:c r="F298" s="3"/>
      <x:c r="G298" s="3"/>
      <x:c r="H298" s="3"/>
      <x:c r="I298" s="3"/>
      <x:c r="J298" s="10" t="n">
        <x:v>46149</x:v>
      </x:c>
      <x:c r="K298" s="8" t="n">
        <x:f>INDEX('Сводка'!$S$3:$S$397,U298)</x:f>
        <x:v>99</x:v>
      </x:c>
      <x:c r="L298" s="8" t="n">
        <x:f>INDEX('Сводка'!$S$3:$S$397,V298)</x:f>
        <x:v>92</x:v>
      </x:c>
      <x:c r="M298" s="8" t="n">
        <x:f>INDEX($K$388:$N$400,W298,1)*((J298-$T$405+1)/1000)^INDEX($K$388:$N$400,W298,2)+INDEX($O$388:$Z$400,W298,MONTH(J298))</x:f>
        <x:v>195.48651559885096</x:v>
      </x:c>
      <x:c r="N298" s="8" t="n">
        <x:f>K298-M298</x:f>
        <x:v>-96.48651559885096</x:v>
      </x:c>
      <x:c r="O298" s="8" t="n">
        <x:f>ABS(N298)</x:f>
        <x:v>96.48651559885096</x:v>
      </x:c>
      <x:c r="P298" s="8" t="n">
        <x:f>N298^2</x:f>
        <x:v>9309.647692407309</x:v>
      </x:c>
      <x:c r="Q298" s="8" t="n">
        <x:f>K298-L298</x:f>
        <x:v>7</x:v>
      </x:c>
      <x:c r="R298" s="9" t="n">
        <x:f>IF(AND(INDEX('Сводка'!$T$3:$T$397,U298)=0,INDEX('Сводка'!$T$3:$T$397,V298)=0),1,0)</x:f>
        <x:v>1</x:v>
      </x:c>
      <x:c r="S298" s="9" t="n">
        <x:f>IF(AND(R298=1,O298&lt;=$G$13),1,0)</x:f>
        <x:v>0</x:v>
      </x:c>
      <x:c r="T298" s="10" t="n">
        <x:f>EOMONTH(J298-'Сводка'!$B$11,-1)</x:f>
        <x:v>46142</x:v>
      </x:c>
      <x:c r="U298" s="4" t="n">
        <x:f>MATCH(J298,'Сводка'!$R$3:$R$397,0)</x:f>
        <x:v>309</x:v>
      </x:c>
      <x:c r="V298" s="4" t="n">
        <x:f>MATCH(J298-'Сводка'!$B$11,'Сводка'!$R$3:$R$397,0)</x:f>
        <x:v>308</x:v>
      </x:c>
      <x:c r="W298" s="4" t="n">
        <x:f>MATCH(T298,$J$388:$J$400,0)</x:f>
        <x:v>11</x:v>
      </x:c>
      <x:c r="X298" s="3"/>
      <x:c r="Y298" s="3"/>
      <x:c r="Z298" s="3"/>
    </x:row>
    <x:row r="299" ht="15" customHeight="1">
      <x:c r="A299" s="3"/>
      <x:c r="B299" s="3"/>
      <x:c r="C299" s="3"/>
      <x:c r="D299" s="3"/>
      <x:c r="E299" s="3"/>
      <x:c r="F299" s="3"/>
      <x:c r="G299" s="3"/>
      <x:c r="H299" s="3"/>
      <x:c r="I299" s="3"/>
      <x:c r="J299" s="10" t="n">
        <x:v>46150</x:v>
      </x:c>
      <x:c r="K299" s="8" t="n">
        <x:f>INDEX('Сводка'!$S$3:$S$397,U299)</x:f>
        <x:v>108</x:v>
      </x:c>
      <x:c r="L299" s="8" t="n">
        <x:f>INDEX('Сводка'!$S$3:$S$397,V299)</x:f>
        <x:v>99</x:v>
      </x:c>
      <x:c r="M299" s="8" t="n">
        <x:f>INDEX($K$388:$N$400,W299,1)*((J299-$T$405+1)/1000)^INDEX($K$388:$N$400,W299,2)+INDEX($O$388:$Z$400,W299,MONTH(J299))</x:f>
        <x:v>195.50262409718405</x:v>
      </x:c>
      <x:c r="N299" s="8" t="n">
        <x:f>K299-M299</x:f>
        <x:v>-87.50262409718405</x:v>
      </x:c>
      <x:c r="O299" s="8" t="n">
        <x:f>ABS(N299)</x:f>
        <x:v>87.50262409718405</x:v>
      </x:c>
      <x:c r="P299" s="8" t="n">
        <x:f>N299^2</x:f>
        <x:v>7656.709223893095</x:v>
      </x:c>
      <x:c r="Q299" s="8" t="n">
        <x:f>K299-L299</x:f>
        <x:v>9</x:v>
      </x:c>
      <x:c r="R299" s="9" t="n">
        <x:f>IF(AND(INDEX('Сводка'!$T$3:$T$397,U299)=0,INDEX('Сводка'!$T$3:$T$397,V299)=0),1,0)</x:f>
        <x:v>1</x:v>
      </x:c>
      <x:c r="S299" s="9" t="n">
        <x:f>IF(AND(R299=1,O299&lt;=$G$13),1,0)</x:f>
        <x:v>0</x:v>
      </x:c>
      <x:c r="T299" s="10" t="n">
        <x:f>EOMONTH(J299-'Сводка'!$B$11,-1)</x:f>
        <x:v>46142</x:v>
      </x:c>
      <x:c r="U299" s="4" t="n">
        <x:f>MATCH(J299,'Сводка'!$R$3:$R$397,0)</x:f>
        <x:v>310</x:v>
      </x:c>
      <x:c r="V299" s="4" t="n">
        <x:f>MATCH(J299-'Сводка'!$B$11,'Сводка'!$R$3:$R$397,0)</x:f>
        <x:v>309</x:v>
      </x:c>
      <x:c r="W299" s="4" t="n">
        <x:f>MATCH(T299,$J$388:$J$400,0)</x:f>
        <x:v>11</x:v>
      </x:c>
      <x:c r="X299" s="3"/>
      <x:c r="Y299" s="3"/>
      <x:c r="Z299" s="3"/>
    </x:row>
    <x:row r="300" ht="15" customHeight="1">
      <x:c r="A300" s="3"/>
      <x:c r="B300" s="3"/>
      <x:c r="C300" s="3"/>
      <x:c r="D300" s="3"/>
      <x:c r="E300" s="3"/>
      <x:c r="F300" s="3"/>
      <x:c r="G300" s="3"/>
      <x:c r="H300" s="3"/>
      <x:c r="I300" s="3"/>
      <x:c r="J300" s="10" t="n">
        <x:v>46151</x:v>
      </x:c>
      <x:c r="K300" s="8" t="n">
        <x:f>INDEX('Сводка'!$S$3:$S$397,U300)</x:f>
        <x:v>120</x:v>
      </x:c>
      <x:c r="L300" s="8" t="n">
        <x:f>INDEX('Сводка'!$S$3:$S$397,V300)</x:f>
        <x:v>108</x:v>
      </x:c>
      <x:c r="M300" s="8" t="n">
        <x:f>INDEX($K$388:$N$400,W300,1)*((J300-$T$405+1)/1000)^INDEX($K$388:$N$400,W300,2)+INDEX($O$388:$Z$400,W300,MONTH(J300))</x:f>
        <x:v>195.51873261645554</x:v>
      </x:c>
      <x:c r="N300" s="8" t="n">
        <x:f>K300-M300</x:f>
        <x:v>-75.51873261645554</x:v>
      </x:c>
      <x:c r="O300" s="8" t="n">
        <x:f>ABS(N300)</x:f>
        <x:v>75.51873261645554</x:v>
      </x:c>
      <x:c r="P300" s="8" t="n">
        <x:f>N300^2</x:f>
        <x:v>5703.078975995705</x:v>
      </x:c>
      <x:c r="Q300" s="8" t="n">
        <x:f>K300-L300</x:f>
        <x:v>12</x:v>
      </x:c>
      <x:c r="R300" s="9" t="n">
        <x:f>IF(AND(INDEX('Сводка'!$T$3:$T$397,U300)=0,INDEX('Сводка'!$T$3:$T$397,V300)=0),1,0)</x:f>
        <x:v>1</x:v>
      </x:c>
      <x:c r="S300" s="9" t="n">
        <x:f>IF(AND(R300=1,O300&lt;=$G$13),1,0)</x:f>
        <x:v>0</x:v>
      </x:c>
      <x:c r="T300" s="10" t="n">
        <x:f>EOMONTH(J300-'Сводка'!$B$11,-1)</x:f>
        <x:v>46142</x:v>
      </x:c>
      <x:c r="U300" s="4" t="n">
        <x:f>MATCH(J300,'Сводка'!$R$3:$R$397,0)</x:f>
        <x:v>311</x:v>
      </x:c>
      <x:c r="V300" s="4" t="n">
        <x:f>MATCH(J300-'Сводка'!$B$11,'Сводка'!$R$3:$R$397,0)</x:f>
        <x:v>310</x:v>
      </x:c>
      <x:c r="W300" s="4" t="n">
        <x:f>MATCH(T300,$J$388:$J$400,0)</x:f>
        <x:v>11</x:v>
      </x:c>
      <x:c r="X300" s="3"/>
      <x:c r="Y300" s="3"/>
      <x:c r="Z300" s="3"/>
    </x:row>
    <x:row r="301" ht="15" customHeight="1">
      <x:c r="A301" s="3"/>
      <x:c r="B301" s="3"/>
      <x:c r="C301" s="3"/>
      <x:c r="D301" s="3"/>
      <x:c r="E301" s="3"/>
      <x:c r="F301" s="3"/>
      <x:c r="G301" s="3"/>
      <x:c r="H301" s="3"/>
      <x:c r="I301" s="3"/>
      <x:c r="J301" s="10" t="n">
        <x:v>46152</x:v>
      </x:c>
      <x:c r="K301" s="8" t="n">
        <x:f>INDEX('Сводка'!$S$3:$S$397,U301)</x:f>
        <x:v>137</x:v>
      </x:c>
      <x:c r="L301" s="8" t="n">
        <x:f>INDEX('Сводка'!$S$3:$S$397,V301)</x:f>
        <x:v>120</x:v>
      </x:c>
      <x:c r="M301" s="8" t="n">
        <x:f>INDEX($K$388:$N$400,W301,1)*((J301-$T$405+1)/1000)^INDEX($K$388:$N$400,W301,2)+INDEX($O$388:$Z$400,W301,MONTH(J301))</x:f>
        <x:v>195.53484115666316</x:v>
      </x:c>
      <x:c r="N301" s="8" t="n">
        <x:f>K301-M301</x:f>
        <x:v>-58.53484115666316</x:v>
      </x:c>
      <x:c r="O301" s="8" t="n">
        <x:f>ABS(N301)</x:f>
        <x:v>58.53484115666316</x:v>
      </x:c>
      <x:c r="P301" s="8" t="n">
        <x:f>N301^2</x:f>
        <x:v>3426.3276292357878</x:v>
      </x:c>
      <x:c r="Q301" s="8" t="n">
        <x:f>K301-L301</x:f>
        <x:v>17</x:v>
      </x:c>
      <x:c r="R301" s="9" t="n">
        <x:f>IF(AND(INDEX('Сводка'!$T$3:$T$397,U301)=0,INDEX('Сводка'!$T$3:$T$397,V301)=0),1,0)</x:f>
        <x:v>1</x:v>
      </x:c>
      <x:c r="S301" s="9" t="n">
        <x:f>IF(AND(R301=1,O301&lt;=$G$13),1,0)</x:f>
        <x:v>0</x:v>
      </x:c>
      <x:c r="T301" s="10" t="n">
        <x:f>EOMONTH(J301-'Сводка'!$B$11,-1)</x:f>
        <x:v>46142</x:v>
      </x:c>
      <x:c r="U301" s="4" t="n">
        <x:f>MATCH(J301,'Сводка'!$R$3:$R$397,0)</x:f>
        <x:v>312</x:v>
      </x:c>
      <x:c r="V301" s="4" t="n">
        <x:f>MATCH(J301-'Сводка'!$B$11,'Сводка'!$R$3:$R$397,0)</x:f>
        <x:v>311</x:v>
      </x:c>
      <x:c r="W301" s="4" t="n">
        <x:f>MATCH(T301,$J$388:$J$400,0)</x:f>
        <x:v>11</x:v>
      </x:c>
      <x:c r="X301" s="3"/>
      <x:c r="Y301" s="3"/>
      <x:c r="Z301" s="3"/>
    </x:row>
    <x:row r="302" ht="15" customHeight="1">
      <x:c r="A302" s="3"/>
      <x:c r="B302" s="3"/>
      <x:c r="C302" s="3"/>
      <x:c r="D302" s="3"/>
      <x:c r="E302" s="3"/>
      <x:c r="F302" s="3"/>
      <x:c r="G302" s="3"/>
      <x:c r="H302" s="3"/>
      <x:c r="I302" s="3"/>
      <x:c r="J302" s="10" t="n">
        <x:v>46153</x:v>
      </x:c>
      <x:c r="K302" s="8" t="n">
        <x:f>INDEX('Сводка'!$S$3:$S$397,U302)</x:f>
        <x:v>152</x:v>
      </x:c>
      <x:c r="L302" s="8" t="n">
        <x:f>INDEX('Сводка'!$S$3:$S$397,V302)</x:f>
        <x:v>137</x:v>
      </x:c>
      <x:c r="M302" s="8" t="n">
        <x:f>INDEX($K$388:$N$400,W302,1)*((J302-$T$405+1)/1000)^INDEX($K$388:$N$400,W302,2)+INDEX($O$388:$Z$400,W302,MONTH(J302))</x:f>
        <x:v>195.55094971780449</x:v>
      </x:c>
      <x:c r="N302" s="8" t="n">
        <x:f>K302-M302</x:f>
        <x:v>-43.550949717804485</x:v>
      </x:c>
      <x:c r="O302" s="8" t="n">
        <x:f>ABS(N302)</x:f>
        <x:v>43.550949717804485</x:v>
      </x:c>
      <x:c r="P302" s="8" t="n">
        <x:f>N302^2</x:f>
        <x:v>1896.6852213227346</x:v>
      </x:c>
      <x:c r="Q302" s="8" t="n">
        <x:f>K302-L302</x:f>
        <x:v>15</x:v>
      </x:c>
      <x:c r="R302" s="9" t="n">
        <x:f>IF(AND(INDEX('Сводка'!$T$3:$T$397,U302)=0,INDEX('Сводка'!$T$3:$T$397,V302)=0),1,0)</x:f>
        <x:v>1</x:v>
      </x:c>
      <x:c r="S302" s="9" t="n">
        <x:f>IF(AND(R302=1,O302&lt;=$G$13),1,0)</x:f>
        <x:v>0</x:v>
      </x:c>
      <x:c r="T302" s="10" t="n">
        <x:f>EOMONTH(J302-'Сводка'!$B$11,-1)</x:f>
        <x:v>46142</x:v>
      </x:c>
      <x:c r="U302" s="4" t="n">
        <x:f>MATCH(J302,'Сводка'!$R$3:$R$397,0)</x:f>
        <x:v>313</x:v>
      </x:c>
      <x:c r="V302" s="4" t="n">
        <x:f>MATCH(J302-'Сводка'!$B$11,'Сводка'!$R$3:$R$397,0)</x:f>
        <x:v>312</x:v>
      </x:c>
      <x:c r="W302" s="4" t="n">
        <x:f>MATCH(T302,$J$388:$J$400,0)</x:f>
        <x:v>11</x:v>
      </x:c>
      <x:c r="X302" s="3"/>
      <x:c r="Y302" s="3"/>
      <x:c r="Z302" s="3"/>
    </x:row>
    <x:row r="303" ht="15" customHeight="1">
      <x:c r="A303" s="3"/>
      <x:c r="B303" s="3"/>
      <x:c r="C303" s="3"/>
      <x:c r="D303" s="3"/>
      <x:c r="E303" s="3"/>
      <x:c r="F303" s="3"/>
      <x:c r="G303" s="3"/>
      <x:c r="H303" s="3"/>
      <x:c r="I303" s="3"/>
      <x:c r="J303" s="10" t="n">
        <x:v>46154</x:v>
      </x:c>
      <x:c r="K303" s="8" t="n">
        <x:f>INDEX('Сводка'!$S$3:$S$397,U303)</x:f>
        <x:v>160</x:v>
      </x:c>
      <x:c r="L303" s="8" t="n">
        <x:f>INDEX('Сводка'!$S$3:$S$397,V303)</x:f>
        <x:v>152</x:v>
      </x:c>
      <x:c r="M303" s="8" t="n">
        <x:f>INDEX($K$388:$N$400,W303,1)*((J303-$T$405+1)/1000)^INDEX($K$388:$N$400,W303,2)+INDEX($O$388:$Z$400,W303,MONTH(J303))</x:f>
        <x:v>195.5670582998773</x:v>
      </x:c>
      <x:c r="N303" s="8" t="n">
        <x:f>K303-M303</x:f>
        <x:v>-35.56705829987729</x:v>
      </x:c>
      <x:c r="O303" s="8" t="n">
        <x:f>ABS(N303)</x:f>
        <x:v>35.56705829987729</x:v>
      </x:c>
      <x:c r="P303" s="8" t="n">
        <x:f>N303^2</x:f>
        <x:v>1265.01563610687</x:v>
      </x:c>
      <x:c r="Q303" s="8" t="n">
        <x:f>K303-L303</x:f>
        <x:v>8</x:v>
      </x:c>
      <x:c r="R303" s="9" t="n">
        <x:f>IF(AND(INDEX('Сводка'!$T$3:$T$397,U303)=0,INDEX('Сводка'!$T$3:$T$397,V303)=0),1,0)</x:f>
        <x:v>1</x:v>
      </x:c>
      <x:c r="S303" s="9" t="n">
        <x:f>IF(AND(R303=1,O303&lt;=$G$13),1,0)</x:f>
        <x:v>0</x:v>
      </x:c>
      <x:c r="T303" s="10" t="n">
        <x:f>EOMONTH(J303-'Сводка'!$B$11,-1)</x:f>
        <x:v>46142</x:v>
      </x:c>
      <x:c r="U303" s="4" t="n">
        <x:f>MATCH(J303,'Сводка'!$R$3:$R$397,0)</x:f>
        <x:v>314</x:v>
      </x:c>
      <x:c r="V303" s="4" t="n">
        <x:f>MATCH(J303-'Сводка'!$B$11,'Сводка'!$R$3:$R$397,0)</x:f>
        <x:v>313</x:v>
      </x:c>
      <x:c r="W303" s="4" t="n">
        <x:f>MATCH(T303,$J$388:$J$400,0)</x:f>
        <x:v>11</x:v>
      </x:c>
      <x:c r="X303" s="3"/>
      <x:c r="Y303" s="3"/>
      <x:c r="Z303" s="3"/>
    </x:row>
    <x:row r="304" ht="15" customHeight="1">
      <x:c r="A304" s="3"/>
      <x:c r="B304" s="3"/>
      <x:c r="C304" s="3"/>
      <x:c r="D304" s="3"/>
      <x:c r="E304" s="3"/>
      <x:c r="F304" s="3"/>
      <x:c r="G304" s="3"/>
      <x:c r="H304" s="3"/>
      <x:c r="I304" s="3"/>
      <x:c r="J304" s="10" t="n">
        <x:v>46155</x:v>
      </x:c>
      <x:c r="K304" s="8" t="n">
        <x:f>INDEX('Сводка'!$S$3:$S$397,U304)</x:f>
        <x:v>162</x:v>
      </x:c>
      <x:c r="L304" s="8" t="n">
        <x:f>INDEX('Сводка'!$S$3:$S$397,V304)</x:f>
        <x:v>160</x:v>
      </x:c>
      <x:c r="M304" s="8" t="n">
        <x:f>INDEX($K$388:$N$400,W304,1)*((J304-$T$405+1)/1000)^INDEX($K$388:$N$400,W304,2)+INDEX($O$388:$Z$400,W304,MONTH(J304))</x:f>
        <x:v>195.58316690287919</x:v>
      </x:c>
      <x:c r="N304" s="8" t="n">
        <x:f>K304-M304</x:f>
        <x:v>-33.583166902879185</x:v>
      </x:c>
      <x:c r="O304" s="8" t="n">
        <x:f>ABS(N304)</x:f>
        <x:v>33.583166902879185</x:v>
      </x:c>
      <x:c r="P304" s="8" t="n">
        <x:f>N304^2</x:f>
        <x:v>1127.82909922664</x:v>
      </x:c>
      <x:c r="Q304" s="8" t="n">
        <x:f>K304-L304</x:f>
        <x:v>2</x:v>
      </x:c>
      <x:c r="R304" s="9" t="n">
        <x:f>IF(AND(INDEX('Сводка'!$T$3:$T$397,U304)=0,INDEX('Сводка'!$T$3:$T$397,V304)=0),1,0)</x:f>
        <x:v>1</x:v>
      </x:c>
      <x:c r="S304" s="9" t="n">
        <x:f>IF(AND(R304=1,O304&lt;=$G$13),1,0)</x:f>
        <x:v>0</x:v>
      </x:c>
      <x:c r="T304" s="10" t="n">
        <x:f>EOMONTH(J304-'Сводка'!$B$11,-1)</x:f>
        <x:v>46142</x:v>
      </x:c>
      <x:c r="U304" s="4" t="n">
        <x:f>MATCH(J304,'Сводка'!$R$3:$R$397,0)</x:f>
        <x:v>315</x:v>
      </x:c>
      <x:c r="V304" s="4" t="n">
        <x:f>MATCH(J304-'Сводка'!$B$11,'Сводка'!$R$3:$R$397,0)</x:f>
        <x:v>314</x:v>
      </x:c>
      <x:c r="W304" s="4" t="n">
        <x:f>MATCH(T304,$J$388:$J$400,0)</x:f>
        <x:v>11</x:v>
      </x:c>
      <x:c r="X304" s="3"/>
      <x:c r="Y304" s="3"/>
      <x:c r="Z304" s="3"/>
    </x:row>
    <x:row r="305" ht="15" customHeight="1">
      <x:c r="A305" s="3"/>
      <x:c r="B305" s="3"/>
      <x:c r="C305" s="3"/>
      <x:c r="D305" s="3"/>
      <x:c r="E305" s="3"/>
      <x:c r="F305" s="3"/>
      <x:c r="G305" s="3"/>
      <x:c r="H305" s="3"/>
      <x:c r="I305" s="3"/>
      <x:c r="J305" s="10" t="n">
        <x:v>46156</x:v>
      </x:c>
      <x:c r="K305" s="8" t="n">
        <x:f>INDEX('Сводка'!$S$3:$S$397,U305)</x:f>
        <x:v>161</x:v>
      </x:c>
      <x:c r="L305" s="8" t="n">
        <x:f>INDEX('Сводка'!$S$3:$S$397,V305)</x:f>
        <x:v>162</x:v>
      </x:c>
      <x:c r="M305" s="8" t="n">
        <x:f>INDEX($K$388:$N$400,W305,1)*((J305-$T$405+1)/1000)^INDEX($K$388:$N$400,W305,2)+INDEX($O$388:$Z$400,W305,MONTH(J305))</x:f>
        <x:v>195.59927552680793</x:v>
      </x:c>
      <x:c r="N305" s="8" t="n">
        <x:f>K305-M305</x:f>
        <x:v>-34.59927552680793</x:v>
      </x:c>
      <x:c r="O305" s="8" t="n">
        <x:f>ABS(N305)</x:f>
        <x:v>34.59927552680793</x:v>
      </x:c>
      <x:c r="P305" s="8" t="n">
        <x:f>N305^2</x:f>
        <x:v>1197.10986697997</x:v>
      </x:c>
      <x:c r="Q305" s="8" t="n">
        <x:f>K305-L305</x:f>
        <x:v>-1</x:v>
      </x:c>
      <x:c r="R305" s="9" t="n">
        <x:f>IF(AND(INDEX('Сводка'!$T$3:$T$397,U305)=0,INDEX('Сводка'!$T$3:$T$397,V305)=0),1,0)</x:f>
        <x:v>1</x:v>
      </x:c>
      <x:c r="S305" s="9" t="n">
        <x:f>IF(AND(R305=1,O305&lt;=$G$13),1,0)</x:f>
        <x:v>0</x:v>
      </x:c>
      <x:c r="T305" s="10" t="n">
        <x:f>EOMONTH(J305-'Сводка'!$B$11,-1)</x:f>
        <x:v>46142</x:v>
      </x:c>
      <x:c r="U305" s="4" t="n">
        <x:f>MATCH(J305,'Сводка'!$R$3:$R$397,0)</x:f>
        <x:v>316</x:v>
      </x:c>
      <x:c r="V305" s="4" t="n">
        <x:f>MATCH(J305-'Сводка'!$B$11,'Сводка'!$R$3:$R$397,0)</x:f>
        <x:v>315</x:v>
      </x:c>
      <x:c r="W305" s="4" t="n">
        <x:f>MATCH(T305,$J$388:$J$400,0)</x:f>
        <x:v>11</x:v>
      </x:c>
      <x:c r="X305" s="3"/>
      <x:c r="Y305" s="3"/>
      <x:c r="Z305" s="3"/>
    </x:row>
    <x:row r="306" ht="15" customHeight="1">
      <x:c r="A306" s="3"/>
      <x:c r="B306" s="3"/>
      <x:c r="C306" s="3"/>
      <x:c r="D306" s="3"/>
      <x:c r="E306" s="3"/>
      <x:c r="F306" s="3"/>
      <x:c r="G306" s="3"/>
      <x:c r="H306" s="3"/>
      <x:c r="I306" s="3"/>
      <x:c r="J306" s="10" t="n">
        <x:v>46157</x:v>
      </x:c>
      <x:c r="K306" s="8" t="n">
        <x:f>INDEX('Сводка'!$S$3:$S$397,U306)</x:f>
        <x:v>154</x:v>
      </x:c>
      <x:c r="L306" s="8" t="n">
        <x:f>INDEX('Сводка'!$S$3:$S$397,V306)</x:f>
        <x:v>161</x:v>
      </x:c>
      <x:c r="M306" s="8" t="n">
        <x:f>INDEX($K$388:$N$400,W306,1)*((J306-$T$405+1)/1000)^INDEX($K$388:$N$400,W306,2)+INDEX($O$388:$Z$400,W306,MONTH(J306))</x:f>
        <x:v>195.6153841716611</x:v>
      </x:c>
      <x:c r="N306" s="8" t="n">
        <x:f>K306-M306</x:f>
        <x:v>-41.615384171661105</x:v>
      </x:c>
      <x:c r="O306" s="8" t="n">
        <x:f>ABS(N306)</x:f>
        <x:v>41.615384171661105</x:v>
      </x:c>
      <x:c r="P306" s="8" t="n">
        <x:f>N306^2</x:f>
        <x:v>1731.8401997549418</x:v>
      </x:c>
      <x:c r="Q306" s="8" t="n">
        <x:f>K306-L306</x:f>
        <x:v>-7</x:v>
      </x:c>
      <x:c r="R306" s="9" t="n">
        <x:f>IF(AND(INDEX('Сводка'!$T$3:$T$397,U306)=0,INDEX('Сводка'!$T$3:$T$397,V306)=0),1,0)</x:f>
        <x:v>1</x:v>
      </x:c>
      <x:c r="S306" s="9" t="n">
        <x:f>IF(AND(R306=1,O306&lt;=$G$13),1,0)</x:f>
        <x:v>0</x:v>
      </x:c>
      <x:c r="T306" s="10" t="n">
        <x:f>EOMONTH(J306-'Сводка'!$B$11,-1)</x:f>
        <x:v>46142</x:v>
      </x:c>
      <x:c r="U306" s="4" t="n">
        <x:f>MATCH(J306,'Сводка'!$R$3:$R$397,0)</x:f>
        <x:v>317</x:v>
      </x:c>
      <x:c r="V306" s="4" t="n">
        <x:f>MATCH(J306-'Сводка'!$B$11,'Сводка'!$R$3:$R$397,0)</x:f>
        <x:v>316</x:v>
      </x:c>
      <x:c r="W306" s="4" t="n">
        <x:f>MATCH(T306,$J$388:$J$400,0)</x:f>
        <x:v>11</x:v>
      </x:c>
      <x:c r="X306" s="3"/>
      <x:c r="Y306" s="3"/>
      <x:c r="Z306" s="3"/>
    </x:row>
    <x:row r="307" ht="15" customHeight="1">
      <x:c r="A307" s="3"/>
      <x:c r="B307" s="3"/>
      <x:c r="C307" s="3"/>
      <x:c r="D307" s="3"/>
      <x:c r="E307" s="3"/>
      <x:c r="F307" s="3"/>
      <x:c r="G307" s="3"/>
      <x:c r="H307" s="3"/>
      <x:c r="I307" s="3"/>
      <x:c r="J307" s="10" t="n">
        <x:v>46158</x:v>
      </x:c>
      <x:c r="K307" s="8" t="n">
        <x:f>INDEX('Сводка'!$S$3:$S$397,U307)</x:f>
        <x:v>148</x:v>
      </x:c>
      <x:c r="L307" s="8" t="n">
        <x:f>INDEX('Сводка'!$S$3:$S$397,V307)</x:f>
        <x:v>154</x:v>
      </x:c>
      <x:c r="M307" s="8" t="n">
        <x:f>INDEX($K$388:$N$400,W307,1)*((J307-$T$405+1)/1000)^INDEX($K$388:$N$400,W307,2)+INDEX($O$388:$Z$400,W307,MONTH(J307))</x:f>
        <x:v>195.63149283743644</x:v>
      </x:c>
      <x:c r="N307" s="8" t="n">
        <x:f>K307-M307</x:f>
        <x:v>-47.63149283743644</x:v>
      </x:c>
      <x:c r="O307" s="8" t="n">
        <x:f>ABS(N307)</x:f>
        <x:v>47.63149283743644</x:v>
      </x:c>
      <x:c r="P307" s="8" t="n">
        <x:f>N307^2</x:f>
        <x:v>2268.759109922759</x:v>
      </x:c>
      <x:c r="Q307" s="8" t="n">
        <x:f>K307-L307</x:f>
        <x:v>-6</x:v>
      </x:c>
      <x:c r="R307" s="9" t="n">
        <x:f>IF(AND(INDEX('Сводка'!$T$3:$T$397,U307)=0,INDEX('Сводка'!$T$3:$T$397,V307)=0),1,0)</x:f>
        <x:v>1</x:v>
      </x:c>
      <x:c r="S307" s="9" t="n">
        <x:f>IF(AND(R307=1,O307&lt;=$G$13),1,0)</x:f>
        <x:v>0</x:v>
      </x:c>
      <x:c r="T307" s="10" t="n">
        <x:f>EOMONTH(J307-'Сводка'!$B$11,-1)</x:f>
        <x:v>46142</x:v>
      </x:c>
      <x:c r="U307" s="4" t="n">
        <x:f>MATCH(J307,'Сводка'!$R$3:$R$397,0)</x:f>
        <x:v>318</x:v>
      </x:c>
      <x:c r="V307" s="4" t="n">
        <x:f>MATCH(J307-'Сводка'!$B$11,'Сводка'!$R$3:$R$397,0)</x:f>
        <x:v>317</x:v>
      </x:c>
      <x:c r="W307" s="4" t="n">
        <x:f>MATCH(T307,$J$388:$J$400,0)</x:f>
        <x:v>11</x:v>
      </x:c>
      <x:c r="X307" s="3"/>
      <x:c r="Y307" s="3"/>
      <x:c r="Z307" s="3"/>
    </x:row>
    <x:row r="308" ht="15" customHeight="1">
      <x:c r="A308" s="3"/>
      <x:c r="B308" s="3"/>
      <x:c r="C308" s="3"/>
      <x:c r="D308" s="3"/>
      <x:c r="E308" s="3"/>
      <x:c r="F308" s="3"/>
      <x:c r="G308" s="3"/>
      <x:c r="H308" s="3"/>
      <x:c r="I308" s="3"/>
      <x:c r="J308" s="10" t="n">
        <x:v>46159</x:v>
      </x:c>
      <x:c r="K308" s="8" t="n">
        <x:f>INDEX('Сводка'!$S$3:$S$397,U308)</x:f>
        <x:v>141</x:v>
      </x:c>
      <x:c r="L308" s="8" t="n">
        <x:f>INDEX('Сводка'!$S$3:$S$397,V308)</x:f>
        <x:v>148</x:v>
      </x:c>
      <x:c r="M308" s="8" t="n">
        <x:f>INDEX($K$388:$N$400,W308,1)*((J308-$T$405+1)/1000)^INDEX($K$388:$N$400,W308,2)+INDEX($O$388:$Z$400,W308,MONTH(J308))</x:f>
        <x:v>195.64760152413157</x:v>
      </x:c>
      <x:c r="N308" s="8" t="n">
        <x:f>K308-M308</x:f>
        <x:v>-54.647601524131574</x:v>
      </x:c>
      <x:c r="O308" s="8" t="n">
        <x:f>ABS(N308)</x:f>
        <x:v>54.647601524131574</x:v>
      </x:c>
      <x:c r="P308" s="8" t="n">
        <x:f>N308^2</x:f>
        <x:v>2986.3603523402676</x:v>
      </x:c>
      <x:c r="Q308" s="8" t="n">
        <x:f>K308-L308</x:f>
        <x:v>-7</x:v>
      </x:c>
      <x:c r="R308" s="9" t="n">
        <x:f>IF(AND(INDEX('Сводка'!$T$3:$T$397,U308)=0,INDEX('Сводка'!$T$3:$T$397,V308)=0),1,0)</x:f>
        <x:v>1</x:v>
      </x:c>
      <x:c r="S308" s="9" t="n">
        <x:f>IF(AND(R308=1,O308&lt;=$G$13),1,0)</x:f>
        <x:v>0</x:v>
      </x:c>
      <x:c r="T308" s="10" t="n">
        <x:f>EOMONTH(J308-'Сводка'!$B$11,-1)</x:f>
        <x:v>46142</x:v>
      </x:c>
      <x:c r="U308" s="4" t="n">
        <x:f>MATCH(J308,'Сводка'!$R$3:$R$397,0)</x:f>
        <x:v>319</x:v>
      </x:c>
      <x:c r="V308" s="4" t="n">
        <x:f>MATCH(J308-'Сводка'!$B$11,'Сводка'!$R$3:$R$397,0)</x:f>
        <x:v>318</x:v>
      </x:c>
      <x:c r="W308" s="4" t="n">
        <x:f>MATCH(T308,$J$388:$J$400,0)</x:f>
        <x:v>11</x:v>
      </x:c>
      <x:c r="X308" s="3"/>
      <x:c r="Y308" s="3"/>
      <x:c r="Z308" s="3"/>
    </x:row>
    <x:row r="309" ht="15" customHeight="1">
      <x:c r="A309" s="3"/>
      <x:c r="B309" s="3"/>
      <x:c r="C309" s="3"/>
      <x:c r="D309" s="3"/>
      <x:c r="E309" s="3"/>
      <x:c r="F309" s="3"/>
      <x:c r="G309" s="3"/>
      <x:c r="H309" s="3"/>
      <x:c r="I309" s="3"/>
      <x:c r="J309" s="10" t="n">
        <x:v>46160</x:v>
      </x:c>
      <x:c r="K309" s="8" t="n">
        <x:f>INDEX('Сводка'!$S$3:$S$397,U309)</x:f>
        <x:v>139</x:v>
      </x:c>
      <x:c r="L309" s="8" t="n">
        <x:f>INDEX('Сводка'!$S$3:$S$397,V309)</x:f>
        <x:v>141</x:v>
      </x:c>
      <x:c r="M309" s="8" t="n">
        <x:f>INDEX($K$388:$N$400,W309,1)*((J309-$T$405+1)/1000)^INDEX($K$388:$N$400,W309,2)+INDEX($O$388:$Z$400,W309,MONTH(J309))</x:f>
        <x:v>195.66371023174423</x:v>
      </x:c>
      <x:c r="N309" s="8" t="n">
        <x:f>K309-M309</x:f>
        <x:v>-56.66371023174423</x:v>
      </x:c>
      <x:c r="O309" s="8" t="n">
        <x:f>ABS(N309)</x:f>
        <x:v>56.66371023174423</x:v>
      </x:c>
      <x:c r="P309" s="8" t="n">
        <x:f>N309^2</x:f>
        <x:v>3210.776057227076</x:v>
      </x:c>
      <x:c r="Q309" s="8" t="n">
        <x:f>K309-L309</x:f>
        <x:v>-2</x:v>
      </x:c>
      <x:c r="R309" s="9" t="n">
        <x:f>IF(AND(INDEX('Сводка'!$T$3:$T$397,U309)=0,INDEX('Сводка'!$T$3:$T$397,V309)=0),1,0)</x:f>
        <x:v>1</x:v>
      </x:c>
      <x:c r="S309" s="9" t="n">
        <x:f>IF(AND(R309=1,O309&lt;=$G$13),1,0)</x:f>
        <x:v>0</x:v>
      </x:c>
      <x:c r="T309" s="10" t="n">
        <x:f>EOMONTH(J309-'Сводка'!$B$11,-1)</x:f>
        <x:v>46142</x:v>
      </x:c>
      <x:c r="U309" s="4" t="n">
        <x:f>MATCH(J309,'Сводка'!$R$3:$R$397,0)</x:f>
        <x:v>320</x:v>
      </x:c>
      <x:c r="V309" s="4" t="n">
        <x:f>MATCH(J309-'Сводка'!$B$11,'Сводка'!$R$3:$R$397,0)</x:f>
        <x:v>319</x:v>
      </x:c>
      <x:c r="W309" s="4" t="n">
        <x:f>MATCH(T309,$J$388:$J$400,0)</x:f>
        <x:v>11</x:v>
      </x:c>
      <x:c r="X309" s="3"/>
      <x:c r="Y309" s="3"/>
      <x:c r="Z309" s="3"/>
    </x:row>
    <x:row r="310" ht="15" customHeight="1">
      <x:c r="A310" s="3"/>
      <x:c r="B310" s="3"/>
      <x:c r="C310" s="3"/>
      <x:c r="D310" s="3"/>
      <x:c r="E310" s="3"/>
      <x:c r="F310" s="3"/>
      <x:c r="G310" s="3"/>
      <x:c r="H310" s="3"/>
      <x:c r="I310" s="3"/>
      <x:c r="J310" s="10" t="n">
        <x:v>46161</x:v>
      </x:c>
      <x:c r="K310" s="8" t="n">
        <x:f>INDEX('Сводка'!$S$3:$S$397,U310)</x:f>
        <x:v>135</x:v>
      </x:c>
      <x:c r="L310" s="8" t="n">
        <x:f>INDEX('Сводка'!$S$3:$S$397,V310)</x:f>
        <x:v>139</x:v>
      </x:c>
      <x:c r="M310" s="8" t="n">
        <x:f>INDEX($K$388:$N$400,W310,1)*((J310-$T$405+1)/1000)^INDEX($K$388:$N$400,W310,2)+INDEX($O$388:$Z$400,W310,MONTH(J310))</x:f>
        <x:v>195.67981896027203</x:v>
      </x:c>
      <x:c r="N310" s="8" t="n">
        <x:f>K310-M310</x:f>
        <x:v>-60.67981896027203</x:v>
      </x:c>
      <x:c r="O310" s="8" t="n">
        <x:f>ABS(N310)</x:f>
        <x:v>60.67981896027203</x:v>
      </x:c>
      <x:c r="P310" s="8" t="n">
        <x:f>N310^2</x:f>
        <x:v>3682.040429051389</x:v>
      </x:c>
      <x:c r="Q310" s="8" t="n">
        <x:f>K310-L310</x:f>
        <x:v>-4</x:v>
      </x:c>
      <x:c r="R310" s="9" t="n">
        <x:f>IF(AND(INDEX('Сводка'!$T$3:$T$397,U310)=0,INDEX('Сводка'!$T$3:$T$397,V310)=0),1,0)</x:f>
        <x:v>1</x:v>
      </x:c>
      <x:c r="S310" s="9" t="n">
        <x:f>IF(AND(R310=1,O310&lt;=$G$13),1,0)</x:f>
        <x:v>0</x:v>
      </x:c>
      <x:c r="T310" s="10" t="n">
        <x:f>EOMONTH(J310-'Сводка'!$B$11,-1)</x:f>
        <x:v>46142</x:v>
      </x:c>
      <x:c r="U310" s="4" t="n">
        <x:f>MATCH(J310,'Сводка'!$R$3:$R$397,0)</x:f>
        <x:v>321</x:v>
      </x:c>
      <x:c r="V310" s="4" t="n">
        <x:f>MATCH(J310-'Сводка'!$B$11,'Сводка'!$R$3:$R$397,0)</x:f>
        <x:v>320</x:v>
      </x:c>
      <x:c r="W310" s="4" t="n">
        <x:f>MATCH(T310,$J$388:$J$400,0)</x:f>
        <x:v>11</x:v>
      </x:c>
      <x:c r="X310" s="3"/>
      <x:c r="Y310" s="3"/>
      <x:c r="Z310" s="3"/>
    </x:row>
    <x:row r="311" ht="15" customHeight="1">
      <x:c r="A311" s="3"/>
      <x:c r="B311" s="3"/>
      <x:c r="C311" s="3"/>
      <x:c r="D311" s="3"/>
      <x:c r="E311" s="3"/>
      <x:c r="F311" s="3"/>
      <x:c r="G311" s="3"/>
      <x:c r="H311" s="3"/>
      <x:c r="I311" s="3"/>
      <x:c r="J311" s="10" t="n">
        <x:v>46162</x:v>
      </x:c>
      <x:c r="K311" s="8" t="n">
        <x:f>INDEX('Сводка'!$S$3:$S$397,U311)</x:f>
        <x:v>135</x:v>
      </x:c>
      <x:c r="L311" s="8" t="n">
        <x:f>INDEX('Сводка'!$S$3:$S$397,V311)</x:f>
        <x:v>135</x:v>
      </x:c>
      <x:c r="M311" s="8" t="n">
        <x:f>INDEX($K$388:$N$400,W311,1)*((J311-$T$405+1)/1000)^INDEX($K$388:$N$400,W311,2)+INDEX($O$388:$Z$400,W311,MONTH(J311))</x:f>
        <x:v>195.69592770971275</x:v>
      </x:c>
      <x:c r="N311" s="8" t="n">
        <x:f>K311-M311</x:f>
        <x:v>-60.69592770971275</x:v>
      </x:c>
      <x:c r="O311" s="8" t="n">
        <x:f>ABS(N311)</x:f>
        <x:v>60.69592770971275</x:v>
      </x:c>
      <x:c r="P311" s="8" t="n">
        <x:f>N311^2</x:f>
        <x:v>3683.995640542676</x:v>
      </x:c>
      <x:c r="Q311" s="8" t="n">
        <x:f>K311-L311</x:f>
        <x:v>0</x:v>
      </x:c>
      <x:c r="R311" s="9" t="n">
        <x:f>IF(AND(INDEX('Сводка'!$T$3:$T$397,U311)=0,INDEX('Сводка'!$T$3:$T$397,V311)=0),1,0)</x:f>
        <x:v>1</x:v>
      </x:c>
      <x:c r="S311" s="9" t="n">
        <x:f>IF(AND(R311=1,O311&lt;=$G$13),1,0)</x:f>
        <x:v>0</x:v>
      </x:c>
      <x:c r="T311" s="10" t="n">
        <x:f>EOMONTH(J311-'Сводка'!$B$11,-1)</x:f>
        <x:v>46142</x:v>
      </x:c>
      <x:c r="U311" s="4" t="n">
        <x:f>MATCH(J311,'Сводка'!$R$3:$R$397,0)</x:f>
        <x:v>322</x:v>
      </x:c>
      <x:c r="V311" s="4" t="n">
        <x:f>MATCH(J311-'Сводка'!$B$11,'Сводка'!$R$3:$R$397,0)</x:f>
        <x:v>321</x:v>
      </x:c>
      <x:c r="W311" s="4" t="n">
        <x:f>MATCH(T311,$J$388:$J$400,0)</x:f>
        <x:v>11</x:v>
      </x:c>
      <x:c r="X311" s="3"/>
      <x:c r="Y311" s="3"/>
      <x:c r="Z311" s="3"/>
    </x:row>
    <x:row r="312" ht="15" customHeight="1">
      <x:c r="A312" s="3"/>
      <x:c r="B312" s="3"/>
      <x:c r="C312" s="3"/>
      <x:c r="D312" s="3"/>
      <x:c r="E312" s="3"/>
      <x:c r="F312" s="3"/>
      <x:c r="G312" s="3"/>
      <x:c r="H312" s="3"/>
      <x:c r="I312" s="3"/>
      <x:c r="J312" s="10" t="n">
        <x:v>46163</x:v>
      </x:c>
      <x:c r="K312" s="8" t="n">
        <x:f>INDEX('Сводка'!$S$3:$S$397,U312)</x:f>
        <x:v>134</x:v>
      </x:c>
      <x:c r="L312" s="8" t="n">
        <x:f>INDEX('Сводка'!$S$3:$S$397,V312)</x:f>
        <x:v>135</x:v>
      </x:c>
      <x:c r="M312" s="8" t="n">
        <x:f>INDEX($K$388:$N$400,W312,1)*((J312-$T$405+1)/1000)^INDEX($K$388:$N$400,W312,2)+INDEX($O$388:$Z$400,W312,MONTH(J312))</x:f>
        <x:v>195.71203648006397</x:v>
      </x:c>
      <x:c r="N312" s="8" t="n">
        <x:f>K312-M312</x:f>
        <x:v>-61.71203648006397</x:v>
      </x:c>
      <x:c r="O312" s="8" t="n">
        <x:f>ABS(N312)</x:f>
        <x:v>61.71203648006397</x:v>
      </x:c>
      <x:c r="P312" s="8" t="n">
        <x:f>N312^2</x:f>
        <x:v>3808.3754465167463</x:v>
      </x:c>
      <x:c r="Q312" s="8" t="n">
        <x:f>K312-L312</x:f>
        <x:v>-1</x:v>
      </x:c>
      <x:c r="R312" s="9" t="n">
        <x:f>IF(AND(INDEX('Сводка'!$T$3:$T$397,U312)=0,INDEX('Сводка'!$T$3:$T$397,V312)=0),1,0)</x:f>
        <x:v>1</x:v>
      </x:c>
      <x:c r="S312" s="9" t="n">
        <x:f>IF(AND(R312=1,O312&lt;=$G$13),1,0)</x:f>
        <x:v>0</x:v>
      </x:c>
      <x:c r="T312" s="10" t="n">
        <x:f>EOMONTH(J312-'Сводка'!$B$11,-1)</x:f>
        <x:v>46142</x:v>
      </x:c>
      <x:c r="U312" s="4" t="n">
        <x:f>MATCH(J312,'Сводка'!$R$3:$R$397,0)</x:f>
        <x:v>323</x:v>
      </x:c>
      <x:c r="V312" s="4" t="n">
        <x:f>MATCH(J312-'Сводка'!$B$11,'Сводка'!$R$3:$R$397,0)</x:f>
        <x:v>322</x:v>
      </x:c>
      <x:c r="W312" s="4" t="n">
        <x:f>MATCH(T312,$J$388:$J$400,0)</x:f>
        <x:v>11</x:v>
      </x:c>
      <x:c r="X312" s="3"/>
      <x:c r="Y312" s="3"/>
      <x:c r="Z312" s="3"/>
    </x:row>
    <x:row r="313" ht="15" customHeight="1">
      <x:c r="A313" s="3"/>
      <x:c r="B313" s="3"/>
      <x:c r="C313" s="3"/>
      <x:c r="D313" s="3"/>
      <x:c r="E313" s="3"/>
      <x:c r="F313" s="3"/>
      <x:c r="G313" s="3"/>
      <x:c r="H313" s="3"/>
      <x:c r="I313" s="3"/>
      <x:c r="J313" s="10" t="n">
        <x:v>46164</x:v>
      </x:c>
      <x:c r="K313" s="8" t="n">
        <x:f>INDEX('Сводка'!$S$3:$S$397,U313)</x:f>
        <x:v>131</x:v>
      </x:c>
      <x:c r="L313" s="8" t="n">
        <x:f>INDEX('Сводка'!$S$3:$S$397,V313)</x:f>
        <x:v>134</x:v>
      </x:c>
      <x:c r="M313" s="8" t="n">
        <x:f>INDEX($K$388:$N$400,W313,1)*((J313-$T$405+1)/1000)^INDEX($K$388:$N$400,W313,2)+INDEX($O$388:$Z$400,W313,MONTH(J313))</x:f>
        <x:v>195.72814527132337</x:v>
      </x:c>
      <x:c r="N313" s="8" t="n">
        <x:f>K313-M313</x:f>
        <x:v>-64.72814527132337</x:v>
      </x:c>
      <x:c r="O313" s="8" t="n">
        <x:f>ABS(N313)</x:f>
        <x:v>64.72814527132337</x:v>
      </x:c>
      <x:c r="P313" s="8" t="n">
        <x:f>N313^2</x:f>
        <x:v>4189.732790265542</x:v>
      </x:c>
      <x:c r="Q313" s="8" t="n">
        <x:f>K313-L313</x:f>
        <x:v>-3</x:v>
      </x:c>
      <x:c r="R313" s="9" t="n">
        <x:f>IF(AND(INDEX('Сводка'!$T$3:$T$397,U313)=0,INDEX('Сводка'!$T$3:$T$397,V313)=0),1,0)</x:f>
        <x:v>1</x:v>
      </x:c>
      <x:c r="S313" s="9" t="n">
        <x:f>IF(AND(R313=1,O313&lt;=$G$13),1,0)</x:f>
        <x:v>0</x:v>
      </x:c>
      <x:c r="T313" s="10" t="n">
        <x:f>EOMONTH(J313-'Сводка'!$B$11,-1)</x:f>
        <x:v>46142</x:v>
      </x:c>
      <x:c r="U313" s="4" t="n">
        <x:f>MATCH(J313,'Сводка'!$R$3:$R$397,0)</x:f>
        <x:v>324</x:v>
      </x:c>
      <x:c r="V313" s="4" t="n">
        <x:f>MATCH(J313-'Сводка'!$B$11,'Сводка'!$R$3:$R$397,0)</x:f>
        <x:v>323</x:v>
      </x:c>
      <x:c r="W313" s="4" t="n">
        <x:f>MATCH(T313,$J$388:$J$400,0)</x:f>
        <x:v>11</x:v>
      </x:c>
      <x:c r="X313" s="3"/>
      <x:c r="Y313" s="3"/>
      <x:c r="Z313" s="3"/>
    </x:row>
    <x:row r="314" ht="15" customHeight="1">
      <x:c r="A314" s="3"/>
      <x:c r="B314" s="3"/>
      <x:c r="C314" s="3"/>
      <x:c r="D314" s="3"/>
      <x:c r="E314" s="3"/>
      <x:c r="F314" s="3"/>
      <x:c r="G314" s="3"/>
      <x:c r="H314" s="3"/>
      <x:c r="I314" s="3"/>
      <x:c r="J314" s="10" t="n">
        <x:v>46165</x:v>
      </x:c>
      <x:c r="K314" s="8" t="n">
        <x:f>INDEX('Сводка'!$S$3:$S$397,U314)</x:f>
        <x:v>126</x:v>
      </x:c>
      <x:c r="L314" s="8" t="n">
        <x:f>INDEX('Сводка'!$S$3:$S$397,V314)</x:f>
        <x:v>131</x:v>
      </x:c>
      <x:c r="M314" s="8" t="n">
        <x:f>INDEX($K$388:$N$400,W314,1)*((J314-$T$405+1)/1000)^INDEX($K$388:$N$400,W314,2)+INDEX($O$388:$Z$400,W314,MONTH(J314))</x:f>
        <x:v>195.74425408348873</x:v>
      </x:c>
      <x:c r="N314" s="8" t="n">
        <x:f>K314-M314</x:f>
        <x:v>-69.74425408348873</x:v>
      </x:c>
      <x:c r="O314" s="8" t="n">
        <x:f>ABS(N314)</x:f>
        <x:v>69.74425408348873</x:v>
      </x:c>
      <x:c r="P314" s="8" t="n">
        <x:f>N314^2</x:f>
        <x:v>4864.260977662234</x:v>
      </x:c>
      <x:c r="Q314" s="8" t="n">
        <x:f>K314-L314</x:f>
        <x:v>-5</x:v>
      </x:c>
      <x:c r="R314" s="9" t="n">
        <x:f>IF(AND(INDEX('Сводка'!$T$3:$T$397,U314)=0,INDEX('Сводка'!$T$3:$T$397,V314)=0),1,0)</x:f>
        <x:v>1</x:v>
      </x:c>
      <x:c r="S314" s="9" t="n">
        <x:f>IF(AND(R314=1,O314&lt;=$G$13),1,0)</x:f>
        <x:v>0</x:v>
      </x:c>
      <x:c r="T314" s="10" t="n">
        <x:f>EOMONTH(J314-'Сводка'!$B$11,-1)</x:f>
        <x:v>46142</x:v>
      </x:c>
      <x:c r="U314" s="4" t="n">
        <x:f>MATCH(J314,'Сводка'!$R$3:$R$397,0)</x:f>
        <x:v>325</x:v>
      </x:c>
      <x:c r="V314" s="4" t="n">
        <x:f>MATCH(J314-'Сводка'!$B$11,'Сводка'!$R$3:$R$397,0)</x:f>
        <x:v>324</x:v>
      </x:c>
      <x:c r="W314" s="4" t="n">
        <x:f>MATCH(T314,$J$388:$J$400,0)</x:f>
        <x:v>11</x:v>
      </x:c>
      <x:c r="X314" s="3"/>
      <x:c r="Y314" s="3"/>
      <x:c r="Z314" s="3"/>
    </x:row>
    <x:row r="315" ht="15" customHeight="1">
      <x:c r="A315" s="3"/>
      <x:c r="B315" s="3"/>
      <x:c r="C315" s="3"/>
      <x:c r="D315" s="3"/>
      <x:c r="E315" s="3"/>
      <x:c r="F315" s="3"/>
      <x:c r="G315" s="3"/>
      <x:c r="H315" s="3"/>
      <x:c r="I315" s="3"/>
      <x:c r="J315" s="10" t="n">
        <x:v>46166</x:v>
      </x:c>
      <x:c r="K315" s="8" t="n">
        <x:f>INDEX('Сводка'!$S$3:$S$397,U315)</x:f>
        <x:v>119</x:v>
      </x:c>
      <x:c r="L315" s="8" t="n">
        <x:f>INDEX('Сводка'!$S$3:$S$397,V315)</x:f>
        <x:v>126</x:v>
      </x:c>
      <x:c r="M315" s="8" t="n">
        <x:f>INDEX($K$388:$N$400,W315,1)*((J315-$T$405+1)/1000)^INDEX($K$388:$N$400,W315,2)+INDEX($O$388:$Z$400,W315,MONTH(J315))</x:f>
        <x:v>195.76036291655763</x:v>
      </x:c>
      <x:c r="N315" s="8" t="n">
        <x:f>K315-M315</x:f>
        <x:v>-76.76036291655763</x:v>
      </x:c>
      <x:c r="O315" s="8" t="n">
        <x:f>ABS(N315)</x:f>
        <x:v>76.76036291655763</x:v>
      </x:c>
      <x:c r="P315" s="8" t="n">
        <x:f>N315^2</x:f>
        <x:v>5892.153315081635</x:v>
      </x:c>
      <x:c r="Q315" s="8" t="n">
        <x:f>K315-L315</x:f>
        <x:v>-7</x:v>
      </x:c>
      <x:c r="R315" s="9" t="n">
        <x:f>IF(AND(INDEX('Сводка'!$T$3:$T$397,U315)=0,INDEX('Сводка'!$T$3:$T$397,V315)=0),1,0)</x:f>
        <x:v>1</x:v>
      </x:c>
      <x:c r="S315" s="9" t="n">
        <x:f>IF(AND(R315=1,O315&lt;=$G$13),1,0)</x:f>
        <x:v>0</x:v>
      </x:c>
      <x:c r="T315" s="10" t="n">
        <x:f>EOMONTH(J315-'Сводка'!$B$11,-1)</x:f>
        <x:v>46142</x:v>
      </x:c>
      <x:c r="U315" s="4" t="n">
        <x:f>MATCH(J315,'Сводка'!$R$3:$R$397,0)</x:f>
        <x:v>326</x:v>
      </x:c>
      <x:c r="V315" s="4" t="n">
        <x:f>MATCH(J315-'Сводка'!$B$11,'Сводка'!$R$3:$R$397,0)</x:f>
        <x:v>325</x:v>
      </x:c>
      <x:c r="W315" s="4" t="n">
        <x:f>MATCH(T315,$J$388:$J$400,0)</x:f>
        <x:v>11</x:v>
      </x:c>
      <x:c r="X315" s="3"/>
      <x:c r="Y315" s="3"/>
      <x:c r="Z315" s="3"/>
    </x:row>
    <x:row r="316" ht="15" customHeight="1">
      <x:c r="A316" s="3"/>
      <x:c r="B316" s="3"/>
      <x:c r="C316" s="3"/>
      <x:c r="D316" s="3"/>
      <x:c r="E316" s="3"/>
      <x:c r="F316" s="3"/>
      <x:c r="G316" s="3"/>
      <x:c r="H316" s="3"/>
      <x:c r="I316" s="3"/>
      <x:c r="J316" s="10" t="n">
        <x:v>46167</x:v>
      </x:c>
      <x:c r="K316" s="8" t="n">
        <x:f>INDEX('Сводка'!$S$3:$S$397,U316)</x:f>
        <x:v>114</x:v>
      </x:c>
      <x:c r="L316" s="8" t="n">
        <x:f>INDEX('Сводка'!$S$3:$S$397,V316)</x:f>
        <x:v>119</x:v>
      </x:c>
      <x:c r="M316" s="8" t="n">
        <x:f>INDEX($K$388:$N$400,W316,1)*((J316-$T$405+1)/1000)^INDEX($K$388:$N$400,W316,2)+INDEX($O$388:$Z$400,W316,MONTH(J316))</x:f>
        <x:v>195.77647177052776</x:v>
      </x:c>
      <x:c r="N316" s="8" t="n">
        <x:f>K316-M316</x:f>
        <x:v>-81.77647177052776</x:v>
      </x:c>
      <x:c r="O316" s="8" t="n">
        <x:f>ABS(N316)</x:f>
        <x:v>81.77647177052776</x:v>
      </x:c>
      <x:c r="P316" s="8" t="n">
        <x:f>N316^2</x:f>
        <x:v>6687.391335235924</x:v>
      </x:c>
      <x:c r="Q316" s="8" t="n">
        <x:f>K316-L316</x:f>
        <x:v>-5</x:v>
      </x:c>
      <x:c r="R316" s="9" t="n">
        <x:f>IF(AND(INDEX('Сводка'!$T$3:$T$397,U316)=0,INDEX('Сводка'!$T$3:$T$397,V316)=0),1,0)</x:f>
        <x:v>1</x:v>
      </x:c>
      <x:c r="S316" s="9" t="n">
        <x:f>IF(AND(R316=1,O316&lt;=$G$13),1,0)</x:f>
        <x:v>0</x:v>
      </x:c>
      <x:c r="T316" s="10" t="n">
        <x:f>EOMONTH(J316-'Сводка'!$B$11,-1)</x:f>
        <x:v>46142</x:v>
      </x:c>
      <x:c r="U316" s="4" t="n">
        <x:f>MATCH(J316,'Сводка'!$R$3:$R$397,0)</x:f>
        <x:v>327</x:v>
      </x:c>
      <x:c r="V316" s="4" t="n">
        <x:f>MATCH(J316-'Сводка'!$B$11,'Сводка'!$R$3:$R$397,0)</x:f>
        <x:v>326</x:v>
      </x:c>
      <x:c r="W316" s="4" t="n">
        <x:f>MATCH(T316,$J$388:$J$400,0)</x:f>
        <x:v>11</x:v>
      </x:c>
      <x:c r="X316" s="3"/>
      <x:c r="Y316" s="3"/>
      <x:c r="Z316" s="3"/>
    </x:row>
    <x:row r="317" ht="15" customHeight="1">
      <x:c r="A317" s="3"/>
      <x:c r="B317" s="3"/>
      <x:c r="C317" s="3"/>
      <x:c r="D317" s="3"/>
      <x:c r="E317" s="3"/>
      <x:c r="F317" s="3"/>
      <x:c r="G317" s="3"/>
      <x:c r="H317" s="3"/>
      <x:c r="I317" s="3"/>
      <x:c r="J317" s="10" t="n">
        <x:v>46168</x:v>
      </x:c>
      <x:c r="K317" s="8" t="n">
        <x:f>INDEX('Сводка'!$S$3:$S$397,U317)</x:f>
        <x:v>106</x:v>
      </x:c>
      <x:c r="L317" s="8" t="n">
        <x:f>INDEX('Сводка'!$S$3:$S$397,V317)</x:f>
        <x:v>114</x:v>
      </x:c>
      <x:c r="M317" s="8" t="n">
        <x:f>INDEX($K$388:$N$400,W317,1)*((J317-$T$405+1)/1000)^INDEX($K$388:$N$400,W317,2)+INDEX($O$388:$Z$400,W317,MONTH(J317))</x:f>
        <x:v>195.79258064539687</x:v>
      </x:c>
      <x:c r="N317" s="8" t="n">
        <x:f>K317-M317</x:f>
        <x:v>-89.79258064539687</x:v>
      </x:c>
      <x:c r="O317" s="8" t="n">
        <x:f>ABS(N317)</x:f>
        <x:v>89.79258064539687</x:v>
      </x:c>
      <x:c r="P317" s="8" t="n">
        <x:f>N317^2</x:f>
        <x:v>8062.7075389601005</x:v>
      </x:c>
      <x:c r="Q317" s="8" t="n">
        <x:f>K317-L317</x:f>
        <x:v>-8</x:v>
      </x:c>
      <x:c r="R317" s="9" t="n">
        <x:f>IF(AND(INDEX('Сводка'!$T$3:$T$397,U317)=0,INDEX('Сводка'!$T$3:$T$397,V317)=0),1,0)</x:f>
        <x:v>1</x:v>
      </x:c>
      <x:c r="S317" s="9" t="n">
        <x:f>IF(AND(R317=1,O317&lt;=$G$13),1,0)</x:f>
        <x:v>0</x:v>
      </x:c>
      <x:c r="T317" s="10" t="n">
        <x:f>EOMONTH(J317-'Сводка'!$B$11,-1)</x:f>
        <x:v>46142</x:v>
      </x:c>
      <x:c r="U317" s="4" t="n">
        <x:f>MATCH(J317,'Сводка'!$R$3:$R$397,0)</x:f>
        <x:v>328</x:v>
      </x:c>
      <x:c r="V317" s="4" t="n">
        <x:f>MATCH(J317-'Сводка'!$B$11,'Сводка'!$R$3:$R$397,0)</x:f>
        <x:v>327</x:v>
      </x:c>
      <x:c r="W317" s="4" t="n">
        <x:f>MATCH(T317,$J$388:$J$400,0)</x:f>
        <x:v>11</x:v>
      </x:c>
      <x:c r="X317" s="3"/>
      <x:c r="Y317" s="3"/>
      <x:c r="Z317" s="3"/>
    </x:row>
    <x:row r="318" ht="15" customHeight="1">
      <x:c r="A318" s="3"/>
      <x:c r="B318" s="3"/>
      <x:c r="C318" s="3"/>
      <x:c r="D318" s="3"/>
      <x:c r="E318" s="3"/>
      <x:c r="F318" s="3"/>
      <x:c r="G318" s="3"/>
      <x:c r="H318" s="3"/>
      <x:c r="I318" s="3"/>
      <x:c r="J318" s="10" t="n">
        <x:v>46169</x:v>
      </x:c>
      <x:c r="K318" s="8" t="n">
        <x:f>INDEX('Сводка'!$S$3:$S$397,U318)</x:f>
        <x:v>101</x:v>
      </x:c>
      <x:c r="L318" s="8" t="n">
        <x:f>INDEX('Сводка'!$S$3:$S$397,V318)</x:f>
        <x:v>106</x:v>
      </x:c>
      <x:c r="M318" s="8" t="n">
        <x:f>INDEX($K$388:$N$400,W318,1)*((J318-$T$405+1)/1000)^INDEX($K$388:$N$400,W318,2)+INDEX($O$388:$Z$400,W318,MONTH(J318))</x:f>
        <x:v>195.8086895411626</x:v>
      </x:c>
      <x:c r="N318" s="8" t="n">
        <x:f>K318-M318</x:f>
        <x:v>-94.80868954116261</x:v>
      </x:c>
      <x:c r="O318" s="8" t="n">
        <x:f>ABS(N318)</x:f>
        <x:v>94.80868954116261</x:v>
      </x:c>
      <x:c r="P318" s="8" t="n">
        <x:f>N318^2</x:f>
        <x:v>8988.687612512556</x:v>
      </x:c>
      <x:c r="Q318" s="8" t="n">
        <x:f>K318-L318</x:f>
        <x:v>-5</x:v>
      </x:c>
      <x:c r="R318" s="9" t="n">
        <x:f>IF(AND(INDEX('Сводка'!$T$3:$T$397,U318)=0,INDEX('Сводка'!$T$3:$T$397,V318)=0),1,0)</x:f>
        <x:v>1</x:v>
      </x:c>
      <x:c r="S318" s="9" t="n">
        <x:f>IF(AND(R318=1,O318&lt;=$G$13),1,0)</x:f>
        <x:v>0</x:v>
      </x:c>
      <x:c r="T318" s="10" t="n">
        <x:f>EOMONTH(J318-'Сводка'!$B$11,-1)</x:f>
        <x:v>46142</x:v>
      </x:c>
      <x:c r="U318" s="4" t="n">
        <x:f>MATCH(J318,'Сводка'!$R$3:$R$397,0)</x:f>
        <x:v>329</x:v>
      </x:c>
      <x:c r="V318" s="4" t="n">
        <x:f>MATCH(J318-'Сводка'!$B$11,'Сводка'!$R$3:$R$397,0)</x:f>
        <x:v>328</x:v>
      </x:c>
      <x:c r="W318" s="4" t="n">
        <x:f>MATCH(T318,$J$388:$J$400,0)</x:f>
        <x:v>11</x:v>
      </x:c>
      <x:c r="X318" s="3"/>
      <x:c r="Y318" s="3"/>
      <x:c r="Z318" s="3"/>
    </x:row>
    <x:row r="319" ht="15" customHeight="1">
      <x:c r="A319" s="3"/>
      <x:c r="B319" s="3"/>
      <x:c r="C319" s="3"/>
      <x:c r="D319" s="3"/>
      <x:c r="E319" s="3"/>
      <x:c r="F319" s="3"/>
      <x:c r="G319" s="3"/>
      <x:c r="H319" s="3"/>
      <x:c r="I319" s="3"/>
      <x:c r="J319" s="10" t="n">
        <x:v>46170</x:v>
      </x:c>
      <x:c r="K319" s="8" t="n">
        <x:f>INDEX('Сводка'!$S$3:$S$397,U319)</x:f>
        <x:v>95</x:v>
      </x:c>
      <x:c r="L319" s="8" t="n">
        <x:f>INDEX('Сводка'!$S$3:$S$397,V319)</x:f>
        <x:v>101</x:v>
      </x:c>
      <x:c r="M319" s="8" t="n">
        <x:f>INDEX($K$388:$N$400,W319,1)*((J319-$T$405+1)/1000)^INDEX($K$388:$N$400,W319,2)+INDEX($O$388:$Z$400,W319,MONTH(J319))</x:f>
        <x:v>195.8247984578226</x:v>
      </x:c>
      <x:c r="N319" s="8" t="n">
        <x:f>K319-M319</x:f>
        <x:v>-100.8247984578226</x:v>
      </x:c>
      <x:c r="O319" s="8" t="n">
        <x:f>ABS(N319)</x:f>
        <x:v>100.8247984578226</x:v>
      </x:c>
      <x:c r="P319" s="8" t="n">
        <x:f>N319^2</x:f>
        <x:v>10165.639984060546</x:v>
      </x:c>
      <x:c r="Q319" s="8" t="n">
        <x:f>K319-L319</x:f>
        <x:v>-6</x:v>
      </x:c>
      <x:c r="R319" s="9" t="n">
        <x:f>IF(AND(INDEX('Сводка'!$T$3:$T$397,U319)=0,INDEX('Сводка'!$T$3:$T$397,V319)=0),1,0)</x:f>
        <x:v>1</x:v>
      </x:c>
      <x:c r="S319" s="9" t="n">
        <x:f>IF(AND(R319=1,O319&lt;=$G$13),1,0)</x:f>
        <x:v>0</x:v>
      </x:c>
      <x:c r="T319" s="10" t="n">
        <x:f>EOMONTH(J319-'Сводка'!$B$11,-1)</x:f>
        <x:v>46142</x:v>
      </x:c>
      <x:c r="U319" s="4" t="n">
        <x:f>MATCH(J319,'Сводка'!$R$3:$R$397,0)</x:f>
        <x:v>330</x:v>
      </x:c>
      <x:c r="V319" s="4" t="n">
        <x:f>MATCH(J319-'Сводка'!$B$11,'Сводка'!$R$3:$R$397,0)</x:f>
        <x:v>329</x:v>
      </x:c>
      <x:c r="W319" s="4" t="n">
        <x:f>MATCH(T319,$J$388:$J$400,0)</x:f>
        <x:v>11</x:v>
      </x:c>
      <x:c r="X319" s="3"/>
      <x:c r="Y319" s="3"/>
      <x:c r="Z319" s="3"/>
    </x:row>
    <x:row r="320" ht="15" customHeight="1">
      <x:c r="A320" s="3"/>
      <x:c r="B320" s="3"/>
      <x:c r="C320" s="3"/>
      <x:c r="D320" s="3"/>
      <x:c r="E320" s="3"/>
      <x:c r="F320" s="3"/>
      <x:c r="G320" s="3"/>
      <x:c r="H320" s="3"/>
      <x:c r="I320" s="3"/>
      <x:c r="J320" s="10" t="n">
        <x:v>46171</x:v>
      </x:c>
      <x:c r="K320" s="8" t="n">
        <x:f>INDEX('Сводка'!$S$3:$S$397,U320)</x:f>
        <x:v>85</x:v>
      </x:c>
      <x:c r="L320" s="8" t="n">
        <x:f>INDEX('Сводка'!$S$3:$S$397,V320)</x:f>
        <x:v>95</x:v>
      </x:c>
      <x:c r="M320" s="8" t="n">
        <x:f>INDEX($K$388:$N$400,W320,1)*((J320-$T$405+1)/1000)^INDEX($K$388:$N$400,W320,2)+INDEX($O$388:$Z$400,W320,MONTH(J320))</x:f>
        <x:v>195.8409073953746</x:v>
      </x:c>
      <x:c r="N320" s="8" t="n">
        <x:f>K320-M320</x:f>
        <x:v>-110.84090739537459</x:v>
      </x:c>
      <x:c r="O320" s="8" t="n">
        <x:f>ABS(N320)</x:f>
        <x:v>110.84090739537459</x:v>
      </x:c>
      <x:c r="P320" s="8" t="n">
        <x:f>N320^2</x:f>
        <x:v>12285.706752230004</x:v>
      </x:c>
      <x:c r="Q320" s="8" t="n">
        <x:f>K320-L320</x:f>
        <x:v>-10</x:v>
      </x:c>
      <x:c r="R320" s="9" t="n">
        <x:f>IF(AND(INDEX('Сводка'!$T$3:$T$397,U320)=0,INDEX('Сводка'!$T$3:$T$397,V320)=0),1,0)</x:f>
        <x:v>1</x:v>
      </x:c>
      <x:c r="S320" s="9" t="n">
        <x:f>IF(AND(R320=1,O320&lt;=$G$13),1,0)</x:f>
        <x:v>0</x:v>
      </x:c>
      <x:c r="T320" s="10" t="n">
        <x:f>EOMONTH(J320-'Сводка'!$B$11,-1)</x:f>
        <x:v>46142</x:v>
      </x:c>
      <x:c r="U320" s="4" t="n">
        <x:f>MATCH(J320,'Сводка'!$R$3:$R$397,0)</x:f>
        <x:v>331</x:v>
      </x:c>
      <x:c r="V320" s="4" t="n">
        <x:f>MATCH(J320-'Сводка'!$B$11,'Сводка'!$R$3:$R$397,0)</x:f>
        <x:v>330</x:v>
      </x:c>
      <x:c r="W320" s="4" t="n">
        <x:f>MATCH(T320,$J$388:$J$400,0)</x:f>
        <x:v>11</x:v>
      </x:c>
      <x:c r="X320" s="3"/>
      <x:c r="Y320" s="3"/>
      <x:c r="Z320" s="3"/>
    </x:row>
    <x:row r="321" ht="15" customHeight="1">
      <x:c r="A321" s="3"/>
      <x:c r="B321" s="3"/>
      <x:c r="C321" s="3"/>
      <x:c r="D321" s="3"/>
      <x:c r="E321" s="3"/>
      <x:c r="F321" s="3"/>
      <x:c r="G321" s="3"/>
      <x:c r="H321" s="3"/>
      <x:c r="I321" s="3"/>
      <x:c r="J321" s="10" t="n">
        <x:v>46172</x:v>
      </x:c>
      <x:c r="K321" s="8" t="n">
        <x:f>INDEX('Сводка'!$S$3:$S$397,U321)</x:f>
        <x:v>77</x:v>
      </x:c>
      <x:c r="L321" s="8" t="n">
        <x:f>INDEX('Сводка'!$S$3:$S$397,V321)</x:f>
        <x:v>85</x:v>
      </x:c>
      <x:c r="M321" s="8" t="n">
        <x:f>INDEX($K$388:$N$400,W321,1)*((J321-$T$405+1)/1000)^INDEX($K$388:$N$400,W321,2)+INDEX($O$388:$Z$400,W321,MONTH(J321))</x:f>
        <x:v>195.85701635381628</x:v>
      </x:c>
      <x:c r="N321" s="8" t="n">
        <x:f>K321-M321</x:f>
        <x:v>-118.85701635381628</x:v>
      </x:c>
      <x:c r="O321" s="8" t="n">
        <x:f>ABS(N321)</x:f>
        <x:v>118.85701635381628</x:v>
      </x:c>
      <x:c r="P321" s="8" t="n">
        <x:f>N321^2</x:f>
        <x:v>14126.99033653135</x:v>
      </x:c>
      <x:c r="Q321" s="8" t="n">
        <x:f>K321-L321</x:f>
        <x:v>-8</x:v>
      </x:c>
      <x:c r="R321" s="9" t="n">
        <x:f>IF(AND(INDEX('Сводка'!$T$3:$T$397,U321)=0,INDEX('Сводка'!$T$3:$T$397,V321)=0),1,0)</x:f>
        <x:v>1</x:v>
      </x:c>
      <x:c r="S321" s="9" t="n">
        <x:f>IF(AND(R321=1,O321&lt;=$G$13),1,0)</x:f>
        <x:v>0</x:v>
      </x:c>
      <x:c r="T321" s="10" t="n">
        <x:f>EOMONTH(J321-'Сводка'!$B$11,-1)</x:f>
        <x:v>46142</x:v>
      </x:c>
      <x:c r="U321" s="4" t="n">
        <x:f>MATCH(J321,'Сводка'!$R$3:$R$397,0)</x:f>
        <x:v>332</x:v>
      </x:c>
      <x:c r="V321" s="4" t="n">
        <x:f>MATCH(J321-'Сводка'!$B$11,'Сводка'!$R$3:$R$397,0)</x:f>
        <x:v>331</x:v>
      </x:c>
      <x:c r="W321" s="4" t="n">
        <x:f>MATCH(T321,$J$388:$J$400,0)</x:f>
        <x:v>11</x:v>
      </x:c>
      <x:c r="X321" s="3"/>
      <x:c r="Y321" s="3"/>
      <x:c r="Z321" s="3"/>
    </x:row>
    <x:row r="322" ht="15" customHeight="1">
      <x:c r="A322" s="3"/>
      <x:c r="B322" s="3"/>
      <x:c r="C322" s="3"/>
      <x:c r="D322" s="3"/>
      <x:c r="E322" s="3"/>
      <x:c r="F322" s="3"/>
      <x:c r="G322" s="3"/>
      <x:c r="H322" s="3"/>
      <x:c r="I322" s="3"/>
      <x:c r="J322" s="10" t="n">
        <x:v>46173</x:v>
      </x:c>
      <x:c r="K322" s="8" t="n">
        <x:f>INDEX('Сводка'!$S$3:$S$397,U322)</x:f>
        <x:v>70</x:v>
      </x:c>
      <x:c r="L322" s="8" t="n">
        <x:f>INDEX('Сводка'!$S$3:$S$397,V322)</x:f>
        <x:v>77</x:v>
      </x:c>
      <x:c r="M322" s="8" t="n">
        <x:f>INDEX($K$388:$N$400,W322,1)*((J322-$T$405+1)/1000)^INDEX($K$388:$N$400,W322,2)+INDEX($O$388:$Z$400,W322,MONTH(J322))</x:f>
        <x:v>195.87312533314528</x:v>
      </x:c>
      <x:c r="N322" s="8" t="n">
        <x:f>K322-M322</x:f>
        <x:v>-125.87312533314528</x:v>
      </x:c>
      <x:c r="O322" s="8" t="n">
        <x:f>ABS(N322)</x:f>
        <x:v>125.87312533314528</x:v>
      </x:c>
      <x:c r="P322" s="8" t="n">
        <x:f>N322^2</x:f>
        <x:v>15844.0436811337</x:v>
      </x:c>
      <x:c r="Q322" s="8" t="n">
        <x:f>K322-L322</x:f>
        <x:v>-7</x:v>
      </x:c>
      <x:c r="R322" s="9" t="n">
        <x:f>IF(AND(INDEX('Сводка'!$T$3:$T$397,U322)=0,INDEX('Сводка'!$T$3:$T$397,V322)=0),1,0)</x:f>
        <x:v>1</x:v>
      </x:c>
      <x:c r="S322" s="9" t="n">
        <x:f>IF(AND(R322=1,O322&lt;=$G$13),1,0)</x:f>
        <x:v>0</x:v>
      </x:c>
      <x:c r="T322" s="10" t="n">
        <x:f>EOMONTH(J322-'Сводка'!$B$11,-1)</x:f>
        <x:v>46142</x:v>
      </x:c>
      <x:c r="U322" s="4" t="n">
        <x:f>MATCH(J322,'Сводка'!$R$3:$R$397,0)</x:f>
        <x:v>333</x:v>
      </x:c>
      <x:c r="V322" s="4" t="n">
        <x:f>MATCH(J322-'Сводка'!$B$11,'Сводка'!$R$3:$R$397,0)</x:f>
        <x:v>332</x:v>
      </x:c>
      <x:c r="W322" s="4" t="n">
        <x:f>MATCH(T322,$J$388:$J$400,0)</x:f>
        <x:v>11</x:v>
      </x:c>
      <x:c r="X322" s="3"/>
      <x:c r="Y322" s="3"/>
      <x:c r="Z322" s="3"/>
    </x:row>
    <x:row r="323" ht="15" customHeight="1">
      <x:c r="A323" s="3"/>
      <x:c r="B323" s="3"/>
      <x:c r="C323" s="3"/>
      <x:c r="D323" s="3"/>
      <x:c r="E323" s="3"/>
      <x:c r="F323" s="3"/>
      <x:c r="G323" s="3"/>
      <x:c r="H323" s="3"/>
      <x:c r="I323" s="3"/>
      <x:c r="J323" s="10" t="n">
        <x:v>46174</x:v>
      </x:c>
      <x:c r="K323" s="8" t="n">
        <x:f>INDEX('Сводка'!$S$3:$S$397,U323)</x:f>
        <x:v>64</x:v>
      </x:c>
      <x:c r="L323" s="8" t="n">
        <x:f>INDEX('Сводка'!$S$3:$S$397,V323)</x:f>
        <x:v>70</x:v>
      </x:c>
      <x:c r="M323" s="8" t="n">
        <x:f>INDEX($K$388:$N$400,W323,1)*((J323-$T$405+1)/1000)^INDEX($K$388:$N$400,W323,2)+INDEX($O$388:$Z$400,W323,MONTH(J323))</x:f>
        <x:v>220.32377934997683</x:v>
      </x:c>
      <x:c r="N323" s="8" t="n">
        <x:f>K323-M323</x:f>
        <x:v>-156.32377934997683</x:v>
      </x:c>
      <x:c r="O323" s="8" t="n">
        <x:f>ABS(N323)</x:f>
        <x:v>156.32377934997683</x:v>
      </x:c>
      <x:c r="P323" s="8" t="n">
        <x:f>N323^2</x:f>
        <x:v>24437.123990260243</x:v>
      </x:c>
      <x:c r="Q323" s="8" t="n">
        <x:f>K323-L323</x:f>
        <x:v>-6</x:v>
      </x:c>
      <x:c r="R323" s="9" t="n">
        <x:f>IF(AND(INDEX('Сводка'!$T$3:$T$397,U323)=0,INDEX('Сводка'!$T$3:$T$397,V323)=0),1,0)</x:f>
        <x:v>1</x:v>
      </x:c>
      <x:c r="S323" s="9" t="n">
        <x:f>IF(AND(R323=1,O323&lt;=$G$13),1,0)</x:f>
        <x:v>0</x:v>
      </x:c>
      <x:c r="T323" s="10" t="n">
        <x:f>EOMONTH(J323-'Сводка'!$B$11,-1)</x:f>
        <x:v>46142</x:v>
      </x:c>
      <x:c r="U323" s="4" t="n">
        <x:f>MATCH(J323,'Сводка'!$R$3:$R$397,0)</x:f>
        <x:v>334</x:v>
      </x:c>
      <x:c r="V323" s="4" t="n">
        <x:f>MATCH(J323-'Сводка'!$B$11,'Сводка'!$R$3:$R$397,0)</x:f>
        <x:v>333</x:v>
      </x:c>
      <x:c r="W323" s="4" t="n">
        <x:f>MATCH(T323,$J$388:$J$400,0)</x:f>
        <x:v>11</x:v>
      </x:c>
      <x:c r="X323" s="3"/>
      <x:c r="Y323" s="3"/>
      <x:c r="Z323" s="3"/>
    </x:row>
    <x:row r="324" ht="15" customHeight="1">
      <x:c r="A324" s="3"/>
      <x:c r="B324" s="3"/>
      <x:c r="C324" s="3"/>
      <x:c r="D324" s="3"/>
      <x:c r="E324" s="3"/>
      <x:c r="F324" s="3"/>
      <x:c r="G324" s="3"/>
      <x:c r="H324" s="3"/>
      <x:c r="I324" s="3"/>
      <x:c r="J324" s="10" t="n">
        <x:v>46175</x:v>
      </x:c>
      <x:c r="K324" s="8" t="n">
        <x:f>INDEX('Сводка'!$S$3:$S$397,U324)</x:f>
        <x:v>62</x:v>
      </x:c>
      <x:c r="L324" s="8" t="n">
        <x:f>INDEX('Сводка'!$S$3:$S$397,V324)</x:f>
        <x:v>64</x:v>
      </x:c>
      <x:c r="M324" s="8" t="n">
        <x:f>INDEX($K$388:$N$400,W324,1)*((J324-$T$405+1)/1000)^INDEX($K$388:$N$400,W324,2)+INDEX($O$388:$Z$400,W324,MONTH(J324))</x:f>
        <x:v>219.16051100277772</x:v>
      </x:c>
      <x:c r="N324" s="8" t="n">
        <x:f>K324-M324</x:f>
        <x:v>-157.16051100277772</x:v>
      </x:c>
      <x:c r="O324" s="8" t="n">
        <x:f>ABS(N324)</x:f>
        <x:v>157.16051100277772</x:v>
      </x:c>
      <x:c r="P324" s="8" t="n">
        <x:f>N324^2</x:f>
        <x:v>24699.42621865422</x:v>
      </x:c>
      <x:c r="Q324" s="8" t="n">
        <x:f>K324-L324</x:f>
        <x:v>-2</x:v>
      </x:c>
      <x:c r="R324" s="9" t="n">
        <x:f>IF(AND(INDEX('Сводка'!$T$3:$T$397,U324)=0,INDEX('Сводка'!$T$3:$T$397,V324)=0),1,0)</x:f>
        <x:v>1</x:v>
      </x:c>
      <x:c r="S324" s="9" t="n">
        <x:f>IF(AND(R324=1,O324&lt;=$G$13),1,0)</x:f>
        <x:v>0</x:v>
      </x:c>
      <x:c r="T324" s="10" t="n">
        <x:f>EOMONTH(J324-'Сводка'!$B$11,-1)</x:f>
        <x:v>46173</x:v>
      </x:c>
      <x:c r="U324" s="4" t="n">
        <x:f>MATCH(J324,'Сводка'!$R$3:$R$397,0)</x:f>
        <x:v>335</x:v>
      </x:c>
      <x:c r="V324" s="4" t="n">
        <x:f>MATCH(J324-'Сводка'!$B$11,'Сводка'!$R$3:$R$397,0)</x:f>
        <x:v>334</x:v>
      </x:c>
      <x:c r="W324" s="4" t="n">
        <x:f>MATCH(T324,$J$388:$J$400,0)</x:f>
        <x:v>12</x:v>
      </x:c>
      <x:c r="X324" s="3"/>
      <x:c r="Y324" s="3"/>
      <x:c r="Z324" s="3"/>
    </x:row>
    <x:row r="325" ht="15" customHeight="1">
      <x:c r="A325" s="3"/>
      <x:c r="B325" s="3"/>
      <x:c r="C325" s="3"/>
      <x:c r="D325" s="3"/>
      <x:c r="E325" s="3"/>
      <x:c r="F325" s="3"/>
      <x:c r="G325" s="3"/>
      <x:c r="H325" s="3"/>
      <x:c r="I325" s="3"/>
      <x:c r="J325" s="10" t="n">
        <x:v>46176</x:v>
      </x:c>
      <x:c r="K325" s="8" t="n">
        <x:f>INDEX('Сводка'!$S$3:$S$397,U325)</x:f>
        <x:v>61</x:v>
      </x:c>
      <x:c r="L325" s="8" t="n">
        <x:f>INDEX('Сводка'!$S$3:$S$397,V325)</x:f>
        <x:v>62</x:v>
      </x:c>
      <x:c r="M325" s="8" t="n">
        <x:f>INDEX($K$388:$N$400,W325,1)*((J325-$T$405+1)/1000)^INDEX($K$388:$N$400,W325,2)+INDEX($O$388:$Z$400,W325,MONTH(J325))</x:f>
        <x:v>219.17626072059815</x:v>
      </x:c>
      <x:c r="N325" s="8" t="n">
        <x:f>K325-M325</x:f>
        <x:v>-158.17626072059815</x:v>
      </x:c>
      <x:c r="O325" s="8" t="n">
        <x:f>ABS(N325)</x:f>
        <x:v>158.17626072059815</x:v>
      </x:c>
      <x:c r="P325" s="8" t="n">
        <x:f>N325^2</x:f>
        <x:v>25019.72945555064</x:v>
      </x:c>
      <x:c r="Q325" s="8" t="n">
        <x:f>K325-L325</x:f>
        <x:v>-1</x:v>
      </x:c>
      <x:c r="R325" s="9" t="n">
        <x:f>IF(AND(INDEX('Сводка'!$T$3:$T$397,U325)=0,INDEX('Сводка'!$T$3:$T$397,V325)=0),1,0)</x:f>
        <x:v>1</x:v>
      </x:c>
      <x:c r="S325" s="9" t="n">
        <x:f>IF(AND(R325=1,O325&lt;=$G$13),1,0)</x:f>
        <x:v>0</x:v>
      </x:c>
      <x:c r="T325" s="10" t="n">
        <x:f>EOMONTH(J325-'Сводка'!$B$11,-1)</x:f>
        <x:v>46173</x:v>
      </x:c>
      <x:c r="U325" s="4" t="n">
        <x:f>MATCH(J325,'Сводка'!$R$3:$R$397,0)</x:f>
        <x:v>336</x:v>
      </x:c>
      <x:c r="V325" s="4" t="n">
        <x:f>MATCH(J325-'Сводка'!$B$11,'Сводка'!$R$3:$R$397,0)</x:f>
        <x:v>335</x:v>
      </x:c>
      <x:c r="W325" s="4" t="n">
        <x:f>MATCH(T325,$J$388:$J$400,0)</x:f>
        <x:v>12</x:v>
      </x:c>
      <x:c r="X325" s="3"/>
      <x:c r="Y325" s="3"/>
      <x:c r="Z325" s="3"/>
    </x:row>
    <x:row r="326" ht="15" customHeight="1">
      <x:c r="A326" s="3"/>
      <x:c r="B326" s="3"/>
      <x:c r="C326" s="3"/>
      <x:c r="D326" s="3"/>
      <x:c r="E326" s="3"/>
      <x:c r="F326" s="3"/>
      <x:c r="G326" s="3"/>
      <x:c r="H326" s="3"/>
      <x:c r="I326" s="3"/>
      <x:c r="J326" s="10" t="n">
        <x:v>46177</x:v>
      </x:c>
      <x:c r="K326" s="8" t="n">
        <x:f>INDEX('Сводка'!$S$3:$S$397,U326)</x:f>
        <x:v>75</x:v>
      </x:c>
      <x:c r="L326" s="8" t="n">
        <x:f>INDEX('Сводка'!$S$3:$S$397,V326)</x:f>
        <x:v>61</x:v>
      </x:c>
      <x:c r="M326" s="8" t="n">
        <x:f>INDEX($K$388:$N$400,W326,1)*((J326-$T$405+1)/1000)^INDEX($K$388:$N$400,W326,2)+INDEX($O$388:$Z$400,W326,MONTH(J326))</x:f>
        <x:v>219.19201043724593</x:v>
      </x:c>
      <x:c r="N326" s="8" t="n">
        <x:f>K326-M326</x:f>
        <x:v>-144.19201043724593</x:v>
      </x:c>
      <x:c r="O326" s="8" t="n">
        <x:f>ABS(N326)</x:f>
        <x:v>144.19201043724593</x:v>
      </x:c>
      <x:c r="P326" s="8" t="n">
        <x:f>N326^2</x:f>
        <x:v>20791.335873934837</x:v>
      </x:c>
      <x:c r="Q326" s="8" t="n">
        <x:f>K326-L326</x:f>
        <x:v>14</x:v>
      </x:c>
      <x:c r="R326" s="9" t="n">
        <x:f>IF(AND(INDEX('Сводка'!$T$3:$T$397,U326)=0,INDEX('Сводка'!$T$3:$T$397,V326)=0),1,0)</x:f>
        <x:v>1</x:v>
      </x:c>
      <x:c r="S326" s="9" t="n">
        <x:f>IF(AND(R326=1,O326&lt;=$G$13),1,0)</x:f>
        <x:v>0</x:v>
      </x:c>
      <x:c r="T326" s="10" t="n">
        <x:f>EOMONTH(J326-'Сводка'!$B$11,-1)</x:f>
        <x:v>46173</x:v>
      </x:c>
      <x:c r="U326" s="4" t="n">
        <x:f>MATCH(J326,'Сводка'!$R$3:$R$397,0)</x:f>
        <x:v>337</x:v>
      </x:c>
      <x:c r="V326" s="4" t="n">
        <x:f>MATCH(J326-'Сводка'!$B$11,'Сводка'!$R$3:$R$397,0)</x:f>
        <x:v>336</x:v>
      </x:c>
      <x:c r="W326" s="4" t="n">
        <x:f>MATCH(T326,$J$388:$J$400,0)</x:f>
        <x:v>12</x:v>
      </x:c>
      <x:c r="X326" s="3"/>
      <x:c r="Y326" s="3"/>
      <x:c r="Z326" s="3"/>
    </x:row>
    <x:row r="327" ht="15" customHeight="1">
      <x:c r="A327" s="3"/>
      <x:c r="B327" s="3"/>
      <x:c r="C327" s="3"/>
      <x:c r="D327" s="3"/>
      <x:c r="E327" s="3"/>
      <x:c r="F327" s="3"/>
      <x:c r="G327" s="3"/>
      <x:c r="H327" s="3"/>
      <x:c r="I327" s="3"/>
      <x:c r="J327" s="10" t="n">
        <x:v>46178</x:v>
      </x:c>
      <x:c r="K327" s="8" t="n">
        <x:f>INDEX('Сводка'!$S$3:$S$397,U327)</x:f>
        <x:v>94</x:v>
      </x:c>
      <x:c r="L327" s="8" t="n">
        <x:f>INDEX('Сводка'!$S$3:$S$397,V327)</x:f>
        <x:v>75</x:v>
      </x:c>
      <x:c r="M327" s="8" t="n">
        <x:f>INDEX($K$388:$N$400,W327,1)*((J327-$T$405+1)/1000)^INDEX($K$388:$N$400,W327,2)+INDEX($O$388:$Z$400,W327,MONTH(J327))</x:f>
        <x:v>219.20776015272125</x:v>
      </x:c>
      <x:c r="N327" s="8" t="n">
        <x:f>K327-M327</x:f>
        <x:v>-125.20776015272125</x:v>
      </x:c>
      <x:c r="O327" s="8" t="n">
        <x:f>ABS(N327)</x:f>
        <x:v>125.20776015272125</x:v>
      </x:c>
      <x:c r="P327" s="8" t="n">
        <x:f>N327^2</x:f>
        <x:v>15676.983202461372</x:v>
      </x:c>
      <x:c r="Q327" s="8" t="n">
        <x:f>K327-L327</x:f>
        <x:v>19</x:v>
      </x:c>
      <x:c r="R327" s="9" t="n">
        <x:f>IF(AND(INDEX('Сводка'!$T$3:$T$397,U327)=0,INDEX('Сводка'!$T$3:$T$397,V327)=0),1,0)</x:f>
        <x:v>1</x:v>
      </x:c>
      <x:c r="S327" s="9" t="n">
        <x:f>IF(AND(R327=1,O327&lt;=$G$13),1,0)</x:f>
        <x:v>0</x:v>
      </x:c>
      <x:c r="T327" s="10" t="n">
        <x:f>EOMONTH(J327-'Сводка'!$B$11,-1)</x:f>
        <x:v>46173</x:v>
      </x:c>
      <x:c r="U327" s="4" t="n">
        <x:f>MATCH(J327,'Сводка'!$R$3:$R$397,0)</x:f>
        <x:v>338</x:v>
      </x:c>
      <x:c r="V327" s="4" t="n">
        <x:f>MATCH(J327-'Сводка'!$B$11,'Сводка'!$R$3:$R$397,0)</x:f>
        <x:v>337</x:v>
      </x:c>
      <x:c r="W327" s="4" t="n">
        <x:f>MATCH(T327,$J$388:$J$400,0)</x:f>
        <x:v>12</x:v>
      </x:c>
      <x:c r="X327" s="3"/>
      <x:c r="Y327" s="3"/>
      <x:c r="Z327" s="3"/>
    </x:row>
    <x:row r="328" ht="15" customHeight="1">
      <x:c r="A328" s="3"/>
      <x:c r="B328" s="3"/>
      <x:c r="C328" s="3"/>
      <x:c r="D328" s="3"/>
      <x:c r="E328" s="3"/>
      <x:c r="F328" s="3"/>
      <x:c r="G328" s="3"/>
      <x:c r="H328" s="3"/>
      <x:c r="I328" s="3"/>
      <x:c r="J328" s="10" t="n">
        <x:v>46179</x:v>
      </x:c>
      <x:c r="K328" s="8" t="n">
        <x:f>INDEX('Сводка'!$S$3:$S$397,U328)</x:f>
        <x:v>116</x:v>
      </x:c>
      <x:c r="L328" s="8" t="n">
        <x:f>INDEX('Сводка'!$S$3:$S$397,V328)</x:f>
        <x:v>94</x:v>
      </x:c>
      <x:c r="M328" s="8" t="n">
        <x:f>INDEX($K$388:$N$400,W328,1)*((J328-$T$405+1)/1000)^INDEX($K$388:$N$400,W328,2)+INDEX($O$388:$Z$400,W328,MONTH(J328))</x:f>
        <x:v>219.22350986702418</x:v>
      </x:c>
      <x:c r="N328" s="8" t="n">
        <x:f>K328-M328</x:f>
        <x:v>-103.22350986702418</x:v>
      </x:c>
      <x:c r="O328" s="8" t="n">
        <x:f>ABS(N328)</x:f>
        <x:v>103.22350986702418</x:v>
      </x:c>
      <x:c r="P328" s="8" t="n">
        <x:f>N328^2</x:f>
        <x:v>10655.092989267638</x:v>
      </x:c>
      <x:c r="Q328" s="8" t="n">
        <x:f>K328-L328</x:f>
        <x:v>22</x:v>
      </x:c>
      <x:c r="R328" s="9" t="n">
        <x:f>IF(AND(INDEX('Сводка'!$T$3:$T$397,U328)=0,INDEX('Сводка'!$T$3:$T$397,V328)=0),1,0)</x:f>
        <x:v>1</x:v>
      </x:c>
      <x:c r="S328" s="9" t="n">
        <x:f>IF(AND(R328=1,O328&lt;=$G$13),1,0)</x:f>
        <x:v>0</x:v>
      </x:c>
      <x:c r="T328" s="10" t="n">
        <x:f>EOMONTH(J328-'Сводка'!$B$11,-1)</x:f>
        <x:v>46173</x:v>
      </x:c>
      <x:c r="U328" s="4" t="n">
        <x:f>MATCH(J328,'Сводка'!$R$3:$R$397,0)</x:f>
        <x:v>339</x:v>
      </x:c>
      <x:c r="V328" s="4" t="n">
        <x:f>MATCH(J328-'Сводка'!$B$11,'Сводка'!$R$3:$R$397,0)</x:f>
        <x:v>338</x:v>
      </x:c>
      <x:c r="W328" s="4" t="n">
        <x:f>MATCH(T328,$J$388:$J$400,0)</x:f>
        <x:v>12</x:v>
      </x:c>
      <x:c r="X328" s="3"/>
      <x:c r="Y328" s="3"/>
      <x:c r="Z328" s="3"/>
    </x:row>
    <x:row r="329" ht="15" customHeight="1">
      <x:c r="A329" s="3"/>
      <x:c r="B329" s="3"/>
      <x:c r="C329" s="3"/>
      <x:c r="D329" s="3"/>
      <x:c r="E329" s="3"/>
      <x:c r="F329" s="3"/>
      <x:c r="G329" s="3"/>
      <x:c r="H329" s="3"/>
      <x:c r="I329" s="3"/>
      <x:c r="J329" s="10" t="n">
        <x:v>46180</x:v>
      </x:c>
      <x:c r="K329" s="8" t="n">
        <x:f>INDEX('Сводка'!$S$3:$S$397,U329)</x:f>
        <x:v>128</x:v>
      </x:c>
      <x:c r="L329" s="8" t="n">
        <x:f>INDEX('Сводка'!$S$3:$S$397,V329)</x:f>
        <x:v>116</x:v>
      </x:c>
      <x:c r="M329" s="8" t="n">
        <x:f>INDEX($K$388:$N$400,W329,1)*((J329-$T$405+1)/1000)^INDEX($K$388:$N$400,W329,2)+INDEX($O$388:$Z$400,W329,MONTH(J329))</x:f>
        <x:v>219.2392595801549</x:v>
      </x:c>
      <x:c r="N329" s="8" t="n">
        <x:f>K329-M329</x:f>
        <x:v>-91.23925958015491</x:v>
      </x:c>
      <x:c r="O329" s="8" t="n">
        <x:f>ABS(N329)</x:f>
        <x:v>91.23925958015491</x:v>
      </x:c>
      <x:c r="P329" s="8" t="n">
        <x:f>N329^2</x:f>
        <x:v>8324.602488734889</x:v>
      </x:c>
      <x:c r="Q329" s="8" t="n">
        <x:f>K329-L329</x:f>
        <x:v>12</x:v>
      </x:c>
      <x:c r="R329" s="9" t="n">
        <x:f>IF(AND(INDEX('Сводка'!$T$3:$T$397,U329)=0,INDEX('Сводка'!$T$3:$T$397,V329)=0),1,0)</x:f>
        <x:v>1</x:v>
      </x:c>
      <x:c r="S329" s="9" t="n">
        <x:f>IF(AND(R329=1,O329&lt;=$G$13),1,0)</x:f>
        <x:v>0</x:v>
      </x:c>
      <x:c r="T329" s="10" t="n">
        <x:f>EOMONTH(J329-'Сводка'!$B$11,-1)</x:f>
        <x:v>46173</x:v>
      </x:c>
      <x:c r="U329" s="4" t="n">
        <x:f>MATCH(J329,'Сводка'!$R$3:$R$397,0)</x:f>
        <x:v>340</x:v>
      </x:c>
      <x:c r="V329" s="4" t="n">
        <x:f>MATCH(J329-'Сводка'!$B$11,'Сводка'!$R$3:$R$397,0)</x:f>
        <x:v>339</x:v>
      </x:c>
      <x:c r="W329" s="4" t="n">
        <x:f>MATCH(T329,$J$388:$J$400,0)</x:f>
        <x:v>12</x:v>
      </x:c>
      <x:c r="X329" s="3"/>
      <x:c r="Y329" s="3"/>
      <x:c r="Z329" s="3"/>
    </x:row>
    <x:row r="330" ht="15" customHeight="1">
      <x:c r="A330" s="3"/>
      <x:c r="B330" s="3"/>
      <x:c r="C330" s="3"/>
      <x:c r="D330" s="3"/>
      <x:c r="E330" s="3"/>
      <x:c r="F330" s="3"/>
      <x:c r="G330" s="3"/>
      <x:c r="H330" s="3"/>
      <x:c r="I330" s="3"/>
      <x:c r="J330" s="10" t="n">
        <x:v>46181</x:v>
      </x:c>
      <x:c r="K330" s="8" t="n">
        <x:f>INDEX('Сводка'!$S$3:$S$397,U330)</x:f>
        <x:v>132</x:v>
      </x:c>
      <x:c r="L330" s="8" t="n">
        <x:f>INDEX('Сводка'!$S$3:$S$397,V330)</x:f>
        <x:v>128</x:v>
      </x:c>
      <x:c r="M330" s="8" t="n">
        <x:f>INDEX($K$388:$N$400,W330,1)*((J330-$T$405+1)/1000)^INDEX($K$388:$N$400,W330,2)+INDEX($O$388:$Z$400,W330,MONTH(J330))</x:f>
        <x:v>219.25500929211356</x:v>
      </x:c>
      <x:c r="N330" s="8" t="n">
        <x:f>K330-M330</x:f>
        <x:v>-87.25500929211356</x:v>
      </x:c>
      <x:c r="O330" s="8" t="n">
        <x:f>ABS(N330)</x:f>
        <x:v>87.25500929211356</x:v>
      </x:c>
      <x:c r="P330" s="8" t="n">
        <x:f>N330^2</x:f>
        <x:v>7613.436646566823</x:v>
      </x:c>
      <x:c r="Q330" s="8" t="n">
        <x:f>K330-L330</x:f>
        <x:v>4</x:v>
      </x:c>
      <x:c r="R330" s="9" t="n">
        <x:f>IF(AND(INDEX('Сводка'!$T$3:$T$397,U330)=0,INDEX('Сводка'!$T$3:$T$397,V330)=0),1,0)</x:f>
        <x:v>1</x:v>
      </x:c>
      <x:c r="S330" s="9" t="n">
        <x:f>IF(AND(R330=1,O330&lt;=$G$13),1,0)</x:f>
        <x:v>0</x:v>
      </x:c>
      <x:c r="T330" s="10" t="n">
        <x:f>EOMONTH(J330-'Сводка'!$B$11,-1)</x:f>
        <x:v>46173</x:v>
      </x:c>
      <x:c r="U330" s="4" t="n">
        <x:f>MATCH(J330,'Сводка'!$R$3:$R$397,0)</x:f>
        <x:v>341</x:v>
      </x:c>
      <x:c r="V330" s="4" t="n">
        <x:f>MATCH(J330-'Сводка'!$B$11,'Сводка'!$R$3:$R$397,0)</x:f>
        <x:v>340</x:v>
      </x:c>
      <x:c r="W330" s="4" t="n">
        <x:f>MATCH(T330,$J$388:$J$400,0)</x:f>
        <x:v>12</x:v>
      </x:c>
      <x:c r="X330" s="3"/>
      <x:c r="Y330" s="3"/>
      <x:c r="Z330" s="3"/>
    </x:row>
    <x:row r="331" ht="15" customHeight="1">
      <x:c r="A331" s="3"/>
      <x:c r="B331" s="3"/>
      <x:c r="C331" s="3"/>
      <x:c r="D331" s="3"/>
      <x:c r="E331" s="3"/>
      <x:c r="F331" s="3"/>
      <x:c r="G331" s="3"/>
      <x:c r="H331" s="3"/>
      <x:c r="I331" s="3"/>
      <x:c r="J331" s="10" t="n">
        <x:v>46182</x:v>
      </x:c>
      <x:c r="K331" s="8" t="n">
        <x:f>INDEX('Сводка'!$S$3:$S$397,U331)</x:f>
        <x:v>131</x:v>
      </x:c>
      <x:c r="L331" s="8" t="n">
        <x:f>INDEX('Сводка'!$S$3:$S$397,V331)</x:f>
        <x:v>132</x:v>
      </x:c>
      <x:c r="M331" s="8" t="n">
        <x:f>INDEX($K$388:$N$400,W331,1)*((J331-$T$405+1)/1000)^INDEX($K$388:$N$400,W331,2)+INDEX($O$388:$Z$400,W331,MONTH(J331))</x:f>
        <x:v>219.2707590029002</x:v>
      </x:c>
      <x:c r="N331" s="8" t="n">
        <x:f>K331-M331</x:f>
        <x:v>-88.2707590029002</x:v>
      </x:c>
      <x:c r="O331" s="8" t="n">
        <x:f>ABS(N331)</x:f>
        <x:v>88.2707590029002</x:v>
      </x:c>
      <x:c r="P331" s="8" t="n">
        <x:f>N331^2</x:f>
        <x:v>7791.726894948088</x:v>
      </x:c>
      <x:c r="Q331" s="8" t="n">
        <x:f>K331-L331</x:f>
        <x:v>-1</x:v>
      </x:c>
      <x:c r="R331" s="9" t="n">
        <x:f>IF(AND(INDEX('Сводка'!$T$3:$T$397,U331)=0,INDEX('Сводка'!$T$3:$T$397,V331)=0),1,0)</x:f>
        <x:v>1</x:v>
      </x:c>
      <x:c r="S331" s="9" t="n">
        <x:f>IF(AND(R331=1,O331&lt;=$G$13),1,0)</x:f>
        <x:v>0</x:v>
      </x:c>
      <x:c r="T331" s="10" t="n">
        <x:f>EOMONTH(J331-'Сводка'!$B$11,-1)</x:f>
        <x:v>46173</x:v>
      </x:c>
      <x:c r="U331" s="4" t="n">
        <x:f>MATCH(J331,'Сводка'!$R$3:$R$397,0)</x:f>
        <x:v>342</x:v>
      </x:c>
      <x:c r="V331" s="4" t="n">
        <x:f>MATCH(J331-'Сводка'!$B$11,'Сводка'!$R$3:$R$397,0)</x:f>
        <x:v>341</x:v>
      </x:c>
      <x:c r="W331" s="4" t="n">
        <x:f>MATCH(T331,$J$388:$J$400,0)</x:f>
        <x:v>12</x:v>
      </x:c>
      <x:c r="X331" s="3"/>
      <x:c r="Y331" s="3"/>
      <x:c r="Z331" s="3"/>
    </x:row>
    <x:row r="332" ht="15" customHeight="1">
      <x:c r="A332" s="3"/>
      <x:c r="B332" s="3"/>
      <x:c r="C332" s="3"/>
      <x:c r="D332" s="3"/>
      <x:c r="E332" s="3"/>
      <x:c r="F332" s="3"/>
      <x:c r="G332" s="3"/>
      <x:c r="H332" s="3"/>
      <x:c r="I332" s="3"/>
      <x:c r="J332" s="10" t="n">
        <x:v>46183</x:v>
      </x:c>
      <x:c r="K332" s="8" t="n">
        <x:f>INDEX('Сводка'!$S$3:$S$397,U332)</x:f>
        <x:v>128</x:v>
      </x:c>
      <x:c r="L332" s="8" t="n">
        <x:f>INDEX('Сводка'!$S$3:$S$397,V332)</x:f>
        <x:v>131</x:v>
      </x:c>
      <x:c r="M332" s="8" t="n">
        <x:f>INDEX($K$388:$N$400,W332,1)*((J332-$T$405+1)/1000)^INDEX($K$388:$N$400,W332,2)+INDEX($O$388:$Z$400,W332,MONTH(J332))</x:f>
        <x:v>219.28650871251503</x:v>
      </x:c>
      <x:c r="N332" s="8" t="n">
        <x:f>K332-M332</x:f>
        <x:v>-91.28650871251503</x:v>
      </x:c>
      <x:c r="O332" s="8" t="n">
        <x:f>ABS(N332)</x:f>
        <x:v>91.28650871251503</x:v>
      </x:c>
      <x:c r="P332" s="8" t="n">
        <x:f>N332^2</x:f>
        <x:v>8333.226672920082</x:v>
      </x:c>
      <x:c r="Q332" s="8" t="n">
        <x:f>K332-L332</x:f>
        <x:v>-3</x:v>
      </x:c>
      <x:c r="R332" s="9" t="n">
        <x:f>IF(AND(INDEX('Сводка'!$T$3:$T$397,U332)=0,INDEX('Сводка'!$T$3:$T$397,V332)=0),1,0)</x:f>
        <x:v>1</x:v>
      </x:c>
      <x:c r="S332" s="9" t="n">
        <x:f>IF(AND(R332=1,O332&lt;=$G$13),1,0)</x:f>
        <x:v>0</x:v>
      </x:c>
      <x:c r="T332" s="10" t="n">
        <x:f>EOMONTH(J332-'Сводка'!$B$11,-1)</x:f>
        <x:v>46173</x:v>
      </x:c>
      <x:c r="U332" s="4" t="n">
        <x:f>MATCH(J332,'Сводка'!$R$3:$R$397,0)</x:f>
        <x:v>343</x:v>
      </x:c>
      <x:c r="V332" s="4" t="n">
        <x:f>MATCH(J332-'Сводка'!$B$11,'Сводка'!$R$3:$R$397,0)</x:f>
        <x:v>342</x:v>
      </x:c>
      <x:c r="W332" s="4" t="n">
        <x:f>MATCH(T332,$J$388:$J$400,0)</x:f>
        <x:v>12</x:v>
      </x:c>
      <x:c r="X332" s="3"/>
      <x:c r="Y332" s="3"/>
      <x:c r="Z332" s="3"/>
    </x:row>
    <x:row r="333" ht="15" customHeight="1">
      <x:c r="A333" s="3"/>
      <x:c r="B333" s="3"/>
      <x:c r="C333" s="3"/>
      <x:c r="D333" s="3"/>
      <x:c r="E333" s="3"/>
      <x:c r="F333" s="3"/>
      <x:c r="G333" s="3"/>
      <x:c r="H333" s="3"/>
      <x:c r="I333" s="3"/>
      <x:c r="J333" s="10" t="n">
        <x:v>46184</x:v>
      </x:c>
      <x:c r="K333" s="8" t="n">
        <x:f>INDEX('Сводка'!$S$3:$S$397,U333)</x:f>
        <x:v>128</x:v>
      </x:c>
      <x:c r="L333" s="8" t="n">
        <x:f>INDEX('Сводка'!$S$3:$S$397,V333)</x:f>
        <x:v>128</x:v>
      </x:c>
      <x:c r="M333" s="8" t="n">
        <x:f>INDEX($K$388:$N$400,W333,1)*((J333-$T$405+1)/1000)^INDEX($K$388:$N$400,W333,2)+INDEX($O$388:$Z$400,W333,MONTH(J333))</x:f>
        <x:v>219.3022584209582</x:v>
      </x:c>
      <x:c r="N333" s="8" t="n">
        <x:f>K333-M333</x:f>
        <x:v>-91.3022584209582</x:v>
      </x:c>
      <x:c r="O333" s="8" t="n">
        <x:f>ABS(N333)</x:f>
        <x:v>91.3022584209582</x:v>
      </x:c>
      <x:c r="P333" s="8" t="n">
        <x:f>N333^2</x:f>
        <x:v>8336.102392767432</x:v>
      </x:c>
      <x:c r="Q333" s="8" t="n">
        <x:f>K333-L333</x:f>
        <x:v>0</x:v>
      </x:c>
      <x:c r="R333" s="9" t="n">
        <x:f>IF(AND(INDEX('Сводка'!$T$3:$T$397,U333)=0,INDEX('Сводка'!$T$3:$T$397,V333)=0),1,0)</x:f>
        <x:v>1</x:v>
      </x:c>
      <x:c r="S333" s="9" t="n">
        <x:f>IF(AND(R333=1,O333&lt;=$G$13),1,0)</x:f>
        <x:v>0</x:v>
      </x:c>
      <x:c r="T333" s="10" t="n">
        <x:f>EOMONTH(J333-'Сводка'!$B$11,-1)</x:f>
        <x:v>46173</x:v>
      </x:c>
      <x:c r="U333" s="4" t="n">
        <x:f>MATCH(J333,'Сводка'!$R$3:$R$397,0)</x:f>
        <x:v>344</x:v>
      </x:c>
      <x:c r="V333" s="4" t="n">
        <x:f>MATCH(J333-'Сводка'!$B$11,'Сводка'!$R$3:$R$397,0)</x:f>
        <x:v>343</x:v>
      </x:c>
      <x:c r="W333" s="4" t="n">
        <x:f>MATCH(T333,$J$388:$J$400,0)</x:f>
        <x:v>12</x:v>
      </x:c>
      <x:c r="X333" s="3"/>
      <x:c r="Y333" s="3"/>
      <x:c r="Z333" s="3"/>
    </x:row>
    <x:row r="334" ht="15" customHeight="1">
      <x:c r="A334" s="3"/>
      <x:c r="B334" s="3"/>
      <x:c r="C334" s="3"/>
      <x:c r="D334" s="3"/>
      <x:c r="E334" s="3"/>
      <x:c r="F334" s="3"/>
      <x:c r="G334" s="3"/>
      <x:c r="H334" s="3"/>
      <x:c r="I334" s="3"/>
      <x:c r="J334" s="10" t="n">
        <x:v>46185</x:v>
      </x:c>
      <x:c r="K334" s="8" t="n">
        <x:f>INDEX('Сводка'!$S$3:$S$397,U334)</x:f>
        <x:v>123</x:v>
      </x:c>
      <x:c r="L334" s="8" t="n">
        <x:f>INDEX('Сводка'!$S$3:$S$397,V334)</x:f>
        <x:v>128</x:v>
      </x:c>
      <x:c r="M334" s="8" t="n">
        <x:f>INDEX($K$388:$N$400,W334,1)*((J334-$T$405+1)/1000)^INDEX($K$388:$N$400,W334,2)+INDEX($O$388:$Z$400,W334,MONTH(J334))</x:f>
        <x:v>219.31800812822976</x:v>
      </x:c>
      <x:c r="N334" s="8" t="n">
        <x:f>K334-M334</x:f>
        <x:v>-96.31800812822976</x:v>
      </x:c>
      <x:c r="O334" s="8" t="n">
        <x:f>ABS(N334)</x:f>
        <x:v>96.31800812822976</x:v>
      </x:c>
      <x:c r="P334" s="8" t="n">
        <x:f>N334^2</x:f>
        <x:v>9277.158689789734</x:v>
      </x:c>
      <x:c r="Q334" s="8" t="n">
        <x:f>K334-L334</x:f>
        <x:v>-5</x:v>
      </x:c>
      <x:c r="R334" s="9" t="n">
        <x:f>IF(AND(INDEX('Сводка'!$T$3:$T$397,U334)=0,INDEX('Сводка'!$T$3:$T$397,V334)=0),1,0)</x:f>
        <x:v>1</x:v>
      </x:c>
      <x:c r="S334" s="9" t="n">
        <x:f>IF(AND(R334=1,O334&lt;=$G$13),1,0)</x:f>
        <x:v>0</x:v>
      </x:c>
      <x:c r="T334" s="10" t="n">
        <x:f>EOMONTH(J334-'Сводка'!$B$11,-1)</x:f>
        <x:v>46173</x:v>
      </x:c>
      <x:c r="U334" s="4" t="n">
        <x:f>MATCH(J334,'Сводка'!$R$3:$R$397,0)</x:f>
        <x:v>345</x:v>
      </x:c>
      <x:c r="V334" s="4" t="n">
        <x:f>MATCH(J334-'Сводка'!$B$11,'Сводка'!$R$3:$R$397,0)</x:f>
        <x:v>344</x:v>
      </x:c>
      <x:c r="W334" s="4" t="n">
        <x:f>MATCH(T334,$J$388:$J$400,0)</x:f>
        <x:v>12</x:v>
      </x:c>
      <x:c r="X334" s="3"/>
      <x:c r="Y334" s="3"/>
      <x:c r="Z334" s="3"/>
    </x:row>
    <x:row r="335" ht="15" customHeight="1">
      <x:c r="A335" s="3"/>
      <x:c r="B335" s="3"/>
      <x:c r="C335" s="3"/>
      <x:c r="D335" s="3"/>
      <x:c r="E335" s="3"/>
      <x:c r="F335" s="3"/>
      <x:c r="G335" s="3"/>
      <x:c r="H335" s="3"/>
      <x:c r="I335" s="3"/>
      <x:c r="J335" s="10" t="n">
        <x:v>46186</x:v>
      </x:c>
      <x:c r="K335" s="8" t="n">
        <x:f>INDEX('Сводка'!$S$3:$S$397,U335)</x:f>
        <x:v>128</x:v>
      </x:c>
      <x:c r="L335" s="8" t="n">
        <x:f>INDEX('Сводка'!$S$3:$S$397,V335)</x:f>
        <x:v>123</x:v>
      </x:c>
      <x:c r="M335" s="8" t="n">
        <x:f>INDEX($K$388:$N$400,W335,1)*((J335-$T$405+1)/1000)^INDEX($K$388:$N$400,W335,2)+INDEX($O$388:$Z$400,W335,MONTH(J335))</x:f>
        <x:v>219.33375783432987</x:v>
      </x:c>
      <x:c r="N335" s="8" t="n">
        <x:f>K335-M335</x:f>
        <x:v>-91.33375783432987</x:v>
      </x:c>
      <x:c r="O335" s="8" t="n">
        <x:f>ABS(N335)</x:f>
        <x:v>91.33375783432987</x:v>
      </x:c>
      <x:c r="P335" s="8" t="n">
        <x:f>N335^2</x:f>
        <x:v>8341.855320140014</x:v>
      </x:c>
      <x:c r="Q335" s="8" t="n">
        <x:f>K335-L335</x:f>
        <x:v>5</x:v>
      </x:c>
      <x:c r="R335" s="9" t="n">
        <x:f>IF(AND(INDEX('Сводка'!$T$3:$T$397,U335)=0,INDEX('Сводка'!$T$3:$T$397,V335)=0),1,0)</x:f>
        <x:v>1</x:v>
      </x:c>
      <x:c r="S335" s="9" t="n">
        <x:f>IF(AND(R335=1,O335&lt;=$G$13),1,0)</x:f>
        <x:v>0</x:v>
      </x:c>
      <x:c r="T335" s="10" t="n">
        <x:f>EOMONTH(J335-'Сводка'!$B$11,-1)</x:f>
        <x:v>46173</x:v>
      </x:c>
      <x:c r="U335" s="4" t="n">
        <x:f>MATCH(J335,'Сводка'!$R$3:$R$397,0)</x:f>
        <x:v>346</x:v>
      </x:c>
      <x:c r="V335" s="4" t="n">
        <x:f>MATCH(J335-'Сводка'!$B$11,'Сводка'!$R$3:$R$397,0)</x:f>
        <x:v>345</x:v>
      </x:c>
      <x:c r="W335" s="4" t="n">
        <x:f>MATCH(T335,$J$388:$J$400,0)</x:f>
        <x:v>12</x:v>
      </x:c>
      <x:c r="X335" s="3"/>
      <x:c r="Y335" s="3"/>
      <x:c r="Z335" s="3"/>
    </x:row>
    <x:row r="336" ht="15" customHeight="1">
      <x:c r="A336" s="3"/>
      <x:c r="B336" s="3"/>
      <x:c r="C336" s="3"/>
      <x:c r="D336" s="3"/>
      <x:c r="E336" s="3"/>
      <x:c r="F336" s="3"/>
      <x:c r="G336" s="3"/>
      <x:c r="H336" s="3"/>
      <x:c r="I336" s="3"/>
      <x:c r="J336" s="10" t="n">
        <x:v>46187</x:v>
      </x:c>
      <x:c r="K336" s="8" t="n">
        <x:f>INDEX('Сводка'!$S$3:$S$397,U336)</x:f>
        <x:v>138</x:v>
      </x:c>
      <x:c r="L336" s="8" t="n">
        <x:f>INDEX('Сводка'!$S$3:$S$397,V336)</x:f>
        <x:v>128</x:v>
      </x:c>
      <x:c r="M336" s="8" t="n">
        <x:f>INDEX($K$388:$N$400,W336,1)*((J336-$T$405+1)/1000)^INDEX($K$388:$N$400,W336,2)+INDEX($O$388:$Z$400,W336,MONTH(J336))</x:f>
        <x:v>219.3495075392587</x:v>
      </x:c>
      <x:c r="N336" s="8" t="n">
        <x:f>K336-M336</x:f>
        <x:v>-81.3495075392587</x:v>
      </x:c>
      <x:c r="O336" s="8" t="n">
        <x:f>ABS(N336)</x:f>
        <x:v>81.3495075392587</x:v>
      </x:c>
      <x:c r="P336" s="8" t="n">
        <x:f>N336^2</x:f>
        <x:v>6617.742376879907</x:v>
      </x:c>
      <x:c r="Q336" s="8" t="n">
        <x:f>K336-L336</x:f>
        <x:v>10</x:v>
      </x:c>
      <x:c r="R336" s="9" t="n">
        <x:f>IF(AND(INDEX('Сводка'!$T$3:$T$397,U336)=0,INDEX('Сводка'!$T$3:$T$397,V336)=0),1,0)</x:f>
        <x:v>1</x:v>
      </x:c>
      <x:c r="S336" s="9" t="n">
        <x:f>IF(AND(R336=1,O336&lt;=$G$13),1,0)</x:f>
        <x:v>0</x:v>
      </x:c>
      <x:c r="T336" s="10" t="n">
        <x:f>EOMONTH(J336-'Сводка'!$B$11,-1)</x:f>
        <x:v>46173</x:v>
      </x:c>
      <x:c r="U336" s="4" t="n">
        <x:f>MATCH(J336,'Сводка'!$R$3:$R$397,0)</x:f>
        <x:v>347</x:v>
      </x:c>
      <x:c r="V336" s="4" t="n">
        <x:f>MATCH(J336-'Сводка'!$B$11,'Сводка'!$R$3:$R$397,0)</x:f>
        <x:v>346</x:v>
      </x:c>
      <x:c r="W336" s="4" t="n">
        <x:f>MATCH(T336,$J$388:$J$400,0)</x:f>
        <x:v>12</x:v>
      </x:c>
      <x:c r="X336" s="3"/>
      <x:c r="Y336" s="3"/>
      <x:c r="Z336" s="3"/>
    </x:row>
    <x:row r="337" ht="15" customHeight="1">
      <x:c r="A337" s="3"/>
      <x:c r="B337" s="3"/>
      <x:c r="C337" s="3"/>
      <x:c r="D337" s="3"/>
      <x:c r="E337" s="3"/>
      <x:c r="F337" s="3"/>
      <x:c r="G337" s="3"/>
      <x:c r="H337" s="3"/>
      <x:c r="I337" s="3"/>
      <x:c r="J337" s="10" t="n">
        <x:v>46188</x:v>
      </x:c>
      <x:c r="K337" s="8" t="n">
        <x:f>INDEX('Сводка'!$S$3:$S$397,U337)</x:f>
        <x:v>147</x:v>
      </x:c>
      <x:c r="L337" s="8" t="n">
        <x:f>INDEX('Сводка'!$S$3:$S$397,V337)</x:f>
        <x:v>138</x:v>
      </x:c>
      <x:c r="M337" s="8" t="n">
        <x:f>INDEX($K$388:$N$400,W337,1)*((J337-$T$405+1)/1000)^INDEX($K$388:$N$400,W337,2)+INDEX($O$388:$Z$400,W337,MONTH(J337))</x:f>
        <x:v>219.36525724301634</x:v>
      </x:c>
      <x:c r="N337" s="8" t="n">
        <x:f>K337-M337</x:f>
        <x:v>-72.36525724301634</x:v>
      </x:c>
      <x:c r="O337" s="8" t="n">
        <x:f>ABS(N337)</x:f>
        <x:v>72.36525724301634</x:v>
      </x:c>
      <x:c r="P337" s="8" t="n">
        <x:f>N337^2</x:f>
        <x:v>5236.730455847929</x:v>
      </x:c>
      <x:c r="Q337" s="8" t="n">
        <x:f>K337-L337</x:f>
        <x:v>9</x:v>
      </x:c>
      <x:c r="R337" s="9" t="n">
        <x:f>IF(AND(INDEX('Сводка'!$T$3:$T$397,U337)=0,INDEX('Сводка'!$T$3:$T$397,V337)=0),1,0)</x:f>
        <x:v>1</x:v>
      </x:c>
      <x:c r="S337" s="9" t="n">
        <x:f>IF(AND(R337=1,O337&lt;=$G$13),1,0)</x:f>
        <x:v>0</x:v>
      </x:c>
      <x:c r="T337" s="10" t="n">
        <x:f>EOMONTH(J337-'Сводка'!$B$11,-1)</x:f>
        <x:v>46173</x:v>
      </x:c>
      <x:c r="U337" s="4" t="n">
        <x:f>MATCH(J337,'Сводка'!$R$3:$R$397,0)</x:f>
        <x:v>348</x:v>
      </x:c>
      <x:c r="V337" s="4" t="n">
        <x:f>MATCH(J337-'Сводка'!$B$11,'Сводка'!$R$3:$R$397,0)</x:f>
        <x:v>347</x:v>
      </x:c>
      <x:c r="W337" s="4" t="n">
        <x:f>MATCH(T337,$J$388:$J$400,0)</x:f>
        <x:v>12</x:v>
      </x:c>
      <x:c r="X337" s="3"/>
      <x:c r="Y337" s="3"/>
      <x:c r="Z337" s="3"/>
    </x:row>
    <x:row r="338" ht="15" customHeight="1">
      <x:c r="A338" s="3"/>
      <x:c r="B338" s="3"/>
      <x:c r="C338" s="3"/>
      <x:c r="D338" s="3"/>
      <x:c r="E338" s="3"/>
      <x:c r="F338" s="3"/>
      <x:c r="G338" s="3"/>
      <x:c r="H338" s="3"/>
      <x:c r="I338" s="3"/>
      <x:c r="J338" s="10" t="n">
        <x:v>46189</x:v>
      </x:c>
      <x:c r="K338" s="8" t="n">
        <x:f>INDEX('Сводка'!$S$3:$S$397,U338)</x:f>
        <x:v>154</x:v>
      </x:c>
      <x:c r="L338" s="8" t="n">
        <x:f>INDEX('Сводка'!$S$3:$S$397,V338)</x:f>
        <x:v>147</x:v>
      </x:c>
      <x:c r="M338" s="8" t="n">
        <x:f>INDEX($K$388:$N$400,W338,1)*((J338-$T$405+1)/1000)^INDEX($K$388:$N$400,W338,2)+INDEX($O$388:$Z$400,W338,MONTH(J338))</x:f>
        <x:v>219.38100694560296</x:v>
      </x:c>
      <x:c r="N338" s="8" t="n">
        <x:f>K338-M338</x:f>
        <x:v>-65.38100694560296</x:v>
      </x:c>
      <x:c r="O338" s="8" t="n">
        <x:f>ABS(N338)</x:f>
        <x:v>65.38100694560296</x:v>
      </x:c>
      <x:c r="P338" s="8" t="n">
        <x:f>N338^2</x:f>
        <x:v>4274.676069220983</x:v>
      </x:c>
      <x:c r="Q338" s="8" t="n">
        <x:f>K338-L338</x:f>
        <x:v>7</x:v>
      </x:c>
      <x:c r="R338" s="9" t="n">
        <x:f>IF(AND(INDEX('Сводка'!$T$3:$T$397,U338)=0,INDEX('Сводка'!$T$3:$T$397,V338)=0),1,0)</x:f>
        <x:v>1</x:v>
      </x:c>
      <x:c r="S338" s="9" t="n">
        <x:f>IF(AND(R338=1,O338&lt;=$G$13),1,0)</x:f>
        <x:v>0</x:v>
      </x:c>
      <x:c r="T338" s="10" t="n">
        <x:f>EOMONTH(J338-'Сводка'!$B$11,-1)</x:f>
        <x:v>46173</x:v>
      </x:c>
      <x:c r="U338" s="4" t="n">
        <x:f>MATCH(J338,'Сводка'!$R$3:$R$397,0)</x:f>
        <x:v>349</x:v>
      </x:c>
      <x:c r="V338" s="4" t="n">
        <x:f>MATCH(J338-'Сводка'!$B$11,'Сводка'!$R$3:$R$397,0)</x:f>
        <x:v>348</x:v>
      </x:c>
      <x:c r="W338" s="4" t="n">
        <x:f>MATCH(T338,$J$388:$J$400,0)</x:f>
        <x:v>12</x:v>
      </x:c>
      <x:c r="X338" s="3"/>
      <x:c r="Y338" s="3"/>
      <x:c r="Z338" s="3"/>
    </x:row>
    <x:row r="339" ht="15" customHeight="1">
      <x:c r="A339" s="3"/>
      <x:c r="B339" s="3"/>
      <x:c r="C339" s="3"/>
      <x:c r="D339" s="3"/>
      <x:c r="E339" s="3"/>
      <x:c r="F339" s="3"/>
      <x:c r="G339" s="3"/>
      <x:c r="H339" s="3"/>
      <x:c r="I339" s="3"/>
      <x:c r="J339" s="10" t="n">
        <x:v>46190</x:v>
      </x:c>
      <x:c r="K339" s="8" t="n">
        <x:f>INDEX('Сводка'!$S$3:$S$397,U339)</x:f>
        <x:v>158</x:v>
      </x:c>
      <x:c r="L339" s="8" t="n">
        <x:f>INDEX('Сводка'!$S$3:$S$397,V339)</x:f>
        <x:v>154</x:v>
      </x:c>
      <x:c r="M339" s="8" t="n">
        <x:f>INDEX($K$388:$N$400,W339,1)*((J339-$T$405+1)/1000)^INDEX($K$388:$N$400,W339,2)+INDEX($O$388:$Z$400,W339,MONTH(J339))</x:f>
        <x:v>219.39675664701863</x:v>
      </x:c>
      <x:c r="N339" s="8" t="n">
        <x:f>K339-M339</x:f>
        <x:v>-61.396756647018634</x:v>
      </x:c>
      <x:c r="O339" s="8" t="n">
        <x:f>ABS(N339)</x:f>
        <x:v>61.396756647018634</x:v>
      </x:c>
      <x:c r="P339" s="8" t="n">
        <x:f>N339^2</x:f>
        <x:v>3769.561726773227</x:v>
      </x:c>
      <x:c r="Q339" s="8" t="n">
        <x:f>K339-L339</x:f>
        <x:v>4</x:v>
      </x:c>
      <x:c r="R339" s="9" t="n">
        <x:f>IF(AND(INDEX('Сводка'!$T$3:$T$397,U339)=0,INDEX('Сводка'!$T$3:$T$397,V339)=0),1,0)</x:f>
        <x:v>1</x:v>
      </x:c>
      <x:c r="S339" s="9" t="n">
        <x:f>IF(AND(R339=1,O339&lt;=$G$13),1,0)</x:f>
        <x:v>0</x:v>
      </x:c>
      <x:c r="T339" s="10" t="n">
        <x:f>EOMONTH(J339-'Сводка'!$B$11,-1)</x:f>
        <x:v>46173</x:v>
      </x:c>
      <x:c r="U339" s="4" t="n">
        <x:f>MATCH(J339,'Сводка'!$R$3:$R$397,0)</x:f>
        <x:v>350</x:v>
      </x:c>
      <x:c r="V339" s="4" t="n">
        <x:f>MATCH(J339-'Сводка'!$B$11,'Сводка'!$R$3:$R$397,0)</x:f>
        <x:v>349</x:v>
      </x:c>
      <x:c r="W339" s="4" t="n">
        <x:f>MATCH(T339,$J$388:$J$400,0)</x:f>
        <x:v>12</x:v>
      </x:c>
      <x:c r="X339" s="3"/>
      <x:c r="Y339" s="3"/>
      <x:c r="Z339" s="3"/>
    </x:row>
    <x:row r="340" ht="15" customHeight="1">
      <x:c r="A340" s="3"/>
      <x:c r="B340" s="3"/>
      <x:c r="C340" s="3"/>
      <x:c r="D340" s="3"/>
      <x:c r="E340" s="3"/>
      <x:c r="F340" s="3"/>
      <x:c r="G340" s="3"/>
      <x:c r="H340" s="3"/>
      <x:c r="I340" s="3"/>
      <x:c r="J340" s="10" t="n">
        <x:v>46191</x:v>
      </x:c>
      <x:c r="K340" s="8" t="n">
        <x:f>INDEX('Сводка'!$S$3:$S$397,U340)</x:f>
        <x:v>166</x:v>
      </x:c>
      <x:c r="L340" s="8" t="n">
        <x:f>INDEX('Сводка'!$S$3:$S$397,V340)</x:f>
        <x:v>158</x:v>
      </x:c>
      <x:c r="M340" s="8" t="n">
        <x:f>INDEX($K$388:$N$400,W340,1)*((J340-$T$405+1)/1000)^INDEX($K$388:$N$400,W340,2)+INDEX($O$388:$Z$400,W340,MONTH(J340))</x:f>
        <x:v>219.4125063472636</x:v>
      </x:c>
      <x:c r="N340" s="8" t="n">
        <x:f>K340-M340</x:f>
        <x:v>-53.41250634726359</x:v>
      </x:c>
      <x:c r="O340" s="8" t="n">
        <x:f>ABS(N340)</x:f>
        <x:v>53.41250634726359</x:v>
      </x:c>
      <x:c r="P340" s="8" t="n">
        <x:f>N340^2</x:f>
        <x:v>2852.895834296473</x:v>
      </x:c>
      <x:c r="Q340" s="8" t="n">
        <x:f>K340-L340</x:f>
        <x:v>8</x:v>
      </x:c>
      <x:c r="R340" s="9" t="n">
        <x:f>IF(AND(INDEX('Сводка'!$T$3:$T$397,U340)=0,INDEX('Сводка'!$T$3:$T$397,V340)=0),1,0)</x:f>
        <x:v>1</x:v>
      </x:c>
      <x:c r="S340" s="9" t="n">
        <x:f>IF(AND(R340=1,O340&lt;=$G$13),1,0)</x:f>
        <x:v>0</x:v>
      </x:c>
      <x:c r="T340" s="10" t="n">
        <x:f>EOMONTH(J340-'Сводка'!$B$11,-1)</x:f>
        <x:v>46173</x:v>
      </x:c>
      <x:c r="U340" s="4" t="n">
        <x:f>MATCH(J340,'Сводка'!$R$3:$R$397,0)</x:f>
        <x:v>351</x:v>
      </x:c>
      <x:c r="V340" s="4" t="n">
        <x:f>MATCH(J340-'Сводка'!$B$11,'Сводка'!$R$3:$R$397,0)</x:f>
        <x:v>350</x:v>
      </x:c>
      <x:c r="W340" s="4" t="n">
        <x:f>MATCH(T340,$J$388:$J$400,0)</x:f>
        <x:v>12</x:v>
      </x:c>
      <x:c r="X340" s="3"/>
      <x:c r="Y340" s="3"/>
      <x:c r="Z340" s="3"/>
    </x:row>
    <x:row r="341" ht="15" customHeight="1">
      <x:c r="A341" s="3"/>
      <x:c r="B341" s="3"/>
      <x:c r="C341" s="3"/>
      <x:c r="D341" s="3"/>
      <x:c r="E341" s="3"/>
      <x:c r="F341" s="3"/>
      <x:c r="G341" s="3"/>
      <x:c r="H341" s="3"/>
      <x:c r="I341" s="3"/>
      <x:c r="J341" s="10" t="n">
        <x:v>46192</x:v>
      </x:c>
      <x:c r="K341" s="8" t="n">
        <x:f>INDEX('Сводка'!$S$3:$S$397,U341)</x:f>
        <x:v>170</x:v>
      </x:c>
      <x:c r="L341" s="8" t="n">
        <x:f>INDEX('Сводка'!$S$3:$S$397,V341)</x:f>
        <x:v>166</x:v>
      </x:c>
      <x:c r="M341" s="8" t="n">
        <x:f>INDEX($K$388:$N$400,W341,1)*((J341-$T$405+1)/1000)^INDEX($K$388:$N$400,W341,2)+INDEX($O$388:$Z$400,W341,MONTH(J341))</x:f>
        <x:v>219.42825604633785</x:v>
      </x:c>
      <x:c r="N341" s="8" t="n">
        <x:f>K341-M341</x:f>
        <x:v>-49.42825604633785</x:v>
      </x:c>
      <x:c r="O341" s="8" t="n">
        <x:f>ABS(N341)</x:f>
        <x:v>49.42825604633785</x:v>
      </x:c>
      <x:c r="P341" s="8" t="n">
        <x:f>N341^2</x:f>
        <x:v>2443.1524957823344</x:v>
      </x:c>
      <x:c r="Q341" s="8" t="n">
        <x:f>K341-L341</x:f>
        <x:v>4</x:v>
      </x:c>
      <x:c r="R341" s="9" t="n">
        <x:f>IF(AND(INDEX('Сводка'!$T$3:$T$397,U341)=0,INDEX('Сводка'!$T$3:$T$397,V341)=0),1,0)</x:f>
        <x:v>1</x:v>
      </x:c>
      <x:c r="S341" s="9" t="n">
        <x:f>IF(AND(R341=1,O341&lt;=$G$13),1,0)</x:f>
        <x:v>0</x:v>
      </x:c>
      <x:c r="T341" s="10" t="n">
        <x:f>EOMONTH(J341-'Сводка'!$B$11,-1)</x:f>
        <x:v>46173</x:v>
      </x:c>
      <x:c r="U341" s="4" t="n">
        <x:f>MATCH(J341,'Сводка'!$R$3:$R$397,0)</x:f>
        <x:v>352</x:v>
      </x:c>
      <x:c r="V341" s="4" t="n">
        <x:f>MATCH(J341-'Сводка'!$B$11,'Сводка'!$R$3:$R$397,0)</x:f>
        <x:v>351</x:v>
      </x:c>
      <x:c r="W341" s="4" t="n">
        <x:f>MATCH(T341,$J$388:$J$400,0)</x:f>
        <x:v>12</x:v>
      </x:c>
      <x:c r="X341" s="3"/>
      <x:c r="Y341" s="3"/>
      <x:c r="Z341" s="3"/>
    </x:row>
    <x:row r="342" ht="15" customHeight="1">
      <x:c r="A342" s="3"/>
      <x:c r="B342" s="3"/>
      <x:c r="C342" s="3"/>
      <x:c r="D342" s="3"/>
      <x:c r="E342" s="3"/>
      <x:c r="F342" s="3"/>
      <x:c r="G342" s="3"/>
      <x:c r="H342" s="3"/>
      <x:c r="I342" s="3"/>
      <x:c r="J342" s="10" t="n">
        <x:v>46193</x:v>
      </x:c>
      <x:c r="K342" s="8" t="n">
        <x:f>INDEX('Сводка'!$S$3:$S$397,U342)</x:f>
        <x:v>171</x:v>
      </x:c>
      <x:c r="L342" s="8" t="n">
        <x:f>INDEX('Сводка'!$S$3:$S$397,V342)</x:f>
        <x:v>170</x:v>
      </x:c>
      <x:c r="M342" s="8" t="n">
        <x:f>INDEX($K$388:$N$400,W342,1)*((J342-$T$405+1)/1000)^INDEX($K$388:$N$400,W342,2)+INDEX($O$388:$Z$400,W342,MONTH(J342))</x:f>
        <x:v>219.44400574424157</x:v>
      </x:c>
      <x:c r="N342" s="8" t="n">
        <x:f>K342-M342</x:f>
        <x:v>-48.444005744241565</x:v>
      </x:c>
      <x:c r="O342" s="8" t="n">
        <x:f>ABS(N342)</x:f>
        <x:v>48.444005744241565</x:v>
      </x:c>
      <x:c r="P342" s="8" t="n">
        <x:f>N342^2</x:f>
        <x:v>2346.8216925481097</x:v>
      </x:c>
      <x:c r="Q342" s="8" t="n">
        <x:f>K342-L342</x:f>
        <x:v>1</x:v>
      </x:c>
      <x:c r="R342" s="9" t="n">
        <x:f>IF(AND(INDEX('Сводка'!$T$3:$T$397,U342)=0,INDEX('Сводка'!$T$3:$T$397,V342)=0),1,0)</x:f>
        <x:v>1</x:v>
      </x:c>
      <x:c r="S342" s="9" t="n">
        <x:f>IF(AND(R342=1,O342&lt;=$G$13),1,0)</x:f>
        <x:v>0</x:v>
      </x:c>
      <x:c r="T342" s="10" t="n">
        <x:f>EOMONTH(J342-'Сводка'!$B$11,-1)</x:f>
        <x:v>46173</x:v>
      </x:c>
      <x:c r="U342" s="4" t="n">
        <x:f>MATCH(J342,'Сводка'!$R$3:$R$397,0)</x:f>
        <x:v>353</x:v>
      </x:c>
      <x:c r="V342" s="4" t="n">
        <x:f>MATCH(J342-'Сводка'!$B$11,'Сводка'!$R$3:$R$397,0)</x:f>
        <x:v>352</x:v>
      </x:c>
      <x:c r="W342" s="4" t="n">
        <x:f>MATCH(T342,$J$388:$J$400,0)</x:f>
        <x:v>12</x:v>
      </x:c>
      <x:c r="X342" s="3"/>
      <x:c r="Y342" s="3"/>
      <x:c r="Z342" s="3"/>
    </x:row>
    <x:row r="343" ht="15" customHeight="1">
      <x:c r="A343" s="3"/>
      <x:c r="B343" s="3"/>
      <x:c r="C343" s="3"/>
      <x:c r="D343" s="3"/>
      <x:c r="E343" s="3"/>
      <x:c r="F343" s="3"/>
      <x:c r="G343" s="3"/>
      <x:c r="H343" s="3"/>
      <x:c r="I343" s="3"/>
      <x:c r="J343" s="10" t="n">
        <x:v>46194</x:v>
      </x:c>
      <x:c r="K343" s="8" t="n">
        <x:f>INDEX('Сводка'!$S$3:$S$397,U343)</x:f>
        <x:v>169</x:v>
      </x:c>
      <x:c r="L343" s="8" t="n">
        <x:f>INDEX('Сводка'!$S$3:$S$397,V343)</x:f>
        <x:v>171</x:v>
      </x:c>
      <x:c r="M343" s="8" t="n">
        <x:f>INDEX($K$388:$N$400,W343,1)*((J343-$T$405+1)/1000)^INDEX($K$388:$N$400,W343,2)+INDEX($O$388:$Z$400,W343,MONTH(J343))</x:f>
        <x:v>219.45975544097493</x:v>
      </x:c>
      <x:c r="N343" s="8" t="n">
        <x:f>K343-M343</x:f>
        <x:v>-50.45975544097493</x:v>
      </x:c>
      <x:c r="O343" s="8" t="n">
        <x:f>ABS(N343)</x:f>
        <x:v>50.45975544097493</x:v>
      </x:c>
      <x:c r="P343" s="8" t="n">
        <x:f>N343^2</x:f>
        <x:v>2546.186919162999</x:v>
      </x:c>
      <x:c r="Q343" s="8" t="n">
        <x:f>K343-L343</x:f>
        <x:v>-2</x:v>
      </x:c>
      <x:c r="R343" s="9" t="n">
        <x:f>IF(AND(INDEX('Сводка'!$T$3:$T$397,U343)=0,INDEX('Сводка'!$T$3:$T$397,V343)=0),1,0)</x:f>
        <x:v>1</x:v>
      </x:c>
      <x:c r="S343" s="9" t="n">
        <x:f>IF(AND(R343=1,O343&lt;=$G$13),1,0)</x:f>
        <x:v>0</x:v>
      </x:c>
      <x:c r="T343" s="10" t="n">
        <x:f>EOMONTH(J343-'Сводка'!$B$11,-1)</x:f>
        <x:v>46173</x:v>
      </x:c>
      <x:c r="U343" s="4" t="n">
        <x:f>MATCH(J343,'Сводка'!$R$3:$R$397,0)</x:f>
        <x:v>354</x:v>
      </x:c>
      <x:c r="V343" s="4" t="n">
        <x:f>MATCH(J343-'Сводка'!$B$11,'Сводка'!$R$3:$R$397,0)</x:f>
        <x:v>353</x:v>
      </x:c>
      <x:c r="W343" s="4" t="n">
        <x:f>MATCH(T343,$J$388:$J$400,0)</x:f>
        <x:v>12</x:v>
      </x:c>
      <x:c r="X343" s="3"/>
      <x:c r="Y343" s="3"/>
      <x:c r="Z343" s="3"/>
    </x:row>
    <x:row r="344" ht="15" customHeight="1">
      <x:c r="A344" s="3"/>
      <x:c r="B344" s="3"/>
      <x:c r="C344" s="3"/>
      <x:c r="D344" s="3"/>
      <x:c r="E344" s="3"/>
      <x:c r="F344" s="3"/>
      <x:c r="G344" s="3"/>
      <x:c r="H344" s="3"/>
      <x:c r="I344" s="3"/>
      <x:c r="J344" s="10" t="n">
        <x:v>46195</x:v>
      </x:c>
      <x:c r="K344" s="8" t="n">
        <x:f>INDEX('Сводка'!$S$3:$S$397,U344)</x:f>
        <x:v>168</x:v>
      </x:c>
      <x:c r="L344" s="8" t="n">
        <x:f>INDEX('Сводка'!$S$3:$S$397,V344)</x:f>
        <x:v>169</x:v>
      </x:c>
      <x:c r="M344" s="8" t="n">
        <x:f>INDEX($K$388:$N$400,W344,1)*((J344-$T$405+1)/1000)^INDEX($K$388:$N$400,W344,2)+INDEX($O$388:$Z$400,W344,MONTH(J344))</x:f>
        <x:v>219.47550513653803</x:v>
      </x:c>
      <x:c r="N344" s="8" t="n">
        <x:f>K344-M344</x:f>
        <x:v>-51.47550513653803</x:v>
      </x:c>
      <x:c r="O344" s="8" t="n">
        <x:f>ABS(N344)</x:f>
        <x:v>51.47550513653803</x:v>
      </x:c>
      <x:c r="P344" s="8" t="n">
        <x:f>N344^2</x:f>
        <x:v>2649.7276290617533</x:v>
      </x:c>
      <x:c r="Q344" s="8" t="n">
        <x:f>K344-L344</x:f>
        <x:v>-1</x:v>
      </x:c>
      <x:c r="R344" s="9" t="n">
        <x:f>IF(AND(INDEX('Сводка'!$T$3:$T$397,U344)=0,INDEX('Сводка'!$T$3:$T$397,V344)=0),1,0)</x:f>
        <x:v>1</x:v>
      </x:c>
      <x:c r="S344" s="9" t="n">
        <x:f>IF(AND(R344=1,O344&lt;=$G$13),1,0)</x:f>
        <x:v>0</x:v>
      </x:c>
      <x:c r="T344" s="10" t="n">
        <x:f>EOMONTH(J344-'Сводка'!$B$11,-1)</x:f>
        <x:v>46173</x:v>
      </x:c>
      <x:c r="U344" s="4" t="n">
        <x:f>MATCH(J344,'Сводка'!$R$3:$R$397,0)</x:f>
        <x:v>355</x:v>
      </x:c>
      <x:c r="V344" s="4" t="n">
        <x:f>MATCH(J344-'Сводка'!$B$11,'Сводка'!$R$3:$R$397,0)</x:f>
        <x:v>354</x:v>
      </x:c>
      <x:c r="W344" s="4" t="n">
        <x:f>MATCH(T344,$J$388:$J$400,0)</x:f>
        <x:v>12</x:v>
      </x:c>
      <x:c r="X344" s="3"/>
      <x:c r="Y344" s="3"/>
      <x:c r="Z344" s="3"/>
    </x:row>
    <x:row r="345" ht="15" customHeight="1">
      <x:c r="A345" s="3"/>
      <x:c r="B345" s="3"/>
      <x:c r="C345" s="3"/>
      <x:c r="D345" s="3"/>
      <x:c r="E345" s="3"/>
      <x:c r="F345" s="3"/>
      <x:c r="G345" s="3"/>
      <x:c r="H345" s="3"/>
      <x:c r="I345" s="3"/>
      <x:c r="J345" s="10" t="n">
        <x:v>46196</x:v>
      </x:c>
      <x:c r="K345" s="8" t="n">
        <x:f>INDEX('Сводка'!$S$3:$S$397,U345)</x:f>
        <x:v>159</x:v>
      </x:c>
      <x:c r="L345" s="8" t="n">
        <x:f>INDEX('Сводка'!$S$3:$S$397,V345)</x:f>
        <x:v>168</x:v>
      </x:c>
      <x:c r="M345" s="8" t="n">
        <x:f>INDEX($K$388:$N$400,W345,1)*((J345-$T$405+1)/1000)^INDEX($K$388:$N$400,W345,2)+INDEX($O$388:$Z$400,W345,MONTH(J345))</x:f>
        <x:v>219.491254830931</x:v>
      </x:c>
      <x:c r="N345" s="8" t="n">
        <x:f>K345-M345</x:f>
        <x:v>-60.49125483093101</x:v>
      </x:c>
      <x:c r="O345" s="8" t="n">
        <x:f>ABS(N345)</x:f>
        <x:v>60.49125483093101</x:v>
      </x:c>
      <x:c r="P345" s="8" t="n">
        <x:f>N345^2</x:f>
        <x:v>3659.1919110206345</x:v>
      </x:c>
      <x:c r="Q345" s="8" t="n">
        <x:f>K345-L345</x:f>
        <x:v>-9</x:v>
      </x:c>
      <x:c r="R345" s="9" t="n">
        <x:f>IF(AND(INDEX('Сводка'!$T$3:$T$397,U345)=0,INDEX('Сводка'!$T$3:$T$397,V345)=0),1,0)</x:f>
        <x:v>1</x:v>
      </x:c>
      <x:c r="S345" s="9" t="n">
        <x:f>IF(AND(R345=1,O345&lt;=$G$13),1,0)</x:f>
        <x:v>0</x:v>
      </x:c>
      <x:c r="T345" s="10" t="n">
        <x:f>EOMONTH(J345-'Сводка'!$B$11,-1)</x:f>
        <x:v>46173</x:v>
      </x:c>
      <x:c r="U345" s="4" t="n">
        <x:f>MATCH(J345,'Сводка'!$R$3:$R$397,0)</x:f>
        <x:v>356</x:v>
      </x:c>
      <x:c r="V345" s="4" t="n">
        <x:f>MATCH(J345-'Сводка'!$B$11,'Сводка'!$R$3:$R$397,0)</x:f>
        <x:v>355</x:v>
      </x:c>
      <x:c r="W345" s="4" t="n">
        <x:f>MATCH(T345,$J$388:$J$400,0)</x:f>
        <x:v>12</x:v>
      </x:c>
      <x:c r="X345" s="3"/>
      <x:c r="Y345" s="3"/>
      <x:c r="Z345" s="3"/>
    </x:row>
    <x:row r="346" ht="15" customHeight="1">
      <x:c r="A346" s="3"/>
      <x:c r="B346" s="3"/>
      <x:c r="C346" s="3"/>
      <x:c r="D346" s="3"/>
      <x:c r="E346" s="3"/>
      <x:c r="F346" s="3"/>
      <x:c r="G346" s="3"/>
      <x:c r="H346" s="3"/>
      <x:c r="I346" s="3"/>
      <x:c r="J346" s="10" t="n">
        <x:v>46197</x:v>
      </x:c>
      <x:c r="K346" s="8" t="n">
        <x:f>INDEX('Сводка'!$S$3:$S$397,U346)</x:f>
        <x:v>151</x:v>
      </x:c>
      <x:c r="L346" s="8" t="n">
        <x:f>INDEX('Сводка'!$S$3:$S$397,V346)</x:f>
        <x:v>159</x:v>
      </x:c>
      <x:c r="M346" s="8" t="n">
        <x:f>INDEX($K$388:$N$400,W346,1)*((J346-$T$405+1)/1000)^INDEX($K$388:$N$400,W346,2)+INDEX($O$388:$Z$400,W346,MONTH(J346))</x:f>
        <x:v>219.50700452415398</x:v>
      </x:c>
      <x:c r="N346" s="8" t="n">
        <x:f>K346-M346</x:f>
        <x:v>-68.50700452415398</x:v>
      </x:c>
      <x:c r="O346" s="8" t="n">
        <x:f>ABS(N346)</x:f>
        <x:v>68.50700452415398</x:v>
      </x:c>
      <x:c r="P346" s="8" t="n">
        <x:f>N346^2</x:f>
        <x:v>4693.209668872454</x:v>
      </x:c>
      <x:c r="Q346" s="8" t="n">
        <x:f>K346-L346</x:f>
        <x:v>-8</x:v>
      </x:c>
      <x:c r="R346" s="9" t="n">
        <x:f>IF(AND(INDEX('Сводка'!$T$3:$T$397,U346)=0,INDEX('Сводка'!$T$3:$T$397,V346)=0),1,0)</x:f>
        <x:v>1</x:v>
      </x:c>
      <x:c r="S346" s="9" t="n">
        <x:f>IF(AND(R346=1,O346&lt;=$G$13),1,0)</x:f>
        <x:v>0</x:v>
      </x:c>
      <x:c r="T346" s="10" t="n">
        <x:f>EOMONTH(J346-'Сводка'!$B$11,-1)</x:f>
        <x:v>46173</x:v>
      </x:c>
      <x:c r="U346" s="4" t="n">
        <x:f>MATCH(J346,'Сводка'!$R$3:$R$397,0)</x:f>
        <x:v>357</x:v>
      </x:c>
      <x:c r="V346" s="4" t="n">
        <x:f>MATCH(J346-'Сводка'!$B$11,'Сводка'!$R$3:$R$397,0)</x:f>
        <x:v>356</x:v>
      </x:c>
      <x:c r="W346" s="4" t="n">
        <x:f>MATCH(T346,$J$388:$J$400,0)</x:f>
        <x:v>12</x:v>
      </x:c>
      <x:c r="X346" s="3"/>
      <x:c r="Y346" s="3"/>
      <x:c r="Z346" s="3"/>
    </x:row>
    <x:row r="347" ht="15" customHeight="1">
      <x:c r="A347" s="3"/>
      <x:c r="B347" s="3"/>
      <x:c r="C347" s="3"/>
      <x:c r="D347" s="3"/>
      <x:c r="E347" s="3"/>
      <x:c r="F347" s="3"/>
      <x:c r="G347" s="3"/>
      <x:c r="H347" s="3"/>
      <x:c r="I347" s="3"/>
      <x:c r="J347" s="10" t="n">
        <x:v>46198</x:v>
      </x:c>
      <x:c r="K347" s="8" t="n">
        <x:f>INDEX('Сводка'!$S$3:$S$397,U347)</x:f>
        <x:v>144</x:v>
      </x:c>
      <x:c r="L347" s="8" t="n">
        <x:f>INDEX('Сводка'!$S$3:$S$397,V347)</x:f>
        <x:v>151</x:v>
      </x:c>
      <x:c r="M347" s="8" t="n">
        <x:f>INDEX($K$388:$N$400,W347,1)*((J347-$T$405+1)/1000)^INDEX($K$388:$N$400,W347,2)+INDEX($O$388:$Z$400,W347,MONTH(J347))</x:f>
        <x:v>219.5227542162071</x:v>
      </x:c>
      <x:c r="N347" s="8" t="n">
        <x:f>K347-M347</x:f>
        <x:v>-75.52275421620709</x:v>
      </x:c>
      <x:c r="O347" s="8" t="n">
        <x:f>ABS(N347)</x:f>
        <x:v>75.52275421620709</x:v>
      </x:c>
      <x:c r="P347" s="8" t="n">
        <x:f>N347^2</x:f>
        <x:v>5703.686404401626</x:v>
      </x:c>
      <x:c r="Q347" s="8" t="n">
        <x:f>K347-L347</x:f>
        <x:v>-7</x:v>
      </x:c>
      <x:c r="R347" s="9" t="n">
        <x:f>IF(AND(INDEX('Сводка'!$T$3:$T$397,U347)=0,INDEX('Сводка'!$T$3:$T$397,V347)=0),1,0)</x:f>
        <x:v>1</x:v>
      </x:c>
      <x:c r="S347" s="9" t="n">
        <x:f>IF(AND(R347=1,O347&lt;=$G$13),1,0)</x:f>
        <x:v>0</x:v>
      </x:c>
      <x:c r="T347" s="10" t="n">
        <x:f>EOMONTH(J347-'Сводка'!$B$11,-1)</x:f>
        <x:v>46173</x:v>
      </x:c>
      <x:c r="U347" s="4" t="n">
        <x:f>MATCH(J347,'Сводка'!$R$3:$R$397,0)</x:f>
        <x:v>358</x:v>
      </x:c>
      <x:c r="V347" s="4" t="n">
        <x:f>MATCH(J347-'Сводка'!$B$11,'Сводка'!$R$3:$R$397,0)</x:f>
        <x:v>357</x:v>
      </x:c>
      <x:c r="W347" s="4" t="n">
        <x:f>MATCH(T347,$J$388:$J$400,0)</x:f>
        <x:v>12</x:v>
      </x:c>
      <x:c r="X347" s="3"/>
      <x:c r="Y347" s="3"/>
      <x:c r="Z347" s="3"/>
    </x:row>
    <x:row r="348" ht="15" customHeight="1">
      <x:c r="A348" s="3"/>
      <x:c r="B348" s="3"/>
      <x:c r="C348" s="3"/>
      <x:c r="D348" s="3"/>
      <x:c r="E348" s="3"/>
      <x:c r="F348" s="3"/>
      <x:c r="G348" s="3"/>
      <x:c r="H348" s="3"/>
      <x:c r="I348" s="3"/>
      <x:c r="J348" s="10" t="n">
        <x:v>46199</x:v>
      </x:c>
      <x:c r="K348" s="8" t="n">
        <x:f>INDEX('Сводка'!$S$3:$S$397,U348)</x:f>
        <x:v>139</x:v>
      </x:c>
      <x:c r="L348" s="8" t="n">
        <x:f>INDEX('Сводка'!$S$3:$S$397,V348)</x:f>
        <x:v>144</x:v>
      </x:c>
      <x:c r="M348" s="8" t="n">
        <x:f>INDEX($K$388:$N$400,W348,1)*((J348-$T$405+1)/1000)^INDEX($K$388:$N$400,W348,2)+INDEX($O$388:$Z$400,W348,MONTH(J348))</x:f>
        <x:v>219.53850390709047</x:v>
      </x:c>
      <x:c r="N348" s="8" t="n">
        <x:f>K348-M348</x:f>
        <x:v>-80.53850390709047</x:v>
      </x:c>
      <x:c r="O348" s="8" t="n">
        <x:f>ABS(N348)</x:f>
        <x:v>80.53850390709047</x:v>
      </x:c>
      <x:c r="P348" s="8" t="n">
        <x:f>N348^2</x:f>
        <x:v>6486.450611592427</x:v>
      </x:c>
      <x:c r="Q348" s="8" t="n">
        <x:f>K348-L348</x:f>
        <x:v>-5</x:v>
      </x:c>
      <x:c r="R348" s="9" t="n">
        <x:f>IF(AND(INDEX('Сводка'!$T$3:$T$397,U348)=0,INDEX('Сводка'!$T$3:$T$397,V348)=0),1,0)</x:f>
        <x:v>1</x:v>
      </x:c>
      <x:c r="S348" s="9" t="n">
        <x:f>IF(AND(R348=1,O348&lt;=$G$13),1,0)</x:f>
        <x:v>0</x:v>
      </x:c>
      <x:c r="T348" s="10" t="n">
        <x:f>EOMONTH(J348-'Сводка'!$B$11,-1)</x:f>
        <x:v>46173</x:v>
      </x:c>
      <x:c r="U348" s="4" t="n">
        <x:f>MATCH(J348,'Сводка'!$R$3:$R$397,0)</x:f>
        <x:v>359</x:v>
      </x:c>
      <x:c r="V348" s="4" t="n">
        <x:f>MATCH(J348-'Сводка'!$B$11,'Сводка'!$R$3:$R$397,0)</x:f>
        <x:v>358</x:v>
      </x:c>
      <x:c r="W348" s="4" t="n">
        <x:f>MATCH(T348,$J$388:$J$400,0)</x:f>
        <x:v>12</x:v>
      </x:c>
      <x:c r="X348" s="3"/>
      <x:c r="Y348" s="3"/>
      <x:c r="Z348" s="3"/>
    </x:row>
    <x:row r="349" ht="15" customHeight="1">
      <x:c r="A349" s="3"/>
      <x:c r="B349" s="3"/>
      <x:c r="C349" s="3"/>
      <x:c r="D349" s="3"/>
      <x:c r="E349" s="3"/>
      <x:c r="F349" s="3"/>
      <x:c r="G349" s="3"/>
      <x:c r="H349" s="3"/>
      <x:c r="I349" s="3"/>
      <x:c r="J349" s="10" t="n">
        <x:v>46200</x:v>
      </x:c>
      <x:c r="K349" s="8" t="n">
        <x:f>INDEX('Сводка'!$S$3:$S$397,U349)</x:f>
        <x:v>136</x:v>
      </x:c>
      <x:c r="L349" s="8" t="n">
        <x:f>INDEX('Сводка'!$S$3:$S$397,V349)</x:f>
        <x:v>139</x:v>
      </x:c>
      <x:c r="M349" s="8" t="n">
        <x:f>INDEX($K$388:$N$400,W349,1)*((J349-$T$405+1)/1000)^INDEX($K$388:$N$400,W349,2)+INDEX($O$388:$Z$400,W349,MONTH(J349))</x:f>
        <x:v>219.55425359680427</x:v>
      </x:c>
      <x:c r="N349" s="8" t="n">
        <x:f>K349-M349</x:f>
        <x:v>-83.55425359680427</x:v>
      </x:c>
      <x:c r="O349" s="8" t="n">
        <x:f>ABS(N349)</x:f>
        <x:v>83.55425359680427</x:v>
      </x:c>
      <x:c r="P349" s="8" t="n">
        <x:f>N349^2</x:f>
        <x:v>6981.31329411908</x:v>
      </x:c>
      <x:c r="Q349" s="8" t="n">
        <x:f>K349-L349</x:f>
        <x:v>-3</x:v>
      </x:c>
      <x:c r="R349" s="9" t="n">
        <x:f>IF(AND(INDEX('Сводка'!$T$3:$T$397,U349)=0,INDEX('Сводка'!$T$3:$T$397,V349)=0),1,0)</x:f>
        <x:v>1</x:v>
      </x:c>
      <x:c r="S349" s="9" t="n">
        <x:f>IF(AND(R349=1,O349&lt;=$G$13),1,0)</x:f>
        <x:v>0</x:v>
      </x:c>
      <x:c r="T349" s="10" t="n">
        <x:f>EOMONTH(J349-'Сводка'!$B$11,-1)</x:f>
        <x:v>46173</x:v>
      </x:c>
      <x:c r="U349" s="4" t="n">
        <x:f>MATCH(J349,'Сводка'!$R$3:$R$397,0)</x:f>
        <x:v>360</x:v>
      </x:c>
      <x:c r="V349" s="4" t="n">
        <x:f>MATCH(J349-'Сводка'!$B$11,'Сводка'!$R$3:$R$397,0)</x:f>
        <x:v>359</x:v>
      </x:c>
      <x:c r="W349" s="4" t="n">
        <x:f>MATCH(T349,$J$388:$J$400,0)</x:f>
        <x:v>12</x:v>
      </x:c>
      <x:c r="X349" s="3"/>
      <x:c r="Y349" s="3"/>
      <x:c r="Z349" s="3"/>
    </x:row>
    <x:row r="350" ht="15" customHeight="1">
      <x:c r="A350" s="3"/>
      <x:c r="B350" s="3"/>
      <x:c r="C350" s="3"/>
      <x:c r="D350" s="3"/>
      <x:c r="E350" s="3"/>
      <x:c r="F350" s="3"/>
      <x:c r="G350" s="3"/>
      <x:c r="H350" s="3"/>
      <x:c r="I350" s="3"/>
      <x:c r="J350" s="10" t="n">
        <x:v>46201</x:v>
      </x:c>
      <x:c r="K350" s="8" t="n">
        <x:f>INDEX('Сводка'!$S$3:$S$397,U350)</x:f>
        <x:v>127</x:v>
      </x:c>
      <x:c r="L350" s="8" t="n">
        <x:f>INDEX('Сводка'!$S$3:$S$397,V350)</x:f>
        <x:v>136</x:v>
      </x:c>
      <x:c r="M350" s="8" t="n">
        <x:f>INDEX($K$388:$N$400,W350,1)*((J350-$T$405+1)/1000)^INDEX($K$388:$N$400,W350,2)+INDEX($O$388:$Z$400,W350,MONTH(J350))</x:f>
        <x:v>219.57000328534855</x:v>
      </x:c>
      <x:c r="N350" s="8" t="n">
        <x:f>K350-M350</x:f>
        <x:v>-92.57000328534855</x:v>
      </x:c>
      <x:c r="O350" s="8" t="n">
        <x:f>ABS(N350)</x:f>
        <x:v>92.57000328534855</x:v>
      </x:c>
      <x:c r="P350" s="8" t="n">
        <x:f>N350^2</x:f>
        <x:v>8569.20550824944</x:v>
      </x:c>
      <x:c r="Q350" s="8" t="n">
        <x:f>K350-L350</x:f>
        <x:v>-9</x:v>
      </x:c>
      <x:c r="R350" s="9" t="n">
        <x:f>IF(AND(INDEX('Сводка'!$T$3:$T$397,U350)=0,INDEX('Сводка'!$T$3:$T$397,V350)=0),1,0)</x:f>
        <x:v>1</x:v>
      </x:c>
      <x:c r="S350" s="9" t="n">
        <x:f>IF(AND(R350=1,O350&lt;=$G$13),1,0)</x:f>
        <x:v>0</x:v>
      </x:c>
      <x:c r="T350" s="10" t="n">
        <x:f>EOMONTH(J350-'Сводка'!$B$11,-1)</x:f>
        <x:v>46173</x:v>
      </x:c>
      <x:c r="U350" s="4" t="n">
        <x:f>MATCH(J350,'Сводка'!$R$3:$R$397,0)</x:f>
        <x:v>361</x:v>
      </x:c>
      <x:c r="V350" s="4" t="n">
        <x:f>MATCH(J350-'Сводка'!$B$11,'Сводка'!$R$3:$R$397,0)</x:f>
        <x:v>360</x:v>
      </x:c>
      <x:c r="W350" s="4" t="n">
        <x:f>MATCH(T350,$J$388:$J$400,0)</x:f>
        <x:v>12</x:v>
      </x:c>
      <x:c r="X350" s="3"/>
      <x:c r="Y350" s="3"/>
      <x:c r="Z350" s="3"/>
    </x:row>
    <x:row r="351" ht="15" customHeight="1">
      <x:c r="A351" s="3"/>
      <x:c r="B351" s="3"/>
      <x:c r="C351" s="3"/>
      <x:c r="D351" s="3"/>
      <x:c r="E351" s="3"/>
      <x:c r="F351" s="3"/>
      <x:c r="G351" s="3"/>
      <x:c r="H351" s="3"/>
      <x:c r="I351" s="3"/>
      <x:c r="J351" s="10" t="n">
        <x:v>46202</x:v>
      </x:c>
      <x:c r="K351" s="8" t="n">
        <x:f>INDEX('Сводка'!$S$3:$S$397,U351)</x:f>
        <x:v>122</x:v>
      </x:c>
      <x:c r="L351" s="8" t="n">
        <x:f>INDEX('Сводка'!$S$3:$S$397,V351)</x:f>
        <x:v>127</x:v>
      </x:c>
      <x:c r="M351" s="8" t="n">
        <x:f>INDEX($K$388:$N$400,W351,1)*((J351-$T$405+1)/1000)^INDEX($K$388:$N$400,W351,2)+INDEX($O$388:$Z$400,W351,MONTH(J351))</x:f>
        <x:v>219.58575297272353</x:v>
      </x:c>
      <x:c r="N351" s="8" t="n">
        <x:f>K351-M351</x:f>
        <x:v>-97.58575297272353</x:v>
      </x:c>
      <x:c r="O351" s="8" t="n">
        <x:f>ABS(N351)</x:f>
        <x:v>97.58575297272353</x:v>
      </x:c>
      <x:c r="P351" s="8" t="n">
        <x:f>N351^2</x:f>
        <x:v>9522.97918325342</x:v>
      </x:c>
      <x:c r="Q351" s="8" t="n">
        <x:f>K351-L351</x:f>
        <x:v>-5</x:v>
      </x:c>
      <x:c r="R351" s="9" t="n">
        <x:f>IF(AND(INDEX('Сводка'!$T$3:$T$397,U351)=0,INDEX('Сводка'!$T$3:$T$397,V351)=0),1,0)</x:f>
        <x:v>1</x:v>
      </x:c>
      <x:c r="S351" s="9" t="n">
        <x:f>IF(AND(R351=1,O351&lt;=$G$13),1,0)</x:f>
        <x:v>0</x:v>
      </x:c>
      <x:c r="T351" s="10" t="n">
        <x:f>EOMONTH(J351-'Сводка'!$B$11,-1)</x:f>
        <x:v>46173</x:v>
      </x:c>
      <x:c r="U351" s="4" t="n">
        <x:f>MATCH(J351,'Сводка'!$R$3:$R$397,0)</x:f>
        <x:v>362</x:v>
      </x:c>
      <x:c r="V351" s="4" t="n">
        <x:f>MATCH(J351-'Сводка'!$B$11,'Сводка'!$R$3:$R$397,0)</x:f>
        <x:v>361</x:v>
      </x:c>
      <x:c r="W351" s="4" t="n">
        <x:f>MATCH(T351,$J$388:$J$400,0)</x:f>
        <x:v>12</x:v>
      </x:c>
      <x:c r="X351" s="3"/>
      <x:c r="Y351" s="3"/>
      <x:c r="Z351" s="3"/>
    </x:row>
    <x:row r="352" ht="15" customHeight="1">
      <x:c r="A352" s="3"/>
      <x:c r="B352" s="3"/>
      <x:c r="C352" s="3"/>
      <x:c r="D352" s="3"/>
      <x:c r="E352" s="3"/>
      <x:c r="F352" s="3"/>
      <x:c r="G352" s="3"/>
      <x:c r="H352" s="3"/>
      <x:c r="I352" s="3"/>
      <x:c r="J352" s="10" t="n">
        <x:v>46203</x:v>
      </x:c>
      <x:c r="K352" s="8" t="n">
        <x:f>INDEX('Сводка'!$S$3:$S$397,U352)</x:f>
        <x:v>116</x:v>
      </x:c>
      <x:c r="L352" s="8" t="n">
        <x:f>INDEX('Сводка'!$S$3:$S$397,V352)</x:f>
        <x:v>122</x:v>
      </x:c>
      <x:c r="M352" s="8" t="n">
        <x:f>INDEX($K$388:$N$400,W352,1)*((J352-$T$405+1)/1000)^INDEX($K$388:$N$400,W352,2)+INDEX($O$388:$Z$400,W352,MONTH(J352))</x:f>
        <x:v>219.6015026589293</x:v>
      </x:c>
      <x:c r="N352" s="8" t="n">
        <x:f>K352-M352</x:f>
        <x:v>-103.60150265892929</x:v>
      </x:c>
      <x:c r="O352" s="8" t="n">
        <x:f>ABS(N352)</x:f>
        <x:v>103.60150265892929</x:v>
      </x:c>
      <x:c r="P352" s="8" t="n">
        <x:f>N352^2</x:f>
        <x:v>10733.271353188133</x:v>
      </x:c>
      <x:c r="Q352" s="8" t="n">
        <x:f>K352-L352</x:f>
        <x:v>-6</x:v>
      </x:c>
      <x:c r="R352" s="9" t="n">
        <x:f>IF(AND(INDEX('Сводка'!$T$3:$T$397,U352)=0,INDEX('Сводка'!$T$3:$T$397,V352)=0),1,0)</x:f>
        <x:v>1</x:v>
      </x:c>
      <x:c r="S352" s="9" t="n">
        <x:f>IF(AND(R352=1,O352&lt;=$G$13),1,0)</x:f>
        <x:v>0</x:v>
      </x:c>
      <x:c r="T352" s="10" t="n">
        <x:f>EOMONTH(J352-'Сводка'!$B$11,-1)</x:f>
        <x:v>46173</x:v>
      </x:c>
      <x:c r="U352" s="4" t="n">
        <x:f>MATCH(J352,'Сводка'!$R$3:$R$397,0)</x:f>
        <x:v>363</x:v>
      </x:c>
      <x:c r="V352" s="4" t="n">
        <x:f>MATCH(J352-'Сводка'!$B$11,'Сводка'!$R$3:$R$397,0)</x:f>
        <x:v>362</x:v>
      </x:c>
      <x:c r="W352" s="4" t="n">
        <x:f>MATCH(T352,$J$388:$J$400,0)</x:f>
        <x:v>12</x:v>
      </x:c>
      <x:c r="X352" s="3"/>
      <x:c r="Y352" s="3"/>
      <x:c r="Z352" s="3"/>
    </x:row>
    <x:row r="353" ht="15" customHeight="1">
      <x:c r="A353" s="3"/>
      <x:c r="B353" s="3"/>
      <x:c r="C353" s="3"/>
      <x:c r="D353" s="3"/>
      <x:c r="E353" s="3"/>
      <x:c r="F353" s="3"/>
      <x:c r="G353" s="3"/>
      <x:c r="H353" s="3"/>
      <x:c r="I353" s="3"/>
      <x:c r="J353" s="10" t="n">
        <x:v>46204</x:v>
      </x:c>
      <x:c r="K353" s="8" t="n">
        <x:f>INDEX('Сводка'!$S$3:$S$397,U353)</x:f>
        <x:v>110</x:v>
      </x:c>
      <x:c r="L353" s="8" t="n">
        <x:f>INDEX('Сводка'!$S$3:$S$397,V353)</x:f>
        <x:v>116</x:v>
      </x:c>
      <x:c r="M353" s="8" t="n">
        <x:f>INDEX($K$388:$N$400,W353,1)*((J353-$T$405+1)/1000)^INDEX($K$388:$N$400,W353,2)+INDEX($O$388:$Z$400,W353,MONTH(J353))</x:f>
        <x:v>252.27139756636524</x:v>
      </x:c>
      <x:c r="N353" s="8" t="n">
        <x:f>K353-M353</x:f>
        <x:v>-142.27139756636524</x:v>
      </x:c>
      <x:c r="O353" s="8" t="n">
        <x:f>ABS(N353)</x:f>
        <x:v>142.27139756636524</x:v>
      </x:c>
      <x:c r="P353" s="8" t="n">
        <x:f>N353^2</x:f>
        <x:v>20241.150565486758</x:v>
      </x:c>
      <x:c r="Q353" s="8" t="n">
        <x:f>K353-L353</x:f>
        <x:v>-6</x:v>
      </x:c>
      <x:c r="R353" s="9" t="n">
        <x:f>IF(AND(INDEX('Сводка'!$T$3:$T$397,U353)=0,INDEX('Сводка'!$T$3:$T$397,V353)=0),1,0)</x:f>
        <x:v>1</x:v>
      </x:c>
      <x:c r="S353" s="9" t="n">
        <x:f>IF(AND(R353=1,O353&lt;=$G$13),1,0)</x:f>
        <x:v>0</x:v>
      </x:c>
      <x:c r="T353" s="10" t="n">
        <x:f>EOMONTH(J353-'Сводка'!$B$11,-1)</x:f>
        <x:v>46173</x:v>
      </x:c>
      <x:c r="U353" s="4" t="n">
        <x:f>MATCH(J353,'Сводка'!$R$3:$R$397,0)</x:f>
        <x:v>364</x:v>
      </x:c>
      <x:c r="V353" s="4" t="n">
        <x:f>MATCH(J353-'Сводка'!$B$11,'Сводка'!$R$3:$R$397,0)</x:f>
        <x:v>363</x:v>
      </x:c>
      <x:c r="W353" s="4" t="n">
        <x:f>MATCH(T353,$J$388:$J$400,0)</x:f>
        <x:v>12</x:v>
      </x:c>
      <x:c r="X353" s="3"/>
      <x:c r="Y353" s="3"/>
      <x:c r="Z353" s="3"/>
    </x:row>
    <x:row r="354" ht="15" customHeight="1">
      <x:c r="A354" s="3"/>
      <x:c r="B354" s="3"/>
      <x:c r="C354" s="3"/>
      <x:c r="D354" s="3"/>
      <x:c r="E354" s="3"/>
      <x:c r="F354" s="3"/>
      <x:c r="G354" s="3"/>
      <x:c r="H354" s="3"/>
      <x:c r="I354" s="3"/>
      <x:c r="J354" s="10" t="n">
        <x:v>46205</x:v>
      </x:c>
      <x:c r="K354" s="8" t="n">
        <x:f>INDEX('Сводка'!$S$3:$S$397,U354)</x:f>
        <x:v>105</x:v>
      </x:c>
      <x:c r="L354" s="8" t="n">
        <x:f>INDEX('Сводка'!$S$3:$S$397,V354)</x:f>
        <x:v>110</x:v>
      </x:c>
      <x:c r="M354" s="8" t="n">
        <x:f>INDEX($K$388:$N$400,W354,1)*((J354-$T$405+1)/1000)^INDEX($K$388:$N$400,W354,2)+INDEX($O$388:$Z$400,W354,MONTH(J354))</x:f>
        <x:v>251.05389732834465</x:v>
      </x:c>
      <x:c r="N354" s="8" t="n">
        <x:f>K354-M354</x:f>
        <x:v>-146.05389732834465</x:v>
      </x:c>
      <x:c r="O354" s="8" t="n">
        <x:f>ABS(N354)</x:f>
        <x:v>146.05389732834465</x:v>
      </x:c>
      <x:c r="P354" s="8" t="n">
        <x:f>N354^2</x:f>
        <x:v>21331.74092479864</x:v>
      </x:c>
      <x:c r="Q354" s="8" t="n">
        <x:f>K354-L354</x:f>
        <x:v>-5</x:v>
      </x:c>
      <x:c r="R354" s="9" t="n">
        <x:f>IF(AND(INDEX('Сводка'!$T$3:$T$397,U354)=0,INDEX('Сводка'!$T$3:$T$397,V354)=0),1,0)</x:f>
        <x:v>1</x:v>
      </x:c>
      <x:c r="S354" s="9" t="n">
        <x:f>IF(AND(R354=1,O354&lt;=$G$13),1,0)</x:f>
        <x:v>0</x:v>
      </x:c>
      <x:c r="T354" s="10" t="n">
        <x:f>EOMONTH(J354-'Сводка'!$B$11,-1)</x:f>
        <x:v>46203</x:v>
      </x:c>
      <x:c r="U354" s="4" t="n">
        <x:f>MATCH(J354,'Сводка'!$R$3:$R$397,0)</x:f>
        <x:v>365</x:v>
      </x:c>
      <x:c r="V354" s="4" t="n">
        <x:f>MATCH(J354-'Сводка'!$B$11,'Сводка'!$R$3:$R$397,0)</x:f>
        <x:v>364</x:v>
      </x:c>
      <x:c r="W354" s="4" t="n">
        <x:f>MATCH(T354,$J$388:$J$400,0)</x:f>
        <x:v>13</x:v>
      </x:c>
      <x:c r="X354" s="3"/>
      <x:c r="Y354" s="3"/>
      <x:c r="Z354" s="3"/>
    </x:row>
    <x:row r="355" ht="15" customHeight="1">
      <x:c r="A355" s="3"/>
      <x:c r="B355" s="3"/>
      <x:c r="C355" s="3"/>
      <x:c r="D355" s="3"/>
      <x:c r="E355" s="3"/>
      <x:c r="F355" s="3"/>
      <x:c r="G355" s="3"/>
      <x:c r="H355" s="3"/>
      <x:c r="I355" s="3"/>
      <x:c r="J355" s="10" t="n">
        <x:v>46206</x:v>
      </x:c>
      <x:c r="K355" s="8" t="n">
        <x:f>INDEX('Сводка'!$S$3:$S$397,U355)</x:f>
        <x:v>105</x:v>
      </x:c>
      <x:c r="L355" s="8" t="n">
        <x:f>INDEX('Сводка'!$S$3:$S$397,V355)</x:f>
        <x:v>105</x:v>
      </x:c>
      <x:c r="M355" s="8" t="n">
        <x:f>INDEX($K$388:$N$400,W355,1)*((J355-$T$405+1)/1000)^INDEX($K$388:$N$400,W355,2)+INDEX($O$388:$Z$400,W355,MONTH(J355))</x:f>
        <x:v>251.06927724253185</x:v>
      </x:c>
      <x:c r="N355" s="8" t="n">
        <x:f>K355-M355</x:f>
        <x:v>-146.06927724253185</x:v>
      </x:c>
      <x:c r="O355" s="8" t="n">
        <x:f>ABS(N355)</x:f>
        <x:v>146.06927724253185</x:v>
      </x:c>
      <x:c r="P355" s="8" t="n">
        <x:f>N355^2</x:f>
        <x:v>21336.233754155634</x:v>
      </x:c>
      <x:c r="Q355" s="8" t="n">
        <x:f>K355-L355</x:f>
        <x:v>0</x:v>
      </x:c>
      <x:c r="R355" s="9" t="n">
        <x:f>IF(AND(INDEX('Сводка'!$T$3:$T$397,U355)=0,INDEX('Сводка'!$T$3:$T$397,V355)=0),1,0)</x:f>
        <x:v>1</x:v>
      </x:c>
      <x:c r="S355" s="9" t="n">
        <x:f>IF(AND(R355=1,O355&lt;=$G$13),1,0)</x:f>
        <x:v>0</x:v>
      </x:c>
      <x:c r="T355" s="10" t="n">
        <x:f>EOMONTH(J355-'Сводка'!$B$11,-1)</x:f>
        <x:v>46203</x:v>
      </x:c>
      <x:c r="U355" s="4" t="n">
        <x:f>MATCH(J355,'Сводка'!$R$3:$R$397,0)</x:f>
        <x:v>366</x:v>
      </x:c>
      <x:c r="V355" s="4" t="n">
        <x:f>MATCH(J355-'Сводка'!$B$11,'Сводка'!$R$3:$R$397,0)</x:f>
        <x:v>365</x:v>
      </x:c>
      <x:c r="W355" s="4" t="n">
        <x:f>MATCH(T355,$J$388:$J$400,0)</x:f>
        <x:v>13</x:v>
      </x:c>
      <x:c r="X355" s="3"/>
      <x:c r="Y355" s="3"/>
      <x:c r="Z355" s="3"/>
    </x:row>
    <x:row r="356" ht="15" customHeight="1">
      <x:c r="A356" s="3"/>
      <x:c r="B356" s="3"/>
      <x:c r="C356" s="3"/>
      <x:c r="D356" s="3"/>
      <x:c r="E356" s="3"/>
      <x:c r="F356" s="3"/>
      <x:c r="G356" s="3"/>
      <x:c r="H356" s="3"/>
      <x:c r="I356" s="3"/>
      <x:c r="J356" s="10" t="n">
        <x:v>46207</x:v>
      </x:c>
      <x:c r="K356" s="8" t="n">
        <x:f>INDEX('Сводка'!$S$3:$S$397,U356)</x:f>
        <x:v>121</x:v>
      </x:c>
      <x:c r="L356" s="8" t="n">
        <x:f>INDEX('Сводка'!$S$3:$S$397,V356)</x:f>
        <x:v>105</x:v>
      </x:c>
      <x:c r="M356" s="8" t="n">
        <x:f>INDEX($K$388:$N$400,W356,1)*((J356-$T$405+1)/1000)^INDEX($K$388:$N$400,W356,2)+INDEX($O$388:$Z$400,W356,MONTH(J356))</x:f>
        <x:v>251.08465713388253</x:v>
      </x:c>
      <x:c r="N356" s="8" t="n">
        <x:f>K356-M356</x:f>
        <x:v>-130.08465713388253</x:v>
      </x:c>
      <x:c r="O356" s="8" t="n">
        <x:f>ABS(N356)</x:f>
        <x:v>130.08465713388253</x:v>
      </x:c>
      <x:c r="P356" s="8" t="n">
        <x:f>N356^2</x:f>
        <x:v>16922.018021639775</x:v>
      </x:c>
      <x:c r="Q356" s="8" t="n">
        <x:f>K356-L356</x:f>
        <x:v>16</x:v>
      </x:c>
      <x:c r="R356" s="9" t="n">
        <x:f>IF(AND(INDEX('Сводка'!$T$3:$T$397,U356)=0,INDEX('Сводка'!$T$3:$T$397,V356)=0),1,0)</x:f>
        <x:v>1</x:v>
      </x:c>
      <x:c r="S356" s="9" t="n">
        <x:f>IF(AND(R356=1,O356&lt;=$G$13),1,0)</x:f>
        <x:v>0</x:v>
      </x:c>
      <x:c r="T356" s="10" t="n">
        <x:f>EOMONTH(J356-'Сводка'!$B$11,-1)</x:f>
        <x:v>46203</x:v>
      </x:c>
      <x:c r="U356" s="4" t="n">
        <x:f>MATCH(J356,'Сводка'!$R$3:$R$397,0)</x:f>
        <x:v>367</x:v>
      </x:c>
      <x:c r="V356" s="4" t="n">
        <x:f>MATCH(J356-'Сводка'!$B$11,'Сводка'!$R$3:$R$397,0)</x:f>
        <x:v>366</x:v>
      </x:c>
      <x:c r="W356" s="4" t="n">
        <x:f>MATCH(T356,$J$388:$J$400,0)</x:f>
        <x:v>13</x:v>
      </x:c>
      <x:c r="X356" s="3"/>
      <x:c r="Y356" s="3"/>
      <x:c r="Z356" s="3"/>
    </x:row>
    <x:row r="357" ht="15" customHeight="1">
      <x:c r="A357" s="3"/>
      <x:c r="B357" s="3"/>
      <x:c r="C357" s="3"/>
      <x:c r="D357" s="3"/>
      <x:c r="E357" s="3"/>
      <x:c r="F357" s="3"/>
      <x:c r="G357" s="3"/>
      <x:c r="H357" s="3"/>
      <x:c r="I357" s="3"/>
      <x:c r="J357" s="10" t="n">
        <x:v>46208</x:v>
      </x:c>
      <x:c r="K357" s="8" t="n">
        <x:f>INDEX('Сводка'!$S$3:$S$397,U357)</x:f>
        <x:v>138</x:v>
      </x:c>
      <x:c r="L357" s="8" t="n">
        <x:f>INDEX('Сводка'!$S$3:$S$397,V357)</x:f>
        <x:v>121</x:v>
      </x:c>
      <x:c r="M357" s="8" t="n">
        <x:f>INDEX($K$388:$N$400,W357,1)*((J357-$T$405+1)/1000)^INDEX($K$388:$N$400,W357,2)+INDEX($O$388:$Z$400,W357,MONTH(J357))</x:f>
        <x:v>251.10003700239923</x:v>
      </x:c>
      <x:c r="N357" s="8" t="n">
        <x:f>K357-M357</x:f>
        <x:v>-113.10003700239923</x:v>
      </x:c>
      <x:c r="O357" s="8" t="n">
        <x:f>ABS(N357)</x:f>
        <x:v>113.10003700239923</x:v>
      </x:c>
      <x:c r="P357" s="8" t="n">
        <x:f>N357^2</x:f>
        <x:v>12791.618369944075</x:v>
      </x:c>
      <x:c r="Q357" s="8" t="n">
        <x:f>K357-L357</x:f>
        <x:v>17</x:v>
      </x:c>
      <x:c r="R357" s="9" t="n">
        <x:f>IF(AND(INDEX('Сводка'!$T$3:$T$397,U357)=0,INDEX('Сводка'!$T$3:$T$397,V357)=0),1,0)</x:f>
        <x:v>1</x:v>
      </x:c>
      <x:c r="S357" s="9" t="n">
        <x:f>IF(AND(R357=1,O357&lt;=$G$13),1,0)</x:f>
        <x:v>0</x:v>
      </x:c>
      <x:c r="T357" s="10" t="n">
        <x:f>EOMONTH(J357-'Сводка'!$B$11,-1)</x:f>
        <x:v>46203</x:v>
      </x:c>
      <x:c r="U357" s="4" t="n">
        <x:f>MATCH(J357,'Сводка'!$R$3:$R$397,0)</x:f>
        <x:v>368</x:v>
      </x:c>
      <x:c r="V357" s="4" t="n">
        <x:f>MATCH(J357-'Сводка'!$B$11,'Сводка'!$R$3:$R$397,0)</x:f>
        <x:v>367</x:v>
      </x:c>
      <x:c r="W357" s="4" t="n">
        <x:f>MATCH(T357,$J$388:$J$400,0)</x:f>
        <x:v>13</x:v>
      </x:c>
      <x:c r="X357" s="3"/>
      <x:c r="Y357" s="3"/>
      <x:c r="Z357" s="3"/>
    </x:row>
    <x:row r="358" ht="15" customHeight="1">
      <x:c r="A358" s="3"/>
      <x:c r="B358" s="3"/>
      <x:c r="C358" s="3"/>
      <x:c r="D358" s="3"/>
      <x:c r="E358" s="3"/>
      <x:c r="F358" s="3"/>
      <x:c r="G358" s="3"/>
      <x:c r="H358" s="3"/>
      <x:c r="I358" s="3"/>
      <x:c r="J358" s="10" t="n">
        <x:v>46209</x:v>
      </x:c>
      <x:c r="K358" s="8" t="n">
        <x:f>INDEX('Сводка'!$S$3:$S$397,U358)</x:f>
        <x:v>149</x:v>
      </x:c>
      <x:c r="L358" s="8" t="n">
        <x:f>INDEX('Сводка'!$S$3:$S$397,V358)</x:f>
        <x:v>138</x:v>
      </x:c>
      <x:c r="M358" s="8" t="n">
        <x:f>INDEX($K$388:$N$400,W358,1)*((J358-$T$405+1)/1000)^INDEX($K$388:$N$400,W358,2)+INDEX($O$388:$Z$400,W358,MONTH(J358))</x:f>
        <x:v>251.11541684808455</x:v>
      </x:c>
      <x:c r="N358" s="8" t="n">
        <x:f>K358-M358</x:f>
        <x:v>-102.11541684808455</x:v>
      </x:c>
      <x:c r="O358" s="8" t="n">
        <x:f>ABS(N358)</x:f>
        <x:v>102.11541684808455</x:v>
      </x:c>
      <x:c r="P358" s="8" t="n">
        <x:f>N358^2</x:f>
        <x:v>10427.55835805807</x:v>
      </x:c>
      <x:c r="Q358" s="8" t="n">
        <x:f>K358-L358</x:f>
        <x:v>11</x:v>
      </x:c>
      <x:c r="R358" s="9" t="n">
        <x:f>IF(AND(INDEX('Сводка'!$T$3:$T$397,U358)=0,INDEX('Сводка'!$T$3:$T$397,V358)=0),1,0)</x:f>
        <x:v>1</x:v>
      </x:c>
      <x:c r="S358" s="9" t="n">
        <x:f>IF(AND(R358=1,O358&lt;=$G$13),1,0)</x:f>
        <x:v>0</x:v>
      </x:c>
      <x:c r="T358" s="10" t="n">
        <x:f>EOMONTH(J358-'Сводка'!$B$11,-1)</x:f>
        <x:v>46203</x:v>
      </x:c>
      <x:c r="U358" s="4" t="n">
        <x:f>MATCH(J358,'Сводка'!$R$3:$R$397,0)</x:f>
        <x:v>369</x:v>
      </x:c>
      <x:c r="V358" s="4" t="n">
        <x:f>MATCH(J358-'Сводка'!$B$11,'Сводка'!$R$3:$R$397,0)</x:f>
        <x:v>368</x:v>
      </x:c>
      <x:c r="W358" s="4" t="n">
        <x:f>MATCH(T358,$J$388:$J$400,0)</x:f>
        <x:v>13</x:v>
      </x:c>
      <x:c r="X358" s="3"/>
      <x:c r="Y358" s="3"/>
      <x:c r="Z358" s="3"/>
    </x:row>
    <x:row r="359" ht="15" customHeight="1">
      <x:c r="A359" s="3"/>
      <x:c r="B359" s="3"/>
      <x:c r="C359" s="3"/>
      <x:c r="D359" s="3"/>
      <x:c r="E359" s="3"/>
      <x:c r="F359" s="3"/>
      <x:c r="G359" s="3"/>
      <x:c r="H359" s="3"/>
      <x:c r="I359" s="3"/>
      <x:c r="J359" s="10" t="n">
        <x:v>46210</x:v>
      </x:c>
      <x:c r="K359" s="8" t="n">
        <x:f>INDEX('Сводка'!$S$3:$S$397,U359)</x:f>
        <x:v>158</x:v>
      </x:c>
      <x:c r="L359" s="8" t="n">
        <x:f>INDEX('Сводка'!$S$3:$S$397,V359)</x:f>
        <x:v>149</x:v>
      </x:c>
      <x:c r="M359" s="8" t="n">
        <x:f>INDEX($K$388:$N$400,W359,1)*((J359-$T$405+1)/1000)^INDEX($K$388:$N$400,W359,2)+INDEX($O$388:$Z$400,W359,MONTH(J359))</x:f>
        <x:v>251.13079667094107</x:v>
      </x:c>
      <x:c r="N359" s="8" t="n">
        <x:f>K359-M359</x:f>
        <x:v>-93.13079667094107</x:v>
      </x:c>
      <x:c r="O359" s="8" t="n">
        <x:f>ABS(N359)</x:f>
        <x:v>93.13079667094107</x:v>
      </x:c>
      <x:c r="P359" s="8" t="n">
        <x:f>N359^2</x:f>
        <x:v>8673.345288564167</x:v>
      </x:c>
      <x:c r="Q359" s="8" t="n">
        <x:f>K359-L359</x:f>
        <x:v>9</x:v>
      </x:c>
      <x:c r="R359" s="9" t="n">
        <x:f>IF(AND(INDEX('Сводка'!$T$3:$T$397,U359)=0,INDEX('Сводка'!$T$3:$T$397,V359)=0),1,0)</x:f>
        <x:v>1</x:v>
      </x:c>
      <x:c r="S359" s="9" t="n">
        <x:f>IF(AND(R359=1,O359&lt;=$G$13),1,0)</x:f>
        <x:v>0</x:v>
      </x:c>
      <x:c r="T359" s="10" t="n">
        <x:f>EOMONTH(J359-'Сводка'!$B$11,-1)</x:f>
        <x:v>46203</x:v>
      </x:c>
      <x:c r="U359" s="4" t="n">
        <x:f>MATCH(J359,'Сводка'!$R$3:$R$397,0)</x:f>
        <x:v>370</x:v>
      </x:c>
      <x:c r="V359" s="4" t="n">
        <x:f>MATCH(J359-'Сводка'!$B$11,'Сводка'!$R$3:$R$397,0)</x:f>
        <x:v>369</x:v>
      </x:c>
      <x:c r="W359" s="4" t="n">
        <x:f>MATCH(T359,$J$388:$J$400,0)</x:f>
        <x:v>13</x:v>
      </x:c>
      <x:c r="X359" s="3"/>
      <x:c r="Y359" s="3"/>
      <x:c r="Z359" s="3"/>
    </x:row>
    <x:row r="360" ht="15" customHeight="1">
      <x:c r="A360" s="3"/>
      <x:c r="B360" s="3"/>
      <x:c r="C360" s="3"/>
      <x:c r="D360" s="3"/>
      <x:c r="E360" s="3"/>
      <x:c r="F360" s="3"/>
      <x:c r="G360" s="3"/>
      <x:c r="H360" s="3"/>
      <x:c r="I360" s="3"/>
      <x:c r="J360" s="10" t="n">
        <x:v>46211</x:v>
      </x:c>
      <x:c r="K360" s="8" t="n">
        <x:f>INDEX('Сводка'!$S$3:$S$397,U360)</x:f>
        <x:v>166</x:v>
      </x:c>
      <x:c r="L360" s="8" t="n">
        <x:f>INDEX('Сводка'!$S$3:$S$397,V360)</x:f>
        <x:v>158</x:v>
      </x:c>
      <x:c r="M360" s="8" t="n">
        <x:f>INDEX($K$388:$N$400,W360,1)*((J360-$T$405+1)/1000)^INDEX($K$388:$N$400,W360,2)+INDEX($O$388:$Z$400,W360,MONTH(J360))</x:f>
        <x:v>251.14617647097134</x:v>
      </x:c>
      <x:c r="N360" s="8" t="n">
        <x:f>K360-M360</x:f>
        <x:v>-85.14617647097134</x:v>
      </x:c>
      <x:c r="O360" s="8" t="n">
        <x:f>ABS(N360)</x:f>
        <x:v>85.14617647097134</x:v>
      </x:c>
      <x:c r="P360" s="8" t="n">
        <x:f>N360^2</x:f>
        <x:v>7249.871367625794</x:v>
      </x:c>
      <x:c r="Q360" s="8" t="n">
        <x:f>K360-L360</x:f>
        <x:v>8</x:v>
      </x:c>
      <x:c r="R360" s="9" t="n">
        <x:f>IF(AND(INDEX('Сводка'!$T$3:$T$397,U360)=0,INDEX('Сводка'!$T$3:$T$397,V360)=0),1,0)</x:f>
        <x:v>1</x:v>
      </x:c>
      <x:c r="S360" s="9" t="n">
        <x:f>IF(AND(R360=1,O360&lt;=$G$13),1,0)</x:f>
        <x:v>0</x:v>
      </x:c>
      <x:c r="T360" s="10" t="n">
        <x:f>EOMONTH(J360-'Сводка'!$B$11,-1)</x:f>
        <x:v>46203</x:v>
      </x:c>
      <x:c r="U360" s="4" t="n">
        <x:f>MATCH(J360,'Сводка'!$R$3:$R$397,0)</x:f>
        <x:v>371</x:v>
      </x:c>
      <x:c r="V360" s="4" t="n">
        <x:f>MATCH(J360-'Сводка'!$B$11,'Сводка'!$R$3:$R$397,0)</x:f>
        <x:v>370</x:v>
      </x:c>
      <x:c r="W360" s="4" t="n">
        <x:f>MATCH(T360,$J$388:$J$400,0)</x:f>
        <x:v>13</x:v>
      </x:c>
      <x:c r="X360" s="3"/>
      <x:c r="Y360" s="3"/>
      <x:c r="Z360" s="3"/>
    </x:row>
    <x:row r="361" ht="15" customHeight="1">
      <x:c r="A361" s="3"/>
      <x:c r="B361" s="3"/>
      <x:c r="C361" s="3"/>
      <x:c r="D361" s="3"/>
      <x:c r="E361" s="3"/>
      <x:c r="F361" s="3"/>
      <x:c r="G361" s="3"/>
      <x:c r="H361" s="3"/>
      <x:c r="I361" s="3"/>
      <x:c r="J361" s="10" t="n">
        <x:v>46212</x:v>
      </x:c>
      <x:c r="K361" s="8" t="n">
        <x:f>INDEX('Сводка'!$S$3:$S$397,U361)</x:f>
        <x:v>174</x:v>
      </x:c>
      <x:c r="L361" s="8" t="n">
        <x:f>INDEX('Сводка'!$S$3:$S$397,V361)</x:f>
        <x:v>166</x:v>
      </x:c>
      <x:c r="M361" s="8" t="n">
        <x:f>INDEX($K$388:$N$400,W361,1)*((J361-$T$405+1)/1000)^INDEX($K$388:$N$400,W361,2)+INDEX($O$388:$Z$400,W361,MONTH(J361))</x:f>
        <x:v>251.16155624817802</x:v>
      </x:c>
      <x:c r="N361" s="8" t="n">
        <x:f>K361-M361</x:f>
        <x:v>-77.16155624817802</x:v>
      </x:c>
      <x:c r="O361" s="8" t="n">
        <x:f>ABS(N361)</x:f>
        <x:v>77.16155624817802</x:v>
      </x:c>
      <x:c r="P361" s="8" t="n">
        <x:f>N361^2</x:f>
        <x:v>5953.90576264074</x:v>
      </x:c>
      <x:c r="Q361" s="8" t="n">
        <x:f>K361-L361</x:f>
        <x:v>8</x:v>
      </x:c>
      <x:c r="R361" s="9" t="n">
        <x:f>IF(AND(INDEX('Сводка'!$T$3:$T$397,U361)=0,INDEX('Сводка'!$T$3:$T$397,V361)=0),1,0)</x:f>
        <x:v>1</x:v>
      </x:c>
      <x:c r="S361" s="9" t="n">
        <x:f>IF(AND(R361=1,O361&lt;=$G$13),1,0)</x:f>
        <x:v>0</x:v>
      </x:c>
      <x:c r="T361" s="10" t="n">
        <x:f>EOMONTH(J361-'Сводка'!$B$11,-1)</x:f>
        <x:v>46203</x:v>
      </x:c>
      <x:c r="U361" s="4" t="n">
        <x:f>MATCH(J361,'Сводка'!$R$3:$R$397,0)</x:f>
        <x:v>372</x:v>
      </x:c>
      <x:c r="V361" s="4" t="n">
        <x:f>MATCH(J361-'Сводка'!$B$11,'Сводка'!$R$3:$R$397,0)</x:f>
        <x:v>371</x:v>
      </x:c>
      <x:c r="W361" s="4" t="n">
        <x:f>MATCH(T361,$J$388:$J$400,0)</x:f>
        <x:v>13</x:v>
      </x:c>
      <x:c r="X361" s="3"/>
      <x:c r="Y361" s="3"/>
      <x:c r="Z361" s="3"/>
    </x:row>
    <x:row r="362" ht="15" customHeight="1">
      <x:c r="A362" s="3"/>
      <x:c r="B362" s="3"/>
      <x:c r="C362" s="3"/>
      <x:c r="D362" s="3"/>
      <x:c r="E362" s="3"/>
      <x:c r="F362" s="3"/>
      <x:c r="G362" s="3"/>
      <x:c r="H362" s="3"/>
      <x:c r="I362" s="3"/>
      <x:c r="J362" s="10" t="n">
        <x:v>46213</x:v>
      </x:c>
      <x:c r="K362" s="8" t="n">
        <x:f>INDEX('Сводка'!$S$3:$S$397,U362)</x:f>
        <x:v>180</x:v>
      </x:c>
      <x:c r="L362" s="8" t="n">
        <x:f>INDEX('Сводка'!$S$3:$S$397,V362)</x:f>
        <x:v>174</x:v>
      </x:c>
      <x:c r="M362" s="8" t="n">
        <x:f>INDEX($K$388:$N$400,W362,1)*((J362-$T$405+1)/1000)^INDEX($K$388:$N$400,W362,2)+INDEX($O$388:$Z$400,W362,MONTH(J362))</x:f>
        <x:v>251.17693600256365</x:v>
      </x:c>
      <x:c r="N362" s="8" t="n">
        <x:f>K362-M362</x:f>
        <x:v>-71.17693600256365</x:v>
      </x:c>
      <x:c r="O362" s="8" t="n">
        <x:f>ABS(N362)</x:f>
        <x:v>71.17693600256365</x:v>
      </x:c>
      <x:c r="P362" s="8" t="n">
        <x:f>N362^2</x:f>
        <x:v>5066.156218713041</x:v>
      </x:c>
      <x:c r="Q362" s="8" t="n">
        <x:f>K362-L362</x:f>
        <x:v>6</x:v>
      </x:c>
      <x:c r="R362" s="9" t="n">
        <x:f>IF(AND(INDEX('Сводка'!$T$3:$T$397,U362)=0,INDEX('Сводка'!$T$3:$T$397,V362)=0),1,0)</x:f>
        <x:v>1</x:v>
      </x:c>
      <x:c r="S362" s="9" t="n">
        <x:f>IF(AND(R362=1,O362&lt;=$G$13),1,0)</x:f>
        <x:v>0</x:v>
      </x:c>
      <x:c r="T362" s="10" t="n">
        <x:f>EOMONTH(J362-'Сводка'!$B$11,-1)</x:f>
        <x:v>46203</x:v>
      </x:c>
      <x:c r="U362" s="4" t="n">
        <x:f>MATCH(J362,'Сводка'!$R$3:$R$397,0)</x:f>
        <x:v>373</x:v>
      </x:c>
      <x:c r="V362" s="4" t="n">
        <x:f>MATCH(J362-'Сводка'!$B$11,'Сводка'!$R$3:$R$397,0)</x:f>
        <x:v>372</x:v>
      </x:c>
      <x:c r="W362" s="4" t="n">
        <x:f>MATCH(T362,$J$388:$J$400,0)</x:f>
        <x:v>13</x:v>
      </x:c>
      <x:c r="X362" s="3"/>
      <x:c r="Y362" s="3"/>
      <x:c r="Z362" s="3"/>
    </x:row>
    <x:row r="363" ht="15" customHeight="1">
      <x:c r="A363" s="3"/>
      <x:c r="B363" s="3"/>
      <x:c r="C363" s="3"/>
      <x:c r="D363" s="3"/>
      <x:c r="E363" s="3"/>
      <x:c r="F363" s="3"/>
      <x:c r="G363" s="3"/>
      <x:c r="H363" s="3"/>
      <x:c r="I363" s="3"/>
      <x:c r="J363" s="10" t="n">
        <x:v>46214</x:v>
      </x:c>
      <x:c r="K363" s="8" t="n">
        <x:f>INDEX('Сводка'!$S$3:$S$397,U363)</x:f>
        <x:v>181</x:v>
      </x:c>
      <x:c r="L363" s="8" t="n">
        <x:f>INDEX('Сводка'!$S$3:$S$397,V363)</x:f>
        <x:v>180</x:v>
      </x:c>
      <x:c r="M363" s="8" t="n">
        <x:f>INDEX($K$388:$N$400,W363,1)*((J363-$T$405+1)/1000)^INDEX($K$388:$N$400,W363,2)+INDEX($O$388:$Z$400,W363,MONTH(J363))</x:f>
        <x:v>251.19231573413077</x:v>
      </x:c>
      <x:c r="N363" s="8" t="n">
        <x:f>K363-M363</x:f>
        <x:v>-70.19231573413077</x:v>
      </x:c>
      <x:c r="O363" s="8" t="n">
        <x:f>ABS(N363)</x:f>
        <x:v>70.19231573413077</x:v>
      </x:c>
      <x:c r="P363" s="8" t="n">
        <x:f>N363^2</x:f>
        <x:v>4926.9611881199025</x:v>
      </x:c>
      <x:c r="Q363" s="8" t="n">
        <x:f>K363-L363</x:f>
        <x:v>1</x:v>
      </x:c>
      <x:c r="R363" s="9" t="n">
        <x:f>IF(AND(INDEX('Сводка'!$T$3:$T$397,U363)=0,INDEX('Сводка'!$T$3:$T$397,V363)=0),1,0)</x:f>
        <x:v>1</x:v>
      </x:c>
      <x:c r="S363" s="9" t="n">
        <x:f>IF(AND(R363=1,O363&lt;=$G$13),1,0)</x:f>
        <x:v>0</x:v>
      </x:c>
      <x:c r="T363" s="10" t="n">
        <x:f>EOMONTH(J363-'Сводка'!$B$11,-1)</x:f>
        <x:v>46203</x:v>
      </x:c>
      <x:c r="U363" s="4" t="n">
        <x:f>MATCH(J363,'Сводка'!$R$3:$R$397,0)</x:f>
        <x:v>374</x:v>
      </x:c>
      <x:c r="V363" s="4" t="n">
        <x:f>MATCH(J363-'Сводка'!$B$11,'Сводка'!$R$3:$R$397,0)</x:f>
        <x:v>373</x:v>
      </x:c>
      <x:c r="W363" s="4" t="n">
        <x:f>MATCH(T363,$J$388:$J$400,0)</x:f>
        <x:v>13</x:v>
      </x:c>
      <x:c r="X363" s="3"/>
      <x:c r="Y363" s="3"/>
      <x:c r="Z363" s="3"/>
    </x:row>
    <x:row r="364" ht="15" customHeight="1">
      <x:c r="A364" s="3"/>
      <x:c r="B364" s="3"/>
      <x:c r="C364" s="3"/>
      <x:c r="D364" s="3"/>
      <x:c r="E364" s="3"/>
      <x:c r="F364" s="3"/>
      <x:c r="G364" s="3"/>
      <x:c r="H364" s="3"/>
      <x:c r="I364" s="3"/>
      <x:c r="J364" s="10" t="n">
        <x:v>46215</x:v>
      </x:c>
      <x:c r="K364" s="8" t="n">
        <x:f>INDEX('Сводка'!$S$3:$S$397,U364)</x:f>
        <x:v>179</x:v>
      </x:c>
      <x:c r="L364" s="8" t="n">
        <x:f>INDEX('Сводка'!$S$3:$S$397,V364)</x:f>
        <x:v>181</x:v>
      </x:c>
      <x:c r="M364" s="8" t="n">
        <x:f>INDEX($K$388:$N$400,W364,1)*((J364-$T$405+1)/1000)^INDEX($K$388:$N$400,W364,2)+INDEX($O$388:$Z$400,W364,MONTH(J364))</x:f>
        <x:v>251.20769544288203</x:v>
      </x:c>
      <x:c r="N364" s="8" t="n">
        <x:f>K364-M364</x:f>
        <x:v>-72.20769544288203</x:v>
      </x:c>
      <x:c r="O364" s="8" t="n">
        <x:f>ABS(N364)</x:f>
        <x:v>72.20769544288203</x:v>
      </x:c>
      <x:c r="P364" s="8" t="n">
        <x:f>N364^2</x:f>
        <x:v>5213.951281172006</x:v>
      </x:c>
      <x:c r="Q364" s="8" t="n">
        <x:f>K364-L364</x:f>
        <x:v>-2</x:v>
      </x:c>
      <x:c r="R364" s="9" t="n">
        <x:f>IF(AND(INDEX('Сводка'!$T$3:$T$397,U364)=0,INDEX('Сводка'!$T$3:$T$397,V364)=0),1,0)</x:f>
        <x:v>1</x:v>
      </x:c>
      <x:c r="S364" s="9" t="n">
        <x:f>IF(AND(R364=1,O364&lt;=$G$13),1,0)</x:f>
        <x:v>0</x:v>
      </x:c>
      <x:c r="T364" s="10" t="n">
        <x:f>EOMONTH(J364-'Сводка'!$B$11,-1)</x:f>
        <x:v>46203</x:v>
      </x:c>
      <x:c r="U364" s="4" t="n">
        <x:f>MATCH(J364,'Сводка'!$R$3:$R$397,0)</x:f>
        <x:v>375</x:v>
      </x:c>
      <x:c r="V364" s="4" t="n">
        <x:f>MATCH(J364-'Сводка'!$B$11,'Сводка'!$R$3:$R$397,0)</x:f>
        <x:v>374</x:v>
      </x:c>
      <x:c r="W364" s="4" t="n">
        <x:f>MATCH(T364,$J$388:$J$400,0)</x:f>
        <x:v>13</x:v>
      </x:c>
      <x:c r="X364" s="3"/>
      <x:c r="Y364" s="3"/>
      <x:c r="Z364" s="3"/>
    </x:row>
    <x:row r="365" ht="15" customHeight="1">
      <x:c r="A365" s="3"/>
      <x:c r="B365" s="3"/>
      <x:c r="C365" s="3"/>
      <x:c r="D365" s="3"/>
      <x:c r="E365" s="3"/>
      <x:c r="F365" s="3"/>
      <x:c r="G365" s="3"/>
      <x:c r="H365" s="3"/>
      <x:c r="I365" s="3"/>
      <x:c r="J365" s="10" t="n">
        <x:v>46216</x:v>
      </x:c>
      <x:c r="K365" s="8" t="n">
        <x:f>INDEX('Сводка'!$S$3:$S$397,U365)</x:f>
        <x:v>182</x:v>
      </x:c>
      <x:c r="L365" s="8" t="n">
        <x:f>INDEX('Сводка'!$S$3:$S$397,V365)</x:f>
        <x:v>179</x:v>
      </x:c>
      <x:c r="M365" s="8" t="n">
        <x:f>INDEX($K$388:$N$400,W365,1)*((J365-$T$405+1)/1000)^INDEX($K$388:$N$400,W365,2)+INDEX($O$388:$Z$400,W365,MONTH(J365))</x:f>
        <x:v>251.22307512881997</x:v>
      </x:c>
      <x:c r="N365" s="8" t="n">
        <x:f>K365-M365</x:f>
        <x:v>-69.22307512881997</x:v>
      </x:c>
      <x:c r="O365" s="8" t="n">
        <x:f>ABS(N365)</x:f>
        <x:v>69.22307512881997</x:v>
      </x:c>
      <x:c r="P365" s="8" t="n">
        <x:f>N365^2</x:f>
        <x:v>4791.8341302902545</x:v>
      </x:c>
      <x:c r="Q365" s="8" t="n">
        <x:f>K365-L365</x:f>
        <x:v>3</x:v>
      </x:c>
      <x:c r="R365" s="9" t="n">
        <x:f>IF(AND(INDEX('Сводка'!$T$3:$T$397,U365)=0,INDEX('Сводка'!$T$3:$T$397,V365)=0),1,0)</x:f>
        <x:v>1</x:v>
      </x:c>
      <x:c r="S365" s="9" t="n">
        <x:f>IF(AND(R365=1,O365&lt;=$G$13),1,0)</x:f>
        <x:v>0</x:v>
      </x:c>
      <x:c r="T365" s="10" t="n">
        <x:f>EOMONTH(J365-'Сводка'!$B$11,-1)</x:f>
        <x:v>46203</x:v>
      </x:c>
      <x:c r="U365" s="4" t="n">
        <x:f>MATCH(J365,'Сводка'!$R$3:$R$397,0)</x:f>
        <x:v>376</x:v>
      </x:c>
      <x:c r="V365" s="4" t="n">
        <x:f>MATCH(J365-'Сводка'!$B$11,'Сводка'!$R$3:$R$397,0)</x:f>
        <x:v>375</x:v>
      </x:c>
      <x:c r="W365" s="4" t="n">
        <x:f>MATCH(T365,$J$388:$J$400,0)</x:f>
        <x:v>13</x:v>
      </x:c>
      <x:c r="X365" s="3"/>
      <x:c r="Y365" s="3"/>
      <x:c r="Z365" s="3"/>
    </x:row>
    <x:row r="366" ht="15" customHeight="1">
      <x:c r="A366" s="3"/>
      <x:c r="B366" s="3"/>
      <x:c r="C366" s="3"/>
      <x:c r="D366" s="3"/>
      <x:c r="E366" s="3"/>
      <x:c r="F366" s="3"/>
      <x:c r="G366" s="3"/>
      <x:c r="H366" s="3"/>
      <x:c r="I366" s="3"/>
      <x:c r="J366" s="10" t="n">
        <x:v>46217</x:v>
      </x:c>
      <x:c r="K366" s="8" t="n">
        <x:f>INDEX('Сводка'!$S$3:$S$397,U366)</x:f>
        <x:v>191</x:v>
      </x:c>
      <x:c r="L366" s="8" t="n">
        <x:f>INDEX('Сводка'!$S$3:$S$397,V366)</x:f>
        <x:v>182</x:v>
      </x:c>
      <x:c r="M366" s="8" t="n">
        <x:f>INDEX($K$388:$N$400,W366,1)*((J366-$T$405+1)/1000)^INDEX($K$388:$N$400,W366,2)+INDEX($O$388:$Z$400,W366,MONTH(J366))</x:f>
        <x:v>251.23845479194716</x:v>
      </x:c>
      <x:c r="N366" s="8" t="n">
        <x:f>K366-M366</x:f>
        <x:v>-60.23845479194716</x:v>
      </x:c>
      <x:c r="O366" s="8" t="n">
        <x:f>ABS(N366)</x:f>
        <x:v>60.23845479194716</x:v>
      </x:c>
      <x:c r="P366" s="8" t="n">
        <x:f>N366^2</x:f>
        <x:v>3628.6714357214623</x:v>
      </x:c>
      <x:c r="Q366" s="8" t="n">
        <x:f>K366-L366</x:f>
        <x:v>9</x:v>
      </x:c>
      <x:c r="R366" s="9" t="n">
        <x:f>IF(AND(INDEX('Сводка'!$T$3:$T$397,U366)=0,INDEX('Сводка'!$T$3:$T$397,V366)=0),1,0)</x:f>
        <x:v>1</x:v>
      </x:c>
      <x:c r="S366" s="9" t="n">
        <x:f>IF(AND(R366=1,O366&lt;=$G$13),1,0)</x:f>
        <x:v>0</x:v>
      </x:c>
      <x:c r="T366" s="10" t="n">
        <x:f>EOMONTH(J366-'Сводка'!$B$11,-1)</x:f>
        <x:v>46203</x:v>
      </x:c>
      <x:c r="U366" s="4" t="n">
        <x:f>MATCH(J366,'Сводка'!$R$3:$R$397,0)</x:f>
        <x:v>377</x:v>
      </x:c>
      <x:c r="V366" s="4" t="n">
        <x:f>MATCH(J366-'Сводка'!$B$11,'Сводка'!$R$3:$R$397,0)</x:f>
        <x:v>376</x:v>
      </x:c>
      <x:c r="W366" s="4" t="n">
        <x:f>MATCH(T366,$J$388:$J$400,0)</x:f>
        <x:v>13</x:v>
      </x:c>
      <x:c r="X366" s="3"/>
      <x:c r="Y366" s="3"/>
      <x:c r="Z366" s="3"/>
    </x:row>
    <x:row r="367" ht="15" customHeight="1">
      <x:c r="A367" s="3"/>
      <x:c r="B367" s="3"/>
      <x:c r="C367" s="3"/>
      <x:c r="D367" s="3"/>
      <x:c r="E367" s="3"/>
      <x:c r="F367" s="3"/>
      <x:c r="G367" s="3"/>
      <x:c r="H367" s="3"/>
      <x:c r="I367" s="3"/>
      <x:c r="J367" s="10" t="n">
        <x:v>46218</x:v>
      </x:c>
      <x:c r="K367" s="8" t="n">
        <x:f>INDEX('Сводка'!$S$3:$S$397,U367)</x:f>
        <x:v>206</x:v>
      </x:c>
      <x:c r="L367" s="8" t="n">
        <x:f>INDEX('Сводка'!$S$3:$S$397,V367)</x:f>
        <x:v>191</x:v>
      </x:c>
      <x:c r="M367" s="8" t="n">
        <x:f>INDEX($K$388:$N$400,W367,1)*((J367-$T$405+1)/1000)^INDEX($K$388:$N$400,W367,2)+INDEX($O$388:$Z$400,W367,MONTH(J367))</x:f>
        <x:v>251.25383443226622</x:v>
      </x:c>
      <x:c r="N367" s="8" t="n">
        <x:f>K367-M367</x:f>
        <x:v>-45.25383443226622</x:v>
      </x:c>
      <x:c r="O367" s="8" t="n">
        <x:f>ABS(N367)</x:f>
        <x:v>45.25383443226622</x:v>
      </x:c>
      <x:c r="P367" s="8" t="n">
        <x:f>N367^2</x:f>
        <x:v>2047.9095308229635</x:v>
      </x:c>
      <x:c r="Q367" s="8" t="n">
        <x:f>K367-L367</x:f>
        <x:v>15</x:v>
      </x:c>
      <x:c r="R367" s="9" t="n">
        <x:f>IF(AND(INDEX('Сводка'!$T$3:$T$397,U367)=0,INDEX('Сводка'!$T$3:$T$397,V367)=0),1,0)</x:f>
        <x:v>1</x:v>
      </x:c>
      <x:c r="S367" s="9" t="n">
        <x:f>IF(AND(R367=1,O367&lt;=$G$13),1,0)</x:f>
        <x:v>0</x:v>
      </x:c>
      <x:c r="T367" s="10" t="n">
        <x:f>EOMONTH(J367-'Сводка'!$B$11,-1)</x:f>
        <x:v>46203</x:v>
      </x:c>
      <x:c r="U367" s="4" t="n">
        <x:f>MATCH(J367,'Сводка'!$R$3:$R$397,0)</x:f>
        <x:v>378</x:v>
      </x:c>
      <x:c r="V367" s="4" t="n">
        <x:f>MATCH(J367-'Сводка'!$B$11,'Сводка'!$R$3:$R$397,0)</x:f>
        <x:v>377</x:v>
      </x:c>
      <x:c r="W367" s="4" t="n">
        <x:f>MATCH(T367,$J$388:$J$400,0)</x:f>
        <x:v>13</x:v>
      </x:c>
      <x:c r="X367" s="3"/>
      <x:c r="Y367" s="3"/>
      <x:c r="Z367" s="3"/>
    </x:row>
    <x:row r="368" ht="15" customHeight="1">
      <x:c r="A368" s="3"/>
      <x:c r="B368" s="3"/>
      <x:c r="C368" s="3"/>
      <x:c r="D368" s="3"/>
      <x:c r="E368" s="3"/>
      <x:c r="F368" s="3"/>
      <x:c r="G368" s="3"/>
      <x:c r="H368" s="3"/>
      <x:c r="I368" s="3"/>
      <x:c r="J368" s="10" t="n">
        <x:v>46219</x:v>
      </x:c>
      <x:c r="K368" s="8" t="n">
        <x:f>INDEX('Сводка'!$S$3:$S$397,U368)</x:f>
        <x:v>225</x:v>
      </x:c>
      <x:c r="L368" s="8" t="n">
        <x:f>INDEX('Сводка'!$S$3:$S$397,V368)</x:f>
        <x:v>206</x:v>
      </x:c>
      <x:c r="M368" s="8" t="n">
        <x:f>INDEX($K$388:$N$400,W368,1)*((J368-$T$405+1)/1000)^INDEX($K$388:$N$400,W368,2)+INDEX($O$388:$Z$400,W368,MONTH(J368))</x:f>
        <x:v>251.26921404977972</x:v>
      </x:c>
      <x:c r="N368" s="8" t="n">
        <x:f>K368-M368</x:f>
        <x:v>-26.26921404977972</x:v>
      </x:c>
      <x:c r="O368" s="8" t="n">
        <x:f>ABS(N368)</x:f>
        <x:v>26.26921404977972</x:v>
      </x:c>
      <x:c r="P368" s="8" t="n">
        <x:f>N368^2</x:f>
        <x:v>690.0716067931443</x:v>
      </x:c>
      <x:c r="Q368" s="8" t="n">
        <x:f>K368-L368</x:f>
        <x:v>19</x:v>
      </x:c>
      <x:c r="R368" s="9" t="n">
        <x:f>IF(AND(INDEX('Сводка'!$T$3:$T$397,U368)=0,INDEX('Сводка'!$T$3:$T$397,V368)=0),1,0)</x:f>
        <x:v>1</x:v>
      </x:c>
      <x:c r="S368" s="9" t="n">
        <x:f>IF(AND(R368=1,O368&lt;=$G$13),1,0)</x:f>
        <x:v>0</x:v>
      </x:c>
      <x:c r="T368" s="10" t="n">
        <x:f>EOMONTH(J368-'Сводка'!$B$11,-1)</x:f>
        <x:v>46203</x:v>
      </x:c>
      <x:c r="U368" s="4" t="n">
        <x:f>MATCH(J368,'Сводка'!$R$3:$R$397,0)</x:f>
        <x:v>379</x:v>
      </x:c>
      <x:c r="V368" s="4" t="n">
        <x:f>MATCH(J368-'Сводка'!$B$11,'Сводка'!$R$3:$R$397,0)</x:f>
        <x:v>378</x:v>
      </x:c>
      <x:c r="W368" s="4" t="n">
        <x:f>MATCH(T368,$J$388:$J$400,0)</x:f>
        <x:v>13</x:v>
      </x:c>
      <x:c r="X368" s="3"/>
      <x:c r="Y368" s="3"/>
      <x:c r="Z368" s="3"/>
    </x:row>
    <x:row r="369" ht="15" customHeight="1">
      <x:c r="A369" s="3"/>
      <x:c r="B369" s="3"/>
      <x:c r="C369" s="3"/>
      <x:c r="D369" s="3"/>
      <x:c r="E369" s="3"/>
      <x:c r="F369" s="3"/>
      <x:c r="G369" s="3"/>
      <x:c r="H369" s="3"/>
      <x:c r="I369" s="3"/>
      <x:c r="J369" s="10" t="n">
        <x:v>46220</x:v>
      </x:c>
      <x:c r="K369" s="8" t="n">
        <x:f>INDEX('Сводка'!$S$3:$S$397,U369)</x:f>
        <x:v>245</x:v>
      </x:c>
      <x:c r="L369" s="8" t="n">
        <x:f>INDEX('Сводка'!$S$3:$S$397,V369)</x:f>
        <x:v>225</x:v>
      </x:c>
      <x:c r="M369" s="8" t="n">
        <x:f>INDEX($K$388:$N$400,W369,1)*((J369-$T$405+1)/1000)^INDEX($K$388:$N$400,W369,2)+INDEX($O$388:$Z$400,W369,MONTH(J369))</x:f>
        <x:v>251.2845936444902</x:v>
      </x:c>
      <x:c r="N369" s="8" t="n">
        <x:f>K369-M369</x:f>
        <x:v>-6.284593644490201</x:v>
      </x:c>
      <x:c r="O369" s="8" t="n">
        <x:f>ABS(N369)</x:f>
        <x:v>6.284593644490201</x:v>
      </x:c>
      <x:c r="P369" s="8" t="n">
        <x:f>N369^2</x:f>
        <x:v>39.496117276366626</x:v>
      </x:c>
      <x:c r="Q369" s="8" t="n">
        <x:f>K369-L369</x:f>
        <x:v>20</x:v>
      </x:c>
      <x:c r="R369" s="9" t="n">
        <x:f>IF(AND(INDEX('Сводка'!$T$3:$T$397,U369)=0,INDEX('Сводка'!$T$3:$T$397,V369)=0),1,0)</x:f>
        <x:v>1</x:v>
      </x:c>
      <x:c r="S369" s="9" t="n">
        <x:f>IF(AND(R369=1,O369&lt;=$G$13),1,0)</x:f>
        <x:v>1</x:v>
      </x:c>
      <x:c r="T369" s="10" t="n">
        <x:f>EOMONTH(J369-'Сводка'!$B$11,-1)</x:f>
        <x:v>46203</x:v>
      </x:c>
      <x:c r="U369" s="4" t="n">
        <x:f>MATCH(J369,'Сводка'!$R$3:$R$397,0)</x:f>
        <x:v>380</x:v>
      </x:c>
      <x:c r="V369" s="4" t="n">
        <x:f>MATCH(J369-'Сводка'!$B$11,'Сводка'!$R$3:$R$397,0)</x:f>
        <x:v>379</x:v>
      </x:c>
      <x:c r="W369" s="4" t="n">
        <x:f>MATCH(T369,$J$388:$J$400,0)</x:f>
        <x:v>13</x:v>
      </x:c>
      <x:c r="X369" s="3"/>
      <x:c r="Y369" s="3"/>
      <x:c r="Z369" s="3"/>
    </x:row>
    <x:row r="370" ht="15" customHeight="1">
      <x:c r="A370" s="3"/>
      <x:c r="B370" s="3"/>
      <x:c r="C370" s="3"/>
      <x:c r="D370" s="3"/>
      <x:c r="E370" s="3"/>
      <x:c r="F370" s="3"/>
      <x:c r="G370" s="3"/>
      <x:c r="H370" s="3"/>
      <x:c r="I370" s="3"/>
      <x:c r="J370" s="10" t="n">
        <x:v>46221</x:v>
      </x:c>
      <x:c r="K370" s="8" t="n">
        <x:f>INDEX('Сводка'!$S$3:$S$397,U370)</x:f>
        <x:v>266</x:v>
      </x:c>
      <x:c r="L370" s="8" t="n">
        <x:f>INDEX('Сводка'!$S$3:$S$397,V370)</x:f>
        <x:v>245</x:v>
      </x:c>
      <x:c r="M370" s="8" t="n">
        <x:f>INDEX($K$388:$N$400,W370,1)*((J370-$T$405+1)/1000)^INDEX($K$388:$N$400,W370,2)+INDEX($O$388:$Z$400,W370,MONTH(J370))</x:f>
        <x:v>251.2999732164003</x:v>
      </x:c>
      <x:c r="N370" s="8" t="n">
        <x:f>K370-M370</x:f>
        <x:v>14.700026783599697</x:v>
      </x:c>
      <x:c r="O370" s="8" t="n">
        <x:f>ABS(N370)</x:f>
        <x:v>14.700026783599697</x:v>
      </x:c>
      <x:c r="P370" s="8" t="n">
        <x:f>N370^2</x:f>
        <x:v>216.09078743854843</x:v>
      </x:c>
      <x:c r="Q370" s="8" t="n">
        <x:f>K370-L370</x:f>
        <x:v>21</x:v>
      </x:c>
      <x:c r="R370" s="9" t="n">
        <x:f>IF(AND(INDEX('Сводка'!$T$3:$T$397,U370)=0,INDEX('Сводка'!$T$3:$T$397,V370)=0),1,0)</x:f>
        <x:v>1</x:v>
      </x:c>
      <x:c r="S370" s="9" t="n">
        <x:f>IF(AND(R370=1,O370&lt;=$G$13),1,0)</x:f>
        <x:v>0</x:v>
      </x:c>
      <x:c r="T370" s="10" t="n">
        <x:f>EOMONTH(J370-'Сводка'!$B$11,-1)</x:f>
        <x:v>46203</x:v>
      </x:c>
      <x:c r="U370" s="4" t="n">
        <x:f>MATCH(J370,'Сводка'!$R$3:$R$397,0)</x:f>
        <x:v>381</x:v>
      </x:c>
      <x:c r="V370" s="4" t="n">
        <x:f>MATCH(J370-'Сводка'!$B$11,'Сводка'!$R$3:$R$397,0)</x:f>
        <x:v>380</x:v>
      </x:c>
      <x:c r="W370" s="4" t="n">
        <x:f>MATCH(T370,$J$388:$J$400,0)</x:f>
        <x:v>13</x:v>
      </x:c>
      <x:c r="X370" s="3"/>
      <x:c r="Y370" s="3"/>
      <x:c r="Z370" s="3"/>
    </x:row>
    <x:row r="371" ht="15" customHeight="1">
      <x:c r="A371" s="3"/>
      <x:c r="B371" s="3"/>
      <x:c r="C371" s="3"/>
      <x:c r="D371" s="3"/>
      <x:c r="E371" s="3"/>
      <x:c r="F371" s="3"/>
      <x:c r="G371" s="3"/>
      <x:c r="H371" s="3"/>
      <x:c r="I371" s="3"/>
      <x:c r="J371" s="10" t="n">
        <x:v>46222</x:v>
      </x:c>
      <x:c r="K371" s="8" t="n">
        <x:f>INDEX('Сводка'!$S$3:$S$397,U371)</x:f>
        <x:v>281</x:v>
      </x:c>
      <x:c r="L371" s="8" t="n">
        <x:f>INDEX('Сводка'!$S$3:$S$397,V371)</x:f>
        <x:v>266</x:v>
      </x:c>
      <x:c r="M371" s="8" t="n">
        <x:f>INDEX($K$388:$N$400,W371,1)*((J371-$T$405+1)/1000)^INDEX($K$388:$N$400,W371,2)+INDEX($O$388:$Z$400,W371,MONTH(J371))</x:f>
        <x:v>251.31535276551253</x:v>
      </x:c>
      <x:c r="N371" s="8" t="n">
        <x:f>K371-M371</x:f>
        <x:v>29.68464723448747</x:v>
      </x:c>
      <x:c r="O371" s="8" t="n">
        <x:f>ABS(N371)</x:f>
        <x:v>29.68464723448747</x:v>
      </x:c>
      <x:c r="P371" s="8" t="n">
        <x:f>N371^2</x:f>
        <x:v>881.1782814359647</x:v>
      </x:c>
      <x:c r="Q371" s="8" t="n">
        <x:f>K371-L371</x:f>
        <x:v>15</x:v>
      </x:c>
      <x:c r="R371" s="9" t="n">
        <x:f>IF(AND(INDEX('Сводка'!$T$3:$T$397,U371)=0,INDEX('Сводка'!$T$3:$T$397,V371)=0),1,0)</x:f>
        <x:v>1</x:v>
      </x:c>
      <x:c r="S371" s="9" t="n">
        <x:f>IF(AND(R371=1,O371&lt;=$G$13),1,0)</x:f>
        <x:v>0</x:v>
      </x:c>
      <x:c r="T371" s="10" t="n">
        <x:f>EOMONTH(J371-'Сводка'!$B$11,-1)</x:f>
        <x:v>46203</x:v>
      </x:c>
      <x:c r="U371" s="4" t="n">
        <x:f>MATCH(J371,'Сводка'!$R$3:$R$397,0)</x:f>
        <x:v>382</x:v>
      </x:c>
      <x:c r="V371" s="4" t="n">
        <x:f>MATCH(J371-'Сводка'!$B$11,'Сводка'!$R$3:$R$397,0)</x:f>
        <x:v>381</x:v>
      </x:c>
      <x:c r="W371" s="4" t="n">
        <x:f>MATCH(T371,$J$388:$J$400,0)</x:f>
        <x:v>13</x:v>
      </x:c>
      <x:c r="X371" s="3"/>
      <x:c r="Y371" s="3"/>
      <x:c r="Z371" s="3"/>
    </x:row>
    <x:row r="372" ht="15" customHeight="1">
      <x:c r="A372" s="3"/>
      <x:c r="B372" s="3"/>
      <x:c r="C372" s="3"/>
      <x:c r="D372" s="3"/>
      <x:c r="E372" s="3"/>
      <x:c r="F372" s="3"/>
      <x:c r="G372" s="3"/>
      <x:c r="H372" s="3"/>
      <x:c r="I372" s="3"/>
      <x:c r="J372" s="10" t="n">
        <x:v>46223</x:v>
      </x:c>
      <x:c r="K372" s="8" t="n">
        <x:f>INDEX('Сводка'!$S$3:$S$397,U372)</x:f>
        <x:v>292</x:v>
      </x:c>
      <x:c r="L372" s="8" t="n">
        <x:f>INDEX('Сводка'!$S$3:$S$397,V372)</x:f>
        <x:v>281</x:v>
      </x:c>
      <x:c r="M372" s="8" t="n">
        <x:f>INDEX($K$388:$N$400,W372,1)*((J372-$T$405+1)/1000)^INDEX($K$388:$N$400,W372,2)+INDEX($O$388:$Z$400,W372,MONTH(J372))</x:f>
        <x:v>251.33073229182952</x:v>
      </x:c>
      <x:c r="N372" s="8" t="n">
        <x:f>K372-M372</x:f>
        <x:v>40.66926770817048</x:v>
      </x:c>
      <x:c r="O372" s="8" t="n">
        <x:f>ABS(N372)</x:f>
        <x:v>40.66926770817048</x:v>
      </x:c>
      <x:c r="P372" s="8" t="n">
        <x:f>N372^2</x:f>
        <x:v>1653.9893359188382</x:v>
      </x:c>
      <x:c r="Q372" s="8" t="n">
        <x:f>K372-L372</x:f>
        <x:v>11</x:v>
      </x:c>
      <x:c r="R372" s="9" t="n">
        <x:f>IF(AND(INDEX('Сводка'!$T$3:$T$397,U372)=0,INDEX('Сводка'!$T$3:$T$397,V372)=0),1,0)</x:f>
        <x:v>1</x:v>
      </x:c>
      <x:c r="S372" s="9" t="n">
        <x:f>IF(AND(R372=1,O372&lt;=$G$13),1,0)</x:f>
        <x:v>0</x:v>
      </x:c>
      <x:c r="T372" s="10" t="n">
        <x:f>EOMONTH(J372-'Сводка'!$B$11,-1)</x:f>
        <x:v>46203</x:v>
      </x:c>
      <x:c r="U372" s="4" t="n">
        <x:f>MATCH(J372,'Сводка'!$R$3:$R$397,0)</x:f>
        <x:v>383</x:v>
      </x:c>
      <x:c r="V372" s="4" t="n">
        <x:f>MATCH(J372-'Сводка'!$B$11,'Сводка'!$R$3:$R$397,0)</x:f>
        <x:v>382</x:v>
      </x:c>
      <x:c r="W372" s="4" t="n">
        <x:f>MATCH(T372,$J$388:$J$400,0)</x:f>
        <x:v>13</x:v>
      </x:c>
      <x:c r="X372" s="3"/>
      <x:c r="Y372" s="3"/>
      <x:c r="Z372" s="3"/>
    </x:row>
    <x:row r="373" ht="15" customHeight="1">
      <x:c r="A373" s="3"/>
      <x:c r="B373" s="3"/>
      <x:c r="C373" s="3"/>
      <x:c r="D373" s="3"/>
      <x:c r="E373" s="3"/>
      <x:c r="F373" s="3"/>
      <x:c r="G373" s="3"/>
      <x:c r="H373" s="3"/>
      <x:c r="I373" s="3"/>
      <x:c r="J373" s="10" t="n">
        <x:v>46224</x:v>
      </x:c>
      <x:c r="K373" s="8" t="n">
        <x:f>INDEX('Сводка'!$S$3:$S$397,U373)</x:f>
        <x:v>303</x:v>
      </x:c>
      <x:c r="L373" s="8" t="n">
        <x:f>INDEX('Сводка'!$S$3:$S$397,V373)</x:f>
        <x:v>292</x:v>
      </x:c>
      <x:c r="M373" s="8" t="n">
        <x:f>INDEX($K$388:$N$400,W373,1)*((J373-$T$405+1)/1000)^INDEX($K$388:$N$400,W373,2)+INDEX($O$388:$Z$400,W373,MONTH(J373))</x:f>
        <x:v>251.3461117953538</x:v>
      </x:c>
      <x:c r="N373" s="8" t="n">
        <x:f>K373-M373</x:f>
        <x:v>51.653888204646194</x:v>
      </x:c>
      <x:c r="O373" s="8" t="n">
        <x:f>ABS(N373)</x:f>
        <x:v>51.653888204646194</x:v>
      </x:c>
      <x:c r="P373" s="8" t="n">
        <x:f>N373^2</x:f>
        <x:v>2668.1241666580872</x:v>
      </x:c>
      <x:c r="Q373" s="8" t="n">
        <x:f>K373-L373</x:f>
        <x:v>11</x:v>
      </x:c>
      <x:c r="R373" s="9" t="n">
        <x:f>IF(AND(INDEX('Сводка'!$T$3:$T$397,U373)=0,INDEX('Сводка'!$T$3:$T$397,V373)=0),1,0)</x:f>
        <x:v>1</x:v>
      </x:c>
      <x:c r="S373" s="9" t="n">
        <x:f>IF(AND(R373=1,O373&lt;=$G$13),1,0)</x:f>
        <x:v>0</x:v>
      </x:c>
      <x:c r="T373" s="10" t="n">
        <x:f>EOMONTH(J373-'Сводка'!$B$11,-1)</x:f>
        <x:v>46203</x:v>
      </x:c>
      <x:c r="U373" s="4" t="n">
        <x:f>MATCH(J373,'Сводка'!$R$3:$R$397,0)</x:f>
        <x:v>384</x:v>
      </x:c>
      <x:c r="V373" s="4" t="n">
        <x:f>MATCH(J373-'Сводка'!$B$11,'Сводка'!$R$3:$R$397,0)</x:f>
        <x:v>383</x:v>
      </x:c>
      <x:c r="W373" s="4" t="n">
        <x:f>MATCH(T373,$J$388:$J$400,0)</x:f>
        <x:v>13</x:v>
      </x:c>
      <x:c r="X373" s="3"/>
      <x:c r="Y373" s="3"/>
      <x:c r="Z373" s="3"/>
    </x:row>
    <x:row r="374" ht="15" customHeight="1">
      <x:c r="A374" s="3"/>
      <x:c r="B374" s="3"/>
      <x:c r="C374" s="3"/>
      <x:c r="D374" s="3"/>
      <x:c r="E374" s="3"/>
      <x:c r="F374" s="3"/>
      <x:c r="G374" s="3"/>
      <x:c r="H374" s="3"/>
      <x:c r="I374" s="3"/>
      <x:c r="J374" s="10" t="n">
        <x:v>46225</x:v>
      </x:c>
      <x:c r="K374" s="8" t="n">
        <x:f>INDEX('Сводка'!$S$3:$S$397,U374)</x:f>
        <x:v>311</x:v>
      </x:c>
      <x:c r="L374" s="8" t="n">
        <x:f>INDEX('Сводка'!$S$3:$S$397,V374)</x:f>
        <x:v>303</x:v>
      </x:c>
      <x:c r="M374" s="8" t="n">
        <x:f>INDEX($K$388:$N$400,W374,1)*((J374-$T$405+1)/1000)^INDEX($K$388:$N$400,W374,2)+INDEX($O$388:$Z$400,W374,MONTH(J374))</x:f>
        <x:v>251.361491276088</x:v>
      </x:c>
      <x:c r="N374" s="8" t="n">
        <x:f>K374-M374</x:f>
        <x:v>59.638508723912</x:v>
      </x:c>
      <x:c r="O374" s="8" t="n">
        <x:f>ABS(N374)</x:f>
        <x:v>59.638508723912</x:v>
      </x:c>
      <x:c r="P374" s="8" t="n">
        <x:f>N374^2</x:f>
        <x:v>3556.7517228121274</x:v>
      </x:c>
      <x:c r="Q374" s="8" t="n">
        <x:f>K374-L374</x:f>
        <x:v>8</x:v>
      </x:c>
      <x:c r="R374" s="9" t="n">
        <x:f>IF(AND(INDEX('Сводка'!$T$3:$T$397,U374)=0,INDEX('Сводка'!$T$3:$T$397,V374)=0),1,0)</x:f>
        <x:v>1</x:v>
      </x:c>
      <x:c r="S374" s="9" t="n">
        <x:f>IF(AND(R374=1,O374&lt;=$G$13),1,0)</x:f>
        <x:v>0</x:v>
      </x:c>
      <x:c r="T374" s="10" t="n">
        <x:f>EOMONTH(J374-'Сводка'!$B$11,-1)</x:f>
        <x:v>46203</x:v>
      </x:c>
      <x:c r="U374" s="4" t="n">
        <x:f>MATCH(J374,'Сводка'!$R$3:$R$397,0)</x:f>
        <x:v>385</x:v>
      </x:c>
      <x:c r="V374" s="4" t="n">
        <x:f>MATCH(J374-'Сводка'!$B$11,'Сводка'!$R$3:$R$397,0)</x:f>
        <x:v>384</x:v>
      </x:c>
      <x:c r="W374" s="4" t="n">
        <x:f>MATCH(T374,$J$388:$J$400,0)</x:f>
        <x:v>13</x:v>
      </x:c>
      <x:c r="X374" s="3"/>
      <x:c r="Y374" s="3"/>
      <x:c r="Z374" s="3"/>
    </x:row>
    <x:row r="375" ht="15" customHeight="1">
      <x:c r="A375" s="3"/>
      <x:c r="B375" s="3"/>
      <x:c r="C375" s="3"/>
      <x:c r="D375" s="3"/>
      <x:c r="E375" s="3"/>
      <x:c r="F375" s="3"/>
      <x:c r="G375" s="3"/>
      <x:c r="H375" s="3"/>
      <x:c r="I375" s="3"/>
      <x:c r="J375" s="10" t="n">
        <x:v>46226</x:v>
      </x:c>
      <x:c r="K375" s="8" t="n">
        <x:f>INDEX('Сводка'!$S$3:$S$397,U375)</x:f>
        <x:v>328</x:v>
      </x:c>
      <x:c r="L375" s="8" t="n">
        <x:f>INDEX('Сводка'!$S$3:$S$397,V375)</x:f>
        <x:v>311</x:v>
      </x:c>
      <x:c r="M375" s="8" t="n">
        <x:f>INDEX($K$388:$N$400,W375,1)*((J375-$T$405+1)/1000)^INDEX($K$388:$N$400,W375,2)+INDEX($O$388:$Z$400,W375,MONTH(J375))</x:f>
        <x:v>251.37687073403464</x:v>
      </x:c>
      <x:c r="N375" s="8" t="n">
        <x:f>K375-M375</x:f>
        <x:v>76.62312926596536</x:v>
      </x:c>
      <x:c r="O375" s="8" t="n">
        <x:f>ABS(N375)</x:f>
        <x:v>76.62312926596536</x:v>
      </x:c>
      <x:c r="P375" s="8" t="n">
        <x:f>N375^2</x:f>
        <x:v>5871.103938508837</x:v>
      </x:c>
      <x:c r="Q375" s="8" t="n">
        <x:f>K375-L375</x:f>
        <x:v>17</x:v>
      </x:c>
      <x:c r="R375" s="9" t="n">
        <x:f>IF(AND(INDEX('Сводка'!$T$3:$T$397,U375)=0,INDEX('Сводка'!$T$3:$T$397,V375)=0),1,0)</x:f>
        <x:v>1</x:v>
      </x:c>
      <x:c r="S375" s="9" t="n">
        <x:f>IF(AND(R375=1,O375&lt;=$G$13),1,0)</x:f>
        <x:v>0</x:v>
      </x:c>
      <x:c r="T375" s="10" t="n">
        <x:f>EOMONTH(J375-'Сводка'!$B$11,-1)</x:f>
        <x:v>46203</x:v>
      </x:c>
      <x:c r="U375" s="4" t="n">
        <x:f>MATCH(J375,'Сводка'!$R$3:$R$397,0)</x:f>
        <x:v>386</x:v>
      </x:c>
      <x:c r="V375" s="4" t="n">
        <x:f>MATCH(J375-'Сводка'!$B$11,'Сводка'!$R$3:$R$397,0)</x:f>
        <x:v>385</x:v>
      </x:c>
      <x:c r="W375" s="4" t="n">
        <x:f>MATCH(T375,$J$388:$J$400,0)</x:f>
        <x:v>13</x:v>
      </x:c>
      <x:c r="X375" s="3"/>
      <x:c r="Y375" s="3"/>
      <x:c r="Z375" s="3"/>
    </x:row>
    <x:row r="376" ht="15" customHeight="1">
      <x:c r="A376" s="3"/>
      <x:c r="B376" s="3"/>
      <x:c r="C376" s="3"/>
      <x:c r="D376" s="3"/>
      <x:c r="E376" s="3"/>
      <x:c r="F376" s="3"/>
      <x:c r="G376" s="3"/>
      <x:c r="H376" s="3"/>
      <x:c r="I376" s="3"/>
      <x:c r="J376" s="10" t="n">
        <x:v>46227</x:v>
      </x:c>
      <x:c r="K376" s="8" t="n">
        <x:f>INDEX('Сводка'!$S$3:$S$397,U376)</x:f>
        <x:v>340</x:v>
      </x:c>
      <x:c r="L376" s="8" t="n">
        <x:f>INDEX('Сводка'!$S$3:$S$397,V376)</x:f>
        <x:v>328</x:v>
      </x:c>
      <x:c r="M376" s="8" t="n">
        <x:f>INDEX($K$388:$N$400,W376,1)*((J376-$T$405+1)/1000)^INDEX($K$388:$N$400,W376,2)+INDEX($O$388:$Z$400,W376,MONTH(J376))</x:f>
        <x:v>251.39225016919633</x:v>
      </x:c>
      <x:c r="N376" s="8" t="n">
        <x:f>K376-M376</x:f>
        <x:v>88.60774983080367</x:v>
      </x:c>
      <x:c r="O376" s="8" t="n">
        <x:f>ABS(N376)</x:f>
        <x:v>88.60774983080367</x:v>
      </x:c>
      <x:c r="P376" s="8" t="n">
        <x:f>N376^2</x:f>
        <x:v>7851.333330078288</x:v>
      </x:c>
      <x:c r="Q376" s="8" t="n">
        <x:f>K376-L376</x:f>
        <x:v>12</x:v>
      </x:c>
      <x:c r="R376" s="9" t="n">
        <x:f>IF(AND(INDEX('Сводка'!$T$3:$T$397,U376)=0,INDEX('Сводка'!$T$3:$T$397,V376)=0),1,0)</x:f>
        <x:v>1</x:v>
      </x:c>
      <x:c r="S376" s="9" t="n">
        <x:f>IF(AND(R376=1,O376&lt;=$G$13),1,0)</x:f>
        <x:v>0</x:v>
      </x:c>
      <x:c r="T376" s="10" t="n">
        <x:f>EOMONTH(J376-'Сводка'!$B$11,-1)</x:f>
        <x:v>46203</x:v>
      </x:c>
      <x:c r="U376" s="4" t="n">
        <x:f>MATCH(J376,'Сводка'!$R$3:$R$397,0)</x:f>
        <x:v>387</x:v>
      </x:c>
      <x:c r="V376" s="4" t="n">
        <x:f>MATCH(J376-'Сводка'!$B$11,'Сводка'!$R$3:$R$397,0)</x:f>
        <x:v>386</x:v>
      </x:c>
      <x:c r="W376" s="4" t="n">
        <x:f>MATCH(T376,$J$388:$J$400,0)</x:f>
        <x:v>13</x:v>
      </x:c>
      <x:c r="X376" s="3"/>
      <x:c r="Y376" s="3"/>
      <x:c r="Z376" s="3"/>
    </x:row>
    <x:row r="377" ht="15" customHeight="1">
      <x:c r="A377" s="3"/>
      <x:c r="B377" s="3"/>
      <x:c r="C377" s="3"/>
      <x:c r="D377" s="3"/>
      <x:c r="E377" s="3"/>
      <x:c r="F377" s="3"/>
      <x:c r="G377" s="3"/>
      <x:c r="H377" s="3"/>
      <x:c r="I377" s="3"/>
      <x:c r="J377" s="10" t="n">
        <x:v>46228</x:v>
      </x:c>
      <x:c r="K377" s="8" t="n">
        <x:f>INDEX('Сводка'!$S$3:$S$397,U377)</x:f>
        <x:v>350</x:v>
      </x:c>
      <x:c r="L377" s="8" t="n">
        <x:f>INDEX('Сводка'!$S$3:$S$397,V377)</x:f>
        <x:v>340</x:v>
      </x:c>
      <x:c r="M377" s="8" t="n">
        <x:f>INDEX($K$388:$N$400,W377,1)*((J377-$T$405+1)/1000)^INDEX($K$388:$N$400,W377,2)+INDEX($O$388:$Z$400,W377,MONTH(J377))</x:f>
        <x:v>251.4076295815756</x:v>
      </x:c>
      <x:c r="N377" s="8" t="n">
        <x:f>K377-M377</x:f>
        <x:v>98.5923704184244</x:v>
      </x:c>
      <x:c r="O377" s="8" t="n">
        <x:f>ABS(N377)</x:f>
        <x:v>98.5923704184244</x:v>
      </x:c>
      <x:c r="P377" s="8" t="n">
        <x:f>N377^2</x:f>
        <x:v>9720.455504723806</x:v>
      </x:c>
      <x:c r="Q377" s="8" t="n">
        <x:f>K377-L377</x:f>
        <x:v>10</x:v>
      </x:c>
      <x:c r="R377" s="9" t="n">
        <x:f>IF(AND(INDEX('Сводка'!$T$3:$T$397,U377)=0,INDEX('Сводка'!$T$3:$T$397,V377)=0),1,0)</x:f>
        <x:v>1</x:v>
      </x:c>
      <x:c r="S377" s="9" t="n">
        <x:f>IF(AND(R377=1,O377&lt;=$G$13),1,0)</x:f>
        <x:v>0</x:v>
      </x:c>
      <x:c r="T377" s="10" t="n">
        <x:f>EOMONTH(J377-'Сводка'!$B$11,-1)</x:f>
        <x:v>46203</x:v>
      </x:c>
      <x:c r="U377" s="4" t="n">
        <x:f>MATCH(J377,'Сводка'!$R$3:$R$397,0)</x:f>
        <x:v>388</x:v>
      </x:c>
      <x:c r="V377" s="4" t="n">
        <x:f>MATCH(J377-'Сводка'!$B$11,'Сводка'!$R$3:$R$397,0)</x:f>
        <x:v>387</x:v>
      </x:c>
      <x:c r="W377" s="4" t="n">
        <x:f>MATCH(T377,$J$388:$J$400,0)</x:f>
        <x:v>13</x:v>
      </x:c>
      <x:c r="X377" s="3"/>
      <x:c r="Y377" s="3"/>
      <x:c r="Z377" s="3"/>
    </x:row>
    <x:row r="378" ht="15" customHeight="1">
      <x:c r="A378" s="3"/>
      <x:c r="B378" s="3"/>
      <x:c r="C378" s="3"/>
      <x:c r="D378" s="3"/>
      <x:c r="E378" s="3"/>
      <x:c r="F378" s="3"/>
      <x:c r="G378" s="3"/>
      <x:c r="H378" s="3"/>
      <x:c r="I378" s="3"/>
      <x:c r="J378" s="10" t="n">
        <x:v>46229</x:v>
      </x:c>
      <x:c r="K378" s="8" t="n">
        <x:f>INDEX('Сводка'!$S$3:$S$397,U378)</x:f>
        <x:v>361</x:v>
      </x:c>
      <x:c r="L378" s="8" t="n">
        <x:f>INDEX('Сводка'!$S$3:$S$397,V378)</x:f>
        <x:v>350</x:v>
      </x:c>
      <x:c r="M378" s="8" t="n">
        <x:f>INDEX($K$388:$N$400,W378,1)*((J378-$T$405+1)/1000)^INDEX($K$388:$N$400,W378,2)+INDEX($O$388:$Z$400,W378,MONTH(J378))</x:f>
        <x:v>251.42300897117514</x:v>
      </x:c>
      <x:c r="N378" s="8" t="n">
        <x:f>K378-M378</x:f>
        <x:v>109.57699102882486</x:v>
      </x:c>
      <x:c r="O378" s="8" t="n">
        <x:f>ABS(N378)</x:f>
        <x:v>109.57699102882486</x:v>
      </x:c>
      <x:c r="P378" s="8" t="n">
        <x:f>N378^2</x:f>
        <x:v>12007.116962931164</x:v>
      </x:c>
      <x:c r="Q378" s="8" t="n">
        <x:f>K378-L378</x:f>
        <x:v>11</x:v>
      </x:c>
      <x:c r="R378" s="9" t="n">
        <x:f>IF(AND(INDEX('Сводка'!$T$3:$T$397,U378)=0,INDEX('Сводка'!$T$3:$T$397,V378)=0),1,0)</x:f>
        <x:v>1</x:v>
      </x:c>
      <x:c r="S378" s="9" t="n">
        <x:f>IF(AND(R378=1,O378&lt;=$G$13),1,0)</x:f>
        <x:v>0</x:v>
      </x:c>
      <x:c r="T378" s="10" t="n">
        <x:f>EOMONTH(J378-'Сводка'!$B$11,-1)</x:f>
        <x:v>46203</x:v>
      </x:c>
      <x:c r="U378" s="4" t="n">
        <x:f>MATCH(J378,'Сводка'!$R$3:$R$397,0)</x:f>
        <x:v>389</x:v>
      </x:c>
      <x:c r="V378" s="4" t="n">
        <x:f>MATCH(J378-'Сводка'!$B$11,'Сводка'!$R$3:$R$397,0)</x:f>
        <x:v>388</x:v>
      </x:c>
      <x:c r="W378" s="4" t="n">
        <x:f>MATCH(T378,$J$388:$J$400,0)</x:f>
        <x:v>13</x:v>
      </x:c>
      <x:c r="X378" s="3"/>
      <x:c r="Y378" s="3"/>
      <x:c r="Z378" s="3"/>
    </x:row>
    <x:row r="379" ht="15" customHeight="1">
      <x:c r="A379" s="3"/>
      <x:c r="B379" s="3"/>
      <x:c r="C379" s="3"/>
      <x:c r="D379" s="3"/>
      <x:c r="E379" s="3"/>
      <x:c r="F379" s="3"/>
      <x:c r="G379" s="3"/>
      <x:c r="H379" s="3"/>
      <x:c r="I379" s="3"/>
      <x:c r="J379" s="10" t="n">
        <x:v>46230</x:v>
      </x:c>
      <x:c r="K379" s="8" t="n">
        <x:f>INDEX('Сводка'!$S$3:$S$397,U379)</x:f>
        <x:v>369</x:v>
      </x:c>
      <x:c r="L379" s="8" t="n">
        <x:f>INDEX('Сводка'!$S$3:$S$397,V379)</x:f>
        <x:v>361</x:v>
      </x:c>
      <x:c r="M379" s="8" t="n">
        <x:f>INDEX($K$388:$N$400,W379,1)*((J379-$T$405+1)/1000)^INDEX($K$388:$N$400,W379,2)+INDEX($O$388:$Z$400,W379,MONTH(J379))</x:f>
        <x:v>251.43838833799737</x:v>
      </x:c>
      <x:c r="N379" s="8" t="n">
        <x:f>K379-M379</x:f>
        <x:v>117.56161166200263</x:v>
      </x:c>
      <x:c r="O379" s="8" t="n">
        <x:f>ABS(N379)</x:f>
        <x:v>117.56161166200263</x:v>
      </x:c>
      <x:c r="P379" s="8" t="n">
        <x:f>N379^2</x:f>
        <x:v>13820.732536567513</x:v>
      </x:c>
      <x:c r="Q379" s="8" t="n">
        <x:f>K379-L379</x:f>
        <x:v>8</x:v>
      </x:c>
      <x:c r="R379" s="9" t="n">
        <x:f>IF(AND(INDEX('Сводка'!$T$3:$T$397,U379)=0,INDEX('Сводка'!$T$3:$T$397,V379)=0),1,0)</x:f>
        <x:v>1</x:v>
      </x:c>
      <x:c r="S379" s="9" t="n">
        <x:f>IF(AND(R379=1,O379&lt;=$G$13),1,0)</x:f>
        <x:v>0</x:v>
      </x:c>
      <x:c r="T379" s="10" t="n">
        <x:f>EOMONTH(J379-'Сводка'!$B$11,-1)</x:f>
        <x:v>46203</x:v>
      </x:c>
      <x:c r="U379" s="4" t="n">
        <x:f>MATCH(J379,'Сводка'!$R$3:$R$397,0)</x:f>
        <x:v>390</x:v>
      </x:c>
      <x:c r="V379" s="4" t="n">
        <x:f>MATCH(J379-'Сводка'!$B$11,'Сводка'!$R$3:$R$397,0)</x:f>
        <x:v>389</x:v>
      </x:c>
      <x:c r="W379" s="4" t="n">
        <x:f>MATCH(T379,$J$388:$J$400,0)</x:f>
        <x:v>13</x:v>
      </x:c>
      <x:c r="X379" s="3"/>
      <x:c r="Y379" s="3"/>
      <x:c r="Z379" s="3"/>
    </x:row>
    <x:row r="380" ht="15" customHeight="1">
      <x:c r="A380" s="3"/>
      <x:c r="B380" s="3"/>
      <x:c r="C380" s="3"/>
      <x:c r="D380" s="3"/>
      <x:c r="E380" s="3"/>
      <x:c r="F380" s="3"/>
      <x:c r="G380" s="3"/>
      <x:c r="H380" s="3"/>
      <x:c r="I380" s="3"/>
      <x:c r="J380" s="10" t="n">
        <x:v>46231</x:v>
      </x:c>
      <x:c r="K380" s="8" t="n">
        <x:f>INDEX('Сводка'!$S$3:$S$397,U380)</x:f>
        <x:v>377</x:v>
      </x:c>
      <x:c r="L380" s="8" t="n">
        <x:f>INDEX('Сводка'!$S$3:$S$397,V380)</x:f>
        <x:v>369</x:v>
      </x:c>
      <x:c r="M380" s="8" t="n">
        <x:f>INDEX($K$388:$N$400,W380,1)*((J380-$T$405+1)/1000)^INDEX($K$388:$N$400,W380,2)+INDEX($O$388:$Z$400,W380,MONTH(J380))</x:f>
        <x:v>251.45376768204494</x:v>
      </x:c>
      <x:c r="N380" s="8" t="n">
        <x:f>K380-M380</x:f>
        <x:v>125.54623231795506</x:v>
      </x:c>
      <x:c r="O380" s="8" t="n">
        <x:f>ABS(N380)</x:f>
        <x:v>125.54623231795506</x:v>
      </x:c>
      <x:c r="P380" s="8" t="n">
        <x:f>N380^2</x:f>
        <x:v>15761.856449233943</x:v>
      </x:c>
      <x:c r="Q380" s="8" t="n">
        <x:f>K380-L380</x:f>
        <x:v>8</x:v>
      </x:c>
      <x:c r="R380" s="9" t="n">
        <x:f>IF(AND(INDEX('Сводка'!$T$3:$T$397,U380)=0,INDEX('Сводка'!$T$3:$T$397,V380)=0),1,0)</x:f>
        <x:v>1</x:v>
      </x:c>
      <x:c r="S380" s="9" t="n">
        <x:f>IF(AND(R380=1,O380&lt;=$G$13),1,0)</x:f>
        <x:v>0</x:v>
      </x:c>
      <x:c r="T380" s="10" t="n">
        <x:f>EOMONTH(J380-'Сводка'!$B$11,-1)</x:f>
        <x:v>46203</x:v>
      </x:c>
      <x:c r="U380" s="4" t="n">
        <x:f>MATCH(J380,'Сводка'!$R$3:$R$397,0)</x:f>
        <x:v>391</x:v>
      </x:c>
      <x:c r="V380" s="4" t="n">
        <x:f>MATCH(J380-'Сводка'!$B$11,'Сводка'!$R$3:$R$397,0)</x:f>
        <x:v>390</x:v>
      </x:c>
      <x:c r="W380" s="4" t="n">
        <x:f>MATCH(T380,$J$388:$J$400,0)</x:f>
        <x:v>13</x:v>
      </x:c>
      <x:c r="X380" s="3"/>
      <x:c r="Y380" s="3"/>
      <x:c r="Z380" s="3"/>
    </x:row>
    <x:row r="381" ht="15" customHeight="1">
      <x:c r="A381" s="3"/>
      <x:c r="B381" s="3"/>
      <x:c r="C381" s="3"/>
      <x:c r="D381" s="3"/>
      <x:c r="E381" s="3"/>
      <x:c r="F381" s="3"/>
      <x:c r="G381" s="3"/>
      <x:c r="H381" s="3"/>
      <x:c r="I381" s="3"/>
      <x:c r="J381" s="10" t="n">
        <x:v>46232</x:v>
      </x:c>
      <x:c r="K381" s="8" t="n">
        <x:f>INDEX('Сводка'!$S$3:$S$397,U381)</x:f>
        <x:v>385</x:v>
      </x:c>
      <x:c r="L381" s="8" t="n">
        <x:f>INDEX('Сводка'!$S$3:$S$397,V381)</x:f>
        <x:v>377</x:v>
      </x:c>
      <x:c r="M381" s="8" t="n">
        <x:f>INDEX($K$388:$N$400,W381,1)*((J381-$T$405+1)/1000)^INDEX($K$388:$N$400,W381,2)+INDEX($O$388:$Z$400,W381,MONTH(J381))</x:f>
        <x:v>251.46914700332042</x:v>
      </x:c>
      <x:c r="N381" s="8" t="n">
        <x:f>K381-M381</x:f>
        <x:v>133.53085299667958</x:v>
      </x:c>
      <x:c r="O381" s="8" t="n">
        <x:f>ABS(N381)</x:f>
        <x:v>133.53085299667958</x:v>
      </x:c>
      <x:c r="P381" s="8" t="n">
        <x:f>N381^2</x:f>
        <x:v>17830.48870202085</x:v>
      </x:c>
      <x:c r="Q381" s="8" t="n">
        <x:f>K381-L381</x:f>
        <x:v>8</x:v>
      </x:c>
      <x:c r="R381" s="9" t="n">
        <x:f>IF(AND(INDEX('Сводка'!$T$3:$T$397,U381)=0,INDEX('Сводка'!$T$3:$T$397,V381)=0),1,0)</x:f>
        <x:v>1</x:v>
      </x:c>
      <x:c r="S381" s="9" t="n">
        <x:f>IF(AND(R381=1,O381&lt;=$G$13),1,0)</x:f>
        <x:v>0</x:v>
      </x:c>
      <x:c r="T381" s="10" t="n">
        <x:f>EOMONTH(J381-'Сводка'!$B$11,-1)</x:f>
        <x:v>46203</x:v>
      </x:c>
      <x:c r="U381" s="4" t="n">
        <x:f>MATCH(J381,'Сводка'!$R$3:$R$397,0)</x:f>
        <x:v>392</x:v>
      </x:c>
      <x:c r="V381" s="4" t="n">
        <x:f>MATCH(J381-'Сводка'!$B$11,'Сводка'!$R$3:$R$397,0)</x:f>
        <x:v>391</x:v>
      </x:c>
      <x:c r="W381" s="4" t="n">
        <x:f>MATCH(T381,$J$388:$J$400,0)</x:f>
        <x:v>13</x:v>
      </x:c>
      <x:c r="X381" s="3"/>
      <x:c r="Y381" s="3"/>
      <x:c r="Z381" s="3"/>
    </x:row>
    <x:row r="382" ht="15" customHeight="1">
      <x:c r="A382" s="3"/>
      <x:c r="B382" s="3"/>
      <x:c r="C382" s="3"/>
      <x:c r="D382" s="3"/>
      <x:c r="E382" s="3"/>
      <x:c r="F382" s="3"/>
      <x:c r="G382" s="3"/>
      <x:c r="H382" s="3"/>
      <x:c r="I382" s="3"/>
      <x:c r="J382" s="10" t="n">
        <x:v>46233</x:v>
      </x:c>
      <x:c r="K382" s="8" t="n">
        <x:f>INDEX('Сводка'!$S$3:$S$397,U382)</x:f>
        <x:v>389</x:v>
      </x:c>
      <x:c r="L382" s="8" t="n">
        <x:f>INDEX('Сводка'!$S$3:$S$397,V382)</x:f>
        <x:v>385</x:v>
      </x:c>
      <x:c r="M382" s="8" t="n">
        <x:f>INDEX($K$388:$N$400,W382,1)*((J382-$T$405+1)/1000)^INDEX($K$388:$N$400,W382,2)+INDEX($O$388:$Z$400,W382,MONTH(J382))</x:f>
        <x:v>251.48452630182638</x:v>
      </x:c>
      <x:c r="N382" s="8" t="n">
        <x:f>K382-M382</x:f>
        <x:v>137.51547369817362</x:v>
      </x:c>
      <x:c r="O382" s="8" t="n">
        <x:f>ABS(N382)</x:f>
        <x:v>137.51547369817362</x:v>
      </x:c>
      <x:c r="P382" s="8" t="n">
        <x:f>N382^2</x:f>
        <x:v>18910.50550643308</x:v>
      </x:c>
      <x:c r="Q382" s="8" t="n">
        <x:f>K382-L382</x:f>
        <x:v>4</x:v>
      </x:c>
      <x:c r="R382" s="9" t="n">
        <x:f>IF(AND(INDEX('Сводка'!$T$3:$T$397,U382)=0,INDEX('Сводка'!$T$3:$T$397,V382)=0),1,0)</x:f>
        <x:v>1</x:v>
      </x:c>
      <x:c r="S382" s="9" t="n">
        <x:f>IF(AND(R382=1,O382&lt;=$G$13),1,0)</x:f>
        <x:v>0</x:v>
      </x:c>
      <x:c r="T382" s="10" t="n">
        <x:f>EOMONTH(J382-'Сводка'!$B$11,-1)</x:f>
        <x:v>46203</x:v>
      </x:c>
      <x:c r="U382" s="4" t="n">
        <x:f>MATCH(J382,'Сводка'!$R$3:$R$397,0)</x:f>
        <x:v>393</x:v>
      </x:c>
      <x:c r="V382" s="4" t="n">
        <x:f>MATCH(J382-'Сводка'!$B$11,'Сводка'!$R$3:$R$397,0)</x:f>
        <x:v>392</x:v>
      </x:c>
      <x:c r="W382" s="4" t="n">
        <x:f>MATCH(T382,$J$388:$J$400,0)</x:f>
        <x:v>13</x:v>
      </x:c>
      <x:c r="X382" s="3"/>
      <x:c r="Y382" s="3"/>
      <x:c r="Z382" s="3"/>
    </x:row>
    <x:row r="383" ht="15" customHeight="1">
      <x:c r="A383" s="3"/>
      <x:c r="B383" s="3"/>
      <x:c r="C383" s="3"/>
      <x:c r="D383" s="3"/>
      <x:c r="E383" s="3"/>
      <x:c r="F383" s="3"/>
      <x:c r="G383" s="3"/>
      <x:c r="H383" s="3"/>
      <x:c r="I383" s="3"/>
      <x:c r="J383" s="10" t="n">
        <x:v>46234</x:v>
      </x:c>
      <x:c r="K383" s="8" t="n">
        <x:f>INDEX('Сводка'!$S$3:$S$397,U383)</x:f>
        <x:v>399</x:v>
      </x:c>
      <x:c r="L383" s="8" t="n">
        <x:f>INDEX('Сводка'!$S$3:$S$397,V383)</x:f>
        <x:v>389</x:v>
      </x:c>
      <x:c r="M383" s="8" t="n">
        <x:f>INDEX($K$388:$N$400,W383,1)*((J383-$T$405+1)/1000)^INDEX($K$388:$N$400,W383,2)+INDEX($O$388:$Z$400,W383,MONTH(J383))</x:f>
        <x:v>251.49990557756533</x:v>
      </x:c>
      <x:c r="N383" s="8" t="n">
        <x:f>K383-M383</x:f>
        <x:v>147.50009442243467</x:v>
      </x:c>
      <x:c r="O383" s="8" t="n">
        <x:f>ABS(N383)</x:f>
        <x:v>147.50009442243467</x:v>
      </x:c>
      <x:c r="P383" s="8" t="n">
        <x:f>N383^2</x:f>
        <x:v>21756.277854627144</x:v>
      </x:c>
      <x:c r="Q383" s="8" t="n">
        <x:f>K383-L383</x:f>
        <x:v>10</x:v>
      </x:c>
      <x:c r="R383" s="9" t="n">
        <x:f>IF(AND(INDEX('Сводка'!$T$3:$T$397,U383)=0,INDEX('Сводка'!$T$3:$T$397,V383)=0),1,0)</x:f>
        <x:v>1</x:v>
      </x:c>
      <x:c r="S383" s="9" t="n">
        <x:f>IF(AND(R383=1,O383&lt;=$G$13),1,0)</x:f>
        <x:v>0</x:v>
      </x:c>
      <x:c r="T383" s="10" t="n">
        <x:f>EOMONTH(J383-'Сводка'!$B$11,-1)</x:f>
        <x:v>46203</x:v>
      </x:c>
      <x:c r="U383" s="4" t="n">
        <x:f>MATCH(J383,'Сводка'!$R$3:$R$397,0)</x:f>
        <x:v>394</x:v>
      </x:c>
      <x:c r="V383" s="4" t="n">
        <x:f>MATCH(J383-'Сводка'!$B$11,'Сводка'!$R$3:$R$397,0)</x:f>
        <x:v>393</x:v>
      </x:c>
      <x:c r="W383" s="4" t="n">
        <x:f>MATCH(T383,$J$388:$J$400,0)</x:f>
        <x:v>13</x:v>
      </x:c>
      <x:c r="X383" s="3"/>
      <x:c r="Y383" s="3"/>
      <x:c r="Z383" s="3"/>
    </x:row>
    <x:row r="384" ht="15" customHeight="1">
      <x:c r="A384" s="3"/>
      <x:c r="B384" s="3"/>
      <x:c r="C384" s="3"/>
      <x:c r="D384" s="3"/>
      <x:c r="E384" s="3"/>
      <x:c r="F384" s="3"/>
      <x:c r="G384" s="3"/>
      <x:c r="H384" s="3"/>
      <x:c r="I384" s="3"/>
      <x:c r="J384" s="10" t="n">
        <x:v>46235</x:v>
      </x:c>
      <x:c r="K384" s="8" t="n">
        <x:f>INDEX('Сводка'!$S$3:$S$397,U384)</x:f>
        <x:v>405</x:v>
      </x:c>
      <x:c r="L384" s="8" t="n">
        <x:f>INDEX('Сводка'!$S$3:$S$397,V384)</x:f>
        <x:v>399</x:v>
      </x:c>
      <x:c r="M384" s="8" t="n">
        <x:f>INDEX($K$388:$N$400,W384,1)*((J384-$T$405+1)/1000)^INDEX($K$388:$N$400,W384,2)+INDEX($O$388:$Z$400,W384,MONTH(J384))</x:f>
        <x:v>352.52258720089594</x:v>
      </x:c>
      <x:c r="N384" s="8" t="n">
        <x:f>K384-M384</x:f>
        <x:v>52.47741279910406</x:v>
      </x:c>
      <x:c r="O384" s="8" t="n">
        <x:f>ABS(N384)</x:f>
        <x:v>52.47741279910406</x:v>
      </x:c>
      <x:c r="P384" s="8" t="n">
        <x:f>N384^2</x:f>
        <x:v>2753.8788540875703</x:v>
      </x:c>
      <x:c r="Q384" s="8" t="n">
        <x:f>K384-L384</x:f>
        <x:v>6</x:v>
      </x:c>
      <x:c r="R384" s="9" t="n">
        <x:f>IF(AND(INDEX('Сводка'!$T$3:$T$397,U384)=0,INDEX('Сводка'!$T$3:$T$397,V384)=0),1,0)</x:f>
        <x:v>1</x:v>
      </x:c>
      <x:c r="S384" s="9" t="n">
        <x:f>IF(AND(R384=1,O384&lt;=$G$13),1,0)</x:f>
        <x:v>0</x:v>
      </x:c>
      <x:c r="T384" s="10" t="n">
        <x:f>EOMONTH(J384-'Сводка'!$B$11,-1)</x:f>
        <x:v>46203</x:v>
      </x:c>
      <x:c r="U384" s="4" t="n">
        <x:f>MATCH(J384,'Сводка'!$R$3:$R$397,0)</x:f>
        <x:v>395</x:v>
      </x:c>
      <x:c r="V384" s="4" t="n">
        <x:f>MATCH(J384-'Сводка'!$B$11,'Сводка'!$R$3:$R$397,0)</x:f>
        <x:v>394</x:v>
      </x:c>
      <x:c r="W384" s="4" t="n">
        <x:f>MATCH(T384,$J$388:$J$400,0)</x:f>
        <x:v>13</x:v>
      </x:c>
      <x:c r="X384" s="3"/>
      <x:c r="Y384" s="3"/>
      <x:c r="Z384" s="3"/>
    </x:row>
    <x:row r="385" ht="15" customHeight="1">
      <x:c r="A385" s="3"/>
      <x:c r="B385" s="3"/>
      <x:c r="C385" s="3"/>
      <x:c r="D385" s="3"/>
      <x:c r="E385" s="3"/>
      <x:c r="F385" s="3"/>
      <x:c r="G385" s="3"/>
      <x:c r="H385" s="3"/>
      <x:c r="I385" s="3"/>
      <x:c r="J385" s="3"/>
      <x:c r="K385" s="3"/>
      <x:c r="L385" s="3"/>
      <x:c r="M385" s="3"/>
      <x:c r="N385" s="3"/>
      <x:c r="O385" s="3"/>
      <x:c r="P385" s="3"/>
      <x:c r="Q385" s="3"/>
      <x:c r="R385" s="3"/>
      <x:c r="S385" s="3"/>
      <x:c r="T385" s="3"/>
      <x:c r="U385" s="3"/>
      <x:c r="V385" s="3"/>
      <x:c r="W385" s="3"/>
      <x:c r="X385" s="3"/>
      <x:c r="Y385" s="3"/>
      <x:c r="Z385" s="3"/>
    </x:row>
    <x:row r="386" ht="15" customHeight="1">
      <x:c r="A386" s="3"/>
      <x:c r="B386" s="3"/>
      <x:c r="C386" s="3"/>
      <x:c r="D386" s="3"/>
      <x:c r="E386" s="3"/>
      <x:c r="F386" s="3"/>
      <x:c r="G386" s="3"/>
      <x:c r="H386" s="3"/>
      <x:c r="I386" s="3"/>
      <x:c r="J386" s="3"/>
      <x:c r="K386" s="3"/>
      <x:c r="L386" s="3"/>
      <x:c r="M386" s="3"/>
      <x:c r="N386" s="3"/>
      <x:c r="O386" s="3"/>
      <x:c r="P386" s="3"/>
      <x:c r="Q386" s="3"/>
      <x:c r="R386" s="3"/>
      <x:c r="S386" s="3"/>
      <x:c r="T386" s="3"/>
      <x:c r="U386" s="3"/>
      <x:c r="V386" s="3"/>
      <x:c r="W386" s="3"/>
      <x:c r="X386" s="3"/>
      <x:c r="Y386" s="3"/>
      <x:c r="Z386" s="3"/>
    </x:row>
    <x:row r="387" ht="30" customHeight="1">
      <x:c r="A387" s="3"/>
      <x:c r="B387" s="3"/>
      <x:c r="C387" s="3"/>
      <x:c r="D387" s="3"/>
      <x:c r="E387" s="3"/>
      <x:c r="F387" s="3"/>
      <x:c r="G387" s="3"/>
      <x:c r="H387" s="3"/>
      <x:c r="I387" s="3"/>
      <x:c r="J387" s="14" t="str">
        <x:v>Обучение до</x:v>
      </x:c>
      <x:c r="K387" s="14" t="str">
        <x:v>a0/a</x:v>
      </x:c>
      <x:c r="L387" s="14" t="str">
        <x:v>a1/b</x:v>
      </x:c>
      <x:c r="M387" s="14" t="str">
        <x:v>a2</x:v>
      </x:c>
      <x:c r="N387" s="14" t="str">
        <x:v>a3</x:v>
      </x:c>
      <x:c r="O387" s="14" t="str">
        <x:v>c1</x:v>
      </x:c>
      <x:c r="P387" s="14" t="str">
        <x:v>c2</x:v>
      </x:c>
      <x:c r="Q387" s="14" t="str">
        <x:v>c3</x:v>
      </x:c>
      <x:c r="R387" s="14" t="str">
        <x:v>c4</x:v>
      </x:c>
      <x:c r="S387" s="14" t="str">
        <x:v>c5</x:v>
      </x:c>
      <x:c r="T387" s="14" t="str">
        <x:v>c6</x:v>
      </x:c>
      <x:c r="U387" s="14" t="str">
        <x:v>c7</x:v>
      </x:c>
      <x:c r="V387" s="14" t="str">
        <x:v>c8</x:v>
      </x:c>
      <x:c r="W387" s="14" t="str">
        <x:v>c9</x:v>
      </x:c>
      <x:c r="X387" s="14" t="str">
        <x:v>c10</x:v>
      </x:c>
      <x:c r="Y387" s="14" t="str">
        <x:v>c11</x:v>
      </x:c>
      <x:c r="Z387" s="14" t="str">
        <x:v>c12</x:v>
      </x:c>
    </x:row>
    <x:row r="388" ht="15" customHeight="1">
      <x:c r="A388" s="3"/>
      <x:c r="B388" s="3"/>
      <x:c r="C388" s="3"/>
      <x:c r="D388" s="3"/>
      <x:c r="E388" s="3"/>
      <x:c r="F388" s="3"/>
      <x:c r="G388" s="3"/>
      <x:c r="H388" s="3"/>
      <x:c r="I388" s="3"/>
      <x:c r="J388" s="7" t="n">
        <x:v>45838</x:v>
      </x:c>
      <x:c r="K388" s="3" t="n">
        <x:v>13.09103886201845</x:v>
      </x:c>
      <x:c r="L388" s="3" t="n">
        <x:v>1.1365793793369847</x:v>
      </x:c>
      <x:c r="M388" s="3" t="n">
        <x:v>0</x:v>
      </x:c>
      <x:c r="N388" s="3" t="n">
        <x:v>0</x:v>
      </x:c>
      <x:c r="O388" s="3" t="n">
        <x:v>-94.59563733899579</x:v>
      </x:c>
      <x:c r="P388" s="3" t="n">
        <x:v>-145.5932311738568</x:v>
      </x:c>
      <x:c r="Q388" s="3" t="n">
        <x:v>-158.55124650513284</x:v>
      </x:c>
      <x:c r="R388" s="3" t="n">
        <x:v>-43.47570573373006</x:v>
      </x:c>
      <x:c r="S388" s="3" t="n">
        <x:v>50.96526135064078</x:v>
      </x:c>
      <x:c r="T388" s="3" t="n">
        <x:v>75.32181114277134</x:v>
      </x:c>
      <x:c r="U388" s="3" t="n">
        <x:v>111.04149834317623</x:v>
      </x:c>
      <x:c r="V388" s="3" t="n">
        <x:v>213.0343747204639</x:v>
      </x:c>
      <x:c r="W388" s="3" t="n">
        <x:v>173.13906928463805</x:v>
      </x:c>
      <x:c r="X388" s="3" t="n">
        <x:v>19.38230302722293</x:v>
      </x:c>
      <x:c r="Y388" s="3" t="n">
        <x:v>-118.80713322300899</x:v>
      </x:c>
      <x:c r="Z388" s="3" t="n">
        <x:v>-81.8613638941887</x:v>
      </x:c>
    </x:row>
    <x:row r="389" ht="15" customHeight="1">
      <x:c r="A389" s="3"/>
      <x:c r="B389" s="3"/>
      <x:c r="C389" s="3"/>
      <x:c r="D389" s="3"/>
      <x:c r="E389" s="3"/>
      <x:c r="F389" s="3"/>
      <x:c r="G389" s="3"/>
      <x:c r="H389" s="3"/>
      <x:c r="I389" s="3"/>
      <x:c r="J389" s="7" t="n">
        <x:v>45869</x:v>
      </x:c>
      <x:c r="K389" s="3" t="n">
        <x:v>13.342664886335974</x:v>
      </x:c>
      <x:c r="L389" s="3" t="n">
        <x:v>1.123008806080644</x:v>
      </x:c>
      <x:c r="M389" s="3" t="n">
        <x:v>0</x:v>
      </x:c>
      <x:c r="N389" s="3" t="n">
        <x:v>0</x:v>
      </x:c>
      <x:c r="O389" s="3" t="n">
        <x:v>-94.43020006058259</x:v>
      </x:c>
      <x:c r="P389" s="3" t="n">
        <x:v>-145.41582704318205</x:v>
      </x:c>
      <x:c r="Q389" s="3" t="n">
        <x:v>-158.32345935362727</x:v>
      </x:c>
      <x:c r="R389" s="3" t="n">
        <x:v>-43.198591323077565</x:v>
      </x:c>
      <x:c r="S389" s="3" t="n">
        <x:v>51.27002676569543</x:v>
      </x:c>
      <x:c r="T389" s="3" t="n">
        <x:v>75.63498065742631</x:v>
      </x:c>
      <x:c r="U389" s="3" t="n">
        <x:v>108.29564583091158</x:v>
      </x:c>
      <x:c r="V389" s="3" t="n">
        <x:v>213.29109748787235</x:v>
      </x:c>
      <x:c r="W389" s="3" t="n">
        <x:v>173.40335278732988</x:v>
      </x:c>
      <x:c r="X389" s="3" t="n">
        <x:v>19.65100147306923</x:v>
      </x:c>
      <x:c r="Y389" s="3" t="n">
        <x:v>-118.53239610184667</x:v>
      </x:c>
      <x:c r="Z389" s="3" t="n">
        <x:v>-81.64563111998868</x:v>
      </x:c>
    </x:row>
    <x:row r="390" ht="15" customHeight="1">
      <x:c r="A390" s="3"/>
      <x:c r="B390" s="3"/>
      <x:c r="C390" s="3"/>
      <x:c r="D390" s="3"/>
      <x:c r="E390" s="3"/>
      <x:c r="F390" s="3"/>
      <x:c r="G390" s="3"/>
      <x:c r="H390" s="3"/>
      <x:c r="I390" s="3"/>
      <x:c r="J390" s="7" t="n">
        <x:v>45900</x:v>
      </x:c>
      <x:c r="K390" s="3" t="n">
        <x:v>13.673570208673564</x:v>
      </x:c>
      <x:c r="L390" s="3" t="n">
        <x:v>1.105475976927831</x:v>
      </x:c>
      <x:c r="M390" s="3" t="n">
        <x:v>0</x:v>
      </x:c>
      <x:c r="N390" s="3" t="n">
        <x:v>0</x:v>
      </x:c>
      <x:c r="O390" s="3" t="n">
        <x:v>-94.22160478752559</x:v>
      </x:c>
      <x:c r="P390" s="3" t="n">
        <x:v>-145.1923868298395</x:v>
      </x:c>
      <x:c r="Q390" s="3" t="n">
        <x:v>-158.03409799261289</x:v>
      </x:c>
      <x:c r="R390" s="3" t="n">
        <x:v>-42.84553090740527</x:v>
      </x:c>
      <x:c r="S390" s="3" t="n">
        <x:v>51.65900600055403</x:v>
      </x:c>
      <x:c r="T390" s="3" t="n">
        <x:v>76.03463909602596</x:v>
      </x:c>
      <x:c r="U390" s="3" t="n">
        <x:v>108.69443104635593</x:v>
      </x:c>
      <x:c r="V390" s="3" t="n">
        <x:v>209.72663877639104</x:v>
      </x:c>
      <x:c r="W390" s="3" t="n">
        <x:v>173.73991450334552</x:v>
      </x:c>
      <x:c r="X390" s="3" t="n">
        <x:v>19.99345704834799</x:v>
      </x:c>
      <x:c r="Y390" s="3" t="n">
        <x:v>-118.18235193317007</x:v>
      </x:c>
      <x:c r="Z390" s="3" t="n">
        <x:v>-81.37211402046708</x:v>
      </x:c>
    </x:row>
    <x:row r="391" ht="15" customHeight="1">
      <x:c r="A391" s="3"/>
      <x:c r="B391" s="3"/>
      <x:c r="C391" s="3"/>
      <x:c r="D391" s="3"/>
      <x:c r="E391" s="3"/>
      <x:c r="F391" s="3"/>
      <x:c r="G391" s="3"/>
      <x:c r="H391" s="3"/>
      <x:c r="I391" s="3"/>
      <x:c r="J391" s="7" t="n">
        <x:v>45930</x:v>
      </x:c>
      <x:c r="K391" s="3" t="n">
        <x:v>13.937941600268024</x:v>
      </x:c>
      <x:c r="L391" s="3" t="n">
        <x:v>1.0915850564267955</x:v>
      </x:c>
      <x:c r="M391" s="3" t="n">
        <x:v>0</x:v>
      </x:c>
      <x:c r="N391" s="3" t="n">
        <x:v>0</x:v>
      </x:c>
      <x:c r="O391" s="3" t="n">
        <x:v>-94.04352058393715</x:v>
      </x:c>
      <x:c r="P391" s="3" t="n">
        <x:v>-145.00236273257713</x:v>
      </x:c>
      <x:c r="Q391" s="3" t="n">
        <x:v>-157.79134349764072</x:v>
      </x:c>
      <x:c r="R391" s="3" t="n">
        <x:v>-42.551855290815915</x:v>
      </x:c>
      <x:c r="S391" s="3" t="n">
        <x:v>51.98164628590507</x:v>
      </x:c>
      <x:c r="T391" s="3" t="n">
        <x:v>76.36600617106077</x:v>
      </x:c>
      <x:c r="U391" s="3" t="n">
        <x:v>109.02497308243105</x:v>
      </x:c>
      <x:c r="V391" s="3" t="n">
        <x:v>210.05470399019626</x:v>
      </x:c>
      <x:c r="W391" s="3" t="n">
        <x:v>170.71481036386788</x:v>
      </x:c>
      <x:c r="X391" s="3" t="n">
        <x:v>20.27904789143406</x:v>
      </x:c>
      <x:c r="Y391" s="3" t="n">
        <x:v>-117.89064087862147</x:v>
      </x:c>
      <x:c r="Z391" s="3" t="n">
        <x:v>-81.14146480130273</x:v>
      </x:c>
    </x:row>
    <x:row r="392" ht="15" customHeight="1">
      <x:c r="A392" s="3"/>
      <x:c r="B392" s="3"/>
      <x:c r="C392" s="3"/>
      <x:c r="D392" s="3"/>
      <x:c r="E392" s="3"/>
      <x:c r="F392" s="3"/>
      <x:c r="G392" s="3"/>
      <x:c r="H392" s="3"/>
      <x:c r="I392" s="3"/>
      <x:c r="J392" s="7" t="n">
        <x:v>45961</x:v>
      </x:c>
      <x:c r="K392" s="3" t="n">
        <x:v>14.155046060067106</x:v>
      </x:c>
      <x:c r="L392" s="3" t="n">
        <x:v>1.0804343695669414</x:v>
      </x:c>
      <x:c r="M392" s="3" t="n">
        <x:v>0</x:v>
      </x:c>
      <x:c r="N392" s="3" t="n">
        <x:v>0</x:v>
      </x:c>
      <x:c r="O392" s="3" t="n">
        <x:v>-93.90941583965265</x:v>
      </x:c>
      <x:c r="P392" s="3" t="n">
        <x:v>-144.8589480502667</x:v>
      </x:c>
      <x:c r="Q392" s="3" t="n">
        <x:v>-157.60601999782006</x:v>
      </x:c>
      <x:c r="R392" s="3" t="n">
        <x:v>-42.32621239384824</x:v>
      </x:c>
      <x:c r="S392" s="3" t="n">
        <x:v>52.23026393929443</x:v>
      </x:c>
      <x:c r="T392" s="3" t="n">
        <x:v>76.6214735813046</x:v>
      </x:c>
      <x:c r="U392" s="3" t="n">
        <x:v>109.279761006614</x:v>
      </x:c>
      <x:c r="V392" s="3" t="n">
        <x:v>210.3075356899786</x:v>
      </x:c>
      <x:c r="W392" s="3" t="n">
        <x:v>170.97389368960307</x:v>
      </x:c>
      <x:c r="X392" s="3" t="n">
        <x:v>17.920270999702225</x:v>
      </x:c>
      <x:c r="Y392" s="3" t="n">
        <x:v>-117.66665964731394</x:v>
      </x:c>
      <x:c r="Z392" s="3" t="n">
        <x:v>-80.96594297759533</x:v>
      </x:c>
    </x:row>
    <x:row r="393" ht="15" customHeight="1">
      <x:c r="A393" s="3"/>
      <x:c r="B393" s="3"/>
      <x:c r="C393" s="3"/>
      <x:c r="D393" s="3"/>
      <x:c r="E393" s="3"/>
      <x:c r="F393" s="3"/>
      <x:c r="G393" s="3"/>
      <x:c r="H393" s="3"/>
      <x:c r="I393" s="3"/>
      <x:c r="J393" s="7" t="n">
        <x:v>45991</x:v>
      </x:c>
      <x:c r="K393" s="3" t="n">
        <x:v>14.495753844860923</x:v>
      </x:c>
      <x:c r="L393" s="3" t="n">
        <x:v>1.0630207227056299</x:v>
      </x:c>
      <x:c r="M393" s="3" t="n">
        <x:v>0</x:v>
      </x:c>
      <x:c r="N393" s="3" t="n">
        <x:v>0</x:v>
      </x:c>
      <x:c r="O393" s="3" t="n">
        <x:v>-93.68241718145173</x:v>
      </x:c>
      <x:c r="P393" s="3" t="n">
        <x:v>-144.61719367846877</x:v>
      </x:c>
      <x:c r="Q393" s="3" t="n">
        <x:v>-157.2980187245952</x:v>
      </x:c>
      <x:c r="R393" s="3" t="n">
        <x:v>-41.95456173284219</x:v>
      </x:c>
      <x:c r="S393" s="3" t="n">
        <x:v>52.638497989172464</x:v>
      </x:c>
      <x:c r="T393" s="3" t="n">
        <x:v>77.04075276162746</x:v>
      </x:c>
      <x:c r="U393" s="3" t="n">
        <x:v>109.69784859918607</x:v>
      </x:c>
      <x:c r="V393" s="3" t="n">
        <x:v>210.7222125275688</x:v>
      </x:c>
      <x:c r="W393" s="3" t="n">
        <x:v>171.39850744892377</x:v>
      </x:c>
      <x:c r="X393" s="3" t="n">
        <x:v>18.351157530436836</x:v>
      </x:c>
      <x:c r="Y393" s="3" t="n">
        <x:v>-121.6240903769484</x:v>
      </x:c>
      <x:c r="Z393" s="3" t="n">
        <x:v>-80.67269516260906</x:v>
      </x:c>
    </x:row>
    <x:row r="394" ht="15" customHeight="1">
      <x:c r="A394" s="3"/>
      <x:c r="B394" s="3"/>
      <x:c r="C394" s="3"/>
      <x:c r="D394" s="3"/>
      <x:c r="E394" s="3"/>
      <x:c r="F394" s="3"/>
      <x:c r="G394" s="3"/>
      <x:c r="H394" s="3"/>
      <x:c r="I394" s="3"/>
      <x:c r="J394" s="7" t="n">
        <x:v>46022</x:v>
      </x:c>
      <x:c r="K394" s="3" t="n">
        <x:v>14.754693587841016</x:v>
      </x:c>
      <x:c r="L394" s="3" t="n">
        <x:v>1.049829650400495</x:v>
      </x:c>
      <x:c r="M394" s="3" t="n">
        <x:v>0</x:v>
      </x:c>
      <x:c r="N394" s="3" t="n">
        <x:v>0</x:v>
      </x:c>
      <x:c r="O394" s="3" t="n">
        <x:v>-93.49675902015147</x:v>
      </x:c>
      <x:c r="P394" s="3" t="n">
        <x:v>-144.42032798902486</x:v>
      </x:c>
      <x:c r="Q394" s="3" t="n">
        <x:v>-157.049998696159</x:v>
      </x:c>
      <x:c r="R394" s="3" t="n">
        <x:v>-41.65767980230857</x:v>
      </x:c>
      <x:c r="S394" s="3" t="n">
        <x:v>52.96373251902367</x:v>
      </x:c>
      <x:c r="T394" s="3" t="n">
        <x:v>77.37458783437819</x:v>
      </x:c>
      <x:c r="U394" s="3" t="n">
        <x:v>110.03076666373474</x:v>
      </x:c>
      <x:c r="V394" s="3" t="n">
        <x:v>211.05227258368154</x:v>
      </x:c>
      <x:c r="W394" s="3" t="n">
        <x:v>171.73619144840015</x:v>
      </x:c>
      <x:c r="X394" s="3" t="n">
        <x:v>18.69371352779433</x:v>
      </x:c>
      <x:c r="Y394" s="3" t="n">
        <x:v>-121.27711564278158</x:v>
      </x:c>
      <x:c r="Z394" s="3" t="n">
        <x:v>-83.94938342658719</x:v>
      </x:c>
    </x:row>
    <x:row r="395" ht="15" customHeight="1">
      <x:c r="A395" s="3"/>
      <x:c r="B395" s="3"/>
      <x:c r="C395" s="3"/>
      <x:c r="D395" s="3"/>
      <x:c r="E395" s="3"/>
      <x:c r="F395" s="3"/>
      <x:c r="G395" s="3"/>
      <x:c r="H395" s="3"/>
      <x:c r="I395" s="3"/>
      <x:c r="J395" s="7" t="n">
        <x:v>46053</x:v>
      </x:c>
      <x:c r="K395" s="3" t="n">
        <x:v>15.005514238399577</x:v>
      </x:c>
      <x:c r="L395" s="3" t="n">
        <x:v>1.037220870313588</x:v>
      </x:c>
      <x:c r="M395" s="3" t="n">
        <x:v>0</x:v>
      </x:c>
      <x:c r="N395" s="3" t="n">
        <x:v>0</x:v>
      </x:c>
      <x:c r="O395" s="3" t="n">
        <x:v>-96.57975231939659</x:v>
      </x:c>
      <x:c r="P395" s="3" t="n">
        <x:v>-144.24777775382688</x:v>
      </x:c>
      <x:c r="Q395" s="3" t="n">
        <x:v>-156.82649274337192</x:v>
      </x:c>
      <x:c r="R395" s="3" t="n">
        <x:v>-41.38725266777376</x:v>
      </x:c>
      <x:c r="S395" s="3" t="n">
        <x:v>53.26153757985363</x:v>
      </x:c>
      <x:c r="T395" s="3" t="n">
        <x:v>77.68009700054668</x:v>
      </x:c>
      <x:c r="U395" s="3" t="n">
        <x:v>110.33603347890076</x:v>
      </x:c>
      <x:c r="V395" s="3" t="n">
        <x:v>211.35495596979706</x:v>
      </x:c>
      <x:c r="W395" s="3" t="n">
        <x:v>172.04570446230224</x:v>
      </x:c>
      <x:c r="X395" s="3" t="n">
        <x:v>19.008331152027836</x:v>
      </x:c>
      <x:c r="Y395" s="3" t="n">
        <x:v>-120.95874453658078</x:v>
      </x:c>
      <x:c r="Z395" s="3" t="n">
        <x:v>-83.68663962247831</x:v>
      </x:c>
    </x:row>
    <x:row r="396" ht="15" customHeight="1">
      <x:c r="A396" s="3"/>
      <x:c r="B396" s="3"/>
      <x:c r="C396" s="3"/>
      <x:c r="D396" s="3"/>
      <x:c r="E396" s="3"/>
      <x:c r="F396" s="3"/>
      <x:c r="G396" s="3"/>
      <x:c r="H396" s="3"/>
      <x:c r="I396" s="3"/>
      <x:c r="J396" s="7" t="n">
        <x:v>46081</x:v>
      </x:c>
      <x:c r="K396" s="3" t="n">
        <x:v>15.12539252804918</x:v>
      </x:c>
      <x:c r="L396" s="3" t="n">
        <x:v>1.0311083036005293</x:v>
      </x:c>
      <x:c r="M396" s="3" t="n">
        <x:v>0</x:v>
      </x:c>
      <x:c r="N396" s="3" t="n">
        <x:v>0</x:v>
      </x:c>
      <x:c r="O396" s="3" t="n">
        <x:v>-96.45678666028701</x:v>
      </x:c>
      <x:c r="P396" s="3" t="n">
        <x:v>-145.9338918700625</x:v>
      </x:c>
      <x:c r="Q396" s="3" t="n">
        <x:v>-156.70382918767754</x:v>
      </x:c>
      <x:c r="R396" s="3" t="n">
        <x:v>-41.24131206852037</x:v>
      </x:c>
      <x:c r="S396" s="3" t="n">
        <x:v>53.42118774084928</x:v>
      </x:c>
      <x:c r="T396" s="3" t="n">
        <x:v>77.84375342027552</x:v>
      </x:c>
      <x:c r="U396" s="3" t="n">
        <x:v>110.49947498437507</x:v>
      </x:c>
      <x:c r="V396" s="3" t="n">
        <x:v>211.5169404405243</x:v>
      </x:c>
      <x:c r="W396" s="3" t="n">
        <x:v>172.21116999452394</x:v>
      </x:c>
      <x:c r="X396" s="3" t="n">
        <x:v>19.176289375432972</x:v>
      </x:c>
      <x:c r="Y396" s="3" t="n">
        <x:v>-120.78883699813234</x:v>
      </x:c>
      <x:c r="Z396" s="3" t="n">
        <x:v>-83.5441591713014</x:v>
      </x:c>
    </x:row>
    <x:row r="397" ht="15" customHeight="1">
      <x:c r="A397" s="3"/>
      <x:c r="B397" s="3"/>
      <x:c r="C397" s="3"/>
      <x:c r="D397" s="3"/>
      <x:c r="E397" s="3"/>
      <x:c r="F397" s="3"/>
      <x:c r="G397" s="3"/>
      <x:c r="H397" s="3"/>
      <x:c r="I397" s="3"/>
      <x:c r="J397" s="7" t="n">
        <x:v>46112</x:v>
      </x:c>
      <x:c r="K397" s="3" t="n">
        <x:v>15.306058215221963</x:v>
      </x:c>
      <x:c r="L397" s="3" t="n">
        <x:v>1.0222713578598677</x:v>
      </x:c>
      <x:c r="M397" s="3" t="n">
        <x:v>0</x:v>
      </x:c>
      <x:c r="N397" s="3" t="n">
        <x:v>0</x:v>
      </x:c>
      <x:c r="O397" s="3" t="n">
        <x:v>-96.30504898083846</x:v>
      </x:c>
      <x:c r="P397" s="3" t="n">
        <x:v>-145.7764196688369</x:v>
      </x:c>
      <x:c r="Q397" s="3" t="n">
        <x:v>-158.83733240679132</x:v>
      </x:c>
      <x:c r="R397" s="3" t="n">
        <x:v>-41.05795818343162</x:v>
      </x:c>
      <x:c r="S397" s="3" t="n">
        <x:v>53.62345443502085</x:v>
      </x:c>
      <x:c r="T397" s="3" t="n">
        <x:v>78.05139547741138</x:v>
      </x:c>
      <x:c r="U397" s="3" t="n">
        <x:v>110.70679582021879</x:v>
      </x:c>
      <x:c r="V397" s="3" t="n">
        <x:v>211.72240898971114</x:v>
      </x:c>
      <x:c r="W397" s="3" t="n">
        <x:v>172.42138577211966</x:v>
      </x:c>
      <x:c r="X397" s="3" t="n">
        <x:v>19.38996645606194</x:v>
      </x:c>
      <x:c r="Y397" s="3" t="n">
        <x:v>-120.57253277400827</x:v>
      </x:c>
      <x:c r="Z397" s="3" t="n">
        <x:v>-83.36611493663726</x:v>
      </x:c>
    </x:row>
    <x:row r="398" ht="15" customHeight="1">
      <x:c r="A398" s="3"/>
      <x:c r="B398" s="3"/>
      <x:c r="C398" s="3"/>
      <x:c r="D398" s="3"/>
      <x:c r="E398" s="3"/>
      <x:c r="F398" s="3"/>
      <x:c r="G398" s="3"/>
      <x:c r="H398" s="3"/>
      <x:c r="I398" s="3"/>
      <x:c r="J398" s="7" t="n">
        <x:v>46142</x:v>
      </x:c>
      <x:c r="K398" s="3" t="n">
        <x:v>15.527126989783813</x:v>
      </x:c>
      <x:c r="L398" s="3" t="n">
        <x:v>1.011560742372942</x:v>
      </x:c>
      <x:c r="M398" s="3" t="n">
        <x:v>0</x:v>
      </x:c>
      <x:c r="N398" s="3" t="n">
        <x:v>0</x:v>
      </x:c>
      <x:c r="O398" s="3" t="n">
        <x:v>-96.11886518209712</x:v>
      </x:c>
      <x:c r="P398" s="3" t="n">
        <x:v>-145.5831999213661</x:v>
      </x:c>
      <x:c r="Q398" s="3" t="n">
        <x:v>-158.60517398624722</x:v>
      </x:c>
      <x:c r="R398" s="3" t="n">
        <x:v>-43.67658115055251</x:v>
      </x:c>
      <x:c r="S398" s="3" t="n">
        <x:v>53.87091451254676</x:v>
      </x:c>
      <x:c r="T398" s="3" t="n">
        <x:v>78.30545952916424</x:v>
      </x:c>
      <x:c r="U398" s="3" t="n">
        <x:v>110.96035803569336</x:v>
      </x:c>
      <x:c r="V398" s="3" t="n">
        <x:v>211.97362446491178</x:v>
      </x:c>
      <x:c r="W398" s="3" t="n">
        <x:v>172.67839629607468</x:v>
      </x:c>
      <x:c r="X398" s="3" t="n">
        <x:v>19.651121993792515</x:v>
      </x:c>
      <x:c r="Y398" s="3" t="n">
        <x:v>-120.30814867172113</x:v>
      </x:c>
      <x:c r="Z398" s="3" t="n">
        <x:v>-83.14790592019926</x:v>
      </x:c>
    </x:row>
    <x:row r="399" ht="15" customHeight="1">
      <x:c r="A399" s="3"/>
      <x:c r="B399" s="3"/>
      <x:c r="C399" s="3"/>
      <x:c r="D399" s="3"/>
      <x:c r="E399" s="3"/>
      <x:c r="F399" s="3"/>
      <x:c r="G399" s="3"/>
      <x:c r="H399" s="3"/>
      <x:c r="I399" s="3"/>
      <x:c r="J399" s="7" t="n">
        <x:v>46173</x:v>
      </x:c>
      <x:c r="K399" s="3" t="n">
        <x:v>15.783104892470218</x:v>
      </x:c>
      <x:c r="L399" s="3" t="n">
        <x:v>0.9993358756534775</x:v>
      </x:c>
      <x:c r="M399" s="3" t="n">
        <x:v>0</x:v>
      </x:c>
      <x:c r="N399" s="3" t="n">
        <x:v>0</x:v>
      </x:c>
      <x:c r="O399" s="3" t="n">
        <x:v>-95.90614190695558</x:v>
      </x:c>
      <x:c r="P399" s="3" t="n">
        <x:v>-145.36232756086918</x:v>
      </x:c>
      <x:c r="Q399" s="3" t="n">
        <x:v>-158.34040520781082</x:v>
      </x:c>
      <x:c r="R399" s="3" t="n">
        <x:v>-43.37179297961762</x:v>
      </x:c>
      <x:c r="S399" s="3" t="n">
        <x:v>50.860737324197615</x:v>
      </x:c>
      <x:c r="T399" s="3" t="n">
        <x:v>78.59541983348078</x:v>
      </x:c>
      <x:c r="U399" s="3" t="n">
        <x:v>111.24956505588004</x:v>
      </x:c>
      <x:c r="V399" s="3" t="n">
        <x:v>212.2600435193199</x:v>
      </x:c>
      <x:c r="W399" s="3" t="n">
        <x:v>172.9714691518622</x:v>
      </x:c>
      <x:c r="X399" s="3" t="n">
        <x:v>19.948819479923586</x:v>
      </x:c>
      <x:c r="Y399" s="3" t="n">
        <x:v>-120.00670959709036</x:v>
      </x:c>
      <x:c r="Z399" s="3" t="n">
        <x:v>-82.8986771123206</x:v>
      </x:c>
    </x:row>
    <x:row r="400" ht="15" customHeight="1">
      <x:c r="A400" s="3"/>
      <x:c r="B400" s="3"/>
      <x:c r="C400" s="3"/>
      <x:c r="D400" s="3"/>
      <x:c r="E400" s="3"/>
      <x:c r="F400" s="3"/>
      <x:c r="G400" s="3"/>
      <x:c r="H400" s="3"/>
      <x:c r="I400" s="3"/>
      <x:c r="J400" s="7" t="n">
        <x:v>46203</x:v>
      </x:c>
      <x:c r="K400" s="3" t="n">
        <x:v>16.047697370207903</x:v>
      </x:c>
      <x:c r="L400" s="3" t="n">
        <x:v>0.9867107633666</x:v>
      </x:c>
      <x:c r="M400" s="3" t="n">
        <x:v>0</x:v>
      </x:c>
      <x:c r="N400" s="3" t="n">
        <x:v>0</x:v>
      </x:c>
      <x:c r="O400" s="3" t="n">
        <x:v>-95.67074829280907</x:v>
      </x:c>
      <x:c r="P400" s="3" t="n">
        <x:v>-145.1181877991599</x:v>
      </x:c>
      <x:c r="Q400" s="3" t="n">
        <x:v>-158.0507660167288</x:v>
      </x:c>
      <x:c r="R400" s="3" t="n">
        <x:v>-43.040452599994005</x:v>
      </x:c>
      <x:c r="S400" s="3" t="n">
        <x:v>51.21958969165146</x:v>
      </x:c>
      <x:c r="T400" s="3" t="n">
        <x:v>75.26143469932646</x:v>
      </x:c>
      <x:c r="U400" s="3" t="n">
        <x:v>111.5652453734744</x:v>
      </x:c>
      <x:c r="V400" s="3" t="n">
        <x:v>212.5725477438304</x:v>
      </x:c>
      <x:c r="W400" s="3" t="n">
        <x:v>173.29104274283554</x:v>
      </x:c>
      <x:c r="X400" s="3" t="n">
        <x:v>20.27314358228101</x:v>
      </x:c>
      <x:c r="Y400" s="3" t="n">
        <x:v>-119.67835896196823</x:v>
      </x:c>
      <x:c r="Z400" s="3" t="n">
        <x:v>-82.62449016273936</x:v>
      </x:c>
    </x:row>
    <x:row r="401" ht="15" customHeight="1">
      <x:c r="A401" s="3"/>
      <x:c r="B401" s="3"/>
      <x:c r="C401" s="3"/>
      <x:c r="D401" s="3"/>
      <x:c r="E401" s="3"/>
      <x:c r="F401" s="3"/>
      <x:c r="G401" s="3"/>
      <x:c r="H401" s="3"/>
      <x:c r="I401" s="3"/>
      <x:c r="J401" s="3"/>
      <x:c r="K401" s="3"/>
      <x:c r="L401" s="3"/>
      <x:c r="M401" s="3"/>
      <x:c r="N401" s="3"/>
      <x:c r="O401" s="3"/>
      <x:c r="P401" s="3"/>
      <x:c r="Q401" s="3"/>
      <x:c r="R401" s="3"/>
      <x:c r="S401" s="3"/>
      <x:c r="T401" s="3"/>
      <x:c r="U401" s="3"/>
      <x:c r="V401" s="3"/>
      <x:c r="W401" s="3"/>
      <x:c r="X401" s="3"/>
      <x:c r="Y401" s="3"/>
      <x:c r="Z401" s="3"/>
    </x:row>
    <x:row r="402" ht="15" customHeight="1">
      <x:c r="A402" s="3"/>
      <x:c r="B402" s="3"/>
      <x:c r="C402" s="3"/>
      <x:c r="D402" s="3"/>
      <x:c r="E402" s="3"/>
      <x:c r="F402" s="3"/>
      <x:c r="G402" s="3"/>
      <x:c r="H402" s="3"/>
      <x:c r="I402" s="3"/>
      <x:c r="J402" s="3"/>
      <x:c r="K402" s="3"/>
      <x:c r="L402" s="3"/>
      <x:c r="M402" s="3"/>
      <x:c r="N402" s="3"/>
      <x:c r="O402" s="3"/>
      <x:c r="P402" s="3"/>
      <x:c r="Q402" s="3"/>
      <x:c r="R402" s="3"/>
      <x:c r="S402" s="3"/>
      <x:c r="T402" s="3"/>
      <x:c r="U402" s="3"/>
      <x:c r="V402" s="3"/>
      <x:c r="W402" s="3"/>
      <x:c r="X402" s="3"/>
      <x:c r="Y402" s="3"/>
      <x:c r="Z402" s="3"/>
    </x:row>
    <x:row r="403" ht="15" customHeight="1">
      <x:c r="A403" s="3"/>
      <x:c r="B403" s="3"/>
      <x:c r="C403" s="3"/>
      <x:c r="D403" s="3"/>
      <x:c r="E403" s="3"/>
      <x:c r="F403" s="3"/>
      <x:c r="G403" s="3"/>
      <x:c r="H403" s="3"/>
      <x:c r="I403" s="3"/>
      <x:c r="J403" s="3" t="str">
        <x:v>n</x:v>
      </x:c>
      <x:c r="K403" s="3" t="n">
        <x:f>G11</x:f>
        <x:v>355</x:v>
      </x:c>
      <x:c r="L403" s="3"/>
      <x:c r="M403" s="3"/>
      <x:c r="N403" s="3"/>
      <x:c r="O403" s="3"/>
      <x:c r="P403" s="3"/>
      <x:c r="Q403" s="3"/>
      <x:c r="R403" s="3"/>
      <x:c r="S403" s="3" t="str">
        <x:v>s остатков</x:v>
      </x:c>
      <x:c r="T403" s="3" t="n">
        <x:v>111.1029208803161</x:v>
      </x:c>
      <x:c r="U403" s="3"/>
      <x:c r="V403" s="3"/>
      <x:c r="W403" s="3"/>
      <x:c r="X403" s="3"/>
      <x:c r="Y403" s="3"/>
      <x:c r="Z403" s="3"/>
    </x:row>
    <x:row r="404" ht="15" customHeight="1">
      <x:c r="A404" s="3"/>
      <x:c r="B404" s="3"/>
      <x:c r="C404" s="3"/>
      <x:c r="D404" s="3"/>
      <x:c r="E404" s="3"/>
      <x:c r="F404" s="3"/>
      <x:c r="G404" s="3"/>
      <x:c r="H404" s="3"/>
      <x:c r="I404" s="3"/>
      <x:c r="J404" s="3" t="str">
        <x:v>ΣH</x:v>
      </x:c>
      <x:c r="K404" s="3" t="n">
        <x:f>SUMPRODUCT($R$20:$R$384,$K$20:$K$384)</x:f>
        <x:v>28150</x:v>
      </x:c>
      <x:c r="L404" s="3"/>
      <x:c r="M404" s="3"/>
      <x:c r="N404" s="3"/>
      <x:c r="O404" s="3"/>
      <x:c r="P404" s="3"/>
      <x:c r="Q404" s="3"/>
      <x:c r="R404" s="3"/>
      <x:c r="S404" s="3" t="str">
        <x:v>t95</x:v>
      </x:c>
      <x:c r="T404" s="3" t="n">
        <x:v>1.9602404469207206</x:v>
      </x:c>
      <x:c r="U404" s="3"/>
      <x:c r="V404" s="3"/>
      <x:c r="W404" s="3"/>
      <x:c r="X404" s="3"/>
      <x:c r="Y404" s="3"/>
      <x:c r="Z404" s="3"/>
    </x:row>
    <x:row r="405" ht="15" customHeight="1">
      <x:c r="A405" s="3"/>
      <x:c r="B405" s="3"/>
      <x:c r="C405" s="3"/>
      <x:c r="D405" s="3"/>
      <x:c r="E405" s="3"/>
      <x:c r="F405" s="3"/>
      <x:c r="G405" s="3"/>
      <x:c r="H405" s="3"/>
      <x:c r="I405" s="3"/>
      <x:c r="J405" s="3" t="str">
        <x:v>SST</x:v>
      </x:c>
      <x:c r="K405" s="3" t="n">
        <x:f>SUMPRODUCT($R$20:$R$384,$K$20:$K$384,$K$20:$K$384)-K404^2/G11</x:f>
        <x:v>6276929.943661972</x:v>
      </x:c>
      <x:c r="L405" s="3"/>
      <x:c r="M405" s="3"/>
      <x:c r="N405" s="3"/>
      <x:c r="O405" s="3"/>
      <x:c r="P405" s="3"/>
      <x:c r="Q405" s="3"/>
      <x:c r="R405" s="3"/>
      <x:c r="S405" s="3" t="str">
        <x:v>Начало ряда</x:v>
      </x:c>
      <x:c r="T405" s="7" t="n">
        <x:v>37257</x:v>
      </x:c>
      <x:c r="U405" s="3"/>
      <x:c r="V405" s="3"/>
      <x:c r="W405" s="3"/>
      <x:c r="X405" s="3"/>
      <x:c r="Y405" s="3"/>
      <x:c r="Z405" s="3"/>
    </x:row>
    <x:row r="406" ht="15" customHeight="1">
      <x:c r="A406" s="3"/>
      <x:c r="B406" s="3"/>
      <x:c r="C406" s="3"/>
      <x:c r="D406" s="3"/>
      <x:c r="E406" s="3"/>
      <x:c r="F406" s="3"/>
      <x:c r="G406" s="3"/>
      <x:c r="H406" s="3"/>
      <x:c r="I406" s="3"/>
      <x:c r="J406" s="3" t="str">
        <x:v>ΣΔ</x:v>
      </x:c>
      <x:c r="K406" s="3" t="n">
        <x:f>SUMPRODUCT($R$20:$R$384,$Q$20:$Q$384)</x:f>
        <x:v>137</x:v>
      </x:c>
      <x:c r="L406" s="3"/>
      <x:c r="M406" s="3"/>
      <x:c r="N406" s="3"/>
      <x:c r="O406" s="3"/>
      <x:c r="P406" s="3"/>
      <x:c r="Q406" s="3"/>
      <x:c r="R406" s="3"/>
      <x:c r="S406" s="3" t="str">
        <x:v>Длина ряда</x:v>
      </x:c>
      <x:c r="T406" s="3" t="n">
        <x:v>8978</x:v>
      </x:c>
      <x:c r="U406" s="3"/>
      <x:c r="V406" s="3"/>
      <x:c r="W406" s="3"/>
      <x:c r="X406" s="3"/>
      <x:c r="Y406" s="3"/>
      <x:c r="Z406" s="3"/>
    </x:row>
    <x:row r="407" ht="15" customHeight="1">
      <x:c r="A407" s="3"/>
      <x:c r="B407" s="3"/>
      <x:c r="C407" s="3"/>
      <x:c r="D407" s="3"/>
      <x:c r="E407" s="3"/>
      <x:c r="F407" s="3"/>
      <x:c r="G407" s="3"/>
      <x:c r="H407" s="3"/>
      <x:c r="I407" s="3"/>
      <x:c r="J407" s="3" t="str">
        <x:v>SSΔ</x:v>
      </x:c>
      <x:c r="K407" s="3" t="n">
        <x:f>SUMPRODUCT($R$20:$R$384,$Q$20:$Q$384,$Q$20:$Q$384)-K406^2/G11</x:f>
        <x:v>42404.12957746479</x:v>
      </x:c>
      <x:c r="L407" s="3"/>
      <x:c r="M407" s="3"/>
      <x:c r="N407" s="3"/>
      <x:c r="O407" s="3"/>
      <x:c r="P407" s="3"/>
      <x:c r="Q407" s="3"/>
      <x:c r="R407" s="3"/>
      <x:c r="S407" s="3"/>
      <x:c r="T407" s="3"/>
      <x:c r="U407" s="3"/>
      <x:c r="V407" s="3"/>
      <x:c r="W407" s="3"/>
      <x:c r="X407" s="3"/>
      <x:c r="Y407" s="3"/>
      <x:c r="Z407" s="3"/>
    </x:row>
    <x:row r="408" ht="15" customHeight="1">
      <x:c r="A408" s="3"/>
      <x:c r="B408" s="3"/>
      <x:c r="C408" s="3"/>
      <x:c r="D408" s="3"/>
      <x:c r="E408" s="3"/>
      <x:c r="F408" s="3"/>
      <x:c r="G408" s="3"/>
      <x:c r="H408" s="3"/>
      <x:c r="I408" s="3"/>
      <x:c r="J408" s="3" t="str">
        <x:v>SSE</x:v>
      </x:c>
      <x:c r="K408" s="3" t="n">
        <x:f>SUMPRODUCT($R$20:$R$384,$P$20:$P$384)</x:f>
        <x:v>2861980.3912302526</x:v>
      </x:c>
      <x:c r="L408" s="3"/>
      <x:c r="M408" s="3"/>
      <x:c r="N408" s="3"/>
      <x:c r="O408" s="3"/>
      <x:c r="P408" s="3"/>
      <x:c r="Q408" s="3"/>
      <x:c r="R408" s="3"/>
      <x:c r="S408" s="3" t="str">
        <x:v>Cov базовых коэффициентов</x:v>
      </x:c>
      <x:c r="T408" s="3"/>
      <x:c r="U408" s="3"/>
      <x:c r="V408" s="3"/>
      <x:c r="W408" s="3"/>
      <x:c r="X408" s="3"/>
      <x:c r="Y408" s="3"/>
      <x:c r="Z408" s="3"/>
    </x:row>
    <x:row r="409" ht="15" customHeight="1">
      <x:c r="A409" s="3"/>
      <x:c r="B409" s="3"/>
      <x:c r="C409" s="3"/>
      <x:c r="D409" s="3"/>
      <x:c r="E409" s="3"/>
      <x:c r="F409" s="3"/>
      <x:c r="G409" s="3"/>
      <x:c r="H409" s="3"/>
      <x:c r="I409" s="3"/>
      <x:c r="J409" s="3"/>
      <x:c r="K409" s="3"/>
      <x:c r="L409" s="3"/>
      <x:c r="M409" s="3"/>
      <x:c r="N409" s="3"/>
      <x:c r="O409" s="3"/>
      <x:c r="P409" s="3"/>
      <x:c r="Q409" s="3"/>
      <x:c r="R409" s="3"/>
      <x:c r="S409" s="3" t="n">
        <x:v>1.736265215196186</x:v>
      </x:c>
      <x:c r="T409" s="3" t="n">
        <x:v>-0.056602007456487705</x:v>
      </x:c>
      <x:c r="U409" s="3"/>
      <x:c r="V409" s="3"/>
      <x:c r="W409" s="3"/>
      <x:c r="X409" s="3"/>
      <x:c r="Y409" s="3"/>
      <x:c r="Z409" s="3"/>
    </x:row>
    <x:row r="410" ht="15" customHeight="1">
      <x:c r="A410" s="3"/>
      <x:c r="B410" s="3"/>
      <x:c r="C410" s="3"/>
      <x:c r="D410" s="3"/>
      <x:c r="E410" s="3"/>
      <x:c r="F410" s="3"/>
      <x:c r="G410" s="3"/>
      <x:c r="H410" s="3"/>
      <x:c r="I410" s="3"/>
      <x:c r="J410" s="3"/>
      <x:c r="K410" s="3"/>
      <x:c r="L410" s="3"/>
      <x:c r="M410" s="3"/>
      <x:c r="N410" s="3"/>
      <x:c r="O410" s="3"/>
      <x:c r="P410" s="3"/>
      <x:c r="Q410" s="3"/>
      <x:c r="R410" s="3"/>
      <x:c r="S410" s="3" t="n">
        <x:v>-0.056602007456487705</x:v>
      </x:c>
      <x:c r="T410" s="3" t="n">
        <x:v>0.0019095328272353274</x:v>
      </x:c>
      <x:c r="U410" s="3"/>
      <x:c r="V410" s="3"/>
      <x:c r="W410" s="3"/>
      <x:c r="X410" s="3"/>
      <x:c r="Y410" s="3"/>
      <x:c r="Z410" s="3"/>
    </x:row>
    <x:row r="411" ht="15" customHeight="1">
      <x:c r="A411" s="3"/>
      <x:c r="B411" s="3"/>
      <x:c r="C411" s="3"/>
      <x:c r="D411" s="3"/>
      <x:c r="E411" s="3"/>
      <x:c r="F411" s="3"/>
      <x:c r="G411" s="3"/>
      <x:c r="H411" s="3"/>
      <x:c r="I411" s="3"/>
      <x:c r="J411" s="3"/>
      <x:c r="K411" s="3"/>
      <x:c r="L411" s="3"/>
      <x:c r="M411" s="3"/>
      <x:c r="N411" s="3"/>
      <x:c r="O411" s="3"/>
      <x:c r="P411" s="3"/>
      <x:c r="Q411" s="3"/>
      <x:c r="R411" s="3"/>
      <x:c r="S411" s="3"/>
      <x:c r="T411" s="3"/>
      <x:c r="U411" s="3"/>
      <x:c r="V411" s="3"/>
      <x:c r="W411" s="3"/>
      <x:c r="X411" s="3"/>
      <x:c r="Y411" s="3"/>
      <x:c r="Z411" s="3"/>
    </x:row>
    <x:row r="412" ht="15" customHeight="1">
      <x:c r="A412" s="3"/>
      <x:c r="B412" s="3"/>
      <x:c r="C412" s="3"/>
      <x:c r="D412" s="3"/>
      <x:c r="E412" s="3"/>
      <x:c r="F412" s="3"/>
      <x:c r="G412" s="3"/>
      <x:c r="H412" s="3"/>
      <x:c r="I412" s="3"/>
      <x:c r="J412" s="3"/>
      <x:c r="K412" s="3"/>
      <x:c r="L412" s="3"/>
      <x:c r="M412" s="3"/>
      <x:c r="N412" s="3"/>
      <x:c r="O412" s="3"/>
      <x:c r="P412" s="3"/>
      <x:c r="Q412" s="3"/>
      <x:c r="R412" s="3"/>
      <x:c r="S412" s="3"/>
      <x:c r="T412" s="3"/>
      <x:c r="U412" s="3"/>
      <x:c r="V412" s="3"/>
      <x:c r="W412" s="3"/>
      <x:c r="X412" s="3"/>
      <x:c r="Y412" s="3"/>
      <x:c r="Z412" s="3"/>
    </x:row>
    <x:row r="413" ht="15" customHeight="1">
      <x:c r="A413" s="3"/>
      <x:c r="B413" s="3"/>
      <x:c r="C413" s="3"/>
      <x:c r="D413" s="3"/>
      <x:c r="E413" s="3"/>
      <x:c r="F413" s="3"/>
      <x:c r="G413" s="3"/>
      <x:c r="H413" s="3"/>
      <x:c r="I413" s="3"/>
      <x:c r="J413" s="3"/>
      <x:c r="K413" s="3"/>
      <x:c r="L413" s="3"/>
      <x:c r="M413" s="3"/>
      <x:c r="N413" s="3"/>
      <x:c r="O413" s="3"/>
      <x:c r="P413" s="3"/>
      <x:c r="Q413" s="3"/>
      <x:c r="R413" s="3"/>
      <x:c r="S413" s="3"/>
      <x:c r="T413" s="3"/>
      <x:c r="U413" s="3"/>
      <x:c r="V413" s="3"/>
      <x:c r="W413" s="3"/>
      <x:c r="X413" s="3"/>
      <x:c r="Y413" s="3"/>
      <x:c r="Z413" s="3"/>
    </x:row>
    <x:row r="414" ht="15" customHeight="1">
      <x:c r="A414" s="3"/>
      <x:c r="B414" s="3"/>
      <x:c r="C414" s="3"/>
      <x:c r="D414" s="3"/>
      <x:c r="E414" s="3"/>
      <x:c r="F414" s="3"/>
      <x:c r="G414" s="3"/>
      <x:c r="H414" s="3"/>
      <x:c r="I414" s="3"/>
      <x:c r="J414" s="3"/>
      <x:c r="K414" s="3"/>
      <x:c r="L414" s="3"/>
      <x:c r="M414" s="3"/>
      <x:c r="N414" s="3"/>
      <x:c r="O414" s="3"/>
      <x:c r="P414" s="3"/>
      <x:c r="Q414" s="3"/>
      <x:c r="R414" s="3"/>
      <x:c r="S414" s="3"/>
      <x:c r="T414" s="3"/>
      <x:c r="U414" s="3"/>
      <x:c r="V414" s="3"/>
      <x:c r="W414" s="3"/>
      <x:c r="X414" s="3"/>
      <x:c r="Y414" s="3"/>
      <x:c r="Z414" s="3"/>
    </x:row>
    <x:row r="415" ht="30" customHeight="1">
      <x:c r="A415" s="3"/>
      <x:c r="B415" s="3"/>
      <x:c r="C415" s="3"/>
      <x:c r="D415" s="3"/>
      <x:c r="E415" s="3"/>
      <x:c r="F415" s="3"/>
      <x:c r="G415" s="3"/>
      <x:c r="H415" s="3"/>
      <x:c r="I415" s="3"/>
      <x:c r="J415" s="3"/>
      <x:c r="K415" s="3"/>
      <x:c r="L415" s="3"/>
      <x:c r="M415" s="3"/>
      <x:c r="N415" s="3"/>
      <x:c r="O415" s="3"/>
      <x:c r="P415" s="3"/>
      <x:c r="Q415" s="3"/>
      <x:c r="R415" s="3"/>
      <x:c r="S415" s="14" t="str">
        <x:v>Cov a0,cₘ</x:v>
      </x:c>
      <x:c r="T415" s="14" t="str">
        <x:v>Cov a1,cₘ</x:v>
      </x:c>
      <x:c r="U415" s="14" t="str">
        <x:v>Cov a2,cₘ</x:v>
      </x:c>
      <x:c r="V415" s="14" t="str">
        <x:v>Cov a3,cₘ</x:v>
      </x:c>
      <x:c r="W415" s="14" t="str">
        <x:v>Var cₘ</x:v>
      </x:c>
      <x:c r="X415" s="3"/>
      <x:c r="Y415" s="3"/>
      <x:c r="Z415" s="3"/>
    </x:row>
    <x:row r="416" ht="15" customHeight="1">
      <x:c r="A416" s="3"/>
      <x:c r="B416" s="3"/>
      <x:c r="C416" s="3"/>
      <x:c r="D416" s="3"/>
      <x:c r="E416" s="3"/>
      <x:c r="F416" s="3"/>
      <x:c r="G416" s="3"/>
      <x:c r="H416" s="3"/>
      <x:c r="I416" s="3"/>
      <x:c r="J416" s="3"/>
      <x:c r="K416" s="3"/>
      <x:c r="L416" s="3"/>
      <x:c r="M416" s="3"/>
      <x:c r="N416" s="3"/>
      <x:c r="O416" s="3"/>
      <x:c r="P416" s="3"/>
      <x:c r="Q416" s="3"/>
      <x:c r="R416" s="3"/>
      <x:c r="S416" s="3" t="n">
        <x:v>-0.09211580704305886</x:v>
      </x:c>
      <x:c r="T416" s="3" t="n">
        <x:v>0.004275760338777284</x:v>
      </x:c>
      <x:c r="U416" s="3" t="n">
        <x:v>0</x:v>
      </x:c>
      <x:c r="V416" s="3" t="n">
        <x:v>0</x:v>
      </x:c>
      <x:c r="W416" s="3" t="n">
        <x:v>16.55020277360024</x:v>
      </x:c>
      <x:c r="X416" s="3"/>
      <x:c r="Y416" s="3"/>
      <x:c r="Z416" s="3"/>
    </x:row>
    <x:row r="417" ht="15" customHeight="1">
      <x:c r="A417" s="3"/>
      <x:c r="B417" s="3"/>
      <x:c r="C417" s="3"/>
      <x:c r="D417" s="3"/>
      <x:c r="E417" s="3"/>
      <x:c r="F417" s="3"/>
      <x:c r="G417" s="3"/>
      <x:c r="H417" s="3"/>
      <x:c r="I417" s="3"/>
      <x:c r="J417" s="3"/>
      <x:c r="K417" s="3"/>
      <x:c r="L417" s="3"/>
      <x:c r="M417" s="3"/>
      <x:c r="N417" s="3"/>
      <x:c r="O417" s="3"/>
      <x:c r="P417" s="3"/>
      <x:c r="Q417" s="3"/>
      <x:c r="R417" s="3"/>
      <x:c r="S417" s="3" t="n">
        <x:v>0.0029777576852942638</x:v>
      </x:c>
      <x:c r="T417" s="3" t="n">
        <x:v>0.0017227220074430359</x:v>
      </x:c>
      <x:c r="U417" s="3" t="n">
        <x:v>0</x:v>
      </x:c>
      <x:c r="V417" s="3" t="n">
        <x:v>0</x:v>
      </x:c>
      <x:c r="W417" s="3" t="n">
        <x:v>17.81932871142727</x:v>
      </x:c>
      <x:c r="X417" s="3"/>
      <x:c r="Y417" s="3"/>
      <x:c r="Z417" s="3"/>
    </x:row>
    <x:row r="418" ht="15" customHeight="1">
      <x:c r="A418" s="3"/>
      <x:c r="B418" s="3"/>
      <x:c r="C418" s="3"/>
      <x:c r="D418" s="3"/>
      <x:c r="E418" s="3"/>
      <x:c r="F418" s="3"/>
      <x:c r="G418" s="3"/>
      <x:c r="H418" s="3"/>
      <x:c r="I418" s="3"/>
      <x:c r="J418" s="3"/>
      <x:c r="K418" s="3"/>
      <x:c r="L418" s="3"/>
      <x:c r="M418" s="3"/>
      <x:c r="N418" s="3"/>
      <x:c r="O418" s="3"/>
      <x:c r="P418" s="3"/>
      <x:c r="Q418" s="3"/>
      <x:c r="R418" s="3"/>
      <x:c r="S418" s="3" t="n">
        <x:v>-0.03903549941080715</x:v>
      </x:c>
      <x:c r="T418" s="3" t="n">
        <x:v>0.0014975971363026328</x:v>
      </x:c>
      <x:c r="U418" s="3" t="n">
        <x:v>0</x:v>
      </x:c>
      <x:c r="V418" s="3" t="n">
        <x:v>0</x:v>
      </x:c>
      <x:c r="W418" s="3" t="n">
        <x:v>15.689201813410396</x:v>
      </x:c>
      <x:c r="X418" s="3"/>
      <x:c r="Y418" s="3"/>
      <x:c r="Z418" s="3"/>
    </x:row>
    <x:row r="419" ht="15" customHeight="1">
      <x:c r="A419" s="3"/>
      <x:c r="B419" s="3"/>
      <x:c r="C419" s="3"/>
      <x:c r="D419" s="3"/>
      <x:c r="E419" s="3"/>
      <x:c r="F419" s="3"/>
      <x:c r="G419" s="3"/>
      <x:c r="H419" s="3"/>
      <x:c r="I419" s="3"/>
      <x:c r="J419" s="3"/>
      <x:c r="K419" s="3"/>
      <x:c r="L419" s="3"/>
      <x:c r="M419" s="3"/>
      <x:c r="N419" s="3"/>
      <x:c r="O419" s="3"/>
      <x:c r="P419" s="3"/>
      <x:c r="Q419" s="3"/>
      <x:c r="R419" s="3"/>
      <x:c r="S419" s="3" t="n">
        <x:v>0.030590233982253873</x:v>
      </x:c>
      <x:c r="T419" s="3" t="n">
        <x:v>-0.001393623489726913</x:v>
      </x:c>
      <x:c r="U419" s="3" t="n">
        <x:v>0</x:v>
      </x:c>
      <x:c r="V419" s="3" t="n">
        <x:v>0</x:v>
      </x:c>
      <x:c r="W419" s="3" t="n">
        <x:v>15.361313726164958</x:v>
      </x:c>
      <x:c r="X419" s="3"/>
      <x:c r="Y419" s="3"/>
      <x:c r="Z419" s="3"/>
    </x:row>
    <x:row r="420" ht="15" customHeight="1">
      <x:c r="A420" s="3"/>
      <x:c r="B420" s="3"/>
      <x:c r="C420" s="3"/>
      <x:c r="D420" s="3"/>
      <x:c r="E420" s="3"/>
      <x:c r="F420" s="3"/>
      <x:c r="G420" s="3"/>
      <x:c r="H420" s="3"/>
      <x:c r="I420" s="3"/>
      <x:c r="J420" s="3"/>
      <x:c r="K420" s="3"/>
      <x:c r="L420" s="3"/>
      <x:c r="M420" s="3"/>
      <x:c r="N420" s="3"/>
      <x:c r="O420" s="3"/>
      <x:c r="P420" s="3"/>
      <x:c r="Q420" s="3"/>
      <x:c r="R420" s="3"/>
      <x:c r="S420" s="3" t="n">
        <x:v>0.06321358287256326</x:v>
      </x:c>
      <x:c r="T420" s="3" t="n">
        <x:v>-0.002910225426437486</x:v>
      </x:c>
      <x:c r="U420" s="3" t="n">
        <x:v>0</x:v>
      </x:c>
      <x:c r="V420" s="3" t="n">
        <x:v>0</x:v>
      </x:c>
      <x:c r="W420" s="3" t="n">
        <x:v>15.129201544253833</x:v>
      </x:c>
      <x:c r="X420" s="3"/>
      <x:c r="Y420" s="3"/>
      <x:c r="Z420" s="3"/>
    </x:row>
    <x:row r="421" ht="15" customHeight="1">
      <x:c r="A421" s="3"/>
      <x:c r="B421" s="3"/>
      <x:c r="C421" s="3"/>
      <x:c r="D421" s="3"/>
      <x:c r="E421" s="3"/>
      <x:c r="F421" s="3"/>
      <x:c r="G421" s="3"/>
      <x:c r="H421" s="3"/>
      <x:c r="I421" s="3"/>
      <x:c r="J421" s="3"/>
      <x:c r="K421" s="3"/>
      <x:c r="L421" s="3"/>
      <x:c r="M421" s="3"/>
      <x:c r="N421" s="3"/>
      <x:c r="O421" s="3"/>
      <x:c r="P421" s="3"/>
      <x:c r="Q421" s="3"/>
      <x:c r="R421" s="3"/>
      <x:c r="S421" s="3" t="n">
        <x:v>0.10489541531969318</x:v>
      </x:c>
      <x:c r="T421" s="3" t="n">
        <x:v>-0.004111878899899809</x:v>
      </x:c>
      <x:c r="U421" s="3" t="n">
        <x:v>0</x:v>
      </x:c>
      <x:c r="V421" s="3" t="n">
        <x:v>0</x:v>
      </x:c>
      <x:c r="W421" s="3" t="n">
        <x:v>15.681574635030463</x:v>
      </x:c>
      <x:c r="X421" s="3"/>
      <x:c r="Y421" s="3"/>
      <x:c r="Z421" s="3"/>
    </x:row>
    <x:row r="422" ht="15" customHeight="1">
      <x:c r="A422" s="3"/>
      <x:c r="B422" s="3"/>
      <x:c r="C422" s="3"/>
      <x:c r="D422" s="3"/>
      <x:c r="E422" s="3"/>
      <x:c r="F422" s="3"/>
      <x:c r="G422" s="3"/>
      <x:c r="H422" s="3"/>
      <x:c r="I422" s="3"/>
      <x:c r="J422" s="3"/>
      <x:c r="K422" s="3"/>
      <x:c r="L422" s="3"/>
      <x:c r="M422" s="3"/>
      <x:c r="N422" s="3"/>
      <x:c r="O422" s="3"/>
      <x:c r="P422" s="3"/>
      <x:c r="Q422" s="3"/>
      <x:c r="R422" s="3"/>
      <x:c r="S422" s="3" t="n">
        <x:v>0.0528546350793281</x:v>
      </x:c>
      <x:c r="T422" s="3" t="n">
        <x:v>-0.002769179496230742</x:v>
      </x:c>
      <x:c r="U422" s="3" t="n">
        <x:v>0</x:v>
      </x:c>
      <x:c r="V422" s="3" t="n">
        <x:v>0</x:v>
      </x:c>
      <x:c r="W422" s="3" t="n">
        <x:v>14.988722755153315</x:v>
      </x:c>
      <x:c r="X422" s="3"/>
      <x:c r="Y422" s="3"/>
      <x:c r="Z422" s="3"/>
    </x:row>
    <x:row r="423" ht="15" customHeight="1">
      <x:c r="A423" s="3"/>
      <x:c r="B423" s="3"/>
      <x:c r="C423" s="3"/>
      <x:c r="D423" s="3"/>
      <x:c r="E423" s="3"/>
      <x:c r="F423" s="3"/>
      <x:c r="G423" s="3"/>
      <x:c r="H423" s="3"/>
      <x:c r="I423" s="3"/>
      <x:c r="J423" s="3"/>
      <x:c r="K423" s="3"/>
      <x:c r="L423" s="3"/>
      <x:c r="M423" s="3"/>
      <x:c r="N423" s="3"/>
      <x:c r="O423" s="3"/>
      <x:c r="P423" s="3"/>
      <x:c r="Q423" s="3"/>
      <x:c r="R423" s="3"/>
      <x:c r="S423" s="3" t="n">
        <x:v>-0.04511884771959722</x:v>
      </x:c>
      <x:c r="T423" s="3" t="n">
        <x:v>0.001129873135863845</x:v>
      </x:c>
      <x:c r="U423" s="3" t="n">
        <x:v>0</x:v>
      </x:c>
      <x:c r="V423" s="3" t="n">
        <x:v>0</x:v>
      </x:c>
      <x:c r="W423" s="3" t="n">
        <x:v>15.267076688024728</x:v>
      </x:c>
      <x:c r="X423" s="3"/>
      <x:c r="Y423" s="3"/>
      <x:c r="Z423" s="3"/>
    </x:row>
    <x:row r="424" ht="15" customHeight="1">
      <x:c r="A424" s="3"/>
      <x:c r="B424" s="3"/>
      <x:c r="C424" s="3"/>
      <x:c r="D424" s="3"/>
      <x:c r="E424" s="3"/>
      <x:c r="F424" s="3"/>
      <x:c r="G424" s="3"/>
      <x:c r="H424" s="3"/>
      <x:c r="I424" s="3"/>
      <x:c r="J424" s="3"/>
      <x:c r="K424" s="3"/>
      <x:c r="L424" s="3"/>
      <x:c r="M424" s="3"/>
      <x:c r="N424" s="3"/>
      <x:c r="O424" s="3"/>
      <x:c r="P424" s="3"/>
      <x:c r="Q424" s="3"/>
      <x:c r="R424" s="3"/>
      <x:c r="S424" s="3" t="n">
        <x:v>-0.007286574146677118</x:v>
      </x:c>
      <x:c r="T424" s="3" t="n">
        <x:v>0.00007386612874007092</x:v>
      </x:c>
      <x:c r="U424" s="3" t="n">
        <x:v>0</x:v>
      </x:c>
      <x:c r="V424" s="3" t="n">
        <x:v>0</x:v>
      </x:c>
      <x:c r="W424" s="3" t="n">
        <x:v>15.747535052078794</x:v>
      </x:c>
      <x:c r="X424" s="3"/>
      <x:c r="Y424" s="3"/>
      <x:c r="Z424" s="3"/>
    </x:row>
    <x:row r="425" ht="15" customHeight="1">
      <x:c r="A425" s="3"/>
      <x:c r="B425" s="3"/>
      <x:c r="C425" s="3"/>
      <x:c r="D425" s="3"/>
      <x:c r="E425" s="3"/>
      <x:c r="F425" s="3"/>
      <x:c r="G425" s="3"/>
      <x:c r="H425" s="3"/>
      <x:c r="I425" s="3"/>
      <x:c r="J425" s="3"/>
      <x:c r="K425" s="3"/>
      <x:c r="L425" s="3"/>
      <x:c r="M425" s="3"/>
      <x:c r="N425" s="3"/>
      <x:c r="O425" s="3"/>
      <x:c r="P425" s="3"/>
      <x:c r="Q425" s="3"/>
      <x:c r="R425" s="3"/>
      <x:c r="S425" s="3" t="n">
        <x:v>-0.03044778199679304</x:v>
      </x:c>
      <x:c r="T425" s="3" t="n">
        <x:v>0.0005228750797326484</x:v>
      </x:c>
      <x:c r="U425" s="3" t="n">
        <x:v>0</x:v>
      </x:c>
      <x:c r="V425" s="3" t="n">
        <x:v>0</x:v>
      </x:c>
      <x:c r="W425" s="3" t="n">
        <x:v>15.268060765784757</x:v>
      </x:c>
      <x:c r="X425" s="3"/>
      <x:c r="Y425" s="3"/>
      <x:c r="Z425" s="3"/>
    </x:row>
    <x:row r="426" ht="15" customHeight="1">
      <x:c r="A426" s="3"/>
      <x:c r="B426" s="3"/>
      <x:c r="C426" s="3"/>
      <x:c r="D426" s="3"/>
      <x:c r="E426" s="3"/>
      <x:c r="F426" s="3"/>
      <x:c r="G426" s="3"/>
      <x:c r="H426" s="3"/>
      <x:c r="I426" s="3"/>
      <x:c r="J426" s="3"/>
      <x:c r="K426" s="3"/>
      <x:c r="L426" s="3"/>
      <x:c r="M426" s="3"/>
      <x:c r="N426" s="3"/>
      <x:c r="O426" s="3"/>
      <x:c r="P426" s="3"/>
      <x:c r="Q426" s="3"/>
      <x:c r="R426" s="3"/>
      <x:c r="S426" s="3" t="n">
        <x:v>0.005579427085826039</x:v>
      </x:c>
      <x:c r="T426" s="3" t="n">
        <x:v>-0.0004564605965241426</x:v>
      </x:c>
      <x:c r="U426" s="3" t="n">
        <x:v>0</x:v>
      </x:c>
      <x:c r="V426" s="3" t="n">
        <x:v>0</x:v>
      </x:c>
      <x:c r="W426" s="3" t="n">
        <x:v>15.74827805941624</x:v>
      </x:c>
      <x:c r="X426" s="3"/>
      <x:c r="Y426" s="3"/>
      <x:c r="Z426" s="3"/>
    </x:row>
    <x:row r="427" ht="15" customHeight="1">
      <x:c r="A427" s="3"/>
      <x:c r="B427" s="3"/>
      <x:c r="C427" s="3"/>
      <x:c r="D427" s="3"/>
      <x:c r="E427" s="3"/>
      <x:c r="F427" s="3"/>
      <x:c r="G427" s="3"/>
      <x:c r="H427" s="3"/>
      <x:c r="I427" s="3"/>
      <x:c r="J427" s="3"/>
      <x:c r="K427" s="3"/>
      <x:c r="L427" s="3"/>
      <x:c r="M427" s="3"/>
      <x:c r="N427" s="3"/>
      <x:c r="O427" s="3"/>
      <x:c r="P427" s="3"/>
      <x:c r="Q427" s="3"/>
      <x:c r="R427" s="3"/>
      <x:c r="S427" s="3" t="n">
        <x:v>-0.046106541708025334</x:v>
      </x:c>
      <x:c r="T427" s="3" t="n">
        <x:v>0.002418674081959576</x:v>
      </x:c>
      <x:c r="U427" s="3" t="n">
        <x:v>0</x:v>
      </x:c>
      <x:c r="V427" s="3" t="n">
        <x:v>0</x:v>
      </x:c>
      <x:c r="W427" s="3" t="n">
        <x:v>16.984326908446025</x:v>
      </x:c>
      <x:c r="X427" s="3"/>
      <x:c r="Y427" s="3"/>
      <x:c r="Z427" s="3"/>
    </x:row>
  </x:sheetData>
  <x:pageMargins left="0.7" right="0.7" top="0.75" bottom="0.75" header="0.3" footer="0.3"/>
  <x:drawing xmlns:r="http://schemas.openxmlformats.org/officeDocument/2006/relationships" r:id="R904307f71e7745f5"/>
</x:worksheet>
</file>

<file path=xl/worksheets/sheet5.xml><?xml version="1.0" encoding="utf-8"?>
<x:worksheet xmlns:x="http://schemas.openxmlformats.org/spreadsheetml/2006/main">
  <x:sheetPr>
    <x:tabColor rgb="FFFFFFFF"/>
  </x:sheetPr>
  <x:sheetViews>
    <x:sheetView showGridLines="1"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8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6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</x:cols>
  <x:sheetData>
    <x:row r="1" ht="15" customHeight="1">
      <x:c r="A1" s="3" t="str">
        <x:v>Логарифмическая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15" customHeight="1">
      <x:c r="A2" s="3" t="str">
        <x:v>H=a+b·ln(x)+cₘ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</x:row>
    <x:row r="3" ht="30" customHeight="1">
      <x:c r="A3" s="14" t="str">
        <x:v>Коэф.</x:v>
      </x:c>
      <x:c r="B3" s="14" t="str">
        <x:v>Оценка</x:v>
      </x:c>
      <x:c r="C3" s="14" t="str">
        <x:v>SE</x:v>
      </x:c>
      <x:c r="D3" s="14" t="str">
        <x:v>Месяц</x:v>
      </x:c>
      <x:c r="E3" s="14" t="str">
        <x:v>cₘ, см</x:v>
      </x:c>
      <x:c r="F3" s="14" t="str">
        <x:v>Показатель</x:v>
      </x:c>
      <x:c r="G3" s="14" t="str">
        <x:v>Значение</x:v>
      </x:c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15" customHeight="1">
      <x:c r="A4" s="8" t="str">
        <x:v>a</x:v>
      </x:c>
      <x:c r="B4" s="16" t="n">
        <x:v>5.020460041973583</x:v>
      </x:c>
      <x:c r="C4" s="16" t="n">
        <x:f>SQRT(S409)</x:f>
        <x:v>1.8457351731360394</x:v>
      </x:c>
      <x:c r="D4" s="9" t="n">
        <x:v>1</x:v>
      </x:c>
      <x:c r="E4" s="16" t="n">
        <x:v>-90.27692469869508</x:v>
      </x:c>
      <x:c r="F4" s="8" t="str">
        <x:v>R² обучения</x:v>
      </x:c>
      <x:c r="G4" s="12" t="n">
        <x:v>0.5896826038145433</x:v>
      </x:c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</x:row>
    <x:row r="5" ht="15" customHeight="1">
      <x:c r="A5" s="8" t="str">
        <x:v>b</x:v>
      </x:c>
      <x:c r="B5" s="16" t="n">
        <x:v>50.016943422349726</x:v>
      </x:c>
      <x:c r="C5" s="16" t="n">
        <x:f>SQRT(T410)</x:f>
        <x:v>1.1998986972445291</x:v>
      </x:c>
      <x:c r="D5" s="9" t="n">
        <x:v>2</x:v>
      </x:c>
      <x:c r="E5" s="16" t="n">
        <x:v>-143.07988151024045</x:v>
      </x:c>
      <x:c r="F5" s="8" t="str">
        <x:v>MAE, см</x:v>
      </x:c>
      <x:c r="G5" s="8" t="n">
        <x:f>SUMPRODUCT($R$20:$R$384,$O$20:$O$384)/G11</x:f>
        <x:v>56.81965053151343</x:v>
      </x:c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</x:row>
    <x:row r="6" ht="15" customHeight="1">
      <x:c r="A6" s="3"/>
      <x:c r="B6" s="3"/>
      <x:c r="C6" s="3"/>
      <x:c r="D6" s="9" t="n">
        <x:v>3</x:v>
      </x:c>
      <x:c r="E6" s="16" t="n">
        <x:v>-156.27508577089867</x:v>
      </x:c>
      <x:c r="F6" s="8" t="str">
        <x:v>S (RMSE), см</x:v>
      </x:c>
      <x:c r="G6" s="8" t="n">
        <x:f>SQRT(K408/G11)</x:f>
        <x:v>68.55933452362943</x:v>
      </x:c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 ht="15" customHeight="1">
      <x:c r="A7" s="3"/>
      <x:c r="B7" s="3"/>
      <x:c r="C7" s="3"/>
      <x:c r="D7" s="9" t="n">
        <x:v>4</x:v>
      </x:c>
      <x:c r="E7" s="16" t="n">
        <x:v>-41.65735441114265</x:v>
      </x:c>
      <x:c r="F7" s="8" t="str">
        <x:v>NSE</x:v>
      </x:c>
      <x:c r="G7" s="12" t="n">
        <x:f>IF(K405=0,"н.д.",1-K408/K405)</x:f>
        <x:v>0.734163715488092</x:v>
      </x:c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</x:row>
    <x:row r="8" ht="15" customHeight="1">
      <x:c r="A8" s="3"/>
      <x:c r="B8" s="3"/>
      <x:c r="C8" s="3"/>
      <x:c r="D8" s="9" t="n">
        <x:v>5</x:v>
      </x:c>
      <x:c r="E8" s="16" t="n">
        <x:v>52.10417693645739</x:v>
      </x:c>
      <x:c r="F8" s="8" t="str">
        <x:v>S/σΔ</x:v>
      </x:c>
      <x:c r="G8" s="12" t="n">
        <x:f>IF(G10=0,"н.д.",G6/G10)</x:f>
        <x:v>6.264178836953819</x:v>
      </x:c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</x:row>
    <x:row r="9" ht="15" customHeight="1">
      <x:c r="A9" s="3"/>
      <x:c r="B9" s="3"/>
      <x:c r="C9" s="3"/>
      <x:c r="D9" s="9" t="n">
        <x:v>6</x:v>
      </x:c>
      <x:c r="E9" s="16" t="n">
        <x:v>75.13811754570348</x:v>
      </x:c>
      <x:c r="F9" s="8" t="str">
        <x:v>P%</x:v>
      </x:c>
      <x:c r="G9" s="18" t="n">
        <x:f>SUM($S$20:$S$384)/G11</x:f>
        <x:v>0.059154929577464786</x:v>
      </x:c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  <x:c r="V9" s="3"/>
      <x:c r="W9" s="3"/>
      <x:c r="X9" s="3"/>
      <x:c r="Y9" s="3"/>
      <x:c r="Z9" s="3"/>
    </x:row>
    <x:row r="10" ht="15" customHeight="1">
      <x:c r="A10" s="3"/>
      <x:c r="B10" s="3"/>
      <x:c r="C10" s="3"/>
      <x:c r="D10" s="9" t="n">
        <x:v>7</x:v>
      </x:c>
      <x:c r="E10" s="16" t="n">
        <x:v>110.45804118262606</x:v>
      </x:c>
      <x:c r="F10" s="8" t="str">
        <x:v>σΔ, см</x:v>
      </x:c>
      <x:c r="G10" s="8" t="n">
        <x:f>IF(G11&gt;1,SQRT(MAX(0,K407)/(G11-1)),"н.д.")</x:f>
        <x:v>10.944664306067107</x:v>
      </x:c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</x:row>
    <x:row r="11" ht="15" customHeight="1">
      <x:c r="A11" s="3"/>
      <x:c r="B11" s="3"/>
      <x:c r="C11" s="3"/>
      <x:c r="D11" s="9" t="n">
        <x:v>8</x:v>
      </x:c>
      <x:c r="E11" s="16" t="n">
        <x:v>211.49831552999223</x:v>
      </x:c>
      <x:c r="F11" s="8" t="str">
        <x:v>n проверки</x:v>
      </x:c>
      <x:c r="G11" s="9" t="n">
        <x:f>SUM($R$20:$R$384)</x:f>
        <x:v>355</x:v>
      </x:c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3"/>
      <x:c r="S11" s="3"/>
      <x:c r="T11" s="3"/>
      <x:c r="U11" s="3"/>
      <x:c r="V11" s="3"/>
      <x:c r="W11" s="3"/>
      <x:c r="X11" s="3"/>
      <x:c r="Y11" s="3"/>
      <x:c r="Z11" s="3"/>
    </x:row>
    <x:row r="12" ht="15" customHeight="1">
      <x:c r="A12" s="3"/>
      <x:c r="B12" s="3"/>
      <x:c r="C12" s="3"/>
      <x:c r="D12" s="9" t="n">
        <x:v>9</x:v>
      </x:c>
      <x:c r="E12" s="16" t="n">
        <x:v>171.62644492698996</x:v>
      </x:c>
      <x:c r="F12" s="8" t="str">
        <x:v>Оценка, суток</x:v>
      </x:c>
      <x:c r="G12" s="9" t="n">
        <x:f>'Сводка'!$B$11</x:f>
        <x:v>1</x:v>
      </x:c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3"/>
      <x:c r="T12" s="3"/>
      <x:c r="U12" s="3"/>
      <x:c r="V12" s="3"/>
      <x:c r="W12" s="3"/>
      <x:c r="X12" s="3"/>
      <x:c r="Y12" s="3"/>
      <x:c r="Z12" s="3"/>
    </x:row>
    <x:row r="13" ht="15" customHeight="1">
      <x:c r="A13" s="3"/>
      <x:c r="B13" s="3"/>
      <x:c r="C13" s="3"/>
      <x:c r="D13" s="9" t="n">
        <x:v>10</x:v>
      </x:c>
      <x:c r="E13" s="16" t="n">
        <x:v>18.527009746046254</x:v>
      </x:c>
      <x:c r="F13" s="8" t="str">
        <x:v>δдоп, см</x:v>
      </x:c>
      <x:c r="G13" s="8" t="n">
        <x:f>'Сводка'!$B$14*G10</x:f>
        <x:v>7.376703742289231</x:v>
      </x:c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</x:row>
    <x:row r="14" ht="15" customHeight="1">
      <x:c r="A14" s="3"/>
      <x:c r="B14" s="3"/>
      <x:c r="C14" s="3"/>
      <x:c r="D14" s="9" t="n">
        <x:v>11</x:v>
      </x:c>
      <x:c r="E14" s="16" t="n">
        <x:v>-121.8654012535912</x:v>
      </x:c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</x:row>
    <x:row r="15" ht="15" customHeight="1">
      <x:c r="A15" s="3"/>
      <x:c r="B15" s="3"/>
      <x:c r="C15" s="3"/>
      <x:c r="D15" s="9" t="n">
        <x:v>12</x:v>
      </x:c>
      <x:c r="E15" s="16" t="n">
        <x:v>-86.1974582232473</x:v>
      </x:c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</x:row>
    <x:row r="16" ht="15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</x:row>
    <x:row r="17" ht="15" customHeight="1">
      <x:c r="A17" s="3" t="str">
        <x:v>Прогноз</x:v>
      </x:c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</x:row>
    <x:row r="18" ht="30" customHeight="1">
      <x:c r="A18" s="15" t="str">
        <x:v>Дата</x:v>
      </x:c>
      <x:c r="B18" s="15" t="str">
        <x:v>x</x:v>
      </x:c>
      <x:c r="C18" s="15" t="str">
        <x:v>u</x:v>
      </x:c>
      <x:c r="D18" s="15" t="str">
        <x:v>Прогноз, см</x:v>
      </x:c>
      <x:c r="E18" s="15" t="str">
        <x:v>SE прогноза</x:v>
      </x:c>
      <x:c r="F18" s="15" t="str">
        <x:v>Нижняя 95%</x:v>
      </x:c>
      <x:c r="G18" s="15" t="str">
        <x:v>Верхняя 95%</x:v>
      </x:c>
      <x:c r="H18" s="15" t="str">
        <x:v>SE среднего</x:v>
      </x:c>
      <x:c r="I18" s="3"/>
      <x:c r="J18" s="3" t="str">
        <x:v>Проверочные прогнозы</x:v>
      </x:c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</x:row>
    <x:row r="19" ht="30" customHeight="1">
      <x:c r="A19" s="10" t="n">
        <x:f>IF(1&lt;='Сводка'!$B$3,'Сводка'!$B$4+1,"")</x:f>
        <x:v>46236</x:v>
      </x:c>
      <x:c r="B19" s="19" t="n">
        <x:f>IF($A19="","",(A19-$T$405+1)/1000)</x:f>
        <x:v>8.98</x:v>
      </x:c>
      <x:c r="C19" s="19" t="n">
        <x:f>IF($A19="","",2*(A19-$T$405)/$T$406-1)</x:f>
        <x:v>1.000222766763199</x:v>
      </x:c>
      <x:c r="D19" s="8" t="n">
        <x:f>IF($A19="","",$B$4+$B$5*LN(B19)+INDEX($E$4:$E$15,MONTH(A19)))</x:f>
        <x:v>326.3059604977349</x:v>
      </x:c>
      <x:c r="E19" s="8" t="n">
        <x:f>IF($A19="","",SQRT($T$403^2+H19^2))</x:f>
        <x:v>110.37520013346357</x:v>
      </x:c>
      <x:c r="F19" s="8" t="n">
        <x:f>IF($A19="","",D19-$T$404*E19)</x:f>
        <x:v>109.94402885915028</x:v>
      </x:c>
      <x:c r="G19" s="8" t="n">
        <x:f>IF($A19="","",D19+$T$404*E19)</x:f>
        <x:v>542.6678921363194</x:v>
      </x:c>
      <x:c r="H19" s="8" t="n">
        <x:f>IF($A19="","",SQRT(MAX(0,(1)*$S$409*(1)+(1)*$T$409*(LN(B19))+(LN(B19))*$S$410*(1)+(LN(B19))*$T$410*(LN(B19))+2*((1)*INDEX($S$416:$V$427,MONTH(A19),1)+(LN(B19))*INDEX($S$416:$V$427,MONTH(A19),2))+INDEX($W$416:$W$427,MONTH(A19)))))</x:f>
        <x:v>4.212531329400341</x:v>
      </x:c>
      <x:c r="I19" s="3"/>
      <x:c r="J19" s="15" t="str">
        <x:v>Дата</x:v>
      </x:c>
      <x:c r="K19" s="15" t="str">
        <x:v>Факт, см</x:v>
      </x:c>
      <x:c r="L19" s="15" t="str">
        <x:v>H начала</x:v>
      </x:c>
      <x:c r="M19" s="15" t="str">
        <x:v>Прогноз, см</x:v>
      </x:c>
      <x:c r="N19" s="15" t="str">
        <x:v>Ошибка</x:v>
      </x:c>
      <x:c r="O19" s="15" t="str">
        <x:v>|Ошибка|</x:v>
      </x:c>
      <x:c r="P19" s="15" t="str">
        <x:v>Ошибка²</x:v>
      </x:c>
      <x:c r="Q19" s="15" t="str">
        <x:v>ΔH</x:v>
      </x:c>
      <x:c r="R19" s="15" t="str">
        <x:v>Вес</x:v>
      </x:c>
      <x:c r="S19" s="15" t="str">
        <x:v>Оправдался</x:v>
      </x:c>
      <x:c r="T19" s="15" t="str">
        <x:v>Обучение до</x:v>
      </x:c>
      <x:c r="U19" s="14" t="str">
        <x:v>i факт</x:v>
      </x:c>
      <x:c r="V19" s="14" t="str">
        <x:v>i начало</x:v>
      </x:c>
      <x:c r="W19" s="14" t="str">
        <x:v>i fit</x:v>
      </x:c>
      <x:c r="X19" s="3"/>
      <x:c r="Y19" s="3"/>
      <x:c r="Z19" s="3"/>
    </x:row>
    <x:row r="20" ht="15" customHeight="1">
      <x:c r="A20" s="10" t="n">
        <x:f>IF(2&lt;='Сводка'!$B$3,'Сводка'!$B$4+2,"")</x:f>
        <x:v>46237</x:v>
      </x:c>
      <x:c r="B20" s="19" t="n">
        <x:f>IF($A20="","",(A20-$T$405+1)/1000)</x:f>
        <x:v>8.981</x:v>
      </x:c>
      <x:c r="C20" s="19" t="n">
        <x:f>IF($A20="","",2*(A20-$T$405)/$T$406-1)</x:f>
        <x:v>1.0004455335263978</x:v>
      </x:c>
      <x:c r="D20" s="8" t="n">
        <x:f>IF($A20="","",$B$4+$B$5*LN(B20)+INDEX($E$4:$E$15,MONTH(A20)))</x:f>
        <x:v>326.3115300031604</x:v>
      </x:c>
      <x:c r="E20" s="8" t="n">
        <x:f>IF($A20="","",SQRT($T$403^2+H20^2))</x:f>
        <x:v>110.37520156313678</x:v>
      </x:c>
      <x:c r="F20" s="8" t="n">
        <x:f>IF($A20="","",D20-$T$404*E20)</x:f>
        <x:v>109.94959556207252</x:v>
      </x:c>
      <x:c r="G20" s="8" t="n">
        <x:f>IF($A20="","",D20+$T$404*E20)</x:f>
        <x:v>542.6734644442482</x:v>
      </x:c>
      <x:c r="H20" s="8" t="n">
        <x:f>IF($A20="","",SQRT(MAX(0,(1)*$S$409*(1)+(1)*$T$409*(LN(B20))+(LN(B20))*$S$410*(1)+(LN(B20))*$T$410*(LN(B20))+2*((1)*INDEX($S$416:$V$427,MONTH(A20),1)+(LN(B20))*INDEX($S$416:$V$427,MONTH(A20),2))+INDEX($W$416:$W$427,MONTH(A20)))))</x:f>
        <x:v>4.212568789007064</x:v>
      </x:c>
      <x:c r="I20" s="3"/>
      <x:c r="J20" s="10" t="n">
        <x:v>45871</x:v>
      </x:c>
      <x:c r="K20" s="8" t="n">
        <x:f>INDEX('Сводка'!$S$3:$S$397,U20)</x:f>
        <x:v>211</x:v>
      </x:c>
      <x:c r="L20" s="8" t="n">
        <x:f>INDEX('Сводка'!$S$3:$S$397,V20)</x:f>
        <x:v>193</x:v>
      </x:c>
      <x:c r="M20" s="8" t="n">
        <x:f>INDEX($K$388:$N$400,W20,1)+INDEX($K$388:$N$400,W20,2)*LN(((J20-$T$405+1)/1000))+INDEX($O$388:$Z$400,W20,MONTH(J20))</x:f>
        <x:v>328.29750667706895</x:v>
      </x:c>
      <x:c r="N20" s="8" t="n">
        <x:f>K20-M20</x:f>
        <x:v>-117.29750667706895</x:v>
      </x:c>
      <x:c r="O20" s="8" t="n">
        <x:f>ABS(N20)</x:f>
        <x:v>117.29750667706895</x:v>
      </x:c>
      <x:c r="P20" s="8" t="n">
        <x:f>N20^2</x:f>
        <x:v>13758.705072657036</x:v>
      </x:c>
      <x:c r="Q20" s="8" t="n">
        <x:f>K20-L20</x:f>
        <x:v>18</x:v>
      </x:c>
      <x:c r="R20" s="9" t="n">
        <x:f>IF(AND(INDEX('Сводка'!$T$3:$T$397,U20)=0,INDEX('Сводка'!$T$3:$T$397,V20)=0),1,0)</x:f>
        <x:v>1</x:v>
      </x:c>
      <x:c r="S20" s="9" t="n">
        <x:f>IF(AND(R20=1,O20&lt;=$G$13),1,0)</x:f>
        <x:v>0</x:v>
      </x:c>
      <x:c r="T20" s="10" t="n">
        <x:f>EOMONTH(J20-'Сводка'!$B$11,-1)</x:f>
        <x:v>45869</x:v>
      </x:c>
      <x:c r="U20" s="4" t="n">
        <x:f>MATCH(J20,'Сводка'!$R$3:$R$397,0)</x:f>
        <x:v>31</x:v>
      </x:c>
      <x:c r="V20" s="4" t="n">
        <x:f>MATCH(J20-'Сводка'!$B$11,'Сводка'!$R$3:$R$397,0)</x:f>
        <x:v>30</x:v>
      </x:c>
      <x:c r="W20" s="4" t="n">
        <x:f>MATCH(T20,$J$388:$J$400,0)</x:f>
        <x:v>2</x:v>
      </x:c>
      <x:c r="X20" s="3"/>
      <x:c r="Y20" s="3"/>
      <x:c r="Z20" s="3"/>
    </x:row>
    <x:row r="21" ht="15" customHeight="1">
      <x:c r="A21" s="10" t="n">
        <x:f>IF(3&lt;='Сводка'!$B$3,'Сводка'!$B$4+3,"")</x:f>
        <x:v>46238</x:v>
      </x:c>
      <x:c r="B21" s="19" t="n">
        <x:f>IF($A21="","",(A21-$T$405+1)/1000)</x:f>
        <x:v>8.982</x:v>
      </x:c>
      <x:c r="C21" s="19" t="n">
        <x:f>IF($A21="","",2*(A21-$T$405)/$T$406-1)</x:f>
        <x:v>1.0006683002895969</x:v>
      </x:c>
      <x:c r="D21" s="8" t="n">
        <x:f>IF($A21="","",$B$4+$B$5*LN(B21)+INDEX($E$4:$E$15,MONTH(A21)))</x:f>
        <x:v>326.3170988884773</x:v>
      </x:c>
      <x:c r="E21" s="8" t="n">
        <x:f>IF($A21="","",SQRT($T$403^2+H21^2))</x:f>
        <x:v>110.3752029928125</x:v>
      </x:c>
      <x:c r="F21" s="8" t="n">
        <x:f>IF($A21="","",D21-$T$404*E21)</x:f>
        <x:v>109.95516164488126</x:v>
      </x:c>
      <x:c r="G21" s="8" t="n">
        <x:f>IF($A21="","",D21+$T$404*E21)</x:f>
        <x:v>542.6790361320733</x:v>
      </x:c>
      <x:c r="H21" s="8" t="n">
        <x:f>IF($A21="","",SQRT(MAX(0,(1)*$S$409*(1)+(1)*$T$409*(LN(B21))+(LN(B21))*$S$410*(1)+(LN(B21))*$T$410*(LN(B21))+2*((1)*INDEX($S$416:$V$427,MONTH(A21),1)+(LN(B21))*INDEX($S$416:$V$427,MONTH(A21),2))+INDEX($W$416:$W$427,MONTH(A21)))))</x:f>
        <x:v>4.212606248347051</x:v>
      </x:c>
      <x:c r="I21" s="3"/>
      <x:c r="J21" s="10" t="n">
        <x:v>45872</x:v>
      </x:c>
      <x:c r="K21" s="8" t="n">
        <x:f>INDEX('Сводка'!$S$3:$S$397,U21)</x:f>
        <x:v>229</x:v>
      </x:c>
      <x:c r="L21" s="8" t="n">
        <x:f>INDEX('Сводка'!$S$3:$S$397,V21)</x:f>
        <x:v>211</x:v>
      </x:c>
      <x:c r="M21" s="8" t="n">
        <x:f>INDEX($K$388:$N$400,W21,1)+INDEX($K$388:$N$400,W21,2)*LN(((J21-$T$405+1)/1000))+INDEX($O$388:$Z$400,W21,MONTH(J21))</x:f>
        <x:v>328.3035177654602</x:v>
      </x:c>
      <x:c r="N21" s="8" t="n">
        <x:f>K21-M21</x:f>
        <x:v>-99.30351776546019</x:v>
      </x:c>
      <x:c r="O21" s="8" t="n">
        <x:f>ABS(N21)</x:f>
        <x:v>99.30351776546019</x:v>
      </x:c>
      <x:c r="P21" s="8" t="n">
        <x:f>N21^2</x:f>
        <x:v>9861.188640595066</x:v>
      </x:c>
      <x:c r="Q21" s="8" t="n">
        <x:f>K21-L21</x:f>
        <x:v>18</x:v>
      </x:c>
      <x:c r="R21" s="9" t="n">
        <x:f>IF(AND(INDEX('Сводка'!$T$3:$T$397,U21)=0,INDEX('Сводка'!$T$3:$T$397,V21)=0),1,0)</x:f>
        <x:v>1</x:v>
      </x:c>
      <x:c r="S21" s="9" t="n">
        <x:f>IF(AND(R21=1,O21&lt;=$G$13),1,0)</x:f>
        <x:v>0</x:v>
      </x:c>
      <x:c r="T21" s="10" t="n">
        <x:f>EOMONTH(J21-'Сводка'!$B$11,-1)</x:f>
        <x:v>45869</x:v>
      </x:c>
      <x:c r="U21" s="4" t="n">
        <x:f>MATCH(J21,'Сводка'!$R$3:$R$397,0)</x:f>
        <x:v>32</x:v>
      </x:c>
      <x:c r="V21" s="4" t="n">
        <x:f>MATCH(J21-'Сводка'!$B$11,'Сводка'!$R$3:$R$397,0)</x:f>
        <x:v>31</x:v>
      </x:c>
      <x:c r="W21" s="4" t="n">
        <x:f>MATCH(T21,$J$388:$J$400,0)</x:f>
        <x:v>2</x:v>
      </x:c>
      <x:c r="X21" s="3"/>
      <x:c r="Y21" s="3"/>
      <x:c r="Z21" s="3"/>
    </x:row>
    <x:row r="22" ht="15" customHeight="1">
      <x:c r="A22" s="10" t="n">
        <x:f>IF(4&lt;='Сводка'!$B$3,'Сводка'!$B$4+4,"")</x:f>
        <x:v>46239</x:v>
      </x:c>
      <x:c r="B22" s="19" t="n">
        <x:f>IF($A22="","",(A22-$T$405+1)/1000)</x:f>
        <x:v>8.983</x:v>
      </x:c>
      <x:c r="C22" s="19" t="n">
        <x:f>IF($A22="","",2*(A22-$T$405)/$T$406-1)</x:f>
        <x:v>1.0008910670527955</x:v>
      </x:c>
      <x:c r="D22" s="8" t="n">
        <x:f>IF($A22="","",$B$4+$B$5*LN(B22)+INDEX($E$4:$E$15,MONTH(A22)))</x:f>
        <x:v>326.3226671538237</x:v>
      </x:c>
      <x:c r="E22" s="8" t="n">
        <x:f>IF($A22="","",SQRT($T$403^2+H22^2))</x:f>
        <x:v>110.37520442249074</x:v>
      </x:c>
      <x:c r="F22" s="8" t="n">
        <x:f>IF($A22="","",D22-$T$404*E22)</x:f>
        <x:v>109.96072710771458</x:v>
      </x:c>
      <x:c r="G22" s="8" t="n">
        <x:f>IF($A22="","",D22+$T$404*E22)</x:f>
        <x:v>542.6846071999329</x:v>
      </x:c>
      <x:c r="H22" s="8" t="n">
        <x:f>IF($A22="","",SQRT(MAX(0,(1)*$S$409*(1)+(1)*$T$409*(LN(B22))+(LN(B22))*$S$410*(1)+(LN(B22))*$T$410*(LN(B22))+2*((1)*INDEX($S$416:$V$427,MONTH(A22),1)+(LN(B22))*INDEX($S$416:$V$427,MONTH(A22),2))+INDEX($W$416:$W$427,MONTH(A22)))))</x:f>
        <x:v>4.212643707419824</x:v>
      </x:c>
      <x:c r="I22" s="3"/>
      <x:c r="J22" s="10" t="n">
        <x:v>45873</x:v>
      </x:c>
      <x:c r="K22" s="8" t="n">
        <x:f>INDEX('Сводка'!$S$3:$S$397,U22)</x:f>
        <x:v>243</x:v>
      </x:c>
      <x:c r="L22" s="8" t="n">
        <x:f>INDEX('Сводка'!$S$3:$S$397,V22)</x:f>
        <x:v>229</x:v>
      </x:c>
      <x:c r="M22" s="8" t="n">
        <x:f>INDEX($K$388:$N$400,W22,1)+INDEX($K$388:$N$400,W22,2)*LN(((J22-$T$405+1)/1000))+INDEX($O$388:$Z$400,W22,MONTH(J22))</x:f>
        <x:v>328.3095281562261</x:v>
      </x:c>
      <x:c r="N22" s="8" t="n">
        <x:f>K22-M22</x:f>
        <x:v>-85.30952815622612</x:v>
      </x:c>
      <x:c r="O22" s="8" t="n">
        <x:f>ABS(N22)</x:f>
        <x:v>85.30952815622612</x:v>
      </x:c>
      <x:c r="P22" s="8" t="n">
        <x:f>N22^2</x:f>
        <x:v>7277.715594237938</x:v>
      </x:c>
      <x:c r="Q22" s="8" t="n">
        <x:f>K22-L22</x:f>
        <x:v>14</x:v>
      </x:c>
      <x:c r="R22" s="9" t="n">
        <x:f>IF(AND(INDEX('Сводка'!$T$3:$T$397,U22)=0,INDEX('Сводка'!$T$3:$T$397,V22)=0),1,0)</x:f>
        <x:v>1</x:v>
      </x:c>
      <x:c r="S22" s="9" t="n">
        <x:f>IF(AND(R22=1,O22&lt;=$G$13),1,0)</x:f>
        <x:v>0</x:v>
      </x:c>
      <x:c r="T22" s="10" t="n">
        <x:f>EOMONTH(J22-'Сводка'!$B$11,-1)</x:f>
        <x:v>45869</x:v>
      </x:c>
      <x:c r="U22" s="4" t="n">
        <x:f>MATCH(J22,'Сводка'!$R$3:$R$397,0)</x:f>
        <x:v>33</x:v>
      </x:c>
      <x:c r="V22" s="4" t="n">
        <x:f>MATCH(J22-'Сводка'!$B$11,'Сводка'!$R$3:$R$397,0)</x:f>
        <x:v>32</x:v>
      </x:c>
      <x:c r="W22" s="4" t="n">
        <x:f>MATCH(T22,$J$388:$J$400,0)</x:f>
        <x:v>2</x:v>
      </x:c>
      <x:c r="X22" s="3"/>
      <x:c r="Y22" s="3"/>
      <x:c r="Z22" s="3"/>
    </x:row>
    <x:row r="23" ht="15" customHeight="1">
      <x:c r="A23" s="10" t="n">
        <x:f>IF(5&lt;='Сводка'!$B$3,'Сводка'!$B$4+5,"")</x:f>
        <x:v>46240</x:v>
      </x:c>
      <x:c r="B23" s="19" t="n">
        <x:f>IF($A23="","",(A23-$T$405+1)/1000)</x:f>
        <x:v>8.984</x:v>
      </x:c>
      <x:c r="C23" s="19" t="n">
        <x:f>IF($A23="","",2*(A23-$T$405)/$T$406-1)</x:f>
        <x:v>1.0011138338159946</x:v>
      </x:c>
      <x:c r="D23" s="8" t="n">
        <x:f>IF($A23="","",$B$4+$B$5*LN(B23)+INDEX($E$4:$E$15,MONTH(A23)))</x:f>
        <x:v>326.3282347993376</x:v>
      </x:c>
      <x:c r="E23" s="8" t="n">
        <x:f>IF($A23="","",SQRT($T$403^2+H23^2))</x:f>
        <x:v>110.37520585217143</x:v>
      </x:c>
      <x:c r="F23" s="8" t="n">
        <x:f>IF($A23="","",D23-$T$404*E23)</x:f>
        <x:v>109.96629195071054</x:v>
      </x:c>
      <x:c r="G23" s="8" t="n">
        <x:f>IF($A23="","",D23+$T$404*E23)</x:f>
        <x:v>542.6901776479647</x:v>
      </x:c>
      <x:c r="H23" s="8" t="n">
        <x:f>IF($A23="","",SQRT(MAX(0,(1)*$S$409*(1)+(1)*$T$409*(LN(B23))+(LN(B23))*$S$410*(1)+(LN(B23))*$T$410*(LN(B23))+2*((1)*INDEX($S$416:$V$427,MONTH(A23),1)+(LN(B23))*INDEX($S$416:$V$427,MONTH(A23),2))+INDEX($W$416:$W$427,MONTH(A23)))))</x:f>
        <x:v>4.212681166224902</x:v>
      </x:c>
      <x:c r="I23" s="3"/>
      <x:c r="J23" s="10" t="n">
        <x:v>45874</x:v>
      </x:c>
      <x:c r="K23" s="8" t="n">
        <x:f>INDEX('Сводка'!$S$3:$S$397,U23)</x:f>
        <x:v>249</x:v>
      </x:c>
      <x:c r="L23" s="8" t="n">
        <x:f>INDEX('Сводка'!$S$3:$S$397,V23)</x:f>
        <x:v>243</x:v>
      </x:c>
      <x:c r="M23" s="8" t="n">
        <x:f>INDEX($K$388:$N$400,W23,1)+INDEX($K$388:$N$400,W23,2)*LN(((J23-$T$405+1)/1000))+INDEX($O$388:$Z$400,W23,MONTH(J23))</x:f>
        <x:v>328.31553784952865</x:v>
      </x:c>
      <x:c r="N23" s="8" t="n">
        <x:f>K23-M23</x:f>
        <x:v>-79.31553784952865</x:v>
      </x:c>
      <x:c r="O23" s="8" t="n">
        <x:f>ABS(N23)</x:f>
        <x:v>79.31553784952865</x:v>
      </x:c>
      <x:c r="P23" s="8" t="n">
        <x:f>N23^2</x:f>
        <x:v>6290.954544360013</x:v>
      </x:c>
      <x:c r="Q23" s="8" t="n">
        <x:f>K23-L23</x:f>
        <x:v>6</x:v>
      </x:c>
      <x:c r="R23" s="9" t="n">
        <x:f>IF(AND(INDEX('Сводка'!$T$3:$T$397,U23)=0,INDEX('Сводка'!$T$3:$T$397,V23)=0),1,0)</x:f>
        <x:v>1</x:v>
      </x:c>
      <x:c r="S23" s="9" t="n">
        <x:f>IF(AND(R23=1,O23&lt;=$G$13),1,0)</x:f>
        <x:v>0</x:v>
      </x:c>
      <x:c r="T23" s="10" t="n">
        <x:f>EOMONTH(J23-'Сводка'!$B$11,-1)</x:f>
        <x:v>45869</x:v>
      </x:c>
      <x:c r="U23" s="4" t="n">
        <x:f>MATCH(J23,'Сводка'!$R$3:$R$397,0)</x:f>
        <x:v>34</x:v>
      </x:c>
      <x:c r="V23" s="4" t="n">
        <x:f>MATCH(J23-'Сводка'!$B$11,'Сводка'!$R$3:$R$397,0)</x:f>
        <x:v>33</x:v>
      </x:c>
      <x:c r="W23" s="4" t="n">
        <x:f>MATCH(T23,$J$388:$J$400,0)</x:f>
        <x:v>2</x:v>
      </x:c>
      <x:c r="X23" s="3"/>
      <x:c r="Y23" s="3"/>
      <x:c r="Z23" s="3"/>
    </x:row>
    <x:row r="24" ht="15" customHeight="1">
      <x:c r="A24" s="10" t="n">
        <x:f>IF(6&lt;='Сводка'!$B$3,'Сводка'!$B$4+6,"")</x:f>
        <x:v>46241</x:v>
      </x:c>
      <x:c r="B24" s="19" t="n">
        <x:f>IF($A24="","",(A24-$T$405+1)/1000)</x:f>
        <x:v>8.985</x:v>
      </x:c>
      <x:c r="C24" s="19" t="n">
        <x:f>IF($A24="","",2*(A24-$T$405)/$T$406-1)</x:f>
        <x:v>1.0013366005791937</x:v>
      </x:c>
      <x:c r="D24" s="8" t="n">
        <x:f>IF($A24="","",$B$4+$B$5*LN(B24)+INDEX($E$4:$E$15,MONTH(A24)))</x:f>
        <x:v>326.33380182515697</x:v>
      </x:c>
      <x:c r="E24" s="8" t="n">
        <x:f>IF($A24="","",SQRT($T$403^2+H24^2))</x:f>
        <x:v>110.3752072818546</x:v>
      </x:c>
      <x:c r="F24" s="8" t="n">
        <x:f>IF($A24="","",D24-$T$404*E24)</x:f>
        <x:v>109.97185617400712</x:v>
      </x:c>
      <x:c r="G24" s="8" t="n">
        <x:f>IF($A24="","",D24+$T$404*E24)</x:f>
        <x:v>542.6957474763068</x:v>
      </x:c>
      <x:c r="H24" s="8" t="n">
        <x:f>IF($A24="","",SQRT(MAX(0,(1)*$S$409*(1)+(1)*$T$409*(LN(B24))+(LN(B24))*$S$410*(1)+(LN(B24))*$T$410*(LN(B24))+2*((1)*INDEX($S$416:$V$427,MONTH(A24),1)+(LN(B24))*INDEX($S$416:$V$427,MONTH(A24),2))+INDEX($W$416:$W$427,MONTH(A24)))))</x:f>
        <x:v>4.212718624761807</x:v>
      </x:c>
      <x:c r="I24" s="3"/>
      <x:c r="J24" s="10" t="n">
        <x:v>45875</x:v>
      </x:c>
      <x:c r="K24" s="8" t="n">
        <x:f>INDEX('Сводка'!$S$3:$S$397,U24)</x:f>
        <x:v>253</x:v>
      </x:c>
      <x:c r="L24" s="8" t="n">
        <x:f>INDEX('Сводка'!$S$3:$S$397,V24)</x:f>
        <x:v>249</x:v>
      </x:c>
      <x:c r="M24" s="8" t="n">
        <x:f>INDEX($K$388:$N$400,W24,1)+INDEX($K$388:$N$400,W24,2)*LN(((J24-$T$405+1)/1000))+INDEX($O$388:$Z$400,W24,MONTH(J24))</x:f>
        <x:v>328.3215468455296</x:v>
      </x:c>
      <x:c r="N24" s="8" t="n">
        <x:f>K24-M24</x:f>
        <x:v>-75.32154684552961</x:v>
      </x:c>
      <x:c r="O24" s="8" t="n">
        <x:f>ABS(N24)</x:f>
        <x:v>75.32154684552961</x:v>
      </x:c>
      <x:c r="P24" s="8" t="n">
        <x:f>N24^2</x:f>
        <x:v>5673.335419203311</x:v>
      </x:c>
      <x:c r="Q24" s="8" t="n">
        <x:f>K24-L24</x:f>
        <x:v>4</x:v>
      </x:c>
      <x:c r="R24" s="9" t="n">
        <x:f>IF(AND(INDEX('Сводка'!$T$3:$T$397,U24)=0,INDEX('Сводка'!$T$3:$T$397,V24)=0),1,0)</x:f>
        <x:v>1</x:v>
      </x:c>
      <x:c r="S24" s="9" t="n">
        <x:f>IF(AND(R24=1,O24&lt;=$G$13),1,0)</x:f>
        <x:v>0</x:v>
      </x:c>
      <x:c r="T24" s="10" t="n">
        <x:f>EOMONTH(J24-'Сводка'!$B$11,-1)</x:f>
        <x:v>45869</x:v>
      </x:c>
      <x:c r="U24" s="4" t="n">
        <x:f>MATCH(J24,'Сводка'!$R$3:$R$397,0)</x:f>
        <x:v>35</x:v>
      </x:c>
      <x:c r="V24" s="4" t="n">
        <x:f>MATCH(J24-'Сводка'!$B$11,'Сводка'!$R$3:$R$397,0)</x:f>
        <x:v>34</x:v>
      </x:c>
      <x:c r="W24" s="4" t="n">
        <x:f>MATCH(T24,$J$388:$J$400,0)</x:f>
        <x:v>2</x:v>
      </x:c>
      <x:c r="X24" s="3"/>
      <x:c r="Y24" s="3"/>
      <x:c r="Z24" s="3"/>
    </x:row>
    <x:row r="25" ht="15" customHeight="1">
      <x:c r="A25" s="10" t="n">
        <x:f>IF(7&lt;='Сводка'!$B$3,'Сводка'!$B$4+7,"")</x:f>
        <x:v>46242</x:v>
      </x:c>
      <x:c r="B25" s="19" t="n">
        <x:f>IF($A25="","",(A25-$T$405+1)/1000)</x:f>
        <x:v>8.986</x:v>
      </x:c>
      <x:c r="C25" s="19" t="n">
        <x:f>IF($A25="","",2*(A25-$T$405)/$T$406-1)</x:f>
        <x:v>1.0015593673423924</x:v>
      </x:c>
      <x:c r="D25" s="8" t="n">
        <x:f>IF($A25="","",$B$4+$B$5*LN(B25)+INDEX($E$4:$E$15,MONTH(A25)))</x:f>
        <x:v>326.3393682314197</x:v>
      </x:c>
      <x:c r="E25" s="8" t="n">
        <x:f>IF($A25="","",SQRT($T$403^2+H25^2))</x:f>
        <x:v>110.37520871154021</x:v>
      </x:c>
      <x:c r="F25" s="8" t="n">
        <x:f>IF($A25="","",D25-$T$404*E25)</x:f>
        <x:v>109.97741977774231</x:v>
      </x:c>
      <x:c r="G25" s="8" t="n">
        <x:f>IF($A25="","",D25+$T$404*E25)</x:f>
        <x:v>542.7013166850971</x:v>
      </x:c>
      <x:c r="H25" s="8" t="n">
        <x:f>IF($A25="","",SQRT(MAX(0,(1)*$S$409*(1)+(1)*$T$409*(LN(B25))+(LN(B25))*$S$410*(1)+(LN(B25))*$T$410*(LN(B25))+2*((1)*INDEX($S$416:$V$427,MONTH(A25),1)+(LN(B25))*INDEX($S$416:$V$427,MONTH(A25),2))+INDEX($W$416:$W$427,MONTH(A25)))))</x:f>
        <x:v>4.212756083030062</x:v>
      </x:c>
      <x:c r="I25" s="3"/>
      <x:c r="J25" s="10" t="n">
        <x:v>45876</x:v>
      </x:c>
      <x:c r="K25" s="8" t="n">
        <x:f>INDEX('Сводка'!$S$3:$S$397,U25)</x:f>
        <x:v>259</x:v>
      </x:c>
      <x:c r="L25" s="8" t="n">
        <x:f>INDEX('Сводка'!$S$3:$S$397,V25)</x:f>
        <x:v>253</x:v>
      </x:c>
      <x:c r="M25" s="8" t="n">
        <x:f>INDEX($K$388:$N$400,W25,1)+INDEX($K$388:$N$400,W25,2)*LN(((J25-$T$405+1)/1000))+INDEX($O$388:$Z$400,W25,MONTH(J25))</x:f>
        <x:v>328.3275551443909</x:v>
      </x:c>
      <x:c r="N25" s="8" t="n">
        <x:f>K25-M25</x:f>
        <x:v>-69.32755514439089</x:v>
      </x:c>
      <x:c r="O25" s="8" t="n">
        <x:f>ABS(N25)</x:f>
        <x:v>69.32755514439089</x:v>
      </x:c>
      <x:c r="P25" s="8" t="n">
        <x:f>N25^2</x:f>
        <x:v>4806.309902298559</x:v>
      </x:c>
      <x:c r="Q25" s="8" t="n">
        <x:f>K25-L25</x:f>
        <x:v>6</x:v>
      </x:c>
      <x:c r="R25" s="9" t="n">
        <x:f>IF(AND(INDEX('Сводка'!$T$3:$T$397,U25)=0,INDEX('Сводка'!$T$3:$T$397,V25)=0),1,0)</x:f>
        <x:v>1</x:v>
      </x:c>
      <x:c r="S25" s="9" t="n">
        <x:f>IF(AND(R25=1,O25&lt;=$G$13),1,0)</x:f>
        <x:v>0</x:v>
      </x:c>
      <x:c r="T25" s="10" t="n">
        <x:f>EOMONTH(J25-'Сводка'!$B$11,-1)</x:f>
        <x:v>45869</x:v>
      </x:c>
      <x:c r="U25" s="4" t="n">
        <x:f>MATCH(J25,'Сводка'!$R$3:$R$397,0)</x:f>
        <x:v>36</x:v>
      </x:c>
      <x:c r="V25" s="4" t="n">
        <x:f>MATCH(J25-'Сводка'!$B$11,'Сводка'!$R$3:$R$397,0)</x:f>
        <x:v>35</x:v>
      </x:c>
      <x:c r="W25" s="4" t="n">
        <x:f>MATCH(T25,$J$388:$J$400,0)</x:f>
        <x:v>2</x:v>
      </x:c>
      <x:c r="X25" s="3"/>
      <x:c r="Y25" s="3"/>
      <x:c r="Z25" s="3"/>
    </x:row>
    <x:row r="26" ht="15" customHeight="1">
      <x:c r="A26" s="10" t="n">
        <x:f>IF(8&lt;='Сводка'!$B$3,'Сводка'!$B$4+8,"")</x:f>
        <x:v>46243</x:v>
      </x:c>
      <x:c r="B26" s="19" t="n">
        <x:f>IF($A26="","",(A26-$T$405+1)/1000)</x:f>
        <x:v>8.987</x:v>
      </x:c>
      <x:c r="C26" s="19" t="n">
        <x:f>IF($A26="","",2*(A26-$T$405)/$T$406-1)</x:f>
        <x:v>1.0017821341055915</x:v>
      </x:c>
      <x:c r="D26" s="8" t="n">
        <x:f>IF($A26="","",$B$4+$B$5*LN(B26)+INDEX($E$4:$E$15,MONTH(A26)))</x:f>
        <x:v>326.34493401826376</x:v>
      </x:c>
      <x:c r="E26" s="8" t="n">
        <x:f>IF($A26="","",SQRT($T$403^2+H26^2))</x:f>
        <x:v>110.37521014122824</x:v>
      </x:c>
      <x:c r="F26" s="8" t="n">
        <x:f>IF($A26="","",D26-$T$404*E26)</x:f>
        <x:v>109.98298276205406</x:v>
      </x:c>
      <x:c r="G26" s="8" t="n">
        <x:f>IF($A26="","",D26+$T$404*E26)</x:f>
        <x:v>542.7068852744735</x:v>
      </x:c>
      <x:c r="H26" s="8" t="n">
        <x:f>IF($A26="","",SQRT(MAX(0,(1)*$S$409*(1)+(1)*$T$409*(LN(B26))+(LN(B26))*$S$410*(1)+(LN(B26))*$T$410*(LN(B26))+2*((1)*INDEX($S$416:$V$427,MONTH(A26),1)+(LN(B26))*INDEX($S$416:$V$427,MONTH(A26),2))+INDEX($W$416:$W$427,MONTH(A26)))))</x:f>
        <x:v>4.2127935410291855</x:v>
      </x:c>
      <x:c r="I26" s="3"/>
      <x:c r="J26" s="10" t="n">
        <x:v>45877</x:v>
      </x:c>
      <x:c r="K26" s="8" t="n">
        <x:f>INDEX('Сводка'!$S$3:$S$397,U26)</x:f>
        <x:v>265</x:v>
      </x:c>
      <x:c r="L26" s="8" t="n">
        <x:f>INDEX('Сводка'!$S$3:$S$397,V26)</x:f>
        <x:v>259</x:v>
      </x:c>
      <x:c r="M26" s="8" t="n">
        <x:f>INDEX($K$388:$N$400,W26,1)+INDEX($K$388:$N$400,W26,2)*LN(((J26-$T$405+1)/1000))+INDEX($O$388:$Z$400,W26,MONTH(J26))</x:f>
        <x:v>328.33356274627414</x:v>
      </x:c>
      <x:c r="N26" s="8" t="n">
        <x:f>K26-M26</x:f>
        <x:v>-63.33356274627414</x:v>
      </x:c>
      <x:c r="O26" s="8" t="n">
        <x:f>ABS(N26)</x:f>
        <x:v>63.33356274627414</x:v>
      </x:c>
      <x:c r="P26" s="8" t="n">
        <x:f>N26^2</x:f>
        <x:v>4011.140170136244</x:v>
      </x:c>
      <x:c r="Q26" s="8" t="n">
        <x:f>K26-L26</x:f>
        <x:v>6</x:v>
      </x:c>
      <x:c r="R26" s="9" t="n">
        <x:f>IF(AND(INDEX('Сводка'!$T$3:$T$397,U26)=0,INDEX('Сводка'!$T$3:$T$397,V26)=0),1,0)</x:f>
        <x:v>1</x:v>
      </x:c>
      <x:c r="S26" s="9" t="n">
        <x:f>IF(AND(R26=1,O26&lt;=$G$13),1,0)</x:f>
        <x:v>0</x:v>
      </x:c>
      <x:c r="T26" s="10" t="n">
        <x:f>EOMONTH(J26-'Сводка'!$B$11,-1)</x:f>
        <x:v>45869</x:v>
      </x:c>
      <x:c r="U26" s="4" t="n">
        <x:f>MATCH(J26,'Сводка'!$R$3:$R$397,0)</x:f>
        <x:v>37</x:v>
      </x:c>
      <x:c r="V26" s="4" t="n">
        <x:f>MATCH(J26-'Сводка'!$B$11,'Сводка'!$R$3:$R$397,0)</x:f>
        <x:v>36</x:v>
      </x:c>
      <x:c r="W26" s="4" t="n">
        <x:f>MATCH(T26,$J$388:$J$400,0)</x:f>
        <x:v>2</x:v>
      </x:c>
      <x:c r="X26" s="3"/>
      <x:c r="Y26" s="3"/>
      <x:c r="Z26" s="3"/>
    </x:row>
    <x:row r="27" ht="15" customHeight="1">
      <x:c r="A27" s="10" t="n">
        <x:f>IF(9&lt;='Сводка'!$B$3,'Сводка'!$B$4+9,"")</x:f>
        <x:v>46244</x:v>
      </x:c>
      <x:c r="B27" s="19" t="n">
        <x:f>IF($A27="","",(A27-$T$405+1)/1000)</x:f>
        <x:v>8.988</x:v>
      </x:c>
      <x:c r="C27" s="19" t="n">
        <x:f>IF($A27="","",2*(A27-$T$405)/$T$406-1)</x:f>
        <x:v>1.0020049008687906</x:v>
      </x:c>
      <x:c r="D27" s="8" t="n">
        <x:f>IF($A27="","",$B$4+$B$5*LN(B27)+INDEX($E$4:$E$15,MONTH(A27)))</x:f>
        <x:v>326.35049918582695</x:v>
      </x:c>
      <x:c r="E27" s="8" t="n">
        <x:f>IF($A27="","",SQRT($T$403^2+H27^2))</x:f>
        <x:v>110.37521157091867</x:v>
      </x:c>
      <x:c r="F27" s="8" t="n">
        <x:f>IF($A27="","",D27-$T$404*E27)</x:f>
        <x:v>109.98854512708024</x:v>
      </x:c>
      <x:c r="G27" s="8" t="n">
        <x:f>IF($A27="","",D27+$T$404*E27)</x:f>
        <x:v>542.7124532445737</x:v>
      </x:c>
      <x:c r="H27" s="8" t="n">
        <x:f>IF($A27="","",SQRT(MAX(0,(1)*$S$409*(1)+(1)*$T$409*(LN(B27))+(LN(B27))*$S$410*(1)+(LN(B27))*$T$410*(LN(B27))+2*((1)*INDEX($S$416:$V$427,MONTH(A27),1)+(LN(B27))*INDEX($S$416:$V$427,MONTH(A27),2))+INDEX($W$416:$W$427,MONTH(A27)))))</x:f>
        <x:v>4.212830998758703</x:v>
      </x:c>
      <x:c r="I27" s="3"/>
      <x:c r="J27" s="10" t="n">
        <x:v>45878</x:v>
      </x:c>
      <x:c r="K27" s="8" t="n">
        <x:f>INDEX('Сводка'!$S$3:$S$397,U27)</x:f>
        <x:v>276</x:v>
      </x:c>
      <x:c r="L27" s="8" t="n">
        <x:f>INDEX('Сводка'!$S$3:$S$397,V27)</x:f>
        <x:v>265</x:v>
      </x:c>
      <x:c r="M27" s="8" t="n">
        <x:f>INDEX($K$388:$N$400,W27,1)+INDEX($K$388:$N$400,W27,2)*LN(((J27-$T$405+1)/1000))+INDEX($O$388:$Z$400,W27,MONTH(J27))</x:f>
        <x:v>328.3395696513411</x:v>
      </x:c>
      <x:c r="N27" s="8" t="n">
        <x:f>K27-M27</x:f>
        <x:v>-52.339569651341094</x:v>
      </x:c>
      <x:c r="O27" s="8" t="n">
        <x:f>ABS(N27)</x:f>
        <x:v>52.339569651341094</x:v>
      </x:c>
      <x:c r="P27" s="8" t="n">
        <x:f>N27^2</x:f>
        <x:v>2739.430551287586</x:v>
      </x:c>
      <x:c r="Q27" s="8" t="n">
        <x:f>K27-L27</x:f>
        <x:v>11</x:v>
      </x:c>
      <x:c r="R27" s="9" t="n">
        <x:f>IF(AND(INDEX('Сводка'!$T$3:$T$397,U27)=0,INDEX('Сводка'!$T$3:$T$397,V27)=0),1,0)</x:f>
        <x:v>1</x:v>
      </x:c>
      <x:c r="S27" s="9" t="n">
        <x:f>IF(AND(R27=1,O27&lt;=$G$13),1,0)</x:f>
        <x:v>0</x:v>
      </x:c>
      <x:c r="T27" s="10" t="n">
        <x:f>EOMONTH(J27-'Сводка'!$B$11,-1)</x:f>
        <x:v>45869</x:v>
      </x:c>
      <x:c r="U27" s="4" t="n">
        <x:f>MATCH(J27,'Сводка'!$R$3:$R$397,0)</x:f>
        <x:v>38</x:v>
      </x:c>
      <x:c r="V27" s="4" t="n">
        <x:f>MATCH(J27-'Сводка'!$B$11,'Сводка'!$R$3:$R$397,0)</x:f>
        <x:v>37</x:v>
      </x:c>
      <x:c r="W27" s="4" t="n">
        <x:f>MATCH(T27,$J$388:$J$400,0)</x:f>
        <x:v>2</x:v>
      </x:c>
      <x:c r="X27" s="3"/>
      <x:c r="Y27" s="3"/>
      <x:c r="Z27" s="3"/>
    </x:row>
    <x:row r="28" ht="15" customHeight="1">
      <x:c r="A28" s="10" t="n">
        <x:f>IF(10&lt;='Сводка'!$B$3,'Сводка'!$B$4+10,"")</x:f>
        <x:v>46245</x:v>
      </x:c>
      <x:c r="B28" s="19" t="n">
        <x:f>IF($A28="","",(A28-$T$405+1)/1000)</x:f>
        <x:v>8.989</x:v>
      </x:c>
      <x:c r="C28" s="19" t="n">
        <x:f>IF($A28="","",2*(A28-$T$405)/$T$406-1)</x:f>
        <x:v>1.0022276676319892</x:v>
      </x:c>
      <x:c r="D28" s="8" t="n">
        <x:f>IF($A28="","",$B$4+$B$5*LN(B28)+INDEX($E$4:$E$15,MONTH(A28)))</x:f>
        <x:v>326.356063734247</x:v>
      </x:c>
      <x:c r="E28" s="8" t="n">
        <x:f>IF($A28="","",SQRT($T$403^2+H28^2))</x:f>
        <x:v>110.37521300061148</x:v>
      </x:c>
      <x:c r="F28" s="8" t="n">
        <x:f>IF($A28="","",D28-$T$404*E28)</x:f>
        <x:v>109.99410687295864</x:v>
      </x:c>
      <x:c r="G28" s="8" t="n">
        <x:f>IF($A28="","",D28+$T$404*E28)</x:f>
        <x:v>542.7180205955353</x:v>
      </x:c>
      <x:c r="H28" s="8" t="n">
        <x:f>IF($A28="","",SQRT(MAX(0,(1)*$S$409*(1)+(1)*$T$409*(LN(B28))+(LN(B28))*$S$410*(1)+(LN(B28))*$T$410*(LN(B28))+2*((1)*INDEX($S$416:$V$427,MONTH(A28),1)+(LN(B28))*INDEX($S$416:$V$427,MONTH(A28),2))+INDEX($W$416:$W$427,MONTH(A28)))))</x:f>
        <x:v>4.212868456218135</x:v>
      </x:c>
      <x:c r="I28" s="3"/>
      <x:c r="J28" s="10" t="n">
        <x:v>45879</x:v>
      </x:c>
      <x:c r="K28" s="8" t="n">
        <x:f>INDEX('Сводка'!$S$3:$S$397,U28)</x:f>
        <x:v>290</x:v>
      </x:c>
      <x:c r="L28" s="8" t="n">
        <x:f>INDEX('Сводка'!$S$3:$S$397,V28)</x:f>
        <x:v>276</x:v>
      </x:c>
      <x:c r="M28" s="8" t="n">
        <x:f>INDEX($K$388:$N$400,W28,1)+INDEX($K$388:$N$400,W28,2)*LN(((J28-$T$405+1)/1000))+INDEX($O$388:$Z$400,W28,MONTH(J28))</x:f>
        <x:v>328.3455758597533</x:v>
      </x:c>
      <x:c r="N28" s="8" t="n">
        <x:f>K28-M28</x:f>
        <x:v>-38.345575859753296</x:v>
      </x:c>
      <x:c r="O28" s="8" t="n">
        <x:f>ABS(N28)</x:f>
        <x:v>38.345575859753296</x:v>
      </x:c>
      <x:c r="P28" s="8" t="n">
        <x:f>N28^2</x:f>
        <x:v>1470.3831880160947</x:v>
      </x:c>
      <x:c r="Q28" s="8" t="n">
        <x:f>K28-L28</x:f>
        <x:v>14</x:v>
      </x:c>
      <x:c r="R28" s="9" t="n">
        <x:f>IF(AND(INDEX('Сводка'!$T$3:$T$397,U28)=0,INDEX('Сводка'!$T$3:$T$397,V28)=0),1,0)</x:f>
        <x:v>1</x:v>
      </x:c>
      <x:c r="S28" s="9" t="n">
        <x:f>IF(AND(R28=1,O28&lt;=$G$13),1,0)</x:f>
        <x:v>0</x:v>
      </x:c>
      <x:c r="T28" s="10" t="n">
        <x:f>EOMONTH(J28-'Сводка'!$B$11,-1)</x:f>
        <x:v>45869</x:v>
      </x:c>
      <x:c r="U28" s="4" t="n">
        <x:f>MATCH(J28,'Сводка'!$R$3:$R$397,0)</x:f>
        <x:v>39</x:v>
      </x:c>
      <x:c r="V28" s="4" t="n">
        <x:f>MATCH(J28-'Сводка'!$B$11,'Сводка'!$R$3:$R$397,0)</x:f>
        <x:v>38</x:v>
      </x:c>
      <x:c r="W28" s="4" t="n">
        <x:f>MATCH(T28,$J$388:$J$400,0)</x:f>
        <x:v>2</x:v>
      </x:c>
      <x:c r="X28" s="3"/>
      <x:c r="Y28" s="3"/>
      <x:c r="Z28" s="3"/>
    </x:row>
    <x:row r="29" ht="15" customHeight="1">
      <x:c r="A29" s="10" t="n">
        <x:f>IF(11&lt;='Сводка'!$B$3,'Сводка'!$B$4+11,"")</x:f>
        <x:v>46246</x:v>
      </x:c>
      <x:c r="B29" s="19" t="n">
        <x:f>IF($A29="","",(A29-$T$405+1)/1000)</x:f>
        <x:v>8.99</x:v>
      </x:c>
      <x:c r="C29" s="19" t="n">
        <x:f>IF($A29="","",2*(A29-$T$405)/$T$406-1)</x:f>
        <x:v>1.0024504343951883</x:v>
      </x:c>
      <x:c r="D29" s="8" t="n">
        <x:f>IF($A29="","",$B$4+$B$5*LN(B29)+INDEX($E$4:$E$15,MONTH(A29)))</x:f>
        <x:v>326.3616276636618</x:v>
      </x:c>
      <x:c r="E29" s="8" t="n">
        <x:f>IF($A29="","",SQRT($T$403^2+H29^2))</x:f>
        <x:v>110.37521443030666</x:v>
      </x:c>
      <x:c r="F29" s="8" t="n">
        <x:f>IF($A29="","",D29-$T$404*E29)</x:f>
        <x:v>109.99966799982712</x:v>
      </x:c>
      <x:c r="G29" s="8" t="n">
        <x:f>IF($A29="","",D29+$T$404*E29)</x:f>
        <x:v>542.7235873274965</x:v>
      </x:c>
      <x:c r="H29" s="8" t="n">
        <x:f>IF($A29="","",SQRT(MAX(0,(1)*$S$409*(1)+(1)*$T$409*(LN(B29))+(LN(B29))*$S$410*(1)+(LN(B29))*$T$410*(LN(B29))+2*((1)*INDEX($S$416:$V$427,MONTH(A29),1)+(LN(B29))*INDEX($S$416:$V$427,MONTH(A29),2))+INDEX($W$416:$W$427,MONTH(A29)))))</x:f>
        <x:v>4.212905913407004</x:v>
      </x:c>
      <x:c r="I29" s="3"/>
      <x:c r="J29" s="10" t="n">
        <x:v>45880</x:v>
      </x:c>
      <x:c r="K29" s="8" t="n">
        <x:f>INDEX('Сводка'!$S$3:$S$397,U29)</x:f>
        <x:v>303</x:v>
      </x:c>
      <x:c r="L29" s="8" t="n">
        <x:f>INDEX('Сводка'!$S$3:$S$397,V29)</x:f>
        <x:v>290</x:v>
      </x:c>
      <x:c r="M29" s="8" t="n">
        <x:f>INDEX($K$388:$N$400,W29,1)+INDEX($K$388:$N$400,W29,2)*LN(((J29-$T$405+1)/1000))+INDEX($O$388:$Z$400,W29,MONTH(J29))</x:f>
        <x:v>328.3515813716724</x:v>
      </x:c>
      <x:c r="N29" s="8" t="n">
        <x:f>K29-M29</x:f>
        <x:v>-25.35158137167241</x:v>
      </x:c>
      <x:c r="O29" s="8" t="n">
        <x:f>ABS(N29)</x:f>
        <x:v>25.35158137167241</x:v>
      </x:c>
      <x:c r="P29" s="8" t="n">
        <x:f>N29^2</x:f>
        <x:v>642.7026780445275</x:v>
      </x:c>
      <x:c r="Q29" s="8" t="n">
        <x:f>K29-L29</x:f>
        <x:v>13</x:v>
      </x:c>
      <x:c r="R29" s="9" t="n">
        <x:f>IF(AND(INDEX('Сводка'!$T$3:$T$397,U29)=0,INDEX('Сводка'!$T$3:$T$397,V29)=0),1,0)</x:f>
        <x:v>1</x:v>
      </x:c>
      <x:c r="S29" s="9" t="n">
        <x:f>IF(AND(R29=1,O29&lt;=$G$13),1,0)</x:f>
        <x:v>0</x:v>
      </x:c>
      <x:c r="T29" s="10" t="n">
        <x:f>EOMONTH(J29-'Сводка'!$B$11,-1)</x:f>
        <x:v>45869</x:v>
      </x:c>
      <x:c r="U29" s="4" t="n">
        <x:f>MATCH(J29,'Сводка'!$R$3:$R$397,0)</x:f>
        <x:v>40</x:v>
      </x:c>
      <x:c r="V29" s="4" t="n">
        <x:f>MATCH(J29-'Сводка'!$B$11,'Сводка'!$R$3:$R$397,0)</x:f>
        <x:v>39</x:v>
      </x:c>
      <x:c r="W29" s="4" t="n">
        <x:f>MATCH(T29,$J$388:$J$400,0)</x:f>
        <x:v>2</x:v>
      </x:c>
      <x:c r="X29" s="3"/>
      <x:c r="Y29" s="3"/>
      <x:c r="Z29" s="3"/>
    </x:row>
    <x:row r="30" ht="15" customHeight="1">
      <x:c r="A30" s="10" t="n">
        <x:f>IF(12&lt;='Сводка'!$B$3,'Сводка'!$B$4+12,"")</x:f>
        <x:v>46247</x:v>
      </x:c>
      <x:c r="B30" s="19" t="n">
        <x:f>IF($A30="","",(A30-$T$405+1)/1000)</x:f>
        <x:v>8.991</x:v>
      </x:c>
      <x:c r="C30" s="19" t="n">
        <x:f>IF($A30="","",2*(A30-$T$405)/$T$406-1)</x:f>
        <x:v>1.002673201158387</x:v>
      </x:c>
      <x:c r="D30" s="8" t="n">
        <x:f>IF($A30="","",$B$4+$B$5*LN(B30)+INDEX($E$4:$E$15,MONTH(A30)))</x:f>
        <x:v>326.3671909742089</x:v>
      </x:c>
      <x:c r="E30" s="8" t="n">
        <x:f>IF($A30="","",SQRT($T$403^2+H30^2))</x:f>
        <x:v>110.37521586000418</x:v>
      </x:c>
      <x:c r="F30" s="8" t="n">
        <x:f>IF($A30="","",D30-$T$404*E30)</x:f>
        <x:v>110.00522850782329</x:v>
      </x:c>
      <x:c r="G30" s="8" t="n">
        <x:f>IF($A30="","",D30+$T$404*E30)</x:f>
        <x:v>542.7291534405945</x:v>
      </x:c>
      <x:c r="H30" s="8" t="n">
        <x:f>IF($A30="","",SQRT(MAX(0,(1)*$S$409*(1)+(1)*$T$409*(LN(B30))+(LN(B30))*$S$410*(1)+(LN(B30))*$T$410*(LN(B30))+2*((1)*INDEX($S$416:$V$427,MONTH(A30),1)+(LN(B30))*INDEX($S$416:$V$427,MONTH(A30),2))+INDEX($W$416:$W$427,MONTH(A30)))))</x:f>
        <x:v>4.212943370324834</x:v>
      </x:c>
      <x:c r="I30" s="3"/>
      <x:c r="J30" s="10" t="n">
        <x:v>45881</x:v>
      </x:c>
      <x:c r="K30" s="8" t="n">
        <x:f>INDEX('Сводка'!$S$3:$S$397,U30)</x:f>
        <x:v>315</x:v>
      </x:c>
      <x:c r="L30" s="8" t="n">
        <x:f>INDEX('Сводка'!$S$3:$S$397,V30)</x:f>
        <x:v>303</x:v>
      </x:c>
      <x:c r="M30" s="8" t="n">
        <x:f>INDEX($K$388:$N$400,W30,1)+INDEX($K$388:$N$400,W30,2)*LN(((J30-$T$405+1)/1000))+INDEX($O$388:$Z$400,W30,MONTH(J30))</x:f>
        <x:v>328.3575861872599</x:v>
      </x:c>
      <x:c r="N30" s="8" t="n">
        <x:f>K30-M30</x:f>
        <x:v>-13.357586187259926</x:v>
      </x:c>
      <x:c r="O30" s="8" t="n">
        <x:f>ABS(N30)</x:f>
        <x:v>13.357586187259926</x:v>
      </x:c>
      <x:c r="P30" s="8" t="n">
        <x:f>N30^2</x:f>
        <x:v>178.4251087500772</x:v>
      </x:c>
      <x:c r="Q30" s="8" t="n">
        <x:f>K30-L30</x:f>
        <x:v>12</x:v>
      </x:c>
      <x:c r="R30" s="9" t="n">
        <x:f>IF(AND(INDEX('Сводка'!$T$3:$T$397,U30)=0,INDEX('Сводка'!$T$3:$T$397,V30)=0),1,0)</x:f>
        <x:v>1</x:v>
      </x:c>
      <x:c r="S30" s="9" t="n">
        <x:f>IF(AND(R30=1,O30&lt;=$G$13),1,0)</x:f>
        <x:v>0</x:v>
      </x:c>
      <x:c r="T30" s="10" t="n">
        <x:f>EOMONTH(J30-'Сводка'!$B$11,-1)</x:f>
        <x:v>45869</x:v>
      </x:c>
      <x:c r="U30" s="4" t="n">
        <x:f>MATCH(J30,'Сводка'!$R$3:$R$397,0)</x:f>
        <x:v>41</x:v>
      </x:c>
      <x:c r="V30" s="4" t="n">
        <x:f>MATCH(J30-'Сводка'!$B$11,'Сводка'!$R$3:$R$397,0)</x:f>
        <x:v>40</x:v>
      </x:c>
      <x:c r="W30" s="4" t="n">
        <x:f>MATCH(T30,$J$388:$J$400,0)</x:f>
        <x:v>2</x:v>
      </x:c>
      <x:c r="X30" s="3"/>
      <x:c r="Y30" s="3"/>
      <x:c r="Z30" s="3"/>
    </x:row>
    <x:row r="31" ht="15" customHeight="1">
      <x:c r="A31" s="10" t="n">
        <x:f>IF(13&lt;='Сводка'!$B$3,'Сводка'!$B$4+13,"")</x:f>
        <x:v>46248</x:v>
      </x:c>
      <x:c r="B31" s="19" t="n">
        <x:f>IF($A31="","",(A31-$T$405+1)/1000)</x:f>
        <x:v>8.992</x:v>
      </x:c>
      <x:c r="C31" s="19" t="n">
        <x:f>IF($A31="","",2*(A31-$T$405)/$T$406-1)</x:f>
        <x:v>1.002895967921586</x:v>
      </x:c>
      <x:c r="D31" s="8" t="n">
        <x:f>IF($A31="","",$B$4+$B$5*LN(B31)+INDEX($E$4:$E$15,MONTH(A31)))</x:f>
        <x:v>326.37275366602603</x:v>
      </x:c>
      <x:c r="E31" s="8" t="n">
        <x:f>IF($A31="","",SQRT($T$403^2+H31^2))</x:f>
        <x:v>110.37521728970404</x:v>
      </x:c>
      <x:c r="F31" s="8" t="n">
        <x:f>IF($A31="","",D31-$T$404*E31)</x:f>
        <x:v>110.01078839708492</x:v>
      </x:c>
      <x:c r="G31" s="8" t="n">
        <x:f>IF($A31="","",D31+$T$404*E31)</x:f>
        <x:v>542.7347189349671</x:v>
      </x:c>
      <x:c r="H31" s="8" t="n">
        <x:f>IF($A31="","",SQRT(MAX(0,(1)*$S$409*(1)+(1)*$T$409*(LN(B31))+(LN(B31))*$S$410*(1)+(LN(B31))*$T$410*(LN(B31))+2*((1)*INDEX($S$416:$V$427,MONTH(A31),1)+(LN(B31))*INDEX($S$416:$V$427,MONTH(A31),2))+INDEX($W$416:$W$427,MONTH(A31)))))</x:f>
        <x:v>4.212980826971148</x:v>
      </x:c>
      <x:c r="I31" s="3"/>
      <x:c r="J31" s="10" t="n">
        <x:v>45882</x:v>
      </x:c>
      <x:c r="K31" s="8" t="n">
        <x:f>INDEX('Сводка'!$S$3:$S$397,U31)</x:f>
        <x:v>323</x:v>
      </x:c>
      <x:c r="L31" s="8" t="n">
        <x:f>INDEX('Сводка'!$S$3:$S$397,V31)</x:f>
        <x:v>315</x:v>
      </x:c>
      <x:c r="M31" s="8" t="n">
        <x:f>INDEX($K$388:$N$400,W31,1)+INDEX($K$388:$N$400,W31,2)*LN(((J31-$T$405+1)/1000))+INDEX($O$388:$Z$400,W31,MONTH(J31))</x:f>
        <x:v>328.3635903066773</x:v>
      </x:c>
      <x:c r="N31" s="8" t="n">
        <x:f>K31-M31</x:f>
        <x:v>-5.363590306677281</x:v>
      </x:c>
      <x:c r="O31" s="8" t="n">
        <x:f>ABS(N31)</x:f>
        <x:v>5.363590306677281</x:v>
      </x:c>
      <x:c r="P31" s="8" t="n">
        <x:f>N31^2</x:f>
        <x:v>28.76810097788249</x:v>
      </x:c>
      <x:c r="Q31" s="8" t="n">
        <x:f>K31-L31</x:f>
        <x:v>8</x:v>
      </x:c>
      <x:c r="R31" s="9" t="n">
        <x:f>IF(AND(INDEX('Сводка'!$T$3:$T$397,U31)=0,INDEX('Сводка'!$T$3:$T$397,V31)=0),1,0)</x:f>
        <x:v>1</x:v>
      </x:c>
      <x:c r="S31" s="9" t="n">
        <x:f>IF(AND(R31=1,O31&lt;=$G$13),1,0)</x:f>
        <x:v>1</x:v>
      </x:c>
      <x:c r="T31" s="10" t="n">
        <x:f>EOMONTH(J31-'Сводка'!$B$11,-1)</x:f>
        <x:v>45869</x:v>
      </x:c>
      <x:c r="U31" s="4" t="n">
        <x:f>MATCH(J31,'Сводка'!$R$3:$R$397,0)</x:f>
        <x:v>42</x:v>
      </x:c>
      <x:c r="V31" s="4" t="n">
        <x:f>MATCH(J31-'Сводка'!$B$11,'Сводка'!$R$3:$R$397,0)</x:f>
        <x:v>41</x:v>
      </x:c>
      <x:c r="W31" s="4" t="n">
        <x:f>MATCH(T31,$J$388:$J$400,0)</x:f>
        <x:v>2</x:v>
      </x:c>
      <x:c r="X31" s="3"/>
      <x:c r="Y31" s="3"/>
      <x:c r="Z31" s="3"/>
    </x:row>
    <x:row r="32" ht="15" customHeight="1">
      <x:c r="A32" s="10" t="n">
        <x:f>IF(14&lt;='Сводка'!$B$3,'Сводка'!$B$4+14,"")</x:f>
        <x:v>46249</x:v>
      </x:c>
      <x:c r="B32" s="19" t="n">
        <x:f>IF($A32="","",(A32-$T$405+1)/1000)</x:f>
        <x:v>8.993</x:v>
      </x:c>
      <x:c r="C32" s="19" t="n">
        <x:f>IF($A32="","",2*(A32-$T$405)/$T$406-1)</x:f>
        <x:v>1.0031187346847852</x:v>
      </x:c>
      <x:c r="D32" s="8" t="n">
        <x:f>IF($A32="","",$B$4+$B$5*LN(B32)+INDEX($E$4:$E$15,MONTH(A32)))</x:f>
        <x:v>326.3783157392508</x:v>
      </x:c>
      <x:c r="E32" s="8" t="n">
        <x:f>IF($A32="","",SQRT($T$403^2+H32^2))</x:f>
        <x:v>110.3752187194062</x:v>
      </x:c>
      <x:c r="F32" s="8" t="n">
        <x:f>IF($A32="","",D32-$T$404*E32)</x:f>
        <x:v>110.0163476677497</x:v>
      </x:c>
      <x:c r="G32" s="8" t="n">
        <x:f>IF($A32="","",D32+$T$404*E32)</x:f>
        <x:v>542.7402838107519</x:v>
      </x:c>
      <x:c r="H32" s="8" t="n">
        <x:f>IF($A32="","",SQRT(MAX(0,(1)*$S$409*(1)+(1)*$T$409*(LN(B32))+(LN(B32))*$S$410*(1)+(LN(B32))*$T$410*(LN(B32))+2*((1)*INDEX($S$416:$V$427,MONTH(A32),1)+(LN(B32))*INDEX($S$416:$V$427,MONTH(A32),2))+INDEX($W$416:$W$427,MONTH(A32)))))</x:f>
        <x:v>4.213018283345469</x:v>
      </x:c>
      <x:c r="I32" s="3"/>
      <x:c r="J32" s="10" t="n">
        <x:v>45883</x:v>
      </x:c>
      <x:c r="K32" s="8" t="n">
        <x:f>INDEX('Сводка'!$S$3:$S$397,U32)</x:f>
        <x:v>327</x:v>
      </x:c>
      <x:c r="L32" s="8" t="n">
        <x:f>INDEX('Сводка'!$S$3:$S$397,V32)</x:f>
        <x:v>323</x:v>
      </x:c>
      <x:c r="M32" s="8" t="n">
        <x:f>INDEX($K$388:$N$400,W32,1)+INDEX($K$388:$N$400,W32,2)*LN(((J32-$T$405+1)/1000))+INDEX($O$388:$Z$400,W32,MONTH(J32))</x:f>
        <x:v>328.3695937300859</x:v>
      </x:c>
      <x:c r="N32" s="8" t="n">
        <x:f>K32-M32</x:f>
        <x:v>-1.36959373008591</x:v>
      </x:c>
      <x:c r="O32" s="8" t="n">
        <x:f>ABS(N32)</x:f>
        <x:v>1.36959373008591</x:v>
      </x:c>
      <x:c r="P32" s="8" t="n">
        <x:f>N32^2</x:f>
        <x:v>1.8757869854906366</x:v>
      </x:c>
      <x:c r="Q32" s="8" t="n">
        <x:f>K32-L32</x:f>
        <x:v>4</x:v>
      </x:c>
      <x:c r="R32" s="9" t="n">
        <x:f>IF(AND(INDEX('Сводка'!$T$3:$T$397,U32)=0,INDEX('Сводка'!$T$3:$T$397,V32)=0),1,0)</x:f>
        <x:v>1</x:v>
      </x:c>
      <x:c r="S32" s="9" t="n">
        <x:f>IF(AND(R32=1,O32&lt;=$G$13),1,0)</x:f>
        <x:v>1</x:v>
      </x:c>
      <x:c r="T32" s="10" t="n">
        <x:f>EOMONTH(J32-'Сводка'!$B$11,-1)</x:f>
        <x:v>45869</x:v>
      </x:c>
      <x:c r="U32" s="4" t="n">
        <x:f>MATCH(J32,'Сводка'!$R$3:$R$397,0)</x:f>
        <x:v>43</x:v>
      </x:c>
      <x:c r="V32" s="4" t="n">
        <x:f>MATCH(J32-'Сводка'!$B$11,'Сводка'!$R$3:$R$397,0)</x:f>
        <x:v>42</x:v>
      </x:c>
      <x:c r="W32" s="4" t="n">
        <x:f>MATCH(T32,$J$388:$J$400,0)</x:f>
        <x:v>2</x:v>
      </x:c>
      <x:c r="X32" s="3"/>
      <x:c r="Y32" s="3"/>
      <x:c r="Z32" s="3"/>
    </x:row>
    <x:row r="33" ht="15" customHeight="1">
      <x:c r="A33" s="10" t="n">
        <x:f>IF(15&lt;='Сводка'!$B$3,'Сводка'!$B$4+15,"")</x:f>
        <x:v>46250</x:v>
      </x:c>
      <x:c r="B33" s="19" t="n">
        <x:f>IF($A33="","",(A33-$T$405+1)/1000)</x:f>
        <x:v>8.994</x:v>
      </x:c>
      <x:c r="C33" s="19" t="n">
        <x:f>IF($A33="","",2*(A33-$T$405)/$T$406-1)</x:f>
        <x:v>1.0033415014479838</x:v>
      </x:c>
      <x:c r="D33" s="8" t="n">
        <x:f>IF($A33="","",$B$4+$B$5*LN(B33)+INDEX($E$4:$E$15,MONTH(A33)))</x:f>
        <x:v>326.38387719402084</x:v>
      </x:c>
      <x:c r="E33" s="8" t="n">
        <x:f>IF($A33="","",SQRT($T$403^2+H33^2))</x:f>
        <x:v>110.37522014911067</x:v>
      </x:c>
      <x:c r="F33" s="8" t="n">
        <x:f>IF($A33="","",D33-$T$404*E33)</x:f>
        <x:v>110.0219063199552</x:v>
      </x:c>
      <x:c r="G33" s="8" t="n">
        <x:f>IF($A33="","",D33+$T$404*E33)</x:f>
        <x:v>542.7458480680865</x:v>
      </x:c>
      <x:c r="H33" s="8" t="n">
        <x:f>IF($A33="","",SQRT(MAX(0,(1)*$S$409*(1)+(1)*$T$409*(LN(B33))+(LN(B33))*$S$410*(1)+(LN(B33))*$T$410*(LN(B33))+2*((1)*INDEX($S$416:$V$427,MONTH(A33),1)+(LN(B33))*INDEX($S$416:$V$427,MONTH(A33),2))+INDEX($W$416:$W$427,MONTH(A33)))))</x:f>
        <x:v>4.213055739447321</x:v>
      </x:c>
      <x:c r="I33" s="3"/>
      <x:c r="J33" s="10" t="n">
        <x:v>45884</x:v>
      </x:c>
      <x:c r="K33" s="8" t="n">
        <x:f>INDEX('Сводка'!$S$3:$S$397,U33)</x:f>
        <x:v>329</x:v>
      </x:c>
      <x:c r="L33" s="8" t="n">
        <x:f>INDEX('Сводка'!$S$3:$S$397,V33)</x:f>
        <x:v>327</x:v>
      </x:c>
      <x:c r="M33" s="8" t="n">
        <x:f>INDEX($K$388:$N$400,W33,1)+INDEX($K$388:$N$400,W33,2)*LN(((J33-$T$405+1)/1000))+INDEX($O$388:$Z$400,W33,MONTH(J33))</x:f>
        <x:v>328.37559645764713</x:v>
      </x:c>
      <x:c r="N33" s="8" t="n">
        <x:f>K33-M33</x:f>
        <x:v>0.6244035423528658</x:v>
      </x:c>
      <x:c r="O33" s="8" t="n">
        <x:f>ABS(N33)</x:f>
        <x:v>0.6244035423528658</x:v>
      </x:c>
      <x:c r="P33" s="8" t="n">
        <x:f>N33^2</x:f>
        <x:v>0.389879783702807</x:v>
      </x:c>
      <x:c r="Q33" s="8" t="n">
        <x:f>K33-L33</x:f>
        <x:v>2</x:v>
      </x:c>
      <x:c r="R33" s="9" t="n">
        <x:f>IF(AND(INDEX('Сводка'!$T$3:$T$397,U33)=0,INDEX('Сводка'!$T$3:$T$397,V33)=0),1,0)</x:f>
        <x:v>1</x:v>
      </x:c>
      <x:c r="S33" s="9" t="n">
        <x:f>IF(AND(R33=1,O33&lt;=$G$13),1,0)</x:f>
        <x:v>1</x:v>
      </x:c>
      <x:c r="T33" s="10" t="n">
        <x:f>EOMONTH(J33-'Сводка'!$B$11,-1)</x:f>
        <x:v>45869</x:v>
      </x:c>
      <x:c r="U33" s="4" t="n">
        <x:f>MATCH(J33,'Сводка'!$R$3:$R$397,0)</x:f>
        <x:v>44</x:v>
      </x:c>
      <x:c r="V33" s="4" t="n">
        <x:f>MATCH(J33-'Сводка'!$B$11,'Сводка'!$R$3:$R$397,0)</x:f>
        <x:v>43</x:v>
      </x:c>
      <x:c r="W33" s="4" t="n">
        <x:f>MATCH(T33,$J$388:$J$400,0)</x:f>
        <x:v>2</x:v>
      </x:c>
      <x:c r="X33" s="3"/>
      <x:c r="Y33" s="3"/>
      <x:c r="Z33" s="3"/>
    </x:row>
    <x:row r="34" ht="15" customHeight="1">
      <x:c r="A34" s="10" t="n">
        <x:f>IF(16&lt;='Сводка'!$B$3,'Сводка'!$B$4+16,"")</x:f>
        <x:v>46251</x:v>
      </x:c>
      <x:c r="B34" s="19" t="n">
        <x:f>IF($A34="","",(A34-$T$405+1)/1000)</x:f>
        <x:v>8.995</x:v>
      </x:c>
      <x:c r="C34" s="19" t="n">
        <x:f>IF($A34="","",2*(A34-$T$405)/$T$406-1)</x:f>
        <x:v>1.003564268211183</x:v>
      </x:c>
      <x:c r="D34" s="8" t="n">
        <x:f>IF($A34="","",$B$4+$B$5*LN(B34)+INDEX($E$4:$E$15,MONTH(A34)))</x:f>
        <x:v>326.3894380304735</x:v>
      </x:c>
      <x:c r="E34" s="8" t="n">
        <x:f>IF($A34="","",SQRT($T$403^2+H34^2))</x:f>
        <x:v>110.37522157881739</x:v>
      </x:c>
      <x:c r="F34" s="8" t="n">
        <x:f>IF($A34="","",D34-$T$404*E34)</x:f>
        <x:v>110.02746435383895</x:v>
      </x:c>
      <x:c r="G34" s="8" t="n">
        <x:f>IF($A34="","",D34+$T$404*E34)</x:f>
        <x:v>542.7514117071081</x:v>
      </x:c>
      <x:c r="H34" s="8" t="n">
        <x:f>IF($A34="","",SQRT(MAX(0,(1)*$S$409*(1)+(1)*$T$409*(LN(B34))+(LN(B34))*$S$410*(1)+(LN(B34))*$T$410*(LN(B34))+2*((1)*INDEX($S$416:$V$427,MONTH(A34),1)+(LN(B34))*INDEX($S$416:$V$427,MONTH(A34),2))+INDEX($W$416:$W$427,MONTH(A34)))))</x:f>
        <x:v>4.213093195276229</x:v>
      </x:c>
      <x:c r="I34" s="3"/>
      <x:c r="J34" s="10" t="n">
        <x:v>45885</x:v>
      </x:c>
      <x:c r="K34" s="8" t="n">
        <x:f>INDEX('Сводка'!$S$3:$S$397,U34)</x:f>
        <x:v>329</x:v>
      </x:c>
      <x:c r="L34" s="8" t="n">
        <x:f>INDEX('Сводка'!$S$3:$S$397,V34)</x:f>
        <x:v>329</x:v>
      </x:c>
      <x:c r="M34" s="8" t="n">
        <x:f>INDEX($K$388:$N$400,W34,1)+INDEX($K$388:$N$400,W34,2)*LN(((J34-$T$405+1)/1000))+INDEX($O$388:$Z$400,W34,MONTH(J34))</x:f>
        <x:v>328.3815984895223</x:v>
      </x:c>
      <x:c r="N34" s="8" t="n">
        <x:f>K34-M34</x:f>
        <x:v>0.6184015104777245</x:v>
      </x:c>
      <x:c r="O34" s="8" t="n">
        <x:f>ABS(N34)</x:f>
        <x:v>0.6184015104777245</x:v>
      </x:c>
      <x:c r="P34" s="8" t="n">
        <x:f>N34^2</x:f>
        <x:v>0.3824204281611312</x:v>
      </x:c>
      <x:c r="Q34" s="8" t="n">
        <x:f>K34-L34</x:f>
        <x:v>0</x:v>
      </x:c>
      <x:c r="R34" s="9" t="n">
        <x:f>IF(AND(INDEX('Сводка'!$T$3:$T$397,U34)=0,INDEX('Сводка'!$T$3:$T$397,V34)=0),1,0)</x:f>
        <x:v>1</x:v>
      </x:c>
      <x:c r="S34" s="9" t="n">
        <x:f>IF(AND(R34=1,O34&lt;=$G$13),1,0)</x:f>
        <x:v>1</x:v>
      </x:c>
      <x:c r="T34" s="10" t="n">
        <x:f>EOMONTH(J34-'Сводка'!$B$11,-1)</x:f>
        <x:v>45869</x:v>
      </x:c>
      <x:c r="U34" s="4" t="n">
        <x:f>MATCH(J34,'Сводка'!$R$3:$R$397,0)</x:f>
        <x:v>45</x:v>
      </x:c>
      <x:c r="V34" s="4" t="n">
        <x:f>MATCH(J34-'Сводка'!$B$11,'Сводка'!$R$3:$R$397,0)</x:f>
        <x:v>44</x:v>
      </x:c>
      <x:c r="W34" s="4" t="n">
        <x:f>MATCH(T34,$J$388:$J$400,0)</x:f>
        <x:v>2</x:v>
      </x:c>
      <x:c r="X34" s="3"/>
      <x:c r="Y34" s="3"/>
      <x:c r="Z34" s="3"/>
    </x:row>
    <x:row r="35" ht="15" customHeight="1">
      <x:c r="A35" s="10" t="n">
        <x:f>IF(17&lt;='Сводка'!$B$3,'Сводка'!$B$4+17,"")</x:f>
        <x:v>46252</x:v>
      </x:c>
      <x:c r="B35" s="19" t="n">
        <x:f>IF($A35="","",(A35-$T$405+1)/1000)</x:f>
        <x:v>8.996</x:v>
      </x:c>
      <x:c r="C35" s="19" t="n">
        <x:f>IF($A35="","",2*(A35-$T$405)/$T$406-1)</x:f>
        <x:v>1.003787034974382</x:v>
      </x:c>
      <x:c r="D35" s="8" t="n">
        <x:f>IF($A35="","",$B$4+$B$5*LN(B35)+INDEX($E$4:$E$15,MONTH(A35)))</x:f>
        <x:v>326.39499824874645</x:v>
      </x:c>
      <x:c r="E35" s="8" t="n">
        <x:f>IF($A35="","",SQRT($T$403^2+H35^2))</x:f>
        <x:v>110.37522300852638</x:v>
      </x:c>
      <x:c r="F35" s="8" t="n">
        <x:f>IF($A35="","",D35-$T$404*E35)</x:f>
        <x:v>110.0330217695385</x:v>
      </x:c>
      <x:c r="G35" s="8" t="n">
        <x:f>IF($A35="","",D35+$T$404*E35)</x:f>
        <x:v>542.7569747279545</x:v>
      </x:c>
      <x:c r="H35" s="8" t="n">
        <x:f>IF($A35="","",SQRT(MAX(0,(1)*$S$409*(1)+(1)*$T$409*(LN(B35))+(LN(B35))*$S$410*(1)+(LN(B35))*$T$410*(LN(B35))+2*((1)*INDEX($S$416:$V$427,MONTH(A35),1)+(LN(B35))*INDEX($S$416:$V$427,MONTH(A35),2))+INDEX($W$416:$W$427,MONTH(A35)))))</x:f>
        <x:v>4.213130650831714</x:v>
      </x:c>
      <x:c r="I35" s="3"/>
      <x:c r="J35" s="10" t="n">
        <x:v>45886</x:v>
      </x:c>
      <x:c r="K35" s="8" t="n">
        <x:f>INDEX('Сводка'!$S$3:$S$397,U35)</x:f>
        <x:v>325</x:v>
      </x:c>
      <x:c r="L35" s="8" t="n">
        <x:f>INDEX('Сводка'!$S$3:$S$397,V35)</x:f>
        <x:v>329</x:v>
      </x:c>
      <x:c r="M35" s="8" t="n">
        <x:f>INDEX($K$388:$N$400,W35,1)+INDEX($K$388:$N$400,W35,2)*LN(((J35-$T$405+1)/1000))+INDEX($O$388:$Z$400,W35,MONTH(J35))</x:f>
        <x:v>328.3875998258725</x:v>
      </x:c>
      <x:c r="N35" s="8" t="n">
        <x:f>K35-M35</x:f>
        <x:v>-3.387599825872485</x:v>
      </x:c>
      <x:c r="O35" s="8" t="n">
        <x:f>ABS(N35)</x:f>
        <x:v>3.387599825872485</x:v>
      </x:c>
      <x:c r="P35" s="8" t="n">
        <x:f>N35^2</x:f>
        <x:v>11.47583258025129</x:v>
      </x:c>
      <x:c r="Q35" s="8" t="n">
        <x:f>K35-L35</x:f>
        <x:v>-4</x:v>
      </x:c>
      <x:c r="R35" s="9" t="n">
        <x:f>IF(AND(INDEX('Сводка'!$T$3:$T$397,U35)=0,INDEX('Сводка'!$T$3:$T$397,V35)=0),1,0)</x:f>
        <x:v>1</x:v>
      </x:c>
      <x:c r="S35" s="9" t="n">
        <x:f>IF(AND(R35=1,O35&lt;=$G$13),1,0)</x:f>
        <x:v>1</x:v>
      </x:c>
      <x:c r="T35" s="10" t="n">
        <x:f>EOMONTH(J35-'Сводка'!$B$11,-1)</x:f>
        <x:v>45869</x:v>
      </x:c>
      <x:c r="U35" s="4" t="n">
        <x:f>MATCH(J35,'Сводка'!$R$3:$R$397,0)</x:f>
        <x:v>46</x:v>
      </x:c>
      <x:c r="V35" s="4" t="n">
        <x:f>MATCH(J35-'Сводка'!$B$11,'Сводка'!$R$3:$R$397,0)</x:f>
        <x:v>45</x:v>
      </x:c>
      <x:c r="W35" s="4" t="n">
        <x:f>MATCH(T35,$J$388:$J$400,0)</x:f>
        <x:v>2</x:v>
      </x:c>
      <x:c r="X35" s="3"/>
      <x:c r="Y35" s="3"/>
      <x:c r="Z35" s="3"/>
    </x:row>
    <x:row r="36" ht="15" customHeight="1">
      <x:c r="A36" s="10" t="n">
        <x:f>IF(18&lt;='Сводка'!$B$3,'Сводка'!$B$4+18,"")</x:f>
        <x:v>46253</x:v>
      </x:c>
      <x:c r="B36" s="19" t="n">
        <x:f>IF($A36="","",(A36-$T$405+1)/1000)</x:f>
        <x:v>8.997</x:v>
      </x:c>
      <x:c r="C36" s="19" t="n">
        <x:f>IF($A36="","",2*(A36-$T$405)/$T$406-1)</x:f>
        <x:v>1.0040098017375807</x:v>
      </x:c>
      <x:c r="D36" s="8" t="n">
        <x:f>IF($A36="","",$B$4+$B$5*LN(B36)+INDEX($E$4:$E$15,MONTH(A36)))</x:f>
        <x:v>326.400557848977</x:v>
      </x:c>
      <x:c r="E36" s="8" t="n">
        <x:f>IF($A36="","",SQRT($T$403^2+H36^2))</x:f>
        <x:v>110.37522443823761</x:v>
      </x:c>
      <x:c r="F36" s="8" t="n">
        <x:f>IF($A36="","",D36-$T$404*E36)</x:f>
        <x:v>110.03857856719122</x:v>
      </x:c>
      <x:c r="G36" s="8" t="n">
        <x:f>IF($A36="","",D36+$T$404*E36)</x:f>
        <x:v>542.7625371307627</x:v>
      </x:c>
      <x:c r="H36" s="8" t="n">
        <x:f>IF($A36="","",SQRT(MAX(0,(1)*$S$409*(1)+(1)*$T$409*(LN(B36))+(LN(B36))*$S$410*(1)+(LN(B36))*$T$410*(LN(B36))+2*((1)*INDEX($S$416:$V$427,MONTH(A36),1)+(LN(B36))*INDEX($S$416:$V$427,MONTH(A36),2))+INDEX($W$416:$W$427,MONTH(A36)))))</x:f>
        <x:v>4.213168106113305</x:v>
      </x:c>
      <x:c r="I36" s="3"/>
      <x:c r="J36" s="10" t="n">
        <x:v>45887</x:v>
      </x:c>
      <x:c r="K36" s="8" t="n">
        <x:f>INDEX('Сводка'!$S$3:$S$397,U36)</x:f>
        <x:v>320</x:v>
      </x:c>
      <x:c r="L36" s="8" t="n">
        <x:f>INDEX('Сводка'!$S$3:$S$397,V36)</x:f>
        <x:v>325</x:v>
      </x:c>
      <x:c r="M36" s="8" t="n">
        <x:f>INDEX($K$388:$N$400,W36,1)+INDEX($K$388:$N$400,W36,2)*LN(((J36-$T$405+1)/1000))+INDEX($O$388:$Z$400,W36,MONTH(J36))</x:f>
        <x:v>328.393600466859</x:v>
      </x:c>
      <x:c r="N36" s="8" t="n">
        <x:f>K36-M36</x:f>
        <x:v>-8.393600466859027</x:v>
      </x:c>
      <x:c r="O36" s="8" t="n">
        <x:f>ABS(N36)</x:f>
        <x:v>8.393600466859027</x:v>
      </x:c>
      <x:c r="P36" s="8" t="n">
        <x:f>N36^2</x:f>
        <x:v>70.45252879725608</x:v>
      </x:c>
      <x:c r="Q36" s="8" t="n">
        <x:f>K36-L36</x:f>
        <x:v>-5</x:v>
      </x:c>
      <x:c r="R36" s="9" t="n">
        <x:f>IF(AND(INDEX('Сводка'!$T$3:$T$397,U36)=0,INDEX('Сводка'!$T$3:$T$397,V36)=0),1,0)</x:f>
        <x:v>1</x:v>
      </x:c>
      <x:c r="S36" s="9" t="n">
        <x:f>IF(AND(R36=1,O36&lt;=$G$13),1,0)</x:f>
        <x:v>0</x:v>
      </x:c>
      <x:c r="T36" s="10" t="n">
        <x:f>EOMONTH(J36-'Сводка'!$B$11,-1)</x:f>
        <x:v>45869</x:v>
      </x:c>
      <x:c r="U36" s="4" t="n">
        <x:f>MATCH(J36,'Сводка'!$R$3:$R$397,0)</x:f>
        <x:v>47</x:v>
      </x:c>
      <x:c r="V36" s="4" t="n">
        <x:f>MATCH(J36-'Сводка'!$B$11,'Сводка'!$R$3:$R$397,0)</x:f>
        <x:v>46</x:v>
      </x:c>
      <x:c r="W36" s="4" t="n">
        <x:f>MATCH(T36,$J$388:$J$400,0)</x:f>
        <x:v>2</x:v>
      </x:c>
      <x:c r="X36" s="3"/>
      <x:c r="Y36" s="3"/>
      <x:c r="Z36" s="3"/>
    </x:row>
    <x:row r="37" ht="15" customHeight="1">
      <x:c r="A37" s="10" t="n">
        <x:f>IF(19&lt;='Сводка'!$B$3,'Сводка'!$B$4+19,"")</x:f>
        <x:v>46254</x:v>
      </x:c>
      <x:c r="B37" s="19" t="n">
        <x:f>IF($A37="","",(A37-$T$405+1)/1000)</x:f>
        <x:v>8.998</x:v>
      </x:c>
      <x:c r="C37" s="19" t="n">
        <x:f>IF($A37="","",2*(A37-$T$405)/$T$406-1)</x:f>
        <x:v>1.0042325685007798</x:v>
      </x:c>
      <x:c r="D37" s="8" t="n">
        <x:f>IF($A37="","",$B$4+$B$5*LN(B37)+INDEX($E$4:$E$15,MONTH(A37)))</x:f>
        <x:v>326.4061168313025</x:v>
      </x:c>
      <x:c r="E37" s="8" t="n">
        <x:f>IF($A37="","",SQRT($T$403^2+H37^2))</x:f>
        <x:v>110.37522586795106</x:v>
      </x:c>
      <x:c r="F37" s="8" t="n">
        <x:f>IF($A37="","",D37-$T$404*E37)</x:f>
        <x:v>110.04413474693462</x:v>
      </x:c>
      <x:c r="G37" s="8" t="n">
        <x:f>IF($A37="","",D37+$T$404*E37)</x:f>
        <x:v>542.7680989156704</x:v>
      </x:c>
      <x:c r="H37" s="8" t="n">
        <x:f>IF($A37="","",SQRT(MAX(0,(1)*$S$409*(1)+(1)*$T$409*(LN(B37))+(LN(B37))*$S$410*(1)+(LN(B37))*$T$410*(LN(B37))+2*((1)*INDEX($S$416:$V$427,MONTH(A37),1)+(LN(B37))*INDEX($S$416:$V$427,MONTH(A37),2))+INDEX($W$416:$W$427,MONTH(A37)))))</x:f>
        <x:v>4.213205561120525</x:v>
      </x:c>
      <x:c r="I37" s="3"/>
      <x:c r="J37" s="10" t="n">
        <x:v>45888</x:v>
      </x:c>
      <x:c r="K37" s="8" t="n">
        <x:f>INDEX('Сводка'!$S$3:$S$397,U37)</x:f>
        <x:v>309</x:v>
      </x:c>
      <x:c r="L37" s="8" t="n">
        <x:f>INDEX('Сводка'!$S$3:$S$397,V37)</x:f>
        <x:v>320</x:v>
      </x:c>
      <x:c r="M37" s="8" t="n">
        <x:f>INDEX($K$388:$N$400,W37,1)+INDEX($K$388:$N$400,W37,2)*LN(((J37-$T$405+1)/1000))+INDEX($O$388:$Z$400,W37,MONTH(J37))</x:f>
        <x:v>328.39960041264305</x:v>
      </x:c>
      <x:c r="N37" s="8" t="n">
        <x:f>K37-M37</x:f>
        <x:v>-19.399600412643053</x:v>
      </x:c>
      <x:c r="O37" s="8" t="n">
        <x:f>ABS(N37)</x:f>
        <x:v>19.399600412643053</x:v>
      </x:c>
      <x:c r="P37" s="8" t="n">
        <x:f>N37^2</x:f>
        <x:v>376.3444961702205</x:v>
      </x:c>
      <x:c r="Q37" s="8" t="n">
        <x:f>K37-L37</x:f>
        <x:v>-11</x:v>
      </x:c>
      <x:c r="R37" s="9" t="n">
        <x:f>IF(AND(INDEX('Сводка'!$T$3:$T$397,U37)=0,INDEX('Сводка'!$T$3:$T$397,V37)=0),1,0)</x:f>
        <x:v>1</x:v>
      </x:c>
      <x:c r="S37" s="9" t="n">
        <x:f>IF(AND(R37=1,O37&lt;=$G$13),1,0)</x:f>
        <x:v>0</x:v>
      </x:c>
      <x:c r="T37" s="10" t="n">
        <x:f>EOMONTH(J37-'Сводка'!$B$11,-1)</x:f>
        <x:v>45869</x:v>
      </x:c>
      <x:c r="U37" s="4" t="n">
        <x:f>MATCH(J37,'Сводка'!$R$3:$R$397,0)</x:f>
        <x:v>48</x:v>
      </x:c>
      <x:c r="V37" s="4" t="n">
        <x:f>MATCH(J37-'Сводка'!$B$11,'Сводка'!$R$3:$R$397,0)</x:f>
        <x:v>47</x:v>
      </x:c>
      <x:c r="W37" s="4" t="n">
        <x:f>MATCH(T37,$J$388:$J$400,0)</x:f>
        <x:v>2</x:v>
      </x:c>
      <x:c r="X37" s="3"/>
      <x:c r="Y37" s="3"/>
      <x:c r="Z37" s="3"/>
    </x:row>
    <x:row r="38" ht="15" customHeight="1">
      <x:c r="A38" s="10" t="n">
        <x:f>IF(20&lt;='Сводка'!$B$3,'Сводка'!$B$4+20,"")</x:f>
        <x:v>46255</x:v>
      </x:c>
      <x:c r="B38" s="19" t="n">
        <x:f>IF($A38="","",(A38-$T$405+1)/1000)</x:f>
        <x:v>8.999</x:v>
      </x:c>
      <x:c r="C38" s="19" t="n">
        <x:f>IF($A38="","",2*(A38-$T$405)/$T$406-1)</x:f>
        <x:v>1.0044553352639785</x:v>
      </x:c>
      <x:c r="D38" s="8" t="n">
        <x:f>IF($A38="","",$B$4+$B$5*LN(B38)+INDEX($E$4:$E$15,MONTH(A38)))</x:f>
        <x:v>326.4116751958603</x:v>
      </x:c>
      <x:c r="E38" s="8" t="n">
        <x:f>IF($A38="","",SQRT($T$403^2+H38^2))</x:f>
        <x:v>110.3752272976667</x:v>
      </x:c>
      <x:c r="F38" s="8" t="n">
        <x:f>IF($A38="","",D38-$T$404*E38)</x:f>
        <x:v>110.04969030890601</x:v>
      </x:c>
      <x:c r="G38" s="8" t="n">
        <x:f>IF($A38="","",D38+$T$404*E38)</x:f>
        <x:v>542.7736600828146</x:v>
      </x:c>
      <x:c r="H38" s="8" t="n">
        <x:f>IF($A38="","",SQRT(MAX(0,(1)*$S$409*(1)+(1)*$T$409*(LN(B38))+(LN(B38))*$S$410*(1)+(LN(B38))*$T$410*(LN(B38))+2*((1)*INDEX($S$416:$V$427,MONTH(A38),1)+(LN(B38))*INDEX($S$416:$V$427,MONTH(A38),2))+INDEX($W$416:$W$427,MONTH(A38)))))</x:f>
        <x:v>4.213243015852899</x:v>
      </x:c>
      <x:c r="I38" s="3"/>
      <x:c r="J38" s="10" t="n">
        <x:v>45889</x:v>
      </x:c>
      <x:c r="K38" s="8" t="n">
        <x:f>INDEX('Сводка'!$S$3:$S$397,U38)</x:f>
        <x:v>296</x:v>
      </x:c>
      <x:c r="L38" s="8" t="n">
        <x:f>INDEX('Сводка'!$S$3:$S$397,V38)</x:f>
        <x:v>309</x:v>
      </x:c>
      <x:c r="M38" s="8" t="n">
        <x:f>INDEX($K$388:$N$400,W38,1)+INDEX($K$388:$N$400,W38,2)*LN(((J38-$T$405+1)/1000))+INDEX($O$388:$Z$400,W38,MONTH(J38))</x:f>
        <x:v>328.4055996633855</x:v>
      </x:c>
      <x:c r="N38" s="8" t="n">
        <x:f>K38-M38</x:f>
        <x:v>-32.40559966338549</x:v>
      </x:c>
      <x:c r="O38" s="8" t="n">
        <x:f>ABS(N38)</x:f>
        <x:v>32.40559966338549</x:v>
      </x:c>
      <x:c r="P38" s="8" t="n">
        <x:f>N38^2</x:f>
        <x:v>1050.1228895436095</x:v>
      </x:c>
      <x:c r="Q38" s="8" t="n">
        <x:f>K38-L38</x:f>
        <x:v>-13</x:v>
      </x:c>
      <x:c r="R38" s="9" t="n">
        <x:f>IF(AND(INDEX('Сводка'!$T$3:$T$397,U38)=0,INDEX('Сводка'!$T$3:$T$397,V38)=0),1,0)</x:f>
        <x:v>1</x:v>
      </x:c>
      <x:c r="S38" s="9" t="n">
        <x:f>IF(AND(R38=1,O38&lt;=$G$13),1,0)</x:f>
        <x:v>0</x:v>
      </x:c>
      <x:c r="T38" s="10" t="n">
        <x:f>EOMONTH(J38-'Сводка'!$B$11,-1)</x:f>
        <x:v>45869</x:v>
      </x:c>
      <x:c r="U38" s="4" t="n">
        <x:f>MATCH(J38,'Сводка'!$R$3:$R$397,0)</x:f>
        <x:v>49</x:v>
      </x:c>
      <x:c r="V38" s="4" t="n">
        <x:f>MATCH(J38-'Сводка'!$B$11,'Сводка'!$R$3:$R$397,0)</x:f>
        <x:v>48</x:v>
      </x:c>
      <x:c r="W38" s="4" t="n">
        <x:f>MATCH(T38,$J$388:$J$400,0)</x:f>
        <x:v>2</x:v>
      </x:c>
      <x:c r="X38" s="3"/>
      <x:c r="Y38" s="3"/>
      <x:c r="Z38" s="3"/>
    </x:row>
    <x:row r="39" ht="15" customHeight="1">
      <x:c r="A39" s="10" t="n">
        <x:f>IF(21&lt;='Сводка'!$B$3,'Сводка'!$B$4+21,"")</x:f>
        <x:v>46256</x:v>
      </x:c>
      <x:c r="B39" s="19" t="n">
        <x:f>IF($A39="","",(A39-$T$405+1)/1000)</x:f>
        <x:v>9</x:v>
      </x:c>
      <x:c r="C39" s="19" t="n">
        <x:f>IF($A39="","",2*(A39-$T$405)/$T$406-1)</x:f>
        <x:v>1.0046781020271776</x:v>
      </x:c>
      <x:c r="D39" s="8" t="n">
        <x:f>IF($A39="","",$B$4+$B$5*LN(B39)+INDEX($E$4:$E$15,MONTH(A39)))</x:f>
        <x:v>326.4172329427878</x:v>
      </x:c>
      <x:c r="E39" s="8" t="n">
        <x:f>IF($A39="","",SQRT($T$403^2+H39^2))</x:f>
        <x:v>110.37522872738452</x:v>
      </x:c>
      <x:c r="F39" s="8" t="n">
        <x:f>IF($A39="","",D39-$T$404*E39)</x:f>
        <x:v>110.05524525324279</x:v>
      </x:c>
      <x:c r="G39" s="8" t="n">
        <x:f>IF($A39="","",D39+$T$404*E39)</x:f>
        <x:v>542.7792206323328</x:v>
      </x:c>
      <x:c r="H39" s="8" t="n">
        <x:f>IF($A39="","",SQRT(MAX(0,(1)*$S$409*(1)+(1)*$T$409*(LN(B39))+(LN(B39))*$S$410*(1)+(LN(B39))*$T$410*(LN(B39))+2*((1)*INDEX($S$416:$V$427,MONTH(A39),1)+(LN(B39))*INDEX($S$416:$V$427,MONTH(A39),2))+INDEX($W$416:$W$427,MONTH(A39)))))</x:f>
        <x:v>4.213280470309953</x:v>
      </x:c>
      <x:c r="I39" s="3"/>
      <x:c r="J39" s="10" t="n">
        <x:v>45890</x:v>
      </x:c>
      <x:c r="K39" s="8" t="n">
        <x:f>INDEX('Сводка'!$S$3:$S$397,U39)</x:f>
        <x:v>282</x:v>
      </x:c>
      <x:c r="L39" s="8" t="n">
        <x:f>INDEX('Сводка'!$S$3:$S$397,V39)</x:f>
        <x:v>296</x:v>
      </x:c>
      <x:c r="M39" s="8" t="n">
        <x:f>INDEX($K$388:$N$400,W39,1)+INDEX($K$388:$N$400,W39,2)*LN(((J39-$T$405+1)/1000))+INDEX($O$388:$Z$400,W39,MONTH(J39))</x:f>
        <x:v>328.4115982192475</x:v>
      </x:c>
      <x:c r="N39" s="8" t="n">
        <x:f>K39-M39</x:f>
        <x:v>-46.41159821924748</x:v>
      </x:c>
      <x:c r="O39" s="8" t="n">
        <x:f>ABS(N39)</x:f>
        <x:v>46.41159821924748</x:v>
      </x:c>
      <x:c r="P39" s="8" t="n">
        <x:f>N39^2</x:f>
        <x:v>2154.036449264856</x:v>
      </x:c>
      <x:c r="Q39" s="8" t="n">
        <x:f>K39-L39</x:f>
        <x:v>-14</x:v>
      </x:c>
      <x:c r="R39" s="9" t="n">
        <x:f>IF(AND(INDEX('Сводка'!$T$3:$T$397,U39)=0,INDEX('Сводка'!$T$3:$T$397,V39)=0),1,0)</x:f>
        <x:v>1</x:v>
      </x:c>
      <x:c r="S39" s="9" t="n">
        <x:f>IF(AND(R39=1,O39&lt;=$G$13),1,0)</x:f>
        <x:v>0</x:v>
      </x:c>
      <x:c r="T39" s="10" t="n">
        <x:f>EOMONTH(J39-'Сводка'!$B$11,-1)</x:f>
        <x:v>45869</x:v>
      </x:c>
      <x:c r="U39" s="4" t="n">
        <x:f>MATCH(J39,'Сводка'!$R$3:$R$397,0)</x:f>
        <x:v>50</x:v>
      </x:c>
      <x:c r="V39" s="4" t="n">
        <x:f>MATCH(J39-'Сводка'!$B$11,'Сводка'!$R$3:$R$397,0)</x:f>
        <x:v>49</x:v>
      </x:c>
      <x:c r="W39" s="4" t="n">
        <x:f>MATCH(T39,$J$388:$J$400,0)</x:f>
        <x:v>2</x:v>
      </x:c>
      <x:c r="X39" s="3"/>
      <x:c r="Y39" s="3"/>
      <x:c r="Z39" s="3"/>
    </x:row>
    <x:row r="40" ht="15" customHeight="1">
      <x:c r="A40" s="10" t="n">
        <x:f>IF(22&lt;='Сводка'!$B$3,'Сводка'!$B$4+22,"")</x:f>
        <x:v>46257</x:v>
      </x:c>
      <x:c r="B40" s="19" t="n">
        <x:f>IF($A40="","",(A40-$T$405+1)/1000)</x:f>
        <x:v>9.001</x:v>
      </x:c>
      <x:c r="C40" s="19" t="n">
        <x:f>IF($A40="","",2*(A40-$T$405)/$T$406-1)</x:f>
        <x:v>1.0049008687903767</x:v>
      </x:c>
      <x:c r="D40" s="8" t="n">
        <x:f>IF($A40="","",$B$4+$B$5*LN(B40)+INDEX($E$4:$E$15,MONTH(A40)))</x:f>
        <x:v>326.42279007222214</x:v>
      </x:c>
      <x:c r="E40" s="8" t="n">
        <x:f>IF($A40="","",SQRT($T$403^2+H40^2))</x:f>
        <x:v>110.37523015710451</x:v>
      </x:c>
      <x:c r="F40" s="8" t="n">
        <x:f>IF($A40="","",D40-$T$404*E40)</x:f>
        <x:v>110.0607995800822</x:v>
      </x:c>
      <x:c r="G40" s="8" t="n">
        <x:f>IF($A40="","",D40+$T$404*E40)</x:f>
        <x:v>542.7847805643621</x:v>
      </x:c>
      <x:c r="H40" s="8" t="n">
        <x:f>IF($A40="","",SQRT(MAX(0,(1)*$S$409*(1)+(1)*$T$409*(LN(B40))+(LN(B40))*$S$410*(1)+(LN(B40))*$T$410*(LN(B40))+2*((1)*INDEX($S$416:$V$427,MONTH(A40),1)+(LN(B40))*INDEX($S$416:$V$427,MONTH(A40),2))+INDEX($W$416:$W$427,MONTH(A40)))))</x:f>
        <x:v>4.213317924491212</x:v>
      </x:c>
      <x:c r="I40" s="3"/>
      <x:c r="J40" s="10" t="n">
        <x:v>45891</x:v>
      </x:c>
      <x:c r="K40" s="8" t="n">
        <x:f>INDEX('Сводка'!$S$3:$S$397,U40)</x:f>
        <x:v>270</x:v>
      </x:c>
      <x:c r="L40" s="8" t="n">
        <x:f>INDEX('Сводка'!$S$3:$S$397,V40)</x:f>
        <x:v>282</x:v>
      </x:c>
      <x:c r="M40" s="8" t="n">
        <x:f>INDEX($K$388:$N$400,W40,1)+INDEX($K$388:$N$400,W40,2)*LN(((J40-$T$405+1)/1000))+INDEX($O$388:$Z$400,W40,MONTH(J40))</x:f>
        <x:v>328.4175960803899</x:v>
      </x:c>
      <x:c r="N40" s="8" t="n">
        <x:f>K40-M40</x:f>
        <x:v>-58.4175960803899</x:v>
      </x:c>
      <x:c r="O40" s="8" t="n">
        <x:f>ABS(N40)</x:f>
        <x:v>58.4175960803899</x:v>
      </x:c>
      <x:c r="P40" s="8" t="n">
        <x:f>N40^2</x:f>
        <x:v>3412.6155318115852</x:v>
      </x:c>
      <x:c r="Q40" s="8" t="n">
        <x:f>K40-L40</x:f>
        <x:v>-12</x:v>
      </x:c>
      <x:c r="R40" s="9" t="n">
        <x:f>IF(AND(INDEX('Сводка'!$T$3:$T$397,U40)=0,INDEX('Сводка'!$T$3:$T$397,V40)=0),1,0)</x:f>
        <x:v>1</x:v>
      </x:c>
      <x:c r="S40" s="9" t="n">
        <x:f>IF(AND(R40=1,O40&lt;=$G$13),1,0)</x:f>
        <x:v>0</x:v>
      </x:c>
      <x:c r="T40" s="10" t="n">
        <x:f>EOMONTH(J40-'Сводка'!$B$11,-1)</x:f>
        <x:v>45869</x:v>
      </x:c>
      <x:c r="U40" s="4" t="n">
        <x:f>MATCH(J40,'Сводка'!$R$3:$R$397,0)</x:f>
        <x:v>51</x:v>
      </x:c>
      <x:c r="V40" s="4" t="n">
        <x:f>MATCH(J40-'Сводка'!$B$11,'Сводка'!$R$3:$R$397,0)</x:f>
        <x:v>50</x:v>
      </x:c>
      <x:c r="W40" s="4" t="n">
        <x:f>MATCH(T40,$J$388:$J$400,0)</x:f>
        <x:v>2</x:v>
      </x:c>
      <x:c r="X40" s="3"/>
      <x:c r="Y40" s="3"/>
      <x:c r="Z40" s="3"/>
    </x:row>
    <x:row r="41" ht="15" customHeight="1">
      <x:c r="A41" s="10" t="n">
        <x:f>IF(23&lt;='Сводка'!$B$3,'Сводка'!$B$4+23,"")</x:f>
        <x:v>46258</x:v>
      </x:c>
      <x:c r="B41" s="19" t="n">
        <x:f>IF($A41="","",(A41-$T$405+1)/1000)</x:f>
        <x:v>9.002</x:v>
      </x:c>
      <x:c r="C41" s="19" t="n">
        <x:f>IF($A41="","",2*(A41-$T$405)/$T$406-1)</x:f>
        <x:v>1.0051236355535753</x:v>
      </x:c>
      <x:c r="D41" s="8" t="n">
        <x:f>IF($A41="","",$B$4+$B$5*LN(B41)+INDEX($E$4:$E$15,MONTH(A41)))</x:f>
        <x:v>326.4283465843005</x:v>
      </x:c>
      <x:c r="E41" s="8" t="n">
        <x:f>IF($A41="","",SQRT($T$403^2+H41^2))</x:f>
        <x:v>110.37523158682664</x:v>
      </x:c>
      <x:c r="F41" s="8" t="n">
        <x:f>IF($A41="","",D41-$T$404*E41)</x:f>
        <x:v>110.06635328956142</x:v>
      </x:c>
      <x:c r="G41" s="8" t="n">
        <x:f>IF($A41="","",D41+$T$404*E41)</x:f>
        <x:v>542.7903398790396</x:v>
      </x:c>
      <x:c r="H41" s="8" t="n">
        <x:f>IF($A41="","",SQRT(MAX(0,(1)*$S$409*(1)+(1)*$T$409*(LN(B41))+(LN(B41))*$S$410*(1)+(LN(B41))*$T$410*(LN(B41))+2*((1)*INDEX($S$416:$V$427,MONTH(A41),1)+(LN(B41))*INDEX($S$416:$V$427,MONTH(A41),2))+INDEX($W$416:$W$427,MONTH(A41)))))</x:f>
        <x:v>4.213355378396202</x:v>
      </x:c>
      <x:c r="I41" s="3"/>
      <x:c r="J41" s="10" t="n">
        <x:v>45892</x:v>
      </x:c>
      <x:c r="K41" s="8" t="n">
        <x:f>INDEX('Сводка'!$S$3:$S$397,U41)</x:f>
        <x:v>255</x:v>
      </x:c>
      <x:c r="L41" s="8" t="n">
        <x:f>INDEX('Сводка'!$S$3:$S$397,V41)</x:f>
        <x:v>270</x:v>
      </x:c>
      <x:c r="M41" s="8" t="n">
        <x:f>INDEX($K$388:$N$400,W41,1)+INDEX($K$388:$N$400,W41,2)*LN(((J41-$T$405+1)/1000))+INDEX($O$388:$Z$400,W41,MONTH(J41))</x:f>
        <x:v>328.4235932469737</x:v>
      </x:c>
      <x:c r="N41" s="8" t="n">
        <x:f>K41-M41</x:f>
        <x:v>-73.42359324697372</x:v>
      </x:c>
      <x:c r="O41" s="8" t="n">
        <x:f>ABS(N41)</x:f>
        <x:v>73.42359324697372</x:v>
      </x:c>
      <x:c r="P41" s="8" t="n">
        <x:f>N41^2</x:f>
        <x:v>5391.024045297046</x:v>
      </x:c>
      <x:c r="Q41" s="8" t="n">
        <x:f>K41-L41</x:f>
        <x:v>-15</x:v>
      </x:c>
      <x:c r="R41" s="9" t="n">
        <x:f>IF(AND(INDEX('Сводка'!$T$3:$T$397,U41)=0,INDEX('Сводка'!$T$3:$T$397,V41)=0),1,0)</x:f>
        <x:v>1</x:v>
      </x:c>
      <x:c r="S41" s="9" t="n">
        <x:f>IF(AND(R41=1,O41&lt;=$G$13),1,0)</x:f>
        <x:v>0</x:v>
      </x:c>
      <x:c r="T41" s="10" t="n">
        <x:f>EOMONTH(J41-'Сводка'!$B$11,-1)</x:f>
        <x:v>45869</x:v>
      </x:c>
      <x:c r="U41" s="4" t="n">
        <x:f>MATCH(J41,'Сводка'!$R$3:$R$397,0)</x:f>
        <x:v>52</x:v>
      </x:c>
      <x:c r="V41" s="4" t="n">
        <x:f>MATCH(J41-'Сводка'!$B$11,'Сводка'!$R$3:$R$397,0)</x:f>
        <x:v>51</x:v>
      </x:c>
      <x:c r="W41" s="4" t="n">
        <x:f>MATCH(T41,$J$388:$J$400,0)</x:f>
        <x:v>2</x:v>
      </x:c>
      <x:c r="X41" s="3"/>
      <x:c r="Y41" s="3"/>
      <x:c r="Z41" s="3"/>
    </x:row>
    <x:row r="42" ht="15" customHeight="1">
      <x:c r="A42" s="10" t="n">
        <x:f>IF(24&lt;='Сводка'!$B$3,'Сводка'!$B$4+24,"")</x:f>
        <x:v>46259</x:v>
      </x:c>
      <x:c r="B42" s="19" t="n">
        <x:f>IF($A42="","",(A42-$T$405+1)/1000)</x:f>
        <x:v>9.003</x:v>
      </x:c>
      <x:c r="C42" s="19" t="n">
        <x:f>IF($A42="","",2*(A42-$T$405)/$T$406-1)</x:f>
        <x:v>1.0053464023167744</x:v>
      </x:c>
      <x:c r="D42" s="8" t="n">
        <x:f>IF($A42="","",$B$4+$B$5*LN(B42)+INDEX($E$4:$E$15,MONTH(A42)))</x:f>
        <x:v>326.43390247916017</x:v>
      </x:c>
      <x:c r="E42" s="8" t="n">
        <x:f>IF($A42="","",SQRT($T$403^2+H42^2))</x:f>
        <x:v>110.37523301655091</x:v>
      </x:c>
      <x:c r="F42" s="8" t="n">
        <x:f>IF($A42="","",D42-$T$404*E42)</x:f>
        <x:v>110.07190638181774</x:v>
      </x:c>
      <x:c r="G42" s="8" t="n">
        <x:f>IF($A42="","",D42+$T$404*E42)</x:f>
        <x:v>542.7958985765026</x:v>
      </x:c>
      <x:c r="H42" s="8" t="n">
        <x:f>IF($A42="","",SQRT(MAX(0,(1)*$S$409*(1)+(1)*$T$409*(LN(B42))+(LN(B42))*$S$410*(1)+(LN(B42))*$T$410*(LN(B42))+2*((1)*INDEX($S$416:$V$427,MONTH(A42),1)+(LN(B42))*INDEX($S$416:$V$427,MONTH(A42),2))+INDEX($W$416:$W$427,MONTH(A42)))))</x:f>
        <x:v>4.21339283202445</x:v>
      </x:c>
      <x:c r="I42" s="3"/>
      <x:c r="J42" s="10" t="n">
        <x:v>45893</x:v>
      </x:c>
      <x:c r="K42" s="8" t="n">
        <x:f>INDEX('Сводка'!$S$3:$S$397,U42)</x:f>
        <x:v>245</x:v>
      </x:c>
      <x:c r="L42" s="8" t="n">
        <x:f>INDEX('Сводка'!$S$3:$S$397,V42)</x:f>
        <x:v>255</x:v>
      </x:c>
      <x:c r="M42" s="8" t="n">
        <x:f>INDEX($K$388:$N$400,W42,1)+INDEX($K$388:$N$400,W42,2)*LN(((J42-$T$405+1)/1000))+INDEX($O$388:$Z$400,W42,MONTH(J42))</x:f>
        <x:v>328.4295897191597</x:v>
      </x:c>
      <x:c r="N42" s="8" t="n">
        <x:f>K42-M42</x:f>
        <x:v>-83.42958971915971</x:v>
      </x:c>
      <x:c r="O42" s="8" t="n">
        <x:f>ABS(N42)</x:f>
        <x:v>83.42958971915971</x:v>
      </x:c>
      <x:c r="P42" s="8" t="n">
        <x:f>N42^2</x:f>
        <x:v>6960.496440707319</x:v>
      </x:c>
      <x:c r="Q42" s="8" t="n">
        <x:f>K42-L42</x:f>
        <x:v>-10</x:v>
      </x:c>
      <x:c r="R42" s="9" t="n">
        <x:f>IF(AND(INDEX('Сводка'!$T$3:$T$397,U42)=0,INDEX('Сводка'!$T$3:$T$397,V42)=0),1,0)</x:f>
        <x:v>1</x:v>
      </x:c>
      <x:c r="S42" s="9" t="n">
        <x:f>IF(AND(R42=1,O42&lt;=$G$13),1,0)</x:f>
        <x:v>0</x:v>
      </x:c>
      <x:c r="T42" s="10" t="n">
        <x:f>EOMONTH(J42-'Сводка'!$B$11,-1)</x:f>
        <x:v>45869</x:v>
      </x:c>
      <x:c r="U42" s="4" t="n">
        <x:f>MATCH(J42,'Сводка'!$R$3:$R$397,0)</x:f>
        <x:v>53</x:v>
      </x:c>
      <x:c r="V42" s="4" t="n">
        <x:f>MATCH(J42-'Сводка'!$B$11,'Сводка'!$R$3:$R$397,0)</x:f>
        <x:v>52</x:v>
      </x:c>
      <x:c r="W42" s="4" t="n">
        <x:f>MATCH(T42,$J$388:$J$400,0)</x:f>
        <x:v>2</x:v>
      </x:c>
      <x:c r="X42" s="3"/>
      <x:c r="Y42" s="3"/>
      <x:c r="Z42" s="3"/>
    </x:row>
    <x:row r="43" ht="15" customHeight="1">
      <x:c r="A43" s="10" t="n">
        <x:f>IF(25&lt;='Сводка'!$B$3,'Сводка'!$B$4+25,"")</x:f>
        <x:v>46260</x:v>
      </x:c>
      <x:c r="B43" s="19" t="n">
        <x:f>IF($A43="","",(A43-$T$405+1)/1000)</x:f>
        <x:v>9.004</x:v>
      </x:c>
      <x:c r="C43" s="19" t="n">
        <x:f>IF($A43="","",2*(A43-$T$405)/$T$406-1)</x:f>
        <x:v>1.005569169079973</x:v>
      </x:c>
      <x:c r="D43" s="8" t="n">
        <x:f>IF($A43="","",$B$4+$B$5*LN(B43)+INDEX($E$4:$E$15,MONTH(A43)))</x:f>
        <x:v>326.4394577569381</x:v>
      </x:c>
      <x:c r="E43" s="8" t="n">
        <x:f>IF($A43="","",SQRT($T$403^2+H43^2))</x:f>
        <x:v>110.37523444627728</x:v>
      </x:c>
      <x:c r="F43" s="8" t="n">
        <x:f>IF($A43="","",D43-$T$404*E43)</x:f>
        <x:v>110.07745885698822</x:v>
      </x:c>
      <x:c r="G43" s="8" t="n">
        <x:f>IF($A43="","",D43+$T$404*E43)</x:f>
        <x:v>542.801456656888</x:v>
      </x:c>
      <x:c r="H43" s="8" t="n">
        <x:f>IF($A43="","",SQRT(MAX(0,(1)*$S$409*(1)+(1)*$T$409*(LN(B43))+(LN(B43))*$S$410*(1)+(LN(B43))*$T$410*(LN(B43))+2*((1)*INDEX($S$416:$V$427,MONTH(A43),1)+(LN(B43))*INDEX($S$416:$V$427,MONTH(A43),2))+INDEX($W$416:$W$427,MONTH(A43)))))</x:f>
        <x:v>4.213430285375484</x:v>
      </x:c>
      <x:c r="I43" s="3"/>
      <x:c r="J43" s="10" t="n">
        <x:v>45894</x:v>
      </x:c>
      <x:c r="K43" s="8" t="n">
        <x:f>INDEX('Сводка'!$S$3:$S$397,U43)</x:f>
        <x:v>235</x:v>
      </x:c>
      <x:c r="L43" s="8" t="n">
        <x:f>INDEX('Сводка'!$S$3:$S$397,V43)</x:f>
        <x:v>245</x:v>
      </x:c>
      <x:c r="M43" s="8" t="n">
        <x:f>INDEX($K$388:$N$400,W43,1)+INDEX($K$388:$N$400,W43,2)*LN(((J43-$T$405+1)/1000))+INDEX($O$388:$Z$400,W43,MONTH(J43))</x:f>
        <x:v>328.43558549710866</x:v>
      </x:c>
      <x:c r="N43" s="8" t="n">
        <x:f>K43-M43</x:f>
        <x:v>-93.43558549710866</x:v>
      </x:c>
      <x:c r="O43" s="8" t="n">
        <x:f>ABS(N43)</x:f>
        <x:v>93.43558549710866</x:v>
      </x:c>
      <x:c r="P43" s="8" t="n">
        <x:f>N43^2</x:f>
        <x:v>8730.208637187503</x:v>
      </x:c>
      <x:c r="Q43" s="8" t="n">
        <x:f>K43-L43</x:f>
        <x:v>-10</x:v>
      </x:c>
      <x:c r="R43" s="9" t="n">
        <x:f>IF(AND(INDEX('Сводка'!$T$3:$T$397,U43)=0,INDEX('Сводка'!$T$3:$T$397,V43)=0),1,0)</x:f>
        <x:v>1</x:v>
      </x:c>
      <x:c r="S43" s="9" t="n">
        <x:f>IF(AND(R43=1,O43&lt;=$G$13),1,0)</x:f>
        <x:v>0</x:v>
      </x:c>
      <x:c r="T43" s="10" t="n">
        <x:f>EOMONTH(J43-'Сводка'!$B$11,-1)</x:f>
        <x:v>45869</x:v>
      </x:c>
      <x:c r="U43" s="4" t="n">
        <x:f>MATCH(J43,'Сводка'!$R$3:$R$397,0)</x:f>
        <x:v>54</x:v>
      </x:c>
      <x:c r="V43" s="4" t="n">
        <x:f>MATCH(J43-'Сводка'!$B$11,'Сводка'!$R$3:$R$397,0)</x:f>
        <x:v>53</x:v>
      </x:c>
      <x:c r="W43" s="4" t="n">
        <x:f>MATCH(T43,$J$388:$J$400,0)</x:f>
        <x:v>2</x:v>
      </x:c>
      <x:c r="X43" s="3"/>
      <x:c r="Y43" s="3"/>
      <x:c r="Z43" s="3"/>
    </x:row>
    <x:row r="44" ht="15" customHeight="1">
      <x:c r="A44" s="10" t="n">
        <x:f>IF(26&lt;='Сводка'!$B$3,'Сводка'!$B$4+26,"")</x:f>
        <x:v>46261</x:v>
      </x:c>
      <x:c r="B44" s="19" t="n">
        <x:f>IF($A44="","",(A44-$T$405+1)/1000)</x:f>
        <x:v>9.005</x:v>
      </x:c>
      <x:c r="C44" s="19" t="n">
        <x:f>IF($A44="","",2*(A44-$T$405)/$T$406-1)</x:f>
        <x:v>1.0057919358431722</x:v>
      </x:c>
      <x:c r="D44" s="8" t="n">
        <x:f>IF($A44="","",$B$4+$B$5*LN(B44)+INDEX($E$4:$E$15,MONTH(A44)))</x:f>
        <x:v>326.4450124177714</x:v>
      </x:c>
      <x:c r="E44" s="8" t="n">
        <x:f>IF($A44="","",SQRT($T$403^2+H44^2))</x:f>
        <x:v>110.37523587600573</x:v>
      </x:c>
      <x:c r="F44" s="8" t="n">
        <x:f>IF($A44="","",D44-$T$404*E44)</x:f>
        <x:v>110.08301071520998</x:v>
      </x:c>
      <x:c r="G44" s="8" t="n">
        <x:f>IF($A44="","",D44+$T$404*E44)</x:f>
        <x:v>542.8070141203328</x:v>
      </x:c>
      <x:c r="H44" s="8" t="n">
        <x:f>IF($A44="","",SQRT(MAX(0,(1)*$S$409*(1)+(1)*$T$409*(LN(B44))+(LN(B44))*$S$410*(1)+(LN(B44))*$T$410*(LN(B44))+2*((1)*INDEX($S$416:$V$427,MONTH(A44),1)+(LN(B44))*INDEX($S$416:$V$427,MONTH(A44),2))+INDEX($W$416:$W$427,MONTH(A44)))))</x:f>
        <x:v>4.213467738448827</x:v>
      </x:c>
      <x:c r="I44" s="3"/>
      <x:c r="J44" s="10" t="n">
        <x:v>45895</x:v>
      </x:c>
      <x:c r="K44" s="8" t="n">
        <x:f>INDEX('Сводка'!$S$3:$S$397,U44)</x:f>
        <x:v>227</x:v>
      </x:c>
      <x:c r="L44" s="8" t="n">
        <x:f>INDEX('Сводка'!$S$3:$S$397,V44)</x:f>
        <x:v>235</x:v>
      </x:c>
      <x:c r="M44" s="8" t="n">
        <x:f>INDEX($K$388:$N$400,W44,1)+INDEX($K$388:$N$400,W44,2)*LN(((J44-$T$405+1)/1000))+INDEX($O$388:$Z$400,W44,MONTH(J44))</x:f>
        <x:v>328.4415805809814</x:v>
      </x:c>
      <x:c r="N44" s="8" t="n">
        <x:f>K44-M44</x:f>
        <x:v>-101.4415805809814</x:v>
      </x:c>
      <x:c r="O44" s="8" t="n">
        <x:f>ABS(N44)</x:f>
        <x:v>101.4415805809814</x:v>
      </x:c>
      <x:c r="P44" s="8" t="n">
        <x:f>N44^2</x:f>
        <x:v>10290.394270767742</x:v>
      </x:c>
      <x:c r="Q44" s="8" t="n">
        <x:f>K44-L44</x:f>
        <x:v>-8</x:v>
      </x:c>
      <x:c r="R44" s="9" t="n">
        <x:f>IF(AND(INDEX('Сводка'!$T$3:$T$397,U44)=0,INDEX('Сводка'!$T$3:$T$397,V44)=0),1,0)</x:f>
        <x:v>1</x:v>
      </x:c>
      <x:c r="S44" s="9" t="n">
        <x:f>IF(AND(R44=1,O44&lt;=$G$13),1,0)</x:f>
        <x:v>0</x:v>
      </x:c>
      <x:c r="T44" s="10" t="n">
        <x:f>EOMONTH(J44-'Сводка'!$B$11,-1)</x:f>
        <x:v>45869</x:v>
      </x:c>
      <x:c r="U44" s="4" t="n">
        <x:f>MATCH(J44,'Сводка'!$R$3:$R$397,0)</x:f>
        <x:v>55</x:v>
      </x:c>
      <x:c r="V44" s="4" t="n">
        <x:f>MATCH(J44-'Сводка'!$B$11,'Сводка'!$R$3:$R$397,0)</x:f>
        <x:v>54</x:v>
      </x:c>
      <x:c r="W44" s="4" t="n">
        <x:f>MATCH(T44,$J$388:$J$400,0)</x:f>
        <x:v>2</x:v>
      </x:c>
      <x:c r="X44" s="3"/>
      <x:c r="Y44" s="3"/>
      <x:c r="Z44" s="3"/>
    </x:row>
    <x:row r="45" ht="15" customHeight="1">
      <x:c r="A45" s="10" t="n">
        <x:f>IF(27&lt;='Сводка'!$B$3,'Сводка'!$B$4+27,"")</x:f>
        <x:v>46262</x:v>
      </x:c>
      <x:c r="B45" s="19" t="n">
        <x:f>IF($A45="","",(A45-$T$405+1)/1000)</x:f>
        <x:v>9.006</x:v>
      </x:c>
      <x:c r="C45" s="19" t="n">
        <x:f>IF($A45="","",2*(A45-$T$405)/$T$406-1)</x:f>
        <x:v>1.0060147026063713</x:v>
      </x:c>
      <x:c r="D45" s="8" t="n">
        <x:f>IF($A45="","",$B$4+$B$5*LN(B45)+INDEX($E$4:$E$15,MONTH(A45)))</x:f>
        <x:v>326.45056646179717</x:v>
      </x:c>
      <x:c r="E45" s="8" t="n">
        <x:f>IF($A45="","",SQRT($T$403^2+H45^2))</x:f>
        <x:v>110.37523730573626</x:v>
      </x:c>
      <x:c r="F45" s="8" t="n">
        <x:f>IF($A45="","",D45-$T$404*E45)</x:f>
        <x:v>110.08856195662011</x:v>
      </x:c>
      <x:c r="G45" s="8" t="n">
        <x:f>IF($A45="","",D45+$T$404*E45)</x:f>
        <x:v>542.8125709669742</x:v>
      </x:c>
      <x:c r="H45" s="8" t="n">
        <x:f>IF($A45="","",SQRT(MAX(0,(1)*$S$409*(1)+(1)*$T$409*(LN(B45))+(LN(B45))*$S$410*(1)+(LN(B45))*$T$410*(LN(B45))+2*((1)*INDEX($S$416:$V$427,MONTH(A45),1)+(LN(B45))*INDEX($S$416:$V$427,MONTH(A45),2))+INDEX($W$416:$W$427,MONTH(A45)))))</x:f>
        <x:v>4.2135051912440105</x:v>
      </x:c>
      <x:c r="I45" s="3"/>
      <x:c r="J45" s="10" t="n">
        <x:v>45896</x:v>
      </x:c>
      <x:c r="K45" s="8" t="n">
        <x:f>INDEX('Сводка'!$S$3:$S$397,U45)</x:f>
        <x:v>226</x:v>
      </x:c>
      <x:c r="L45" s="8" t="n">
        <x:f>INDEX('Сводка'!$S$3:$S$397,V45)</x:f>
        <x:v>227</x:v>
      </x:c>
      <x:c r="M45" s="8" t="n">
        <x:f>INDEX($K$388:$N$400,W45,1)+INDEX($K$388:$N$400,W45,2)*LN(((J45-$T$405+1)/1000))+INDEX($O$388:$Z$400,W45,MONTH(J45))</x:f>
        <x:v>328.4475749709385</x:v>
      </x:c>
      <x:c r="N45" s="8" t="n">
        <x:f>K45-M45</x:f>
        <x:v>-102.44757497093849</x:v>
      </x:c>
      <x:c r="O45" s="8" t="n">
        <x:f>ABS(N45)</x:f>
        <x:v>102.44757497093849</x:v>
      </x:c>
      <x:c r="P45" s="8" t="n">
        <x:f>N45^2</x:f>
        <x:v>10495.505617426063</x:v>
      </x:c>
      <x:c r="Q45" s="8" t="n">
        <x:f>K45-L45</x:f>
        <x:v>-1</x:v>
      </x:c>
      <x:c r="R45" s="9" t="n">
        <x:f>IF(AND(INDEX('Сводка'!$T$3:$T$397,U45)=0,INDEX('Сводка'!$T$3:$T$397,V45)=0),1,0)</x:f>
        <x:v>1</x:v>
      </x:c>
      <x:c r="S45" s="9" t="n">
        <x:f>IF(AND(R45=1,O45&lt;=$G$13),1,0)</x:f>
        <x:v>0</x:v>
      </x:c>
      <x:c r="T45" s="10" t="n">
        <x:f>EOMONTH(J45-'Сводка'!$B$11,-1)</x:f>
        <x:v>45869</x:v>
      </x:c>
      <x:c r="U45" s="4" t="n">
        <x:f>MATCH(J45,'Сводка'!$R$3:$R$397,0)</x:f>
        <x:v>56</x:v>
      </x:c>
      <x:c r="V45" s="4" t="n">
        <x:f>MATCH(J45-'Сводка'!$B$11,'Сводка'!$R$3:$R$397,0)</x:f>
        <x:v>55</x:v>
      </x:c>
      <x:c r="W45" s="4" t="n">
        <x:f>MATCH(T45,$J$388:$J$400,0)</x:f>
        <x:v>2</x:v>
      </x:c>
      <x:c r="X45" s="3"/>
      <x:c r="Y45" s="3"/>
      <x:c r="Z45" s="3"/>
    </x:row>
    <x:row r="46" ht="15" customHeight="1">
      <x:c r="A46" s="10" t="n">
        <x:f>IF(28&lt;='Сводка'!$B$3,'Сводка'!$B$4+28,"")</x:f>
        <x:v>46263</x:v>
      </x:c>
      <x:c r="B46" s="19" t="n">
        <x:f>IF($A46="","",(A46-$T$405+1)/1000)</x:f>
        <x:v>9.007</x:v>
      </x:c>
      <x:c r="C46" s="19" t="n">
        <x:f>IF($A46="","",2*(A46-$T$405)/$T$406-1)</x:f>
        <x:v>1.00623746936957</x:v>
      </x:c>
      <x:c r="D46" s="8" t="n">
        <x:f>IF($A46="","",$B$4+$B$5*LN(B46)+INDEX($E$4:$E$15,MONTH(A46)))</x:f>
        <x:v>326.45611988915226</x:v>
      </x:c>
      <x:c r="E46" s="8" t="n">
        <x:f>IF($A46="","",SQRT($T$403^2+H46^2))</x:f>
        <x:v>110.37523873546886</x:v>
      </x:c>
      <x:c r="F46" s="8" t="n">
        <x:f>IF($A46="","",D46-$T$404*E46)</x:f>
        <x:v>110.09411258135555</x:v>
      </x:c>
      <x:c r="G46" s="8" t="n">
        <x:f>IF($A46="","",D46+$T$404*E46)</x:f>
        <x:v>542.818127196949</x:v>
      </x:c>
      <x:c r="H46" s="8" t="n">
        <x:f>IF($A46="","",SQRT(MAX(0,(1)*$S$409*(1)+(1)*$T$409*(LN(B46))+(LN(B46))*$S$410*(1)+(LN(B46))*$T$410*(LN(B46))+2*((1)*INDEX($S$416:$V$427,MONTH(A46),1)+(LN(B46))*INDEX($S$416:$V$427,MONTH(A46),2))+INDEX($W$416:$W$427,MONTH(A46)))))</x:f>
        <x:v>4.213542643760559</x:v>
      </x:c>
      <x:c r="I46" s="3"/>
      <x:c r="J46" s="10" t="n">
        <x:v>45897</x:v>
      </x:c>
      <x:c r="K46" s="8" t="n">
        <x:f>INDEX('Сводка'!$S$3:$S$397,U46)</x:f>
        <x:v>229</x:v>
      </x:c>
      <x:c r="L46" s="8" t="n">
        <x:f>INDEX('Сводка'!$S$3:$S$397,V46)</x:f>
        <x:v>226</x:v>
      </x:c>
      <x:c r="M46" s="8" t="n">
        <x:f>INDEX($K$388:$N$400,W46,1)+INDEX($K$388:$N$400,W46,2)*LN(((J46-$T$405+1)/1000))+INDEX($O$388:$Z$400,W46,MONTH(J46))</x:f>
        <x:v>328.45356866714053</x:v>
      </x:c>
      <x:c r="N46" s="8" t="n">
        <x:f>K46-M46</x:f>
        <x:v>-99.45356866714053</x:v>
      </x:c>
      <x:c r="O46" s="8" t="n">
        <x:f>ABS(N46)</x:f>
        <x:v>99.45356866714053</x:v>
      </x:c>
      <x:c r="P46" s="8" t="n">
        <x:f>N46^2</x:f>
        <x:v>9891.012320629636</x:v>
      </x:c>
      <x:c r="Q46" s="8" t="n">
        <x:f>K46-L46</x:f>
        <x:v>3</x:v>
      </x:c>
      <x:c r="R46" s="9" t="n">
        <x:f>IF(AND(INDEX('Сводка'!$T$3:$T$397,U46)=0,INDEX('Сводка'!$T$3:$T$397,V46)=0),1,0)</x:f>
        <x:v>1</x:v>
      </x:c>
      <x:c r="S46" s="9" t="n">
        <x:f>IF(AND(R46=1,O46&lt;=$G$13),1,0)</x:f>
        <x:v>0</x:v>
      </x:c>
      <x:c r="T46" s="10" t="n">
        <x:f>EOMONTH(J46-'Сводка'!$B$11,-1)</x:f>
        <x:v>45869</x:v>
      </x:c>
      <x:c r="U46" s="4" t="n">
        <x:f>MATCH(J46,'Сводка'!$R$3:$R$397,0)</x:f>
        <x:v>57</x:v>
      </x:c>
      <x:c r="V46" s="4" t="n">
        <x:f>MATCH(J46-'Сводка'!$B$11,'Сводка'!$R$3:$R$397,0)</x:f>
        <x:v>56</x:v>
      </x:c>
      <x:c r="W46" s="4" t="n">
        <x:f>MATCH(T46,$J$388:$J$400,0)</x:f>
        <x:v>2</x:v>
      </x:c>
      <x:c r="X46" s="3"/>
      <x:c r="Y46" s="3"/>
      <x:c r="Z46" s="3"/>
    </x:row>
    <x:row r="47" ht="15" customHeight="1">
      <x:c r="A47" s="10" t="n">
        <x:f>IF(29&lt;='Сводка'!$B$3,'Сводка'!$B$4+29,"")</x:f>
        <x:v>46264</x:v>
      </x:c>
      <x:c r="B47" s="19" t="n">
        <x:f>IF($A47="","",(A47-$T$405+1)/1000)</x:f>
        <x:v>9.008</x:v>
      </x:c>
      <x:c r="C47" s="19" t="n">
        <x:f>IF($A47="","",2*(A47-$T$405)/$T$406-1)</x:f>
        <x:v>1.006460236132769</x:v>
      </x:c>
      <x:c r="D47" s="8" t="n">
        <x:f>IF($A47="","",$B$4+$B$5*LN(B47)+INDEX($E$4:$E$15,MONTH(A47)))</x:f>
        <x:v>326.46167269997363</x:v>
      </x:c>
      <x:c r="E47" s="8" t="n">
        <x:f>IF($A47="","",SQRT($T$403^2+H47^2))</x:f>
        <x:v>110.37524016520346</x:v>
      </x:c>
      <x:c r="F47" s="8" t="n">
        <x:f>IF($A47="","",D47-$T$404*E47)</x:f>
        <x:v>110.0996625895533</x:v>
      </x:c>
      <x:c r="G47" s="8" t="n">
        <x:f>IF($A47="","",D47+$T$404*E47)</x:f>
        <x:v>542.823682810394</x:v>
      </x:c>
      <x:c r="H47" s="8" t="n">
        <x:f>IF($A47="","",SQRT(MAX(0,(1)*$S$409*(1)+(1)*$T$409*(LN(B47))+(LN(B47))*$S$410*(1)+(LN(B47))*$T$410*(LN(B47))+2*((1)*INDEX($S$416:$V$427,MONTH(A47),1)+(LN(B47))*INDEX($S$416:$V$427,MONTH(A47),2))+INDEX($W$416:$W$427,MONTH(A47)))))</x:f>
        <x:v>4.213580095998001</x:v>
      </x:c>
      <x:c r="I47" s="3"/>
      <x:c r="J47" s="10" t="n">
        <x:v>45898</x:v>
      </x:c>
      <x:c r="K47" s="8" t="n">
        <x:f>INDEX('Сводка'!$S$3:$S$397,U47)</x:f>
        <x:v>233</x:v>
      </x:c>
      <x:c r="L47" s="8" t="n">
        <x:f>INDEX('Сводка'!$S$3:$S$397,V47)</x:f>
        <x:v>229</x:v>
      </x:c>
      <x:c r="M47" s="8" t="n">
        <x:f>INDEX($K$388:$N$400,W47,1)+INDEX($K$388:$N$400,W47,2)*LN(((J47-$T$405+1)/1000))+INDEX($O$388:$Z$400,W47,MONTH(J47))</x:f>
        <x:v>328.45956166974827</x:v>
      </x:c>
      <x:c r="N47" s="8" t="n">
        <x:f>K47-M47</x:f>
        <x:v>-95.45956166974827</x:v>
      </x:c>
      <x:c r="O47" s="8" t="n">
        <x:f>ABS(N47)</x:f>
        <x:v>95.45956166974827</x:v>
      </x:c>
      <x:c r="P47" s="8" t="n">
        <x:f>N47^2</x:f>
        <x:v>9112.527914180473</x:v>
      </x:c>
      <x:c r="Q47" s="8" t="n">
        <x:f>K47-L47</x:f>
        <x:v>4</x:v>
      </x:c>
      <x:c r="R47" s="9" t="n">
        <x:f>IF(AND(INDEX('Сводка'!$T$3:$T$397,U47)=0,INDEX('Сводка'!$T$3:$T$397,V47)=0),1,0)</x:f>
        <x:v>1</x:v>
      </x:c>
      <x:c r="S47" s="9" t="n">
        <x:f>IF(AND(R47=1,O47&lt;=$G$13),1,0)</x:f>
        <x:v>0</x:v>
      </x:c>
      <x:c r="T47" s="10" t="n">
        <x:f>EOMONTH(J47-'Сводка'!$B$11,-1)</x:f>
        <x:v>45869</x:v>
      </x:c>
      <x:c r="U47" s="4" t="n">
        <x:f>MATCH(J47,'Сводка'!$R$3:$R$397,0)</x:f>
        <x:v>58</x:v>
      </x:c>
      <x:c r="V47" s="4" t="n">
        <x:f>MATCH(J47-'Сводка'!$B$11,'Сводка'!$R$3:$R$397,0)</x:f>
        <x:v>57</x:v>
      </x:c>
      <x:c r="W47" s="4" t="n">
        <x:f>MATCH(T47,$J$388:$J$400,0)</x:f>
        <x:v>2</x:v>
      </x:c>
      <x:c r="X47" s="3"/>
      <x:c r="Y47" s="3"/>
      <x:c r="Z47" s="3"/>
    </x:row>
    <x:row r="48" ht="15" customHeight="1">
      <x:c r="A48" s="10" t="n">
        <x:f>IF(30&lt;='Сводка'!$B$3,'Сводка'!$B$4+30,"")</x:f>
        <x:v>46265</x:v>
      </x:c>
      <x:c r="B48" s="19" t="n">
        <x:f>IF($A48="","",(A48-$T$405+1)/1000)</x:f>
        <x:v>9.009</x:v>
      </x:c>
      <x:c r="C48" s="19" t="n">
        <x:f>IF($A48="","",2*(A48-$T$405)/$T$406-1)</x:f>
        <x:v>1.0066830028959681</x:v>
      </x:c>
      <x:c r="D48" s="8" t="n">
        <x:f>IF($A48="","",$B$4+$B$5*LN(B48)+INDEX($E$4:$E$15,MONTH(A48)))</x:f>
        <x:v>326.46722489439827</x:v>
      </x:c>
      <x:c r="E48" s="8" t="n">
        <x:f>IF($A48="","",SQRT($T$403^2+H48^2))</x:f>
        <x:v>110.3752415949401</x:v>
      </x:c>
      <x:c r="F48" s="8" t="n">
        <x:f>IF($A48="","",D48-$T$404*E48)</x:f>
        <x:v>110.10521198135035</x:v>
      </x:c>
      <x:c r="G48" s="8" t="n">
        <x:f>IF($A48="","",D48+$T$404*E48)</x:f>
        <x:v>542.8292378074461</x:v>
      </x:c>
      <x:c r="H48" s="8" t="n">
        <x:f>IF($A48="","",SQRT(MAX(0,(1)*$S$409*(1)+(1)*$T$409*(LN(B48))+(LN(B48))*$S$410*(1)+(LN(B48))*$T$410*(LN(B48))+2*((1)*INDEX($S$416:$V$427,MONTH(A48),1)+(LN(B48))*INDEX($S$416:$V$427,MONTH(A48),2))+INDEX($W$416:$W$427,MONTH(A48)))))</x:f>
        <x:v>4.213617547955865</x:v>
      </x:c>
      <x:c r="I48" s="3"/>
      <x:c r="J48" s="10" t="n">
        <x:v>45899</x:v>
      </x:c>
      <x:c r="K48" s="8" t="n">
        <x:f>INDEX('Сводка'!$S$3:$S$397,U48)</x:f>
        <x:v>238</x:v>
      </x:c>
      <x:c r="L48" s="8" t="n">
        <x:f>INDEX('Сводка'!$S$3:$S$397,V48)</x:f>
        <x:v>233</x:v>
      </x:c>
      <x:c r="M48" s="8" t="n">
        <x:f>INDEX($K$388:$N$400,W48,1)+INDEX($K$388:$N$400,W48,2)*LN(((J48-$T$405+1)/1000))+INDEX($O$388:$Z$400,W48,MONTH(J48))</x:f>
        <x:v>328.465553978922</x:v>
      </x:c>
      <x:c r="N48" s="8" t="n">
        <x:f>K48-M48</x:f>
        <x:v>-90.465553978922</x:v>
      </x:c>
      <x:c r="O48" s="8" t="n">
        <x:f>ABS(N48)</x:f>
        <x:v>90.465553978922</x:v>
      </x:c>
      <x:c r="P48" s="8" t="n">
        <x:f>N48^2</x:f>
        <x:v>8184.016456713251</x:v>
      </x:c>
      <x:c r="Q48" s="8" t="n">
        <x:f>K48-L48</x:f>
        <x:v>5</x:v>
      </x:c>
      <x:c r="R48" s="9" t="n">
        <x:f>IF(AND(INDEX('Сводка'!$T$3:$T$397,U48)=0,INDEX('Сводка'!$T$3:$T$397,V48)=0),1,0)</x:f>
        <x:v>1</x:v>
      </x:c>
      <x:c r="S48" s="9" t="n">
        <x:f>IF(AND(R48=1,O48&lt;=$G$13),1,0)</x:f>
        <x:v>0</x:v>
      </x:c>
      <x:c r="T48" s="10" t="n">
        <x:f>EOMONTH(J48-'Сводка'!$B$11,-1)</x:f>
        <x:v>45869</x:v>
      </x:c>
      <x:c r="U48" s="4" t="n">
        <x:f>MATCH(J48,'Сводка'!$R$3:$R$397,0)</x:f>
        <x:v>59</x:v>
      </x:c>
      <x:c r="V48" s="4" t="n">
        <x:f>MATCH(J48-'Сводка'!$B$11,'Сводка'!$R$3:$R$397,0)</x:f>
        <x:v>58</x:v>
      </x:c>
      <x:c r="W48" s="4" t="n">
        <x:f>MATCH(T48,$J$388:$J$400,0)</x:f>
        <x:v>2</x:v>
      </x:c>
      <x:c r="X48" s="3"/>
      <x:c r="Y48" s="3"/>
      <x:c r="Z48" s="3"/>
    </x:row>
    <x:row r="49" ht="15" customHeight="1">
      <x:c r="A49" s="7" t="str">
        <x:f>IF(31&lt;='Сводка'!$B$3,'Сводка'!$B$4+31,"")</x:f>
      </x:c>
      <x:c r="B49" s="20" t="str">
        <x:f>IF($A49="","",(A49-$T$405+1)/1000)</x:f>
      </x:c>
      <x:c r="C49" s="20" t="str">
        <x:f>IF($A49="","",2*(A49-$T$405)/$T$406-1)</x:f>
      </x:c>
      <x:c r="D49" s="3" t="str">
        <x:f>IF($A49="","",$B$4+$B$5*LN(B49)+INDEX($E$4:$E$15,MONTH(A49)))</x:f>
      </x:c>
      <x:c r="E49" s="3" t="str">
        <x:f>IF($A49="","",SQRT($T$403^2+H49^2))</x:f>
      </x:c>
      <x:c r="F49" s="3" t="str">
        <x:f>IF($A49="","",D49-$T$404*E49)</x:f>
      </x:c>
      <x:c r="G49" s="3" t="str">
        <x:f>IF($A49="","",D49+$T$404*E49)</x:f>
      </x:c>
      <x:c r="H49" s="3" t="str">
        <x:f>IF($A49="","",SQRT(MAX(0,(1)*$S$409*(1)+(1)*$T$409*(LN(B49))+(LN(B49))*$S$410*(1)+(LN(B49))*$T$410*(LN(B49))+2*((1)*INDEX($S$416:$V$427,MONTH(A49),1)+(LN(B49))*INDEX($S$416:$V$427,MONTH(A49),2))+INDEX($W$416:$W$427,MONTH(A49)))))</x:f>
      </x:c>
      <x:c r="I49" s="3"/>
      <x:c r="J49" s="10" t="n">
        <x:v>45900</x:v>
      </x:c>
      <x:c r="K49" s="8" t="n">
        <x:f>INDEX('Сводка'!$S$3:$S$397,U49)</x:f>
        <x:v>238</x:v>
      </x:c>
      <x:c r="L49" s="8" t="n">
        <x:f>INDEX('Сводка'!$S$3:$S$397,V49)</x:f>
        <x:v>238</x:v>
      </x:c>
      <x:c r="M49" s="8" t="n">
        <x:f>INDEX($K$388:$N$400,W49,1)+INDEX($K$388:$N$400,W49,2)*LN(((J49-$T$405+1)/1000))+INDEX($O$388:$Z$400,W49,MONTH(J49))</x:f>
        <x:v>328.4715455948223</x:v>
      </x:c>
      <x:c r="N49" s="8" t="n">
        <x:f>K49-M49</x:f>
        <x:v>-90.47154559482232</x:v>
      </x:c>
      <x:c r="O49" s="8" t="n">
        <x:f>ABS(N49)</x:f>
        <x:v>90.47154559482232</x:v>
      </x:c>
      <x:c r="P49" s="8" t="n">
        <x:f>N49^2</x:f>
        <x:v>8185.100562316014</x:v>
      </x:c>
      <x:c r="Q49" s="8" t="n">
        <x:f>K49-L49</x:f>
        <x:v>0</x:v>
      </x:c>
      <x:c r="R49" s="9" t="n">
        <x:f>IF(AND(INDEX('Сводка'!$T$3:$T$397,U49)=0,INDEX('Сводка'!$T$3:$T$397,V49)=0),1,0)</x:f>
        <x:v>1</x:v>
      </x:c>
      <x:c r="S49" s="9" t="n">
        <x:f>IF(AND(R49=1,O49&lt;=$G$13),1,0)</x:f>
        <x:v>0</x:v>
      </x:c>
      <x:c r="T49" s="10" t="n">
        <x:f>EOMONTH(J49-'Сводка'!$B$11,-1)</x:f>
        <x:v>45869</x:v>
      </x:c>
      <x:c r="U49" s="4" t="n">
        <x:f>MATCH(J49,'Сводка'!$R$3:$R$397,0)</x:f>
        <x:v>60</x:v>
      </x:c>
      <x:c r="V49" s="4" t="n">
        <x:f>MATCH(J49-'Сводка'!$B$11,'Сводка'!$R$3:$R$397,0)</x:f>
        <x:v>59</x:v>
      </x:c>
      <x:c r="W49" s="4" t="n">
        <x:f>MATCH(T49,$J$388:$J$400,0)</x:f>
        <x:v>2</x:v>
      </x:c>
      <x:c r="X49" s="3"/>
      <x:c r="Y49" s="3"/>
      <x:c r="Z49" s="3"/>
    </x:row>
    <x:row r="50" ht="15" customHeight="1">
      <x:c r="A50" s="7" t="str">
        <x:f>IF(32&lt;='Сводка'!$B$3,'Сводка'!$B$4+32,"")</x:f>
      </x:c>
      <x:c r="B50" s="20" t="str">
        <x:f>IF($A50="","",(A50-$T$405+1)/1000)</x:f>
      </x:c>
      <x:c r="C50" s="20" t="str">
        <x:f>IF($A50="","",2*(A50-$T$405)/$T$406-1)</x:f>
      </x:c>
      <x:c r="D50" s="3" t="str">
        <x:f>IF($A50="","",$B$4+$B$5*LN(B50)+INDEX($E$4:$E$15,MONTH(A50)))</x:f>
      </x:c>
      <x:c r="E50" s="3" t="str">
        <x:f>IF($A50="","",SQRT($T$403^2+H50^2))</x:f>
      </x:c>
      <x:c r="F50" s="3" t="str">
        <x:f>IF($A50="","",D50-$T$404*E50)</x:f>
      </x:c>
      <x:c r="G50" s="3" t="str">
        <x:f>IF($A50="","",D50+$T$404*E50)</x:f>
      </x:c>
      <x:c r="H50" s="3" t="str">
        <x:f>IF($A50="","",SQRT(MAX(0,(1)*$S$409*(1)+(1)*$T$409*(LN(B50))+(LN(B50))*$S$410*(1)+(LN(B50))*$T$410*(LN(B50))+2*((1)*INDEX($S$416:$V$427,MONTH(A50),1)+(LN(B50))*INDEX($S$416:$V$427,MONTH(A50),2))+INDEX($W$416:$W$427,MONTH(A50)))))</x:f>
      </x:c>
      <x:c r="I50" s="3"/>
      <x:c r="J50" s="10" t="n">
        <x:v>45901</x:v>
      </x:c>
      <x:c r="K50" s="8" t="n">
        <x:f>INDEX('Сводка'!$S$3:$S$397,U50)</x:f>
        <x:v>238</x:v>
      </x:c>
      <x:c r="L50" s="8" t="n">
        <x:f>INDEX('Сводка'!$S$3:$S$397,V50)</x:f>
        <x:v>238</x:v>
      </x:c>
      <x:c r="M50" s="8" t="n">
        <x:f>INDEX($K$388:$N$400,W50,1)+INDEX($K$388:$N$400,W50,2)*LN(((J50-$T$405+1)/1000))+INDEX($O$388:$Z$400,W50,MONTH(J50))</x:f>
        <x:v>288.1116866551543</x:v>
      </x:c>
      <x:c r="N50" s="8" t="n">
        <x:f>K50-M50</x:f>
        <x:v>-50.1116866551543</x:v>
      </x:c>
      <x:c r="O50" s="8" t="n">
        <x:f>ABS(N50)</x:f>
        <x:v>50.1116866551543</x:v>
      </x:c>
      <x:c r="P50" s="8" t="n">
        <x:f>N50^2</x:f>
        <x:v>2511.1811394243696</x:v>
      </x:c>
      <x:c r="Q50" s="8" t="n">
        <x:f>K50-L50</x:f>
        <x:v>0</x:v>
      </x:c>
      <x:c r="R50" s="9" t="n">
        <x:f>IF(AND(INDEX('Сводка'!$T$3:$T$397,U50)=0,INDEX('Сводка'!$T$3:$T$397,V50)=0),1,0)</x:f>
        <x:v>1</x:v>
      </x:c>
      <x:c r="S50" s="9" t="n">
        <x:f>IF(AND(R50=1,O50&lt;=$G$13),1,0)</x:f>
        <x:v>0</x:v>
      </x:c>
      <x:c r="T50" s="10" t="n">
        <x:f>EOMONTH(J50-'Сводка'!$B$11,-1)</x:f>
        <x:v>45869</x:v>
      </x:c>
      <x:c r="U50" s="4" t="n">
        <x:f>MATCH(J50,'Сводка'!$R$3:$R$397,0)</x:f>
        <x:v>61</x:v>
      </x:c>
      <x:c r="V50" s="4" t="n">
        <x:f>MATCH(J50-'Сводка'!$B$11,'Сводка'!$R$3:$R$397,0)</x:f>
        <x:v>60</x:v>
      </x:c>
      <x:c r="W50" s="4" t="n">
        <x:f>MATCH(T50,$J$388:$J$400,0)</x:f>
        <x:v>2</x:v>
      </x:c>
      <x:c r="X50" s="3"/>
      <x:c r="Y50" s="3"/>
      <x:c r="Z50" s="3"/>
    </x:row>
    <x:row r="51" ht="15" customHeight="1">
      <x:c r="A51" s="7" t="str">
        <x:f>IF(33&lt;='Сводка'!$B$3,'Сводка'!$B$4+33,"")</x:f>
      </x:c>
      <x:c r="B51" s="20" t="str">
        <x:f>IF($A51="","",(A51-$T$405+1)/1000)</x:f>
      </x:c>
      <x:c r="C51" s="20" t="str">
        <x:f>IF($A51="","",2*(A51-$T$405)/$T$406-1)</x:f>
      </x:c>
      <x:c r="D51" s="3" t="str">
        <x:f>IF($A51="","",$B$4+$B$5*LN(B51)+INDEX($E$4:$E$15,MONTH(A51)))</x:f>
      </x:c>
      <x:c r="E51" s="3" t="str">
        <x:f>IF($A51="","",SQRT($T$403^2+H51^2))</x:f>
      </x:c>
      <x:c r="F51" s="3" t="str">
        <x:f>IF($A51="","",D51-$T$404*E51)</x:f>
      </x:c>
      <x:c r="G51" s="3" t="str">
        <x:f>IF($A51="","",D51+$T$404*E51)</x:f>
      </x:c>
      <x:c r="H51" s="3" t="str">
        <x:f>IF($A51="","",SQRT(MAX(0,(1)*$S$409*(1)+(1)*$T$409*(LN(B51))+(LN(B51))*$S$410*(1)+(LN(B51))*$T$410*(LN(B51))+2*((1)*INDEX($S$416:$V$427,MONTH(A51),1)+(LN(B51))*INDEX($S$416:$V$427,MONTH(A51),2))+INDEX($W$416:$W$427,MONTH(A51)))))</x:f>
      </x:c>
      <x:c r="I51" s="3"/>
      <x:c r="J51" s="10" t="n">
        <x:v>45902</x:v>
      </x:c>
      <x:c r="K51" s="8" t="n">
        <x:f>INDEX('Сводка'!$S$3:$S$397,U51)</x:f>
        <x:v>233</x:v>
      </x:c>
      <x:c r="L51" s="8" t="n">
        <x:f>INDEX('Сводка'!$S$3:$S$397,V51)</x:f>
        <x:v>238</x:v>
      </x:c>
      <x:c r="M51" s="8" t="n">
        <x:f>INDEX($K$388:$N$400,W51,1)+INDEX($K$388:$N$400,W51,2)*LN(((J51-$T$405+1)/1000))+INDEX($O$388:$Z$400,W51,MONTH(J51))</x:f>
        <x:v>287.90730049454476</x:v>
      </x:c>
      <x:c r="N51" s="8" t="n">
        <x:f>K51-M51</x:f>
        <x:v>-54.90730049454476</x:v>
      </x:c>
      <x:c r="O51" s="8" t="n">
        <x:f>ABS(N51)</x:f>
        <x:v>54.90730049454476</x:v>
      </x:c>
      <x:c r="P51" s="8" t="n">
        <x:f>N51^2</x:f>
        <x:v>3014.8116475982347</x:v>
      </x:c>
      <x:c r="Q51" s="8" t="n">
        <x:f>K51-L51</x:f>
        <x:v>-5</x:v>
      </x:c>
      <x:c r="R51" s="9" t="n">
        <x:f>IF(AND(INDEX('Сводка'!$T$3:$T$397,U51)=0,INDEX('Сводка'!$T$3:$T$397,V51)=0),1,0)</x:f>
        <x:v>1</x:v>
      </x:c>
      <x:c r="S51" s="9" t="n">
        <x:f>IF(AND(R51=1,O51&lt;=$G$13),1,0)</x:f>
        <x:v>0</x:v>
      </x:c>
      <x:c r="T51" s="10" t="n">
        <x:f>EOMONTH(J51-'Сводка'!$B$11,-1)</x:f>
        <x:v>45900</x:v>
      </x:c>
      <x:c r="U51" s="4" t="n">
        <x:f>MATCH(J51,'Сводка'!$R$3:$R$397,0)</x:f>
        <x:v>62</x:v>
      </x:c>
      <x:c r="V51" s="4" t="n">
        <x:f>MATCH(J51-'Сводка'!$B$11,'Сводка'!$R$3:$R$397,0)</x:f>
        <x:v>61</x:v>
      </x:c>
      <x:c r="W51" s="4" t="n">
        <x:f>MATCH(T51,$J$388:$J$400,0)</x:f>
        <x:v>3</x:v>
      </x:c>
      <x:c r="X51" s="3"/>
      <x:c r="Y51" s="3"/>
      <x:c r="Z51" s="3"/>
    </x:row>
    <x:row r="52" ht="15" customHeight="1">
      <x:c r="A52" s="7" t="str">
        <x:f>IF(34&lt;='Сводка'!$B$3,'Сводка'!$B$4+34,"")</x:f>
      </x:c>
      <x:c r="B52" s="20" t="str">
        <x:f>IF($A52="","",(A52-$T$405+1)/1000)</x:f>
      </x:c>
      <x:c r="C52" s="20" t="str">
        <x:f>IF($A52="","",2*(A52-$T$405)/$T$406-1)</x:f>
      </x:c>
      <x:c r="D52" s="3" t="str">
        <x:f>IF($A52="","",$B$4+$B$5*LN(B52)+INDEX($E$4:$E$15,MONTH(A52)))</x:f>
      </x:c>
      <x:c r="E52" s="3" t="str">
        <x:f>IF($A52="","",SQRT($T$403^2+H52^2))</x:f>
      </x:c>
      <x:c r="F52" s="3" t="str">
        <x:f>IF($A52="","",D52-$T$404*E52)</x:f>
      </x:c>
      <x:c r="G52" s="3" t="str">
        <x:f>IF($A52="","",D52+$T$404*E52)</x:f>
      </x:c>
      <x:c r="H52" s="3" t="str">
        <x:f>IF($A52="","",SQRT(MAX(0,(1)*$S$409*(1)+(1)*$T$409*(LN(B52))+(LN(B52))*$S$410*(1)+(LN(B52))*$T$410*(LN(B52))+2*((1)*INDEX($S$416:$V$427,MONTH(A52),1)+(LN(B52))*INDEX($S$416:$V$427,MONTH(A52),2))+INDEX($W$416:$W$427,MONTH(A52)))))</x:f>
      </x:c>
      <x:c r="I52" s="3"/>
      <x:c r="J52" s="10" t="n">
        <x:v>45903</x:v>
      </x:c>
      <x:c r="K52" s="8" t="n">
        <x:f>INDEX('Сводка'!$S$3:$S$397,U52)</x:f>
        <x:v>228</x:v>
      </x:c>
      <x:c r="L52" s="8" t="n">
        <x:f>INDEX('Сводка'!$S$3:$S$397,V52)</x:f>
        <x:v>233</x:v>
      </x:c>
      <x:c r="M52" s="8" t="n">
        <x:f>INDEX($K$388:$N$400,W52,1)+INDEX($K$388:$N$400,W52,2)*LN(((J52-$T$405+1)/1000))+INDEX($O$388:$Z$400,W52,MONTH(J52))</x:f>
        <x:v>287.91326494192964</x:v>
      </x:c>
      <x:c r="N52" s="8" t="n">
        <x:f>K52-M52</x:f>
        <x:v>-59.91326494192964</x:v>
      </x:c>
      <x:c r="O52" s="8" t="n">
        <x:f>ABS(N52)</x:f>
        <x:v>59.91326494192964</x:v>
      </x:c>
      <x:c r="P52" s="8" t="n">
        <x:f>N52^2</x:f>
        <x:v>3589.599316001855</x:v>
      </x:c>
      <x:c r="Q52" s="8" t="n">
        <x:f>K52-L52</x:f>
        <x:v>-5</x:v>
      </x:c>
      <x:c r="R52" s="9" t="n">
        <x:f>IF(AND(INDEX('Сводка'!$T$3:$T$397,U52)=0,INDEX('Сводка'!$T$3:$T$397,V52)=0),1,0)</x:f>
        <x:v>1</x:v>
      </x:c>
      <x:c r="S52" s="9" t="n">
        <x:f>IF(AND(R52=1,O52&lt;=$G$13),1,0)</x:f>
        <x:v>0</x:v>
      </x:c>
      <x:c r="T52" s="10" t="n">
        <x:f>EOMONTH(J52-'Сводка'!$B$11,-1)</x:f>
        <x:v>45900</x:v>
      </x:c>
      <x:c r="U52" s="4" t="n">
        <x:f>MATCH(J52,'Сводка'!$R$3:$R$397,0)</x:f>
        <x:v>63</x:v>
      </x:c>
      <x:c r="V52" s="4" t="n">
        <x:f>MATCH(J52-'Сводка'!$B$11,'Сводка'!$R$3:$R$397,0)</x:f>
        <x:v>62</x:v>
      </x:c>
      <x:c r="W52" s="4" t="n">
        <x:f>MATCH(T52,$J$388:$J$400,0)</x:f>
        <x:v>3</x:v>
      </x:c>
      <x:c r="X52" s="3"/>
      <x:c r="Y52" s="3"/>
      <x:c r="Z52" s="3"/>
    </x:row>
    <x:row r="53" ht="15" customHeight="1">
      <x:c r="A53" s="7" t="str">
        <x:f>IF(35&lt;='Сводка'!$B$3,'Сводка'!$B$4+35,"")</x:f>
      </x:c>
      <x:c r="B53" s="20" t="str">
        <x:f>IF($A53="","",(A53-$T$405+1)/1000)</x:f>
      </x:c>
      <x:c r="C53" s="20" t="str">
        <x:f>IF($A53="","",2*(A53-$T$405)/$T$406-1)</x:f>
      </x:c>
      <x:c r="D53" s="3" t="str">
        <x:f>IF($A53="","",$B$4+$B$5*LN(B53)+INDEX($E$4:$E$15,MONTH(A53)))</x:f>
      </x:c>
      <x:c r="E53" s="3" t="str">
        <x:f>IF($A53="","",SQRT($T$403^2+H53^2))</x:f>
      </x:c>
      <x:c r="F53" s="3" t="str">
        <x:f>IF($A53="","",D53-$T$404*E53)</x:f>
      </x:c>
      <x:c r="G53" s="3" t="str">
        <x:f>IF($A53="","",D53+$T$404*E53)</x:f>
      </x:c>
      <x:c r="H53" s="3" t="str">
        <x:f>IF($A53="","",SQRT(MAX(0,(1)*$S$409*(1)+(1)*$T$409*(LN(B53))+(LN(B53))*$S$410*(1)+(LN(B53))*$T$410*(LN(B53))+2*((1)*INDEX($S$416:$V$427,MONTH(A53),1)+(LN(B53))*INDEX($S$416:$V$427,MONTH(A53),2))+INDEX($W$416:$W$427,MONTH(A53)))))</x:f>
      </x:c>
      <x:c r="I53" s="3"/>
      <x:c r="J53" s="10" t="n">
        <x:v>45904</x:v>
      </x:c>
      <x:c r="K53" s="8" t="n">
        <x:f>INDEX('Сводка'!$S$3:$S$397,U53)</x:f>
        <x:v>226</x:v>
      </x:c>
      <x:c r="L53" s="8" t="n">
        <x:f>INDEX('Сводка'!$S$3:$S$397,V53)</x:f>
        <x:v>228</x:v>
      </x:c>
      <x:c r="M53" s="8" t="n">
        <x:f>INDEX($K$388:$N$400,W53,1)+INDEX($K$388:$N$400,W53,2)*LN(((J53-$T$405+1)/1000))+INDEX($O$388:$Z$400,W53,MONTH(J53))</x:f>
        <x:v>287.91922869958364</x:v>
      </x:c>
      <x:c r="N53" s="8" t="n">
        <x:f>K53-M53</x:f>
        <x:v>-61.91922869958364</x:v>
      </x:c>
      <x:c r="O53" s="8" t="n">
        <x:f>ABS(N53)</x:f>
        <x:v>61.91922869958364</x:v>
      </x:c>
      <x:c r="P53" s="8" t="n">
        <x:f>N53^2</x:f>
        <x:v>3833.9908827513423</x:v>
      </x:c>
      <x:c r="Q53" s="8" t="n">
        <x:f>K53-L53</x:f>
        <x:v>-2</x:v>
      </x:c>
      <x:c r="R53" s="9" t="n">
        <x:f>IF(AND(INDEX('Сводка'!$T$3:$T$397,U53)=0,INDEX('Сводка'!$T$3:$T$397,V53)=0),1,0)</x:f>
        <x:v>1</x:v>
      </x:c>
      <x:c r="S53" s="9" t="n">
        <x:f>IF(AND(R53=1,O53&lt;=$G$13),1,0)</x:f>
        <x:v>0</x:v>
      </x:c>
      <x:c r="T53" s="10" t="n">
        <x:f>EOMONTH(J53-'Сводка'!$B$11,-1)</x:f>
        <x:v>45900</x:v>
      </x:c>
      <x:c r="U53" s="4" t="n">
        <x:f>MATCH(J53,'Сводка'!$R$3:$R$397,0)</x:f>
        <x:v>64</x:v>
      </x:c>
      <x:c r="V53" s="4" t="n">
        <x:f>MATCH(J53-'Сводка'!$B$11,'Сводка'!$R$3:$R$397,0)</x:f>
        <x:v>63</x:v>
      </x:c>
      <x:c r="W53" s="4" t="n">
        <x:f>MATCH(T53,$J$388:$J$400,0)</x:f>
        <x:v>3</x:v>
      </x:c>
      <x:c r="X53" s="3"/>
      <x:c r="Y53" s="3"/>
      <x:c r="Z53" s="3"/>
    </x:row>
    <x:row r="54" ht="15" customHeight="1">
      <x:c r="A54" s="7" t="str">
        <x:f>IF(36&lt;='Сводка'!$B$3,'Сводка'!$B$4+36,"")</x:f>
      </x:c>
      <x:c r="B54" s="20" t="str">
        <x:f>IF($A54="","",(A54-$T$405+1)/1000)</x:f>
      </x:c>
      <x:c r="C54" s="20" t="str">
        <x:f>IF($A54="","",2*(A54-$T$405)/$T$406-1)</x:f>
      </x:c>
      <x:c r="D54" s="3" t="str">
        <x:f>IF($A54="","",$B$4+$B$5*LN(B54)+INDEX($E$4:$E$15,MONTH(A54)))</x:f>
      </x:c>
      <x:c r="E54" s="3" t="str">
        <x:f>IF($A54="","",SQRT($T$403^2+H54^2))</x:f>
      </x:c>
      <x:c r="F54" s="3" t="str">
        <x:f>IF($A54="","",D54-$T$404*E54)</x:f>
      </x:c>
      <x:c r="G54" s="3" t="str">
        <x:f>IF($A54="","",D54+$T$404*E54)</x:f>
      </x:c>
      <x:c r="H54" s="3" t="str">
        <x:f>IF($A54="","",SQRT(MAX(0,(1)*$S$409*(1)+(1)*$T$409*(LN(B54))+(LN(B54))*$S$410*(1)+(LN(B54))*$T$410*(LN(B54))+2*((1)*INDEX($S$416:$V$427,MONTH(A54),1)+(LN(B54))*INDEX($S$416:$V$427,MONTH(A54),2))+INDEX($W$416:$W$427,MONTH(A54)))))</x:f>
      </x:c>
      <x:c r="I54" s="3"/>
      <x:c r="J54" s="10" t="n">
        <x:v>45905</x:v>
      </x:c>
      <x:c r="K54" s="8" t="n">
        <x:f>INDEX('Сводка'!$S$3:$S$397,U54)</x:f>
        <x:v>226</x:v>
      </x:c>
      <x:c r="L54" s="8" t="n">
        <x:f>INDEX('Сводка'!$S$3:$S$397,V54)</x:f>
        <x:v>226</x:v>
      </x:c>
      <x:c r="M54" s="8" t="n">
        <x:f>INDEX($K$388:$N$400,W54,1)+INDEX($K$388:$N$400,W54,2)*LN(((J54-$T$405+1)/1000))+INDEX($O$388:$Z$400,W54,MONTH(J54))</x:f>
        <x:v>287.9251917676663</x:v>
      </x:c>
      <x:c r="N54" s="8" t="n">
        <x:f>K54-M54</x:f>
        <x:v>-61.92519176766632</x:v>
      </x:c>
      <x:c r="O54" s="8" t="n">
        <x:f>ABS(N54)</x:f>
        <x:v>61.92519176766632</x:v>
      </x:c>
      <x:c r="P54" s="8" t="n">
        <x:f>N54^2</x:f>
        <x:v>3834.7293754622488</x:v>
      </x:c>
      <x:c r="Q54" s="8" t="n">
        <x:f>K54-L54</x:f>
        <x:v>0</x:v>
      </x:c>
      <x:c r="R54" s="9" t="n">
        <x:f>IF(AND(INDEX('Сводка'!$T$3:$T$397,U54)=0,INDEX('Сводка'!$T$3:$T$397,V54)=0),1,0)</x:f>
        <x:v>1</x:v>
      </x:c>
      <x:c r="S54" s="9" t="n">
        <x:f>IF(AND(R54=1,O54&lt;=$G$13),1,0)</x:f>
        <x:v>0</x:v>
      </x:c>
      <x:c r="T54" s="10" t="n">
        <x:f>EOMONTH(J54-'Сводка'!$B$11,-1)</x:f>
        <x:v>45900</x:v>
      </x:c>
      <x:c r="U54" s="4" t="n">
        <x:f>MATCH(J54,'Сводка'!$R$3:$R$397,0)</x:f>
        <x:v>65</x:v>
      </x:c>
      <x:c r="V54" s="4" t="n">
        <x:f>MATCH(J54-'Сводка'!$B$11,'Сводка'!$R$3:$R$397,0)</x:f>
        <x:v>64</x:v>
      </x:c>
      <x:c r="W54" s="4" t="n">
        <x:f>MATCH(T54,$J$388:$J$400,0)</x:f>
        <x:v>3</x:v>
      </x:c>
      <x:c r="X54" s="3"/>
      <x:c r="Y54" s="3"/>
      <x:c r="Z54" s="3"/>
    </x:row>
    <x:row r="55" ht="15" customHeight="1">
      <x:c r="A55" s="7" t="str">
        <x:f>IF(37&lt;='Сводка'!$B$3,'Сводка'!$B$4+37,"")</x:f>
      </x:c>
      <x:c r="B55" s="20" t="str">
        <x:f>IF($A55="","",(A55-$T$405+1)/1000)</x:f>
      </x:c>
      <x:c r="C55" s="20" t="str">
        <x:f>IF($A55="","",2*(A55-$T$405)/$T$406-1)</x:f>
      </x:c>
      <x:c r="D55" s="3" t="str">
        <x:f>IF($A55="","",$B$4+$B$5*LN(B55)+INDEX($E$4:$E$15,MONTH(A55)))</x:f>
      </x:c>
      <x:c r="E55" s="3" t="str">
        <x:f>IF($A55="","",SQRT($T$403^2+H55^2))</x:f>
      </x:c>
      <x:c r="F55" s="3" t="str">
        <x:f>IF($A55="","",D55-$T$404*E55)</x:f>
      </x:c>
      <x:c r="G55" s="3" t="str">
        <x:f>IF($A55="","",D55+$T$404*E55)</x:f>
      </x:c>
      <x:c r="H55" s="3" t="str">
        <x:f>IF($A55="","",SQRT(MAX(0,(1)*$S$409*(1)+(1)*$T$409*(LN(B55))+(LN(B55))*$S$410*(1)+(LN(B55))*$T$410*(LN(B55))+2*((1)*INDEX($S$416:$V$427,MONTH(A55),1)+(LN(B55))*INDEX($S$416:$V$427,MONTH(A55),2))+INDEX($W$416:$W$427,MONTH(A55)))))</x:f>
      </x:c>
      <x:c r="I55" s="3"/>
      <x:c r="J55" s="10" t="n">
        <x:v>45906</x:v>
      </x:c>
      <x:c r="K55" s="8" t="n">
        <x:f>INDEX('Сводка'!$S$3:$S$397,U55)</x:f>
        <x:v>226</x:v>
      </x:c>
      <x:c r="L55" s="8" t="n">
        <x:f>INDEX('Сводка'!$S$3:$S$397,V55)</x:f>
        <x:v>226</x:v>
      </x:c>
      <x:c r="M55" s="8" t="n">
        <x:f>INDEX($K$388:$N$400,W55,1)+INDEX($K$388:$N$400,W55,2)*LN(((J55-$T$405+1)/1000))+INDEX($O$388:$Z$400,W55,MONTH(J55))</x:f>
        <x:v>287.9311541463372</x:v>
      </x:c>
      <x:c r="N55" s="8" t="n">
        <x:f>K55-M55</x:f>
        <x:v>-61.93115414633718</x:v>
      </x:c>
      <x:c r="O55" s="8" t="n">
        <x:f>ABS(N55)</x:f>
        <x:v>61.93115414633718</x:v>
      </x:c>
      <x:c r="P55" s="8" t="n">
        <x:f>N55^2</x:f>
        <x:v>3835.4678538973767</x:v>
      </x:c>
      <x:c r="Q55" s="8" t="n">
        <x:f>K55-L55</x:f>
        <x:v>0</x:v>
      </x:c>
      <x:c r="R55" s="9" t="n">
        <x:f>IF(AND(INDEX('Сводка'!$T$3:$T$397,U55)=0,INDEX('Сводка'!$T$3:$T$397,V55)=0),1,0)</x:f>
        <x:v>1</x:v>
      </x:c>
      <x:c r="S55" s="9" t="n">
        <x:f>IF(AND(R55=1,O55&lt;=$G$13),1,0)</x:f>
        <x:v>0</x:v>
      </x:c>
      <x:c r="T55" s="10" t="n">
        <x:f>EOMONTH(J55-'Сводка'!$B$11,-1)</x:f>
        <x:v>45900</x:v>
      </x:c>
      <x:c r="U55" s="4" t="n">
        <x:f>MATCH(J55,'Сводка'!$R$3:$R$397,0)</x:f>
        <x:v>66</x:v>
      </x:c>
      <x:c r="V55" s="4" t="n">
        <x:f>MATCH(J55-'Сводка'!$B$11,'Сводка'!$R$3:$R$397,0)</x:f>
        <x:v>65</x:v>
      </x:c>
      <x:c r="W55" s="4" t="n">
        <x:f>MATCH(T55,$J$388:$J$400,0)</x:f>
        <x:v>3</x:v>
      </x:c>
      <x:c r="X55" s="3"/>
      <x:c r="Y55" s="3"/>
      <x:c r="Z55" s="3"/>
    </x:row>
    <x:row r="56" ht="15" customHeight="1">
      <x:c r="A56" s="7" t="str">
        <x:f>IF(38&lt;='Сводка'!$B$3,'Сводка'!$B$4+38,"")</x:f>
      </x:c>
      <x:c r="B56" s="20" t="str">
        <x:f>IF($A56="","",(A56-$T$405+1)/1000)</x:f>
      </x:c>
      <x:c r="C56" s="20" t="str">
        <x:f>IF($A56="","",2*(A56-$T$405)/$T$406-1)</x:f>
      </x:c>
      <x:c r="D56" s="3" t="str">
        <x:f>IF($A56="","",$B$4+$B$5*LN(B56)+INDEX($E$4:$E$15,MONTH(A56)))</x:f>
      </x:c>
      <x:c r="E56" s="3" t="str">
        <x:f>IF($A56="","",SQRT($T$403^2+H56^2))</x:f>
      </x:c>
      <x:c r="F56" s="3" t="str">
        <x:f>IF($A56="","",D56-$T$404*E56)</x:f>
      </x:c>
      <x:c r="G56" s="3" t="str">
        <x:f>IF($A56="","",D56+$T$404*E56)</x:f>
      </x:c>
      <x:c r="H56" s="3" t="str">
        <x:f>IF($A56="","",SQRT(MAX(0,(1)*$S$409*(1)+(1)*$T$409*(LN(B56))+(LN(B56))*$S$410*(1)+(LN(B56))*$T$410*(LN(B56))+2*((1)*INDEX($S$416:$V$427,MONTH(A56),1)+(LN(B56))*INDEX($S$416:$V$427,MONTH(A56),2))+INDEX($W$416:$W$427,MONTH(A56)))))</x:f>
      </x:c>
      <x:c r="I56" s="3"/>
      <x:c r="J56" s="10" t="n">
        <x:v>45907</x:v>
      </x:c>
      <x:c r="K56" s="8" t="n">
        <x:f>INDEX('Сводка'!$S$3:$S$397,U56)</x:f>
        <x:v>226</x:v>
      </x:c>
      <x:c r="L56" s="8" t="n">
        <x:f>INDEX('Сводка'!$S$3:$S$397,V56)</x:f>
        <x:v>226</x:v>
      </x:c>
      <x:c r="M56" s="8" t="n">
        <x:f>INDEX($K$388:$N$400,W56,1)+INDEX($K$388:$N$400,W56,2)*LN(((J56-$T$405+1)/1000))+INDEX($O$388:$Z$400,W56,MONTH(J56))</x:f>
        <x:v>287.9371158357555</x:v>
      </x:c>
      <x:c r="N56" s="8" t="n">
        <x:f>K56-M56</x:f>
        <x:v>-61.93711583575549</x:v>
      </x:c>
      <x:c r="O56" s="8" t="n">
        <x:f>ABS(N56)</x:f>
        <x:v>61.93711583575549</x:v>
      </x:c>
      <x:c r="P56" s="8" t="n">
        <x:f>N56^2</x:f>
        <x:v>3836.206318051794</x:v>
      </x:c>
      <x:c r="Q56" s="8" t="n">
        <x:f>K56-L56</x:f>
        <x:v>0</x:v>
      </x:c>
      <x:c r="R56" s="9" t="n">
        <x:f>IF(AND(INDEX('Сводка'!$T$3:$T$397,U56)=0,INDEX('Сводка'!$T$3:$T$397,V56)=0),1,0)</x:f>
        <x:v>1</x:v>
      </x:c>
      <x:c r="S56" s="9" t="n">
        <x:f>IF(AND(R56=1,O56&lt;=$G$13),1,0)</x:f>
        <x:v>0</x:v>
      </x:c>
      <x:c r="T56" s="10" t="n">
        <x:f>EOMONTH(J56-'Сводка'!$B$11,-1)</x:f>
        <x:v>45900</x:v>
      </x:c>
      <x:c r="U56" s="4" t="n">
        <x:f>MATCH(J56,'Сводка'!$R$3:$R$397,0)</x:f>
        <x:v>67</x:v>
      </x:c>
      <x:c r="V56" s="4" t="n">
        <x:f>MATCH(J56-'Сводка'!$B$11,'Сводка'!$R$3:$R$397,0)</x:f>
        <x:v>66</x:v>
      </x:c>
      <x:c r="W56" s="4" t="n">
        <x:f>MATCH(T56,$J$388:$J$400,0)</x:f>
        <x:v>3</x:v>
      </x:c>
      <x:c r="X56" s="3"/>
      <x:c r="Y56" s="3"/>
      <x:c r="Z56" s="3"/>
    </x:row>
    <x:row r="57" ht="15" customHeight="1">
      <x:c r="A57" s="7" t="str">
        <x:f>IF(39&lt;='Сводка'!$B$3,'Сводка'!$B$4+39,"")</x:f>
      </x:c>
      <x:c r="B57" s="20" t="str">
        <x:f>IF($A57="","",(A57-$T$405+1)/1000)</x:f>
      </x:c>
      <x:c r="C57" s="20" t="str">
        <x:f>IF($A57="","",2*(A57-$T$405)/$T$406-1)</x:f>
      </x:c>
      <x:c r="D57" s="3" t="str">
        <x:f>IF($A57="","",$B$4+$B$5*LN(B57)+INDEX($E$4:$E$15,MONTH(A57)))</x:f>
      </x:c>
      <x:c r="E57" s="3" t="str">
        <x:f>IF($A57="","",SQRT($T$403^2+H57^2))</x:f>
      </x:c>
      <x:c r="F57" s="3" t="str">
        <x:f>IF($A57="","",D57-$T$404*E57)</x:f>
      </x:c>
      <x:c r="G57" s="3" t="str">
        <x:f>IF($A57="","",D57+$T$404*E57)</x:f>
      </x:c>
      <x:c r="H57" s="3" t="str">
        <x:f>IF($A57="","",SQRT(MAX(0,(1)*$S$409*(1)+(1)*$T$409*(LN(B57))+(LN(B57))*$S$410*(1)+(LN(B57))*$T$410*(LN(B57))+2*((1)*INDEX($S$416:$V$427,MONTH(A57),1)+(LN(B57))*INDEX($S$416:$V$427,MONTH(A57),2))+INDEX($W$416:$W$427,MONTH(A57)))))</x:f>
      </x:c>
      <x:c r="I57" s="3"/>
      <x:c r="J57" s="10" t="n">
        <x:v>45908</x:v>
      </x:c>
      <x:c r="K57" s="8" t="n">
        <x:f>INDEX('Сводка'!$S$3:$S$397,U57)</x:f>
        <x:v>222</x:v>
      </x:c>
      <x:c r="L57" s="8" t="n">
        <x:f>INDEX('Сводка'!$S$3:$S$397,V57)</x:f>
        <x:v>226</x:v>
      </x:c>
      <x:c r="M57" s="8" t="n">
        <x:f>INDEX($K$388:$N$400,W57,1)+INDEX($K$388:$N$400,W57,2)*LN(((J57-$T$405+1)/1000))+INDEX($O$388:$Z$400,W57,MONTH(J57))</x:f>
        <x:v>287.94307683608065</x:v>
      </x:c>
      <x:c r="N57" s="8" t="n">
        <x:f>K57-M57</x:f>
        <x:v>-65.94307683608065</x:v>
      </x:c>
      <x:c r="O57" s="8" t="n">
        <x:f>ABS(N57)</x:f>
        <x:v>65.94307683608065</x:v>
      </x:c>
      <x:c r="P57" s="8" t="n">
        <x:f>N57^2</x:f>
        <x:v>4348.489382609237</x:v>
      </x:c>
      <x:c r="Q57" s="8" t="n">
        <x:f>K57-L57</x:f>
        <x:v>-4</x:v>
      </x:c>
      <x:c r="R57" s="9" t="n">
        <x:f>IF(AND(INDEX('Сводка'!$T$3:$T$397,U57)=0,INDEX('Сводка'!$T$3:$T$397,V57)=0),1,0)</x:f>
        <x:v>1</x:v>
      </x:c>
      <x:c r="S57" s="9" t="n">
        <x:f>IF(AND(R57=1,O57&lt;=$G$13),1,0)</x:f>
        <x:v>0</x:v>
      </x:c>
      <x:c r="T57" s="10" t="n">
        <x:f>EOMONTH(J57-'Сводка'!$B$11,-1)</x:f>
        <x:v>45900</x:v>
      </x:c>
      <x:c r="U57" s="4" t="n">
        <x:f>MATCH(J57,'Сводка'!$R$3:$R$397,0)</x:f>
        <x:v>68</x:v>
      </x:c>
      <x:c r="V57" s="4" t="n">
        <x:f>MATCH(J57-'Сводка'!$B$11,'Сводка'!$R$3:$R$397,0)</x:f>
        <x:v>67</x:v>
      </x:c>
      <x:c r="W57" s="4" t="n">
        <x:f>MATCH(T57,$J$388:$J$400,0)</x:f>
        <x:v>3</x:v>
      </x:c>
      <x:c r="X57" s="3"/>
      <x:c r="Y57" s="3"/>
      <x:c r="Z57" s="3"/>
    </x:row>
    <x:row r="58" ht="15" customHeight="1">
      <x:c r="A58" s="7" t="str">
        <x:f>IF(40&lt;='Сводка'!$B$3,'Сводка'!$B$4+40,"")</x:f>
      </x:c>
      <x:c r="B58" s="20" t="str">
        <x:f>IF($A58="","",(A58-$T$405+1)/1000)</x:f>
      </x:c>
      <x:c r="C58" s="20" t="str">
        <x:f>IF($A58="","",2*(A58-$T$405)/$T$406-1)</x:f>
      </x:c>
      <x:c r="D58" s="3" t="str">
        <x:f>IF($A58="","",$B$4+$B$5*LN(B58)+INDEX($E$4:$E$15,MONTH(A58)))</x:f>
      </x:c>
      <x:c r="E58" s="3" t="str">
        <x:f>IF($A58="","",SQRT($T$403^2+H58^2))</x:f>
      </x:c>
      <x:c r="F58" s="3" t="str">
        <x:f>IF($A58="","",D58-$T$404*E58)</x:f>
      </x:c>
      <x:c r="G58" s="3" t="str">
        <x:f>IF($A58="","",D58+$T$404*E58)</x:f>
      </x:c>
      <x:c r="H58" s="3" t="str">
        <x:f>IF($A58="","",SQRT(MAX(0,(1)*$S$409*(1)+(1)*$T$409*(LN(B58))+(LN(B58))*$S$410*(1)+(LN(B58))*$T$410*(LN(B58))+2*((1)*INDEX($S$416:$V$427,MONTH(A58),1)+(LN(B58))*INDEX($S$416:$V$427,MONTH(A58),2))+INDEX($W$416:$W$427,MONTH(A58)))))</x:f>
      </x:c>
      <x:c r="I58" s="3"/>
      <x:c r="J58" s="10" t="n">
        <x:v>45909</x:v>
      </x:c>
      <x:c r="K58" s="8" t="n">
        <x:f>INDEX('Сводка'!$S$3:$S$397,U58)</x:f>
        <x:v>218</x:v>
      </x:c>
      <x:c r="L58" s="8" t="n">
        <x:f>INDEX('Сводка'!$S$3:$S$397,V58)</x:f>
        <x:v>222</x:v>
      </x:c>
      <x:c r="M58" s="8" t="n">
        <x:f>INDEX($K$388:$N$400,W58,1)+INDEX($K$388:$N$400,W58,2)*LN(((J58-$T$405+1)/1000))+INDEX($O$388:$Z$400,W58,MONTH(J58))</x:f>
        <x:v>287.949037147472</x:v>
      </x:c>
      <x:c r="N58" s="8" t="n">
        <x:f>K58-M58</x:f>
        <x:v>-69.94903714747198</x:v>
      </x:c>
      <x:c r="O58" s="8" t="n">
        <x:f>ABS(N58)</x:f>
        <x:v>69.94903714747198</x:v>
      </x:c>
      <x:c r="P58" s="8" t="n">
        <x:f>N58^2</x:f>
        <x:v>4892.8677978584155</x:v>
      </x:c>
      <x:c r="Q58" s="8" t="n">
        <x:f>K58-L58</x:f>
        <x:v>-4</x:v>
      </x:c>
      <x:c r="R58" s="9" t="n">
        <x:f>IF(AND(INDEX('Сводка'!$T$3:$T$397,U58)=0,INDEX('Сводка'!$T$3:$T$397,V58)=0),1,0)</x:f>
        <x:v>1</x:v>
      </x:c>
      <x:c r="S58" s="9" t="n">
        <x:f>IF(AND(R58=1,O58&lt;=$G$13),1,0)</x:f>
        <x:v>0</x:v>
      </x:c>
      <x:c r="T58" s="10" t="n">
        <x:f>EOMONTH(J58-'Сводка'!$B$11,-1)</x:f>
        <x:v>45900</x:v>
      </x:c>
      <x:c r="U58" s="4" t="n">
        <x:f>MATCH(J58,'Сводка'!$R$3:$R$397,0)</x:f>
        <x:v>69</x:v>
      </x:c>
      <x:c r="V58" s="4" t="n">
        <x:f>MATCH(J58-'Сводка'!$B$11,'Сводка'!$R$3:$R$397,0)</x:f>
        <x:v>68</x:v>
      </x:c>
      <x:c r="W58" s="4" t="n">
        <x:f>MATCH(T58,$J$388:$J$400,0)</x:f>
        <x:v>3</x:v>
      </x:c>
      <x:c r="X58" s="3"/>
      <x:c r="Y58" s="3"/>
      <x:c r="Z58" s="3"/>
    </x:row>
    <x:row r="59" ht="15" customHeight="1">
      <x:c r="A59" s="7" t="str">
        <x:f>IF(41&lt;='Сводка'!$B$3,'Сводка'!$B$4+41,"")</x:f>
      </x:c>
      <x:c r="B59" s="20" t="str">
        <x:f>IF($A59="","",(A59-$T$405+1)/1000)</x:f>
      </x:c>
      <x:c r="C59" s="20" t="str">
        <x:f>IF($A59="","",2*(A59-$T$405)/$T$406-1)</x:f>
      </x:c>
      <x:c r="D59" s="3" t="str">
        <x:f>IF($A59="","",$B$4+$B$5*LN(B59)+INDEX($E$4:$E$15,MONTH(A59)))</x:f>
      </x:c>
      <x:c r="E59" s="3" t="str">
        <x:f>IF($A59="","",SQRT($T$403^2+H59^2))</x:f>
      </x:c>
      <x:c r="F59" s="3" t="str">
        <x:f>IF($A59="","",D59-$T$404*E59)</x:f>
      </x:c>
      <x:c r="G59" s="3" t="str">
        <x:f>IF($A59="","",D59+$T$404*E59)</x:f>
      </x:c>
      <x:c r="H59" s="3" t="str">
        <x:f>IF($A59="","",SQRT(MAX(0,(1)*$S$409*(1)+(1)*$T$409*(LN(B59))+(LN(B59))*$S$410*(1)+(LN(B59))*$T$410*(LN(B59))+2*((1)*INDEX($S$416:$V$427,MONTH(A59),1)+(LN(B59))*INDEX($S$416:$V$427,MONTH(A59),2))+INDEX($W$416:$W$427,MONTH(A59)))))</x:f>
      </x:c>
      <x:c r="I59" s="3"/>
      <x:c r="J59" s="10" t="n">
        <x:v>45910</x:v>
      </x:c>
      <x:c r="K59" s="8" t="n">
        <x:f>INDEX('Сводка'!$S$3:$S$397,U59)</x:f>
        <x:v>209</x:v>
      </x:c>
      <x:c r="L59" s="8" t="n">
        <x:f>INDEX('Сводка'!$S$3:$S$397,V59)</x:f>
        <x:v>218</x:v>
      </x:c>
      <x:c r="M59" s="8" t="n">
        <x:f>INDEX($K$388:$N$400,W59,1)+INDEX($K$388:$N$400,W59,2)*LN(((J59-$T$405+1)/1000))+INDEX($O$388:$Z$400,W59,MONTH(J59))</x:f>
        <x:v>287.9549967700886</x:v>
      </x:c>
      <x:c r="N59" s="8" t="n">
        <x:f>K59-M59</x:f>
        <x:v>-78.9549967700886</x:v>
      </x:c>
      <x:c r="O59" s="8" t="n">
        <x:f>ABS(N59)</x:f>
        <x:v>78.9549967700886</x:v>
      </x:c>
      <x:c r="P59" s="8" t="n">
        <x:f>N59^2</x:f>
        <x:v>6233.891514964701</x:v>
      </x:c>
      <x:c r="Q59" s="8" t="n">
        <x:f>K59-L59</x:f>
        <x:v>-9</x:v>
      </x:c>
      <x:c r="R59" s="9" t="n">
        <x:f>IF(AND(INDEX('Сводка'!$T$3:$T$397,U59)=0,INDEX('Сводка'!$T$3:$T$397,V59)=0),1,0)</x:f>
        <x:v>1</x:v>
      </x:c>
      <x:c r="S59" s="9" t="n">
        <x:f>IF(AND(R59=1,O59&lt;=$G$13),1,0)</x:f>
        <x:v>0</x:v>
      </x:c>
      <x:c r="T59" s="10" t="n">
        <x:f>EOMONTH(J59-'Сводка'!$B$11,-1)</x:f>
        <x:v>45900</x:v>
      </x:c>
      <x:c r="U59" s="4" t="n">
        <x:f>MATCH(J59,'Сводка'!$R$3:$R$397,0)</x:f>
        <x:v>70</x:v>
      </x:c>
      <x:c r="V59" s="4" t="n">
        <x:f>MATCH(J59-'Сводка'!$B$11,'Сводка'!$R$3:$R$397,0)</x:f>
        <x:v>69</x:v>
      </x:c>
      <x:c r="W59" s="4" t="n">
        <x:f>MATCH(T59,$J$388:$J$400,0)</x:f>
        <x:v>3</x:v>
      </x:c>
      <x:c r="X59" s="3"/>
      <x:c r="Y59" s="3"/>
      <x:c r="Z59" s="3"/>
    </x:row>
    <x:row r="60" ht="15" customHeight="1">
      <x:c r="A60" s="7" t="str">
        <x:f>IF(42&lt;='Сводка'!$B$3,'Сводка'!$B$4+42,"")</x:f>
      </x:c>
      <x:c r="B60" s="20" t="str">
        <x:f>IF($A60="","",(A60-$T$405+1)/1000)</x:f>
      </x:c>
      <x:c r="C60" s="20" t="str">
        <x:f>IF($A60="","",2*(A60-$T$405)/$T$406-1)</x:f>
      </x:c>
      <x:c r="D60" s="3" t="str">
        <x:f>IF($A60="","",$B$4+$B$5*LN(B60)+INDEX($E$4:$E$15,MONTH(A60)))</x:f>
      </x:c>
      <x:c r="E60" s="3" t="str">
        <x:f>IF($A60="","",SQRT($T$403^2+H60^2))</x:f>
      </x:c>
      <x:c r="F60" s="3" t="str">
        <x:f>IF($A60="","",D60-$T$404*E60)</x:f>
      </x:c>
      <x:c r="G60" s="3" t="str">
        <x:f>IF($A60="","",D60+$T$404*E60)</x:f>
      </x:c>
      <x:c r="H60" s="3" t="str">
        <x:f>IF($A60="","",SQRT(MAX(0,(1)*$S$409*(1)+(1)*$T$409*(LN(B60))+(LN(B60))*$S$410*(1)+(LN(B60))*$T$410*(LN(B60))+2*((1)*INDEX($S$416:$V$427,MONTH(A60),1)+(LN(B60))*INDEX($S$416:$V$427,MONTH(A60),2))+INDEX($W$416:$W$427,MONTH(A60)))))</x:f>
      </x:c>
      <x:c r="I60" s="3"/>
      <x:c r="J60" s="10" t="n">
        <x:v>45911</x:v>
      </x:c>
      <x:c r="K60" s="8" t="n">
        <x:f>INDEX('Сводка'!$S$3:$S$397,U60)</x:f>
        <x:v>207</x:v>
      </x:c>
      <x:c r="L60" s="8" t="n">
        <x:f>INDEX('Сводка'!$S$3:$S$397,V60)</x:f>
        <x:v>209</x:v>
      </x:c>
      <x:c r="M60" s="8" t="n">
        <x:f>INDEX($K$388:$N$400,W60,1)+INDEX($K$388:$N$400,W60,2)*LN(((J60-$T$405+1)/1000))+INDEX($O$388:$Z$400,W60,MONTH(J60))</x:f>
        <x:v>287.96095570408977</x:v>
      </x:c>
      <x:c r="N60" s="8" t="n">
        <x:f>K60-M60</x:f>
        <x:v>-80.96095570408977</x:v>
      </x:c>
      <x:c r="O60" s="8" t="n">
        <x:f>ABS(N60)</x:f>
        <x:v>80.96095570408977</x:v>
      </x:c>
      <x:c r="P60" s="8" t="n">
        <x:f>N60^2</x:f>
        <x:v>6554.676348519586</x:v>
      </x:c>
      <x:c r="Q60" s="8" t="n">
        <x:f>K60-L60</x:f>
        <x:v>-2</x:v>
      </x:c>
      <x:c r="R60" s="9" t="n">
        <x:f>IF(AND(INDEX('Сводка'!$T$3:$T$397,U60)=0,INDEX('Сводка'!$T$3:$T$397,V60)=0),1,0)</x:f>
        <x:v>1</x:v>
      </x:c>
      <x:c r="S60" s="9" t="n">
        <x:f>IF(AND(R60=1,O60&lt;=$G$13),1,0)</x:f>
        <x:v>0</x:v>
      </x:c>
      <x:c r="T60" s="10" t="n">
        <x:f>EOMONTH(J60-'Сводка'!$B$11,-1)</x:f>
        <x:v>45900</x:v>
      </x:c>
      <x:c r="U60" s="4" t="n">
        <x:f>MATCH(J60,'Сводка'!$R$3:$R$397,0)</x:f>
        <x:v>71</x:v>
      </x:c>
      <x:c r="V60" s="4" t="n">
        <x:f>MATCH(J60-'Сводка'!$B$11,'Сводка'!$R$3:$R$397,0)</x:f>
        <x:v>70</x:v>
      </x:c>
      <x:c r="W60" s="4" t="n">
        <x:f>MATCH(T60,$J$388:$J$400,0)</x:f>
        <x:v>3</x:v>
      </x:c>
      <x:c r="X60" s="3"/>
      <x:c r="Y60" s="3"/>
      <x:c r="Z60" s="3"/>
    </x:row>
    <x:row r="61" ht="15" customHeight="1">
      <x:c r="A61" s="7" t="str">
        <x:f>IF(43&lt;='Сводка'!$B$3,'Сводка'!$B$4+43,"")</x:f>
      </x:c>
      <x:c r="B61" s="20" t="str">
        <x:f>IF($A61="","",(A61-$T$405+1)/1000)</x:f>
      </x:c>
      <x:c r="C61" s="20" t="str">
        <x:f>IF($A61="","",2*(A61-$T$405)/$T$406-1)</x:f>
      </x:c>
      <x:c r="D61" s="3" t="str">
        <x:f>IF($A61="","",$B$4+$B$5*LN(B61)+INDEX($E$4:$E$15,MONTH(A61)))</x:f>
      </x:c>
      <x:c r="E61" s="3" t="str">
        <x:f>IF($A61="","",SQRT($T$403^2+H61^2))</x:f>
      </x:c>
      <x:c r="F61" s="3" t="str">
        <x:f>IF($A61="","",D61-$T$404*E61)</x:f>
      </x:c>
      <x:c r="G61" s="3" t="str">
        <x:f>IF($A61="","",D61+$T$404*E61)</x:f>
      </x:c>
      <x:c r="H61" s="3" t="str">
        <x:f>IF($A61="","",SQRT(MAX(0,(1)*$S$409*(1)+(1)*$T$409*(LN(B61))+(LN(B61))*$S$410*(1)+(LN(B61))*$T$410*(LN(B61))+2*((1)*INDEX($S$416:$V$427,MONTH(A61),1)+(LN(B61))*INDEX($S$416:$V$427,MONTH(A61),2))+INDEX($W$416:$W$427,MONTH(A61)))))</x:f>
      </x:c>
      <x:c r="I61" s="3"/>
      <x:c r="J61" s="10" t="n">
        <x:v>45912</x:v>
      </x:c>
      <x:c r="K61" s="8" t="n">
        <x:f>INDEX('Сводка'!$S$3:$S$397,U61)</x:f>
        <x:v>204</x:v>
      </x:c>
      <x:c r="L61" s="8" t="n">
        <x:f>INDEX('Сводка'!$S$3:$S$397,V61)</x:f>
        <x:v>207</x:v>
      </x:c>
      <x:c r="M61" s="8" t="n">
        <x:f>INDEX($K$388:$N$400,W61,1)+INDEX($K$388:$N$400,W61,2)*LN(((J61-$T$405+1)/1000))+INDEX($O$388:$Z$400,W61,MONTH(J61))</x:f>
        <x:v>287.9669139496346</x:v>
      </x:c>
      <x:c r="N61" s="8" t="n">
        <x:f>K61-M61</x:f>
        <x:v>-83.9669139496346</x:v>
      </x:c>
      <x:c r="O61" s="8" t="n">
        <x:f>ABS(N61)</x:f>
        <x:v>83.9669139496346</x:v>
      </x:c>
      <x:c r="P61" s="8" t="n">
        <x:f>N61^2</x:f>
        <x:v>7050.442638225342</x:v>
      </x:c>
      <x:c r="Q61" s="8" t="n">
        <x:f>K61-L61</x:f>
        <x:v>-3</x:v>
      </x:c>
      <x:c r="R61" s="9" t="n">
        <x:f>IF(AND(INDEX('Сводка'!$T$3:$T$397,U61)=0,INDEX('Сводка'!$T$3:$T$397,V61)=0),1,0)</x:f>
        <x:v>1</x:v>
      </x:c>
      <x:c r="S61" s="9" t="n">
        <x:f>IF(AND(R61=1,O61&lt;=$G$13),1,0)</x:f>
        <x:v>0</x:v>
      </x:c>
      <x:c r="T61" s="10" t="n">
        <x:f>EOMONTH(J61-'Сводка'!$B$11,-1)</x:f>
        <x:v>45900</x:v>
      </x:c>
      <x:c r="U61" s="4" t="n">
        <x:f>MATCH(J61,'Сводка'!$R$3:$R$397,0)</x:f>
        <x:v>72</x:v>
      </x:c>
      <x:c r="V61" s="4" t="n">
        <x:f>MATCH(J61-'Сводка'!$B$11,'Сводка'!$R$3:$R$397,0)</x:f>
        <x:v>71</x:v>
      </x:c>
      <x:c r="W61" s="4" t="n">
        <x:f>MATCH(T61,$J$388:$J$400,0)</x:f>
        <x:v>3</x:v>
      </x:c>
      <x:c r="X61" s="3"/>
      <x:c r="Y61" s="3"/>
      <x:c r="Z61" s="3"/>
    </x:row>
    <x:row r="62" ht="15" customHeight="1">
      <x:c r="A62" s="7" t="str">
        <x:f>IF(44&lt;='Сводка'!$B$3,'Сводка'!$B$4+44,"")</x:f>
      </x:c>
      <x:c r="B62" s="20" t="str">
        <x:f>IF($A62="","",(A62-$T$405+1)/1000)</x:f>
      </x:c>
      <x:c r="C62" s="20" t="str">
        <x:f>IF($A62="","",2*(A62-$T$405)/$T$406-1)</x:f>
      </x:c>
      <x:c r="D62" s="3" t="str">
        <x:f>IF($A62="","",$B$4+$B$5*LN(B62)+INDEX($E$4:$E$15,MONTH(A62)))</x:f>
      </x:c>
      <x:c r="E62" s="3" t="str">
        <x:f>IF($A62="","",SQRT($T$403^2+H62^2))</x:f>
      </x:c>
      <x:c r="F62" s="3" t="str">
        <x:f>IF($A62="","",D62-$T$404*E62)</x:f>
      </x:c>
      <x:c r="G62" s="3" t="str">
        <x:f>IF($A62="","",D62+$T$404*E62)</x:f>
      </x:c>
      <x:c r="H62" s="3" t="str">
        <x:f>IF($A62="","",SQRT(MAX(0,(1)*$S$409*(1)+(1)*$T$409*(LN(B62))+(LN(B62))*$S$410*(1)+(LN(B62))*$T$410*(LN(B62))+2*((1)*INDEX($S$416:$V$427,MONTH(A62),1)+(LN(B62))*INDEX($S$416:$V$427,MONTH(A62),2))+INDEX($W$416:$W$427,MONTH(A62)))))</x:f>
      </x:c>
      <x:c r="I62" s="3"/>
      <x:c r="J62" s="10" t="n">
        <x:v>45913</x:v>
      </x:c>
      <x:c r="K62" s="8" t="n">
        <x:f>INDEX('Сводка'!$S$3:$S$397,U62)</x:f>
        <x:v>201</x:v>
      </x:c>
      <x:c r="L62" s="8" t="n">
        <x:f>INDEX('Сводка'!$S$3:$S$397,V62)</x:f>
        <x:v>204</x:v>
      </x:c>
      <x:c r="M62" s="8" t="n">
        <x:f>INDEX($K$388:$N$400,W62,1)+INDEX($K$388:$N$400,W62,2)*LN(((J62-$T$405+1)/1000))+INDEX($O$388:$Z$400,W62,MONTH(J62))</x:f>
        <x:v>287.97287150688214</x:v>
      </x:c>
      <x:c r="N62" s="8" t="n">
        <x:f>K62-M62</x:f>
        <x:v>-86.97287150688214</x:v>
      </x:c>
      <x:c r="O62" s="8" t="n">
        <x:f>ABS(N62)</x:f>
        <x:v>86.97287150688214</x:v>
      </x:c>
      <x:c r="P62" s="8" t="n">
        <x:f>N62^2</x:f>
        <x:v>7564.280378152632</x:v>
      </x:c>
      <x:c r="Q62" s="8" t="n">
        <x:f>K62-L62</x:f>
        <x:v>-3</x:v>
      </x:c>
      <x:c r="R62" s="9" t="n">
        <x:f>IF(AND(INDEX('Сводка'!$T$3:$T$397,U62)=0,INDEX('Сводка'!$T$3:$T$397,V62)=0),1,0)</x:f>
        <x:v>1</x:v>
      </x:c>
      <x:c r="S62" s="9" t="n">
        <x:f>IF(AND(R62=1,O62&lt;=$G$13),1,0)</x:f>
        <x:v>0</x:v>
      </x:c>
      <x:c r="T62" s="10" t="n">
        <x:f>EOMONTH(J62-'Сводка'!$B$11,-1)</x:f>
        <x:v>45900</x:v>
      </x:c>
      <x:c r="U62" s="4" t="n">
        <x:f>MATCH(J62,'Сводка'!$R$3:$R$397,0)</x:f>
        <x:v>73</x:v>
      </x:c>
      <x:c r="V62" s="4" t="n">
        <x:f>MATCH(J62-'Сводка'!$B$11,'Сводка'!$R$3:$R$397,0)</x:f>
        <x:v>72</x:v>
      </x:c>
      <x:c r="W62" s="4" t="n">
        <x:f>MATCH(T62,$J$388:$J$400,0)</x:f>
        <x:v>3</x:v>
      </x:c>
      <x:c r="X62" s="3"/>
      <x:c r="Y62" s="3"/>
      <x:c r="Z62" s="3"/>
    </x:row>
    <x:row r="63" ht="15" customHeight="1">
      <x:c r="A63" s="7" t="str">
        <x:f>IF(45&lt;='Сводка'!$B$3,'Сводка'!$B$4+45,"")</x:f>
      </x:c>
      <x:c r="B63" s="20" t="str">
        <x:f>IF($A63="","",(A63-$T$405+1)/1000)</x:f>
      </x:c>
      <x:c r="C63" s="20" t="str">
        <x:f>IF($A63="","",2*(A63-$T$405)/$T$406-1)</x:f>
      </x:c>
      <x:c r="D63" s="3" t="str">
        <x:f>IF($A63="","",$B$4+$B$5*LN(B63)+INDEX($E$4:$E$15,MONTH(A63)))</x:f>
      </x:c>
      <x:c r="E63" s="3" t="str">
        <x:f>IF($A63="","",SQRT($T$403^2+H63^2))</x:f>
      </x:c>
      <x:c r="F63" s="3" t="str">
        <x:f>IF($A63="","",D63-$T$404*E63)</x:f>
      </x:c>
      <x:c r="G63" s="3" t="str">
        <x:f>IF($A63="","",D63+$T$404*E63)</x:f>
      </x:c>
      <x:c r="H63" s="3" t="str">
        <x:f>IF($A63="","",SQRT(MAX(0,(1)*$S$409*(1)+(1)*$T$409*(LN(B63))+(LN(B63))*$S$410*(1)+(LN(B63))*$T$410*(LN(B63))+2*((1)*INDEX($S$416:$V$427,MONTH(A63),1)+(LN(B63))*INDEX($S$416:$V$427,MONTH(A63),2))+INDEX($W$416:$W$427,MONTH(A63)))))</x:f>
      </x:c>
      <x:c r="I63" s="3"/>
      <x:c r="J63" s="10" t="n">
        <x:v>45914</x:v>
      </x:c>
      <x:c r="K63" s="8" t="n">
        <x:f>INDEX('Сводка'!$S$3:$S$397,U63)</x:f>
        <x:v>202</x:v>
      </x:c>
      <x:c r="L63" s="8" t="n">
        <x:f>INDEX('Сводка'!$S$3:$S$397,V63)</x:f>
        <x:v>201</x:v>
      </x:c>
      <x:c r="M63" s="8" t="n">
        <x:f>INDEX($K$388:$N$400,W63,1)+INDEX($K$388:$N$400,W63,2)*LN(((J63-$T$405+1)/1000))+INDEX($O$388:$Z$400,W63,MONTH(J63))</x:f>
        <x:v>287.9788283759913</x:v>
      </x:c>
      <x:c r="N63" s="8" t="n">
        <x:f>K63-M63</x:f>
        <x:v>-85.97882837599133</x:v>
      </x:c>
      <x:c r="O63" s="8" t="n">
        <x:f>ABS(N63)</x:f>
        <x:v>85.97882837599133</x:v>
      </x:c>
      <x:c r="P63" s="8" t="n">
        <x:f>N63^2</x:f>
        <x:v>7392.358928908171</x:v>
      </x:c>
      <x:c r="Q63" s="8" t="n">
        <x:f>K63-L63</x:f>
        <x:v>1</x:v>
      </x:c>
      <x:c r="R63" s="9" t="n">
        <x:f>IF(AND(INDEX('Сводка'!$T$3:$T$397,U63)=0,INDEX('Сводка'!$T$3:$T$397,V63)=0),1,0)</x:f>
        <x:v>1</x:v>
      </x:c>
      <x:c r="S63" s="9" t="n">
        <x:f>IF(AND(R63=1,O63&lt;=$G$13),1,0)</x:f>
        <x:v>0</x:v>
      </x:c>
      <x:c r="T63" s="10" t="n">
        <x:f>EOMONTH(J63-'Сводка'!$B$11,-1)</x:f>
        <x:v>45900</x:v>
      </x:c>
      <x:c r="U63" s="4" t="n">
        <x:f>MATCH(J63,'Сводка'!$R$3:$R$397,0)</x:f>
        <x:v>74</x:v>
      </x:c>
      <x:c r="V63" s="4" t="n">
        <x:f>MATCH(J63-'Сводка'!$B$11,'Сводка'!$R$3:$R$397,0)</x:f>
        <x:v>73</x:v>
      </x:c>
      <x:c r="W63" s="4" t="n">
        <x:f>MATCH(T63,$J$388:$J$400,0)</x:f>
        <x:v>3</x:v>
      </x:c>
      <x:c r="X63" s="3"/>
      <x:c r="Y63" s="3"/>
      <x:c r="Z63" s="3"/>
    </x:row>
    <x:row r="64" ht="15" customHeight="1">
      <x:c r="A64" s="7" t="str">
        <x:f>IF(46&lt;='Сводка'!$B$3,'Сводка'!$B$4+46,"")</x:f>
      </x:c>
      <x:c r="B64" s="20" t="str">
        <x:f>IF($A64="","",(A64-$T$405+1)/1000)</x:f>
      </x:c>
      <x:c r="C64" s="20" t="str">
        <x:f>IF($A64="","",2*(A64-$T$405)/$T$406-1)</x:f>
      </x:c>
      <x:c r="D64" s="3" t="str">
        <x:f>IF($A64="","",$B$4+$B$5*LN(B64)+INDEX($E$4:$E$15,MONTH(A64)))</x:f>
      </x:c>
      <x:c r="E64" s="3" t="str">
        <x:f>IF($A64="","",SQRT($T$403^2+H64^2))</x:f>
      </x:c>
      <x:c r="F64" s="3" t="str">
        <x:f>IF($A64="","",D64-$T$404*E64)</x:f>
      </x:c>
      <x:c r="G64" s="3" t="str">
        <x:f>IF($A64="","",D64+$T$404*E64)</x:f>
      </x:c>
      <x:c r="H64" s="3" t="str">
        <x:f>IF($A64="","",SQRT(MAX(0,(1)*$S$409*(1)+(1)*$T$409*(LN(B64))+(LN(B64))*$S$410*(1)+(LN(B64))*$T$410*(LN(B64))+2*((1)*INDEX($S$416:$V$427,MONTH(A64),1)+(LN(B64))*INDEX($S$416:$V$427,MONTH(A64),2))+INDEX($W$416:$W$427,MONTH(A64)))))</x:f>
      </x:c>
      <x:c r="I64" s="3"/>
      <x:c r="J64" s="10" t="n">
        <x:v>45915</x:v>
      </x:c>
      <x:c r="K64" s="8" t="n">
        <x:f>INDEX('Сводка'!$S$3:$S$397,U64)</x:f>
        <x:v>204</x:v>
      </x:c>
      <x:c r="L64" s="8" t="n">
        <x:f>INDEX('Сводка'!$S$3:$S$397,V64)</x:f>
        <x:v>202</x:v>
      </x:c>
      <x:c r="M64" s="8" t="n">
        <x:f>INDEX($K$388:$N$400,W64,1)+INDEX($K$388:$N$400,W64,2)*LN(((J64-$T$405+1)/1000))+INDEX($O$388:$Z$400,W64,MONTH(J64))</x:f>
        <x:v>287.9847845571212</x:v>
      </x:c>
      <x:c r="N64" s="8" t="n">
        <x:f>K64-M64</x:f>
        <x:v>-83.9847845571212</x:v>
      </x:c>
      <x:c r="O64" s="8" t="n">
        <x:f>ABS(N64)</x:f>
        <x:v>83.9847845571212</x:v>
      </x:c>
      <x:c r="P64" s="8" t="n">
        <x:f>N64^2</x:f>
        <x:v>7053.444037106064</x:v>
      </x:c>
      <x:c r="Q64" s="8" t="n">
        <x:f>K64-L64</x:f>
        <x:v>2</x:v>
      </x:c>
      <x:c r="R64" s="9" t="n">
        <x:f>IF(AND(INDEX('Сводка'!$T$3:$T$397,U64)=0,INDEX('Сводка'!$T$3:$T$397,V64)=0),1,0)</x:f>
        <x:v>1</x:v>
      </x:c>
      <x:c r="S64" s="9" t="n">
        <x:f>IF(AND(R64=1,O64&lt;=$G$13),1,0)</x:f>
        <x:v>0</x:v>
      </x:c>
      <x:c r="T64" s="10" t="n">
        <x:f>EOMONTH(J64-'Сводка'!$B$11,-1)</x:f>
        <x:v>45900</x:v>
      </x:c>
      <x:c r="U64" s="4" t="n">
        <x:f>MATCH(J64,'Сводка'!$R$3:$R$397,0)</x:f>
        <x:v>75</x:v>
      </x:c>
      <x:c r="V64" s="4" t="n">
        <x:f>MATCH(J64-'Сводка'!$B$11,'Сводка'!$R$3:$R$397,0)</x:f>
        <x:v>74</x:v>
      </x:c>
      <x:c r="W64" s="4" t="n">
        <x:f>MATCH(T64,$J$388:$J$400,0)</x:f>
        <x:v>3</x:v>
      </x:c>
      <x:c r="X64" s="3"/>
      <x:c r="Y64" s="3"/>
      <x:c r="Z64" s="3"/>
    </x:row>
    <x:row r="65" ht="15" customHeight="1">
      <x:c r="A65" s="7" t="str">
        <x:f>IF(47&lt;='Сводка'!$B$3,'Сводка'!$B$4+47,"")</x:f>
      </x:c>
      <x:c r="B65" s="20" t="str">
        <x:f>IF($A65="","",(A65-$T$405+1)/1000)</x:f>
      </x:c>
      <x:c r="C65" s="20" t="str">
        <x:f>IF($A65="","",2*(A65-$T$405)/$T$406-1)</x:f>
      </x:c>
      <x:c r="D65" s="3" t="str">
        <x:f>IF($A65="","",$B$4+$B$5*LN(B65)+INDEX($E$4:$E$15,MONTH(A65)))</x:f>
      </x:c>
      <x:c r="E65" s="3" t="str">
        <x:f>IF($A65="","",SQRT($T$403^2+H65^2))</x:f>
      </x:c>
      <x:c r="F65" s="3" t="str">
        <x:f>IF($A65="","",D65-$T$404*E65)</x:f>
      </x:c>
      <x:c r="G65" s="3" t="str">
        <x:f>IF($A65="","",D65+$T$404*E65)</x:f>
      </x:c>
      <x:c r="H65" s="3" t="str">
        <x:f>IF($A65="","",SQRT(MAX(0,(1)*$S$409*(1)+(1)*$T$409*(LN(B65))+(LN(B65))*$S$410*(1)+(LN(B65))*$T$410*(LN(B65))+2*((1)*INDEX($S$416:$V$427,MONTH(A65),1)+(LN(B65))*INDEX($S$416:$V$427,MONTH(A65),2))+INDEX($W$416:$W$427,MONTH(A65)))))</x:f>
      </x:c>
      <x:c r="I65" s="3"/>
      <x:c r="J65" s="10" t="n">
        <x:v>45916</x:v>
      </x:c>
      <x:c r="K65" s="8" t="n">
        <x:f>INDEX('Сводка'!$S$3:$S$397,U65)</x:f>
        <x:v>213</x:v>
      </x:c>
      <x:c r="L65" s="8" t="n">
        <x:f>INDEX('Сводка'!$S$3:$S$397,V65)</x:f>
        <x:v>204</x:v>
      </x:c>
      <x:c r="M65" s="8" t="n">
        <x:f>INDEX($K$388:$N$400,W65,1)+INDEX($K$388:$N$400,W65,2)*LN(((J65-$T$405+1)/1000))+INDEX($O$388:$Z$400,W65,MONTH(J65))</x:f>
        <x:v>287.99074005043065</x:v>
      </x:c>
      <x:c r="N65" s="8" t="n">
        <x:f>K65-M65</x:f>
        <x:v>-74.99074005043065</x:v>
      </x:c>
      <x:c r="O65" s="8" t="n">
        <x:f>ABS(N65)</x:f>
        <x:v>74.99074005043065</x:v>
      </x:c>
      <x:c r="P65" s="8" t="n">
        <x:f>N65^2</x:f>
        <x:v>5623.611093311263</x:v>
      </x:c>
      <x:c r="Q65" s="8" t="n">
        <x:f>K65-L65</x:f>
        <x:v>9</x:v>
      </x:c>
      <x:c r="R65" s="9" t="n">
        <x:f>IF(AND(INDEX('Сводка'!$T$3:$T$397,U65)=0,INDEX('Сводка'!$T$3:$T$397,V65)=0),1,0)</x:f>
        <x:v>1</x:v>
      </x:c>
      <x:c r="S65" s="9" t="n">
        <x:f>IF(AND(R65=1,O65&lt;=$G$13),1,0)</x:f>
        <x:v>0</x:v>
      </x:c>
      <x:c r="T65" s="10" t="n">
        <x:f>EOMONTH(J65-'Сводка'!$B$11,-1)</x:f>
        <x:v>45900</x:v>
      </x:c>
      <x:c r="U65" s="4" t="n">
        <x:f>MATCH(J65,'Сводка'!$R$3:$R$397,0)</x:f>
        <x:v>76</x:v>
      </x:c>
      <x:c r="V65" s="4" t="n">
        <x:f>MATCH(J65-'Сводка'!$B$11,'Сводка'!$R$3:$R$397,0)</x:f>
        <x:v>75</x:v>
      </x:c>
      <x:c r="W65" s="4" t="n">
        <x:f>MATCH(T65,$J$388:$J$400,0)</x:f>
        <x:v>3</x:v>
      </x:c>
      <x:c r="X65" s="3"/>
      <x:c r="Y65" s="3"/>
      <x:c r="Z65" s="3"/>
    </x:row>
    <x:row r="66" ht="15" customHeight="1">
      <x:c r="A66" s="7" t="str">
        <x:f>IF(48&lt;='Сводка'!$B$3,'Сводка'!$B$4+48,"")</x:f>
      </x:c>
      <x:c r="B66" s="20" t="str">
        <x:f>IF($A66="","",(A66-$T$405+1)/1000)</x:f>
      </x:c>
      <x:c r="C66" s="20" t="str">
        <x:f>IF($A66="","",2*(A66-$T$405)/$T$406-1)</x:f>
      </x:c>
      <x:c r="D66" s="3" t="str">
        <x:f>IF($A66="","",$B$4+$B$5*LN(B66)+INDEX($E$4:$E$15,MONTH(A66)))</x:f>
      </x:c>
      <x:c r="E66" s="3" t="str">
        <x:f>IF($A66="","",SQRT($T$403^2+H66^2))</x:f>
      </x:c>
      <x:c r="F66" s="3" t="str">
        <x:f>IF($A66="","",D66-$T$404*E66)</x:f>
      </x:c>
      <x:c r="G66" s="3" t="str">
        <x:f>IF($A66="","",D66+$T$404*E66)</x:f>
      </x:c>
      <x:c r="H66" s="3" t="str">
        <x:f>IF($A66="","",SQRT(MAX(0,(1)*$S$409*(1)+(1)*$T$409*(LN(B66))+(LN(B66))*$S$410*(1)+(LN(B66))*$T$410*(LN(B66))+2*((1)*INDEX($S$416:$V$427,MONTH(A66),1)+(LN(B66))*INDEX($S$416:$V$427,MONTH(A66),2))+INDEX($W$416:$W$427,MONTH(A66)))))</x:f>
      </x:c>
      <x:c r="I66" s="3"/>
      <x:c r="J66" s="10" t="n">
        <x:v>45917</x:v>
      </x:c>
      <x:c r="K66" s="8" t="n">
        <x:f>INDEX('Сводка'!$S$3:$S$397,U66)</x:f>
        <x:v>219</x:v>
      </x:c>
      <x:c r="L66" s="8" t="n">
        <x:f>INDEX('Сводка'!$S$3:$S$397,V66)</x:f>
        <x:v>213</x:v>
      </x:c>
      <x:c r="M66" s="8" t="n">
        <x:f>INDEX($K$388:$N$400,W66,1)+INDEX($K$388:$N$400,W66,2)*LN(((J66-$T$405+1)/1000))+INDEX($O$388:$Z$400,W66,MONTH(J66))</x:f>
        <x:v>287.99669485607853</x:v>
      </x:c>
      <x:c r="N66" s="8" t="n">
        <x:f>K66-M66</x:f>
        <x:v>-68.99669485607853</x:v>
      </x:c>
      <x:c r="O66" s="8" t="n">
        <x:f>ABS(N66)</x:f>
        <x:v>68.99669485607853</x:v>
      </x:c>
      <x:c r="P66" s="8" t="n">
        <x:f>N66^2</x:f>
        <x:v>4760.543901062814</x:v>
      </x:c>
      <x:c r="Q66" s="8" t="n">
        <x:f>K66-L66</x:f>
        <x:v>6</x:v>
      </x:c>
      <x:c r="R66" s="9" t="n">
        <x:f>IF(AND(INDEX('Сводка'!$T$3:$T$397,U66)=0,INDEX('Сводка'!$T$3:$T$397,V66)=0),1,0)</x:f>
        <x:v>1</x:v>
      </x:c>
      <x:c r="S66" s="9" t="n">
        <x:f>IF(AND(R66=1,O66&lt;=$G$13),1,0)</x:f>
        <x:v>0</x:v>
      </x:c>
      <x:c r="T66" s="10" t="n">
        <x:f>EOMONTH(J66-'Сводка'!$B$11,-1)</x:f>
        <x:v>45900</x:v>
      </x:c>
      <x:c r="U66" s="4" t="n">
        <x:f>MATCH(J66,'Сводка'!$R$3:$R$397,0)</x:f>
        <x:v>77</x:v>
      </x:c>
      <x:c r="V66" s="4" t="n">
        <x:f>MATCH(J66-'Сводка'!$B$11,'Сводка'!$R$3:$R$397,0)</x:f>
        <x:v>76</x:v>
      </x:c>
      <x:c r="W66" s="4" t="n">
        <x:f>MATCH(T66,$J$388:$J$400,0)</x:f>
        <x:v>3</x:v>
      </x:c>
      <x:c r="X66" s="3"/>
      <x:c r="Y66" s="3"/>
      <x:c r="Z66" s="3"/>
    </x:row>
    <x:row r="67" ht="15" customHeight="1">
      <x:c r="A67" s="7" t="str">
        <x:f>IF(49&lt;='Сводка'!$B$3,'Сводка'!$B$4+49,"")</x:f>
      </x:c>
      <x:c r="B67" s="20" t="str">
        <x:f>IF($A67="","",(A67-$T$405+1)/1000)</x:f>
      </x:c>
      <x:c r="C67" s="20" t="str">
        <x:f>IF($A67="","",2*(A67-$T$405)/$T$406-1)</x:f>
      </x:c>
      <x:c r="D67" s="3" t="str">
        <x:f>IF($A67="","",$B$4+$B$5*LN(B67)+INDEX($E$4:$E$15,MONTH(A67)))</x:f>
      </x:c>
      <x:c r="E67" s="3" t="str">
        <x:f>IF($A67="","",SQRT($T$403^2+H67^2))</x:f>
      </x:c>
      <x:c r="F67" s="3" t="str">
        <x:f>IF($A67="","",D67-$T$404*E67)</x:f>
      </x:c>
      <x:c r="G67" s="3" t="str">
        <x:f>IF($A67="","",D67+$T$404*E67)</x:f>
      </x:c>
      <x:c r="H67" s="3" t="str">
        <x:f>IF($A67="","",SQRT(MAX(0,(1)*$S$409*(1)+(1)*$T$409*(LN(B67))+(LN(B67))*$S$410*(1)+(LN(B67))*$T$410*(LN(B67))+2*((1)*INDEX($S$416:$V$427,MONTH(A67),1)+(LN(B67))*INDEX($S$416:$V$427,MONTH(A67),2))+INDEX($W$416:$W$427,MONTH(A67)))))</x:f>
      </x:c>
      <x:c r="I67" s="3"/>
      <x:c r="J67" s="10" t="n">
        <x:v>45918</x:v>
      </x:c>
      <x:c r="K67" s="8" t="n">
        <x:f>INDEX('Сводка'!$S$3:$S$397,U67)</x:f>
        <x:v>227</x:v>
      </x:c>
      <x:c r="L67" s="8" t="n">
        <x:f>INDEX('Сводка'!$S$3:$S$397,V67)</x:f>
        <x:v>219</x:v>
      </x:c>
      <x:c r="M67" s="8" t="n">
        <x:f>INDEX($K$388:$N$400,W67,1)+INDEX($K$388:$N$400,W67,2)*LN(((J67-$T$405+1)/1000))+INDEX($O$388:$Z$400,W67,MONTH(J67))</x:f>
        <x:v>288.0026489742235</x:v>
      </x:c>
      <x:c r="N67" s="8" t="n">
        <x:f>K67-M67</x:f>
        <x:v>-61.00264897422352</x:v>
      </x:c>
      <x:c r="O67" s="8" t="n">
        <x:f>ABS(N67)</x:f>
        <x:v>61.00264897422352</x:v>
      </x:c>
      <x:c r="P67" s="8" t="n">
        <x:f>N67^2</x:f>
        <x:v>3721.323181872334</x:v>
      </x:c>
      <x:c r="Q67" s="8" t="n">
        <x:f>K67-L67</x:f>
        <x:v>8</x:v>
      </x:c>
      <x:c r="R67" s="9" t="n">
        <x:f>IF(AND(INDEX('Сводка'!$T$3:$T$397,U67)=0,INDEX('Сводка'!$T$3:$T$397,V67)=0),1,0)</x:f>
        <x:v>1</x:v>
      </x:c>
      <x:c r="S67" s="9" t="n">
        <x:f>IF(AND(R67=1,O67&lt;=$G$13),1,0)</x:f>
        <x:v>0</x:v>
      </x:c>
      <x:c r="T67" s="10" t="n">
        <x:f>EOMONTH(J67-'Сводка'!$B$11,-1)</x:f>
        <x:v>45900</x:v>
      </x:c>
      <x:c r="U67" s="4" t="n">
        <x:f>MATCH(J67,'Сводка'!$R$3:$R$397,0)</x:f>
        <x:v>78</x:v>
      </x:c>
      <x:c r="V67" s="4" t="n">
        <x:f>MATCH(J67-'Сводка'!$B$11,'Сводка'!$R$3:$R$397,0)</x:f>
        <x:v>77</x:v>
      </x:c>
      <x:c r="W67" s="4" t="n">
        <x:f>MATCH(T67,$J$388:$J$400,0)</x:f>
        <x:v>3</x:v>
      </x:c>
      <x:c r="X67" s="3"/>
      <x:c r="Y67" s="3"/>
      <x:c r="Z67" s="3"/>
    </x:row>
    <x:row r="68" ht="15" customHeight="1">
      <x:c r="A68" s="7" t="str">
        <x:f>IF(50&lt;='Сводка'!$B$3,'Сводка'!$B$4+50,"")</x:f>
      </x:c>
      <x:c r="B68" s="20" t="str">
        <x:f>IF($A68="","",(A68-$T$405+1)/1000)</x:f>
      </x:c>
      <x:c r="C68" s="20" t="str">
        <x:f>IF($A68="","",2*(A68-$T$405)/$T$406-1)</x:f>
      </x:c>
      <x:c r="D68" s="3" t="str">
        <x:f>IF($A68="","",$B$4+$B$5*LN(B68)+INDEX($E$4:$E$15,MONTH(A68)))</x:f>
      </x:c>
      <x:c r="E68" s="3" t="str">
        <x:f>IF($A68="","",SQRT($T$403^2+H68^2))</x:f>
      </x:c>
      <x:c r="F68" s="3" t="str">
        <x:f>IF($A68="","",D68-$T$404*E68)</x:f>
      </x:c>
      <x:c r="G68" s="3" t="str">
        <x:f>IF($A68="","",D68+$T$404*E68)</x:f>
      </x:c>
      <x:c r="H68" s="3" t="str">
        <x:f>IF($A68="","",SQRT(MAX(0,(1)*$S$409*(1)+(1)*$T$409*(LN(B68))+(LN(B68))*$S$410*(1)+(LN(B68))*$T$410*(LN(B68))+2*((1)*INDEX($S$416:$V$427,MONTH(A68),1)+(LN(B68))*INDEX($S$416:$V$427,MONTH(A68),2))+INDEX($W$416:$W$427,MONTH(A68)))))</x:f>
      </x:c>
      <x:c r="I68" s="3"/>
      <x:c r="J68" s="10" t="n">
        <x:v>45919</x:v>
      </x:c>
      <x:c r="K68" s="8" t="n">
        <x:f>INDEX('Сводка'!$S$3:$S$397,U68)</x:f>
        <x:v>241</x:v>
      </x:c>
      <x:c r="L68" s="8" t="n">
        <x:f>INDEX('Сводка'!$S$3:$S$397,V68)</x:f>
        <x:v>227</x:v>
      </x:c>
      <x:c r="M68" s="8" t="n">
        <x:f>INDEX($K$388:$N$400,W68,1)+INDEX($K$388:$N$400,W68,2)*LN(((J68-$T$405+1)/1000))+INDEX($O$388:$Z$400,W68,MONTH(J68))</x:f>
        <x:v>288.0086024050245</x:v>
      </x:c>
      <x:c r="N68" s="8" t="n">
        <x:f>K68-M68</x:f>
        <x:v>-47.008602405024476</x:v>
      </x:c>
      <x:c r="O68" s="8" t="n">
        <x:f>ABS(N68)</x:f>
        <x:v>47.008602405024476</x:v>
      </x:c>
      <x:c r="P68" s="8" t="n">
        <x:f>N68^2</x:f>
        <x:v>2209.8087000736728</x:v>
      </x:c>
      <x:c r="Q68" s="8" t="n">
        <x:f>K68-L68</x:f>
        <x:v>14</x:v>
      </x:c>
      <x:c r="R68" s="9" t="n">
        <x:f>IF(AND(INDEX('Сводка'!$T$3:$T$397,U68)=0,INDEX('Сводка'!$T$3:$T$397,V68)=0),1,0)</x:f>
        <x:v>1</x:v>
      </x:c>
      <x:c r="S68" s="9" t="n">
        <x:f>IF(AND(R68=1,O68&lt;=$G$13),1,0)</x:f>
        <x:v>0</x:v>
      </x:c>
      <x:c r="T68" s="10" t="n">
        <x:f>EOMONTH(J68-'Сводка'!$B$11,-1)</x:f>
        <x:v>45900</x:v>
      </x:c>
      <x:c r="U68" s="4" t="n">
        <x:f>MATCH(J68,'Сводка'!$R$3:$R$397,0)</x:f>
        <x:v>79</x:v>
      </x:c>
      <x:c r="V68" s="4" t="n">
        <x:f>MATCH(J68-'Сводка'!$B$11,'Сводка'!$R$3:$R$397,0)</x:f>
        <x:v>78</x:v>
      </x:c>
      <x:c r="W68" s="4" t="n">
        <x:f>MATCH(T68,$J$388:$J$400,0)</x:f>
        <x:v>3</x:v>
      </x:c>
      <x:c r="X68" s="3"/>
      <x:c r="Y68" s="3"/>
      <x:c r="Z68" s="3"/>
    </x:row>
    <x:row r="69" ht="15" customHeight="1">
      <x:c r="A69" s="7" t="str">
        <x:f>IF(51&lt;='Сводка'!$B$3,'Сводка'!$B$4+51,"")</x:f>
      </x:c>
      <x:c r="B69" s="20" t="str">
        <x:f>IF($A69="","",(A69-$T$405+1)/1000)</x:f>
      </x:c>
      <x:c r="C69" s="20" t="str">
        <x:f>IF($A69="","",2*(A69-$T$405)/$T$406-1)</x:f>
      </x:c>
      <x:c r="D69" s="3" t="str">
        <x:f>IF($A69="","",$B$4+$B$5*LN(B69)+INDEX($E$4:$E$15,MONTH(A69)))</x:f>
      </x:c>
      <x:c r="E69" s="3" t="str">
        <x:f>IF($A69="","",SQRT($T$403^2+H69^2))</x:f>
      </x:c>
      <x:c r="F69" s="3" t="str">
        <x:f>IF($A69="","",D69-$T$404*E69)</x:f>
      </x:c>
      <x:c r="G69" s="3" t="str">
        <x:f>IF($A69="","",D69+$T$404*E69)</x:f>
      </x:c>
      <x:c r="H69" s="3" t="str">
        <x:f>IF($A69="","",SQRT(MAX(0,(1)*$S$409*(1)+(1)*$T$409*(LN(B69))+(LN(B69))*$S$410*(1)+(LN(B69))*$T$410*(LN(B69))+2*((1)*INDEX($S$416:$V$427,MONTH(A69),1)+(LN(B69))*INDEX($S$416:$V$427,MONTH(A69),2))+INDEX($W$416:$W$427,MONTH(A69)))))</x:f>
      </x:c>
      <x:c r="I69" s="3"/>
      <x:c r="J69" s="10" t="n">
        <x:v>45920</x:v>
      </x:c>
      <x:c r="K69" s="8" t="n">
        <x:f>INDEX('Сводка'!$S$3:$S$397,U69)</x:f>
        <x:v>249</x:v>
      </x:c>
      <x:c r="L69" s="8" t="n">
        <x:f>INDEX('Сводка'!$S$3:$S$397,V69)</x:f>
        <x:v>241</x:v>
      </x:c>
      <x:c r="M69" s="8" t="n">
        <x:f>INDEX($K$388:$N$400,W69,1)+INDEX($K$388:$N$400,W69,2)*LN(((J69-$T$405+1)/1000))+INDEX($O$388:$Z$400,W69,MONTH(J69))</x:f>
        <x:v>288.01455514863994</x:v>
      </x:c>
      <x:c r="N69" s="8" t="n">
        <x:f>K69-M69</x:f>
        <x:v>-39.01455514863994</x:v>
      </x:c>
      <x:c r="O69" s="8" t="n">
        <x:f>ABS(N69)</x:f>
        <x:v>39.01455514863994</x:v>
      </x:c>
      <x:c r="P69" s="8" t="n">
        <x:f>N69^2</x:f>
        <x:v>1522.1355134462674</x:v>
      </x:c>
      <x:c r="Q69" s="8" t="n">
        <x:f>K69-L69</x:f>
        <x:v>8</x:v>
      </x:c>
      <x:c r="R69" s="9" t="n">
        <x:f>IF(AND(INDEX('Сводка'!$T$3:$T$397,U69)=0,INDEX('Сводка'!$T$3:$T$397,V69)=0),1,0)</x:f>
        <x:v>1</x:v>
      </x:c>
      <x:c r="S69" s="9" t="n">
        <x:f>IF(AND(R69=1,O69&lt;=$G$13),1,0)</x:f>
        <x:v>0</x:v>
      </x:c>
      <x:c r="T69" s="10" t="n">
        <x:f>EOMONTH(J69-'Сводка'!$B$11,-1)</x:f>
        <x:v>45900</x:v>
      </x:c>
      <x:c r="U69" s="4" t="n">
        <x:f>MATCH(J69,'Сводка'!$R$3:$R$397,0)</x:f>
        <x:v>80</x:v>
      </x:c>
      <x:c r="V69" s="4" t="n">
        <x:f>MATCH(J69-'Сводка'!$B$11,'Сводка'!$R$3:$R$397,0)</x:f>
        <x:v>79</x:v>
      </x:c>
      <x:c r="W69" s="4" t="n">
        <x:f>MATCH(T69,$J$388:$J$400,0)</x:f>
        <x:v>3</x:v>
      </x:c>
      <x:c r="X69" s="3"/>
      <x:c r="Y69" s="3"/>
      <x:c r="Z69" s="3"/>
    </x:row>
    <x:row r="70" ht="15" customHeight="1">
      <x:c r="A70" s="7" t="str">
        <x:f>IF(52&lt;='Сводка'!$B$3,'Сводка'!$B$4+52,"")</x:f>
      </x:c>
      <x:c r="B70" s="20" t="str">
        <x:f>IF($A70="","",(A70-$T$405+1)/1000)</x:f>
      </x:c>
      <x:c r="C70" s="20" t="str">
        <x:f>IF($A70="","",2*(A70-$T$405)/$T$406-1)</x:f>
      </x:c>
      <x:c r="D70" s="3" t="str">
        <x:f>IF($A70="","",$B$4+$B$5*LN(B70)+INDEX($E$4:$E$15,MONTH(A70)))</x:f>
      </x:c>
      <x:c r="E70" s="3" t="str">
        <x:f>IF($A70="","",SQRT($T$403^2+H70^2))</x:f>
      </x:c>
      <x:c r="F70" s="3" t="str">
        <x:f>IF($A70="","",D70-$T$404*E70)</x:f>
      </x:c>
      <x:c r="G70" s="3" t="str">
        <x:f>IF($A70="","",D70+$T$404*E70)</x:f>
      </x:c>
      <x:c r="H70" s="3" t="str">
        <x:f>IF($A70="","",SQRT(MAX(0,(1)*$S$409*(1)+(1)*$T$409*(LN(B70))+(LN(B70))*$S$410*(1)+(LN(B70))*$T$410*(LN(B70))+2*((1)*INDEX($S$416:$V$427,MONTH(A70),1)+(LN(B70))*INDEX($S$416:$V$427,MONTH(A70),2))+INDEX($W$416:$W$427,MONTH(A70)))))</x:f>
      </x:c>
      <x:c r="I70" s="3"/>
      <x:c r="J70" s="10" t="n">
        <x:v>45921</x:v>
      </x:c>
      <x:c r="K70" s="8" t="n">
        <x:f>INDEX('Сводка'!$S$3:$S$397,U70)</x:f>
        <x:v>260</x:v>
      </x:c>
      <x:c r="L70" s="8" t="n">
        <x:f>INDEX('Сводка'!$S$3:$S$397,V70)</x:f>
        <x:v>249</x:v>
      </x:c>
      <x:c r="M70" s="8" t="n">
        <x:f>INDEX($K$388:$N$400,W70,1)+INDEX($K$388:$N$400,W70,2)*LN(((J70-$T$405+1)/1000))+INDEX($O$388:$Z$400,W70,MONTH(J70))</x:f>
        <x:v>288.0205072052287</x:v>
      </x:c>
      <x:c r="N70" s="8" t="n">
        <x:f>K70-M70</x:f>
        <x:v>-28.020507205228682</x:v>
      </x:c>
      <x:c r="O70" s="8" t="n">
        <x:f>ABS(N70)</x:f>
        <x:v>28.020507205228682</x:v>
      </x:c>
      <x:c r="P70" s="8" t="n">
        <x:f>N70^2</x:f>
        <x:v>785.1488240382726</x:v>
      </x:c>
      <x:c r="Q70" s="8" t="n">
        <x:f>K70-L70</x:f>
        <x:v>11</x:v>
      </x:c>
      <x:c r="R70" s="9" t="n">
        <x:f>IF(AND(INDEX('Сводка'!$T$3:$T$397,U70)=0,INDEX('Сводка'!$T$3:$T$397,V70)=0),1,0)</x:f>
        <x:v>1</x:v>
      </x:c>
      <x:c r="S70" s="9" t="n">
        <x:f>IF(AND(R70=1,O70&lt;=$G$13),1,0)</x:f>
        <x:v>0</x:v>
      </x:c>
      <x:c r="T70" s="10" t="n">
        <x:f>EOMONTH(J70-'Сводка'!$B$11,-1)</x:f>
        <x:v>45900</x:v>
      </x:c>
      <x:c r="U70" s="4" t="n">
        <x:f>MATCH(J70,'Сводка'!$R$3:$R$397,0)</x:f>
        <x:v>81</x:v>
      </x:c>
      <x:c r="V70" s="4" t="n">
        <x:f>MATCH(J70-'Сводка'!$B$11,'Сводка'!$R$3:$R$397,0)</x:f>
        <x:v>80</x:v>
      </x:c>
      <x:c r="W70" s="4" t="n">
        <x:f>MATCH(T70,$J$388:$J$400,0)</x:f>
        <x:v>3</x:v>
      </x:c>
      <x:c r="X70" s="3"/>
      <x:c r="Y70" s="3"/>
      <x:c r="Z70" s="3"/>
    </x:row>
    <x:row r="71" ht="15" customHeight="1">
      <x:c r="A71" s="7" t="str">
        <x:f>IF(53&lt;='Сводка'!$B$3,'Сводка'!$B$4+53,"")</x:f>
      </x:c>
      <x:c r="B71" s="20" t="str">
        <x:f>IF($A71="","",(A71-$T$405+1)/1000)</x:f>
      </x:c>
      <x:c r="C71" s="20" t="str">
        <x:f>IF($A71="","",2*(A71-$T$405)/$T$406-1)</x:f>
      </x:c>
      <x:c r="D71" s="3" t="str">
        <x:f>IF($A71="","",$B$4+$B$5*LN(B71)+INDEX($E$4:$E$15,MONTH(A71)))</x:f>
      </x:c>
      <x:c r="E71" s="3" t="str">
        <x:f>IF($A71="","",SQRT($T$403^2+H71^2))</x:f>
      </x:c>
      <x:c r="F71" s="3" t="str">
        <x:f>IF($A71="","",D71-$T$404*E71)</x:f>
      </x:c>
      <x:c r="G71" s="3" t="str">
        <x:f>IF($A71="","",D71+$T$404*E71)</x:f>
      </x:c>
      <x:c r="H71" s="3" t="str">
        <x:f>IF($A71="","",SQRT(MAX(0,(1)*$S$409*(1)+(1)*$T$409*(LN(B71))+(LN(B71))*$S$410*(1)+(LN(B71))*$T$410*(LN(B71))+2*((1)*INDEX($S$416:$V$427,MONTH(A71),1)+(LN(B71))*INDEX($S$416:$V$427,MONTH(A71),2))+INDEX($W$416:$W$427,MONTH(A71)))))</x:f>
      </x:c>
      <x:c r="I71" s="3"/>
      <x:c r="J71" s="10" t="n">
        <x:v>45922</x:v>
      </x:c>
      <x:c r="K71" s="8" t="n">
        <x:f>INDEX('Сводка'!$S$3:$S$397,U71)</x:f>
        <x:v>272</x:v>
      </x:c>
      <x:c r="L71" s="8" t="n">
        <x:f>INDEX('Сводка'!$S$3:$S$397,V71)</x:f>
        <x:v>260</x:v>
      </x:c>
      <x:c r="M71" s="8" t="n">
        <x:f>INDEX($K$388:$N$400,W71,1)+INDEX($K$388:$N$400,W71,2)*LN(((J71-$T$405+1)/1000))+INDEX($O$388:$Z$400,W71,MONTH(J71))</x:f>
        <x:v>288.02645857494923</x:v>
      </x:c>
      <x:c r="N71" s="8" t="n">
        <x:f>K71-M71</x:f>
        <x:v>-16.02645857494923</x:v>
      </x:c>
      <x:c r="O71" s="8" t="n">
        <x:f>ABS(N71)</x:f>
        <x:v>16.02645857494923</x:v>
      </x:c>
      <x:c r="P71" s="8" t="n">
        <x:f>N71^2</x:f>
        <x:v>256.84737445456375</x:v>
      </x:c>
      <x:c r="Q71" s="8" t="n">
        <x:f>K71-L71</x:f>
        <x:v>12</x:v>
      </x:c>
      <x:c r="R71" s="9" t="n">
        <x:f>IF(AND(INDEX('Сводка'!$T$3:$T$397,U71)=0,INDEX('Сводка'!$T$3:$T$397,V71)=0),1,0)</x:f>
        <x:v>1</x:v>
      </x:c>
      <x:c r="S71" s="9" t="n">
        <x:f>IF(AND(R71=1,O71&lt;=$G$13),1,0)</x:f>
        <x:v>0</x:v>
      </x:c>
      <x:c r="T71" s="10" t="n">
        <x:f>EOMONTH(J71-'Сводка'!$B$11,-1)</x:f>
        <x:v>45900</x:v>
      </x:c>
      <x:c r="U71" s="4" t="n">
        <x:f>MATCH(J71,'Сводка'!$R$3:$R$397,0)</x:f>
        <x:v>82</x:v>
      </x:c>
      <x:c r="V71" s="4" t="n">
        <x:f>MATCH(J71-'Сводка'!$B$11,'Сводка'!$R$3:$R$397,0)</x:f>
        <x:v>81</x:v>
      </x:c>
      <x:c r="W71" s="4" t="n">
        <x:f>MATCH(T71,$J$388:$J$400,0)</x:f>
        <x:v>3</x:v>
      </x:c>
      <x:c r="X71" s="3"/>
      <x:c r="Y71" s="3"/>
      <x:c r="Z71" s="3"/>
    </x:row>
    <x:row r="72" ht="15" customHeight="1">
      <x:c r="A72" s="7" t="str">
        <x:f>IF(54&lt;='Сводка'!$B$3,'Сводка'!$B$4+54,"")</x:f>
      </x:c>
      <x:c r="B72" s="20" t="str">
        <x:f>IF($A72="","",(A72-$T$405+1)/1000)</x:f>
      </x:c>
      <x:c r="C72" s="20" t="str">
        <x:f>IF($A72="","",2*(A72-$T$405)/$T$406-1)</x:f>
      </x:c>
      <x:c r="D72" s="3" t="str">
        <x:f>IF($A72="","",$B$4+$B$5*LN(B72)+INDEX($E$4:$E$15,MONTH(A72)))</x:f>
      </x:c>
      <x:c r="E72" s="3" t="str">
        <x:f>IF($A72="","",SQRT($T$403^2+H72^2))</x:f>
      </x:c>
      <x:c r="F72" s="3" t="str">
        <x:f>IF($A72="","",D72-$T$404*E72)</x:f>
      </x:c>
      <x:c r="G72" s="3" t="str">
        <x:f>IF($A72="","",D72+$T$404*E72)</x:f>
      </x:c>
      <x:c r="H72" s="3" t="str">
        <x:f>IF($A72="","",SQRT(MAX(0,(1)*$S$409*(1)+(1)*$T$409*(LN(B72))+(LN(B72))*$S$410*(1)+(LN(B72))*$T$410*(LN(B72))+2*((1)*INDEX($S$416:$V$427,MONTH(A72),1)+(LN(B72))*INDEX($S$416:$V$427,MONTH(A72),2))+INDEX($W$416:$W$427,MONTH(A72)))))</x:f>
      </x:c>
      <x:c r="I72" s="3"/>
      <x:c r="J72" s="10" t="n">
        <x:v>45923</x:v>
      </x:c>
      <x:c r="K72" s="8" t="n">
        <x:f>INDEX('Сводка'!$S$3:$S$397,U72)</x:f>
        <x:v>279</x:v>
      </x:c>
      <x:c r="L72" s="8" t="n">
        <x:f>INDEX('Сводка'!$S$3:$S$397,V72)</x:f>
        <x:v>272</x:v>
      </x:c>
      <x:c r="M72" s="8" t="n">
        <x:f>INDEX($K$388:$N$400,W72,1)+INDEX($K$388:$N$400,W72,2)*LN(((J72-$T$405+1)/1000))+INDEX($O$388:$Z$400,W72,MONTH(J72))</x:f>
        <x:v>288.03240925796</x:v>
      </x:c>
      <x:c r="N72" s="8" t="n">
        <x:f>K72-M72</x:f>
        <x:v>-9.032409257960012</x:v>
      </x:c>
      <x:c r="O72" s="8" t="n">
        <x:f>ABS(N72)</x:f>
        <x:v>9.032409257960012</x:v>
      </x:c>
      <x:c r="P72" s="8" t="n">
        <x:f>N72^2</x:f>
        <x:v>81.58441700328173</x:v>
      </x:c>
      <x:c r="Q72" s="8" t="n">
        <x:f>K72-L72</x:f>
        <x:v>7</x:v>
      </x:c>
      <x:c r="R72" s="9" t="n">
        <x:f>IF(AND(INDEX('Сводка'!$T$3:$T$397,U72)=0,INDEX('Сводка'!$T$3:$T$397,V72)=0),1,0)</x:f>
        <x:v>1</x:v>
      </x:c>
      <x:c r="S72" s="9" t="n">
        <x:f>IF(AND(R72=1,O72&lt;=$G$13),1,0)</x:f>
        <x:v>0</x:v>
      </x:c>
      <x:c r="T72" s="10" t="n">
        <x:f>EOMONTH(J72-'Сводка'!$B$11,-1)</x:f>
        <x:v>45900</x:v>
      </x:c>
      <x:c r="U72" s="4" t="n">
        <x:f>MATCH(J72,'Сводка'!$R$3:$R$397,0)</x:f>
        <x:v>83</x:v>
      </x:c>
      <x:c r="V72" s="4" t="n">
        <x:f>MATCH(J72-'Сводка'!$B$11,'Сводка'!$R$3:$R$397,0)</x:f>
        <x:v>82</x:v>
      </x:c>
      <x:c r="W72" s="4" t="n">
        <x:f>MATCH(T72,$J$388:$J$400,0)</x:f>
        <x:v>3</x:v>
      </x:c>
      <x:c r="X72" s="3"/>
      <x:c r="Y72" s="3"/>
      <x:c r="Z72" s="3"/>
    </x:row>
    <x:row r="73" ht="15" customHeight="1">
      <x:c r="A73" s="7" t="str">
        <x:f>IF(55&lt;='Сводка'!$B$3,'Сводка'!$B$4+55,"")</x:f>
      </x:c>
      <x:c r="B73" s="20" t="str">
        <x:f>IF($A73="","",(A73-$T$405+1)/1000)</x:f>
      </x:c>
      <x:c r="C73" s="20" t="str">
        <x:f>IF($A73="","",2*(A73-$T$405)/$T$406-1)</x:f>
      </x:c>
      <x:c r="D73" s="3" t="str">
        <x:f>IF($A73="","",$B$4+$B$5*LN(B73)+INDEX($E$4:$E$15,MONTH(A73)))</x:f>
      </x:c>
      <x:c r="E73" s="3" t="str">
        <x:f>IF($A73="","",SQRT($T$403^2+H73^2))</x:f>
      </x:c>
      <x:c r="F73" s="3" t="str">
        <x:f>IF($A73="","",D73-$T$404*E73)</x:f>
      </x:c>
      <x:c r="G73" s="3" t="str">
        <x:f>IF($A73="","",D73+$T$404*E73)</x:f>
      </x:c>
      <x:c r="H73" s="3" t="str">
        <x:f>IF($A73="","",SQRT(MAX(0,(1)*$S$409*(1)+(1)*$T$409*(LN(B73))+(LN(B73))*$S$410*(1)+(LN(B73))*$T$410*(LN(B73))+2*((1)*INDEX($S$416:$V$427,MONTH(A73),1)+(LN(B73))*INDEX($S$416:$V$427,MONTH(A73),2))+INDEX($W$416:$W$427,MONTH(A73)))))</x:f>
      </x:c>
      <x:c r="I73" s="3"/>
      <x:c r="J73" s="10" t="n">
        <x:v>45924</x:v>
      </x:c>
      <x:c r="K73" s="8" t="n">
        <x:f>INDEX('Сводка'!$S$3:$S$397,U73)</x:f>
        <x:v>284</x:v>
      </x:c>
      <x:c r="L73" s="8" t="n">
        <x:f>INDEX('Сводка'!$S$3:$S$397,V73)</x:f>
        <x:v>279</x:v>
      </x:c>
      <x:c r="M73" s="8" t="n">
        <x:f>INDEX($K$388:$N$400,W73,1)+INDEX($K$388:$N$400,W73,2)*LN(((J73-$T$405+1)/1000))+INDEX($O$388:$Z$400,W73,MONTH(J73))</x:f>
        <x:v>288.03835925441956</x:v>
      </x:c>
      <x:c r="N73" s="8" t="n">
        <x:f>K73-M73</x:f>
        <x:v>-4.038359254419561</x:v>
      </x:c>
      <x:c r="O73" s="8" t="n">
        <x:f>ABS(N73)</x:f>
        <x:v>4.038359254419561</x:v>
      </x:c>
      <x:c r="P73" s="8" t="n">
        <x:f>N73^2</x:f>
        <x:v>16.308345467756112</x:v>
      </x:c>
      <x:c r="Q73" s="8" t="n">
        <x:f>K73-L73</x:f>
        <x:v>5</x:v>
      </x:c>
      <x:c r="R73" s="9" t="n">
        <x:f>IF(AND(INDEX('Сводка'!$T$3:$T$397,U73)=0,INDEX('Сводка'!$T$3:$T$397,V73)=0),1,0)</x:f>
        <x:v>1</x:v>
      </x:c>
      <x:c r="S73" s="9" t="n">
        <x:f>IF(AND(R73=1,O73&lt;=$G$13),1,0)</x:f>
        <x:v>1</x:v>
      </x:c>
      <x:c r="T73" s="10" t="n">
        <x:f>EOMONTH(J73-'Сводка'!$B$11,-1)</x:f>
        <x:v>45900</x:v>
      </x:c>
      <x:c r="U73" s="4" t="n">
        <x:f>MATCH(J73,'Сводка'!$R$3:$R$397,0)</x:f>
        <x:v>84</x:v>
      </x:c>
      <x:c r="V73" s="4" t="n">
        <x:f>MATCH(J73-'Сводка'!$B$11,'Сводка'!$R$3:$R$397,0)</x:f>
        <x:v>83</x:v>
      </x:c>
      <x:c r="W73" s="4" t="n">
        <x:f>MATCH(T73,$J$388:$J$400,0)</x:f>
        <x:v>3</x:v>
      </x:c>
      <x:c r="X73" s="3"/>
      <x:c r="Y73" s="3"/>
      <x:c r="Z73" s="3"/>
    </x:row>
    <x:row r="74" ht="15" customHeight="1">
      <x:c r="A74" s="7" t="str">
        <x:f>IF(56&lt;='Сводка'!$B$3,'Сводка'!$B$4+56,"")</x:f>
      </x:c>
      <x:c r="B74" s="20" t="str">
        <x:f>IF($A74="","",(A74-$T$405+1)/1000)</x:f>
      </x:c>
      <x:c r="C74" s="20" t="str">
        <x:f>IF($A74="","",2*(A74-$T$405)/$T$406-1)</x:f>
      </x:c>
      <x:c r="D74" s="3" t="str">
        <x:f>IF($A74="","",$B$4+$B$5*LN(B74)+INDEX($E$4:$E$15,MONTH(A74)))</x:f>
      </x:c>
      <x:c r="E74" s="3" t="str">
        <x:f>IF($A74="","",SQRT($T$403^2+H74^2))</x:f>
      </x:c>
      <x:c r="F74" s="3" t="str">
        <x:f>IF($A74="","",D74-$T$404*E74)</x:f>
      </x:c>
      <x:c r="G74" s="3" t="str">
        <x:f>IF($A74="","",D74+$T$404*E74)</x:f>
      </x:c>
      <x:c r="H74" s="3" t="str">
        <x:f>IF($A74="","",SQRT(MAX(0,(1)*$S$409*(1)+(1)*$T$409*(LN(B74))+(LN(B74))*$S$410*(1)+(LN(B74))*$T$410*(LN(B74))+2*((1)*INDEX($S$416:$V$427,MONTH(A74),1)+(LN(B74))*INDEX($S$416:$V$427,MONTH(A74),2))+INDEX($W$416:$W$427,MONTH(A74)))))</x:f>
      </x:c>
      <x:c r="I74" s="3"/>
      <x:c r="J74" s="10" t="n">
        <x:v>45925</x:v>
      </x:c>
      <x:c r="K74" s="8" t="n">
        <x:f>INDEX('Сводка'!$S$3:$S$397,U74)</x:f>
        <x:v>288</x:v>
      </x:c>
      <x:c r="L74" s="8" t="n">
        <x:f>INDEX('Сводка'!$S$3:$S$397,V74)</x:f>
        <x:v>284</x:v>
      </x:c>
      <x:c r="M74" s="8" t="n">
        <x:f>INDEX($K$388:$N$400,W74,1)+INDEX($K$388:$N$400,W74,2)*LN(((J74-$T$405+1)/1000))+INDEX($O$388:$Z$400,W74,MONTH(J74))</x:f>
        <x:v>288.0443085644862</x:v>
      </x:c>
      <x:c r="N74" s="8" t="n">
        <x:f>K74-M74</x:f>
        <x:v>-0.0443085644861867</x:v>
      </x:c>
      <x:c r="O74" s="8" t="n">
        <x:f>ABS(N74)</x:f>
        <x:v>0.0443085644861867</x:v>
      </x:c>
      <x:c r="P74" s="8" t="n">
        <x:f>N74^2</x:f>
        <x:v>0.0019632488868265648</x:v>
      </x:c>
      <x:c r="Q74" s="8" t="n">
        <x:f>K74-L74</x:f>
        <x:v>4</x:v>
      </x:c>
      <x:c r="R74" s="9" t="n">
        <x:f>IF(AND(INDEX('Сводка'!$T$3:$T$397,U74)=0,INDEX('Сводка'!$T$3:$T$397,V74)=0),1,0)</x:f>
        <x:v>1</x:v>
      </x:c>
      <x:c r="S74" s="9" t="n">
        <x:f>IF(AND(R74=1,O74&lt;=$G$13),1,0)</x:f>
        <x:v>1</x:v>
      </x:c>
      <x:c r="T74" s="10" t="n">
        <x:f>EOMONTH(J74-'Сводка'!$B$11,-1)</x:f>
        <x:v>45900</x:v>
      </x:c>
      <x:c r="U74" s="4" t="n">
        <x:f>MATCH(J74,'Сводка'!$R$3:$R$397,0)</x:f>
        <x:v>85</x:v>
      </x:c>
      <x:c r="V74" s="4" t="n">
        <x:f>MATCH(J74-'Сводка'!$B$11,'Сводка'!$R$3:$R$397,0)</x:f>
        <x:v>84</x:v>
      </x:c>
      <x:c r="W74" s="4" t="n">
        <x:f>MATCH(T74,$J$388:$J$400,0)</x:f>
        <x:v>3</x:v>
      </x:c>
      <x:c r="X74" s="3"/>
      <x:c r="Y74" s="3"/>
      <x:c r="Z74" s="3"/>
    </x:row>
    <x:row r="75" ht="15" customHeight="1">
      <x:c r="A75" s="7" t="str">
        <x:f>IF(57&lt;='Сводка'!$B$3,'Сводка'!$B$4+57,"")</x:f>
      </x:c>
      <x:c r="B75" s="20" t="str">
        <x:f>IF($A75="","",(A75-$T$405+1)/1000)</x:f>
      </x:c>
      <x:c r="C75" s="20" t="str">
        <x:f>IF($A75="","",2*(A75-$T$405)/$T$406-1)</x:f>
      </x:c>
      <x:c r="D75" s="3" t="str">
        <x:f>IF($A75="","",$B$4+$B$5*LN(B75)+INDEX($E$4:$E$15,MONTH(A75)))</x:f>
      </x:c>
      <x:c r="E75" s="3" t="str">
        <x:f>IF($A75="","",SQRT($T$403^2+H75^2))</x:f>
      </x:c>
      <x:c r="F75" s="3" t="str">
        <x:f>IF($A75="","",D75-$T$404*E75)</x:f>
      </x:c>
      <x:c r="G75" s="3" t="str">
        <x:f>IF($A75="","",D75+$T$404*E75)</x:f>
      </x:c>
      <x:c r="H75" s="3" t="str">
        <x:f>IF($A75="","",SQRT(MAX(0,(1)*$S$409*(1)+(1)*$T$409*(LN(B75))+(LN(B75))*$S$410*(1)+(LN(B75))*$T$410*(LN(B75))+2*((1)*INDEX($S$416:$V$427,MONTH(A75),1)+(LN(B75))*INDEX($S$416:$V$427,MONTH(A75),2))+INDEX($W$416:$W$427,MONTH(A75)))))</x:f>
      </x:c>
      <x:c r="I75" s="3"/>
      <x:c r="J75" s="10" t="n">
        <x:v>45926</x:v>
      </x:c>
      <x:c r="K75" s="8" t="n">
        <x:f>INDEX('Сводка'!$S$3:$S$397,U75)</x:f>
        <x:v>290</x:v>
      </x:c>
      <x:c r="L75" s="8" t="n">
        <x:f>INDEX('Сводка'!$S$3:$S$397,V75)</x:f>
        <x:v>288</x:v>
      </x:c>
      <x:c r="M75" s="8" t="n">
        <x:f>INDEX($K$388:$N$400,W75,1)+INDEX($K$388:$N$400,W75,2)*LN(((J75-$T$405+1)/1000))+INDEX($O$388:$Z$400,W75,MONTH(J75))</x:f>
        <x:v>288.05025718831837</x:v>
      </x:c>
      <x:c r="N75" s="8" t="n">
        <x:f>K75-M75</x:f>
        <x:v>1.9497428116816309</x:v>
      </x:c>
      <x:c r="O75" s="8" t="n">
        <x:f>ABS(N75)</x:f>
        <x:v>1.9497428116816309</x:v>
      </x:c>
      <x:c r="P75" s="8" t="n">
        <x:f>N75^2</x:f>
        <x:v>3.8014970317041916</x:v>
      </x:c>
      <x:c r="Q75" s="8" t="n">
        <x:f>K75-L75</x:f>
        <x:v>2</x:v>
      </x:c>
      <x:c r="R75" s="9" t="n">
        <x:f>IF(AND(INDEX('Сводка'!$T$3:$T$397,U75)=0,INDEX('Сводка'!$T$3:$T$397,V75)=0),1,0)</x:f>
        <x:v>1</x:v>
      </x:c>
      <x:c r="S75" s="9" t="n">
        <x:f>IF(AND(R75=1,O75&lt;=$G$13),1,0)</x:f>
        <x:v>1</x:v>
      </x:c>
      <x:c r="T75" s="10" t="n">
        <x:f>EOMONTH(J75-'Сводка'!$B$11,-1)</x:f>
        <x:v>45900</x:v>
      </x:c>
      <x:c r="U75" s="4" t="n">
        <x:f>MATCH(J75,'Сводка'!$R$3:$R$397,0)</x:f>
        <x:v>86</x:v>
      </x:c>
      <x:c r="V75" s="4" t="n">
        <x:f>MATCH(J75-'Сводка'!$B$11,'Сводка'!$R$3:$R$397,0)</x:f>
        <x:v>85</x:v>
      </x:c>
      <x:c r="W75" s="4" t="n">
        <x:f>MATCH(T75,$J$388:$J$400,0)</x:f>
        <x:v>3</x:v>
      </x:c>
      <x:c r="X75" s="3"/>
      <x:c r="Y75" s="3"/>
      <x:c r="Z75" s="3"/>
    </x:row>
    <x:row r="76" ht="15" customHeight="1">
      <x:c r="A76" s="7" t="str">
        <x:f>IF(58&lt;='Сводка'!$B$3,'Сводка'!$B$4+58,"")</x:f>
      </x:c>
      <x:c r="B76" s="20" t="str">
        <x:f>IF($A76="","",(A76-$T$405+1)/1000)</x:f>
      </x:c>
      <x:c r="C76" s="20" t="str">
        <x:f>IF($A76="","",2*(A76-$T$405)/$T$406-1)</x:f>
      </x:c>
      <x:c r="D76" s="3" t="str">
        <x:f>IF($A76="","",$B$4+$B$5*LN(B76)+INDEX($E$4:$E$15,MONTH(A76)))</x:f>
      </x:c>
      <x:c r="E76" s="3" t="str">
        <x:f>IF($A76="","",SQRT($T$403^2+H76^2))</x:f>
      </x:c>
      <x:c r="F76" s="3" t="str">
        <x:f>IF($A76="","",D76-$T$404*E76)</x:f>
      </x:c>
      <x:c r="G76" s="3" t="str">
        <x:f>IF($A76="","",D76+$T$404*E76)</x:f>
      </x:c>
      <x:c r="H76" s="3" t="str">
        <x:f>IF($A76="","",SQRT(MAX(0,(1)*$S$409*(1)+(1)*$T$409*(LN(B76))+(LN(B76))*$S$410*(1)+(LN(B76))*$T$410*(LN(B76))+2*((1)*INDEX($S$416:$V$427,MONTH(A76),1)+(LN(B76))*INDEX($S$416:$V$427,MONTH(A76),2))+INDEX($W$416:$W$427,MONTH(A76)))))</x:f>
      </x:c>
      <x:c r="I76" s="3"/>
      <x:c r="J76" s="10" t="n">
        <x:v>45927</x:v>
      </x:c>
      <x:c r="K76" s="8" t="n">
        <x:f>INDEX('Сводка'!$S$3:$S$397,U76)</x:f>
        <x:v>291</x:v>
      </x:c>
      <x:c r="L76" s="8" t="n">
        <x:f>INDEX('Сводка'!$S$3:$S$397,V76)</x:f>
        <x:v>290</x:v>
      </x:c>
      <x:c r="M76" s="8" t="n">
        <x:f>INDEX($K$388:$N$400,W76,1)+INDEX($K$388:$N$400,W76,2)*LN(((J76-$T$405+1)/1000))+INDEX($O$388:$Z$400,W76,MONTH(J76))</x:f>
        <x:v>288.0562051260743</x:v>
      </x:c>
      <x:c r="N76" s="8" t="n">
        <x:f>K76-M76</x:f>
        <x:v>2.9437948739256967</x:v>
      </x:c>
      <x:c r="O76" s="8" t="n">
        <x:f>ABS(N76)</x:f>
        <x:v>2.9437948739256967</x:v>
      </x:c>
      <x:c r="P76" s="8" t="n">
        <x:f>N76^2</x:f>
        <x:v>8.665928259751208</x:v>
      </x:c>
      <x:c r="Q76" s="8" t="n">
        <x:f>K76-L76</x:f>
        <x:v>1</x:v>
      </x:c>
      <x:c r="R76" s="9" t="n">
        <x:f>IF(AND(INDEX('Сводка'!$T$3:$T$397,U76)=0,INDEX('Сводка'!$T$3:$T$397,V76)=0),1,0)</x:f>
        <x:v>1</x:v>
      </x:c>
      <x:c r="S76" s="9" t="n">
        <x:f>IF(AND(R76=1,O76&lt;=$G$13),1,0)</x:f>
        <x:v>1</x:v>
      </x:c>
      <x:c r="T76" s="10" t="n">
        <x:f>EOMONTH(J76-'Сводка'!$B$11,-1)</x:f>
        <x:v>45900</x:v>
      </x:c>
      <x:c r="U76" s="4" t="n">
        <x:f>MATCH(J76,'Сводка'!$R$3:$R$397,0)</x:f>
        <x:v>87</x:v>
      </x:c>
      <x:c r="V76" s="4" t="n">
        <x:f>MATCH(J76-'Сводка'!$B$11,'Сводка'!$R$3:$R$397,0)</x:f>
        <x:v>86</x:v>
      </x:c>
      <x:c r="W76" s="4" t="n">
        <x:f>MATCH(T76,$J$388:$J$400,0)</x:f>
        <x:v>3</x:v>
      </x:c>
      <x:c r="X76" s="3"/>
      <x:c r="Y76" s="3"/>
      <x:c r="Z76" s="3"/>
    </x:row>
    <x:row r="77" ht="15" customHeight="1">
      <x:c r="A77" s="7" t="str">
        <x:f>IF(59&lt;='Сводка'!$B$3,'Сводка'!$B$4+59,"")</x:f>
      </x:c>
      <x:c r="B77" s="20" t="str">
        <x:f>IF($A77="","",(A77-$T$405+1)/1000)</x:f>
      </x:c>
      <x:c r="C77" s="20" t="str">
        <x:f>IF($A77="","",2*(A77-$T$405)/$T$406-1)</x:f>
      </x:c>
      <x:c r="D77" s="3" t="str">
        <x:f>IF($A77="","",$B$4+$B$5*LN(B77)+INDEX($E$4:$E$15,MONTH(A77)))</x:f>
      </x:c>
      <x:c r="E77" s="3" t="str">
        <x:f>IF($A77="","",SQRT($T$403^2+H77^2))</x:f>
      </x:c>
      <x:c r="F77" s="3" t="str">
        <x:f>IF($A77="","",D77-$T$404*E77)</x:f>
      </x:c>
      <x:c r="G77" s="3" t="str">
        <x:f>IF($A77="","",D77+$T$404*E77)</x:f>
      </x:c>
      <x:c r="H77" s="3" t="str">
        <x:f>IF($A77="","",SQRT(MAX(0,(1)*$S$409*(1)+(1)*$T$409*(LN(B77))+(LN(B77))*$S$410*(1)+(LN(B77))*$T$410*(LN(B77))+2*((1)*INDEX($S$416:$V$427,MONTH(A77),1)+(LN(B77))*INDEX($S$416:$V$427,MONTH(A77),2))+INDEX($W$416:$W$427,MONTH(A77)))))</x:f>
      </x:c>
      <x:c r="I77" s="3"/>
      <x:c r="J77" s="10" t="n">
        <x:v>45928</x:v>
      </x:c>
      <x:c r="K77" s="8" t="n">
        <x:f>INDEX('Сводка'!$S$3:$S$397,U77)</x:f>
        <x:v>290</x:v>
      </x:c>
      <x:c r="L77" s="8" t="n">
        <x:f>INDEX('Сводка'!$S$3:$S$397,V77)</x:f>
        <x:v>291</x:v>
      </x:c>
      <x:c r="M77" s="8" t="n">
        <x:f>INDEX($K$388:$N$400,W77,1)+INDEX($K$388:$N$400,W77,2)*LN(((J77-$T$405+1)/1000))+INDEX($O$388:$Z$400,W77,MONTH(J77))</x:f>
        <x:v>288.0621523779123</x:v>
      </x:c>
      <x:c r="N77" s="8" t="n">
        <x:f>K77-M77</x:f>
        <x:v>1.937847622087702</x:v>
      </x:c>
      <x:c r="O77" s="8" t="n">
        <x:f>ABS(N77)</x:f>
        <x:v>1.937847622087702</x:v>
      </x:c>
      <x:c r="P77" s="8" t="n">
        <x:f>N77^2</x:f>
        <x:v>3.7552534064309606</x:v>
      </x:c>
      <x:c r="Q77" s="8" t="n">
        <x:f>K77-L77</x:f>
        <x:v>-1</x:v>
      </x:c>
      <x:c r="R77" s="9" t="n">
        <x:f>IF(AND(INDEX('Сводка'!$T$3:$T$397,U77)=0,INDEX('Сводка'!$T$3:$T$397,V77)=0),1,0)</x:f>
        <x:v>1</x:v>
      </x:c>
      <x:c r="S77" s="9" t="n">
        <x:f>IF(AND(R77=1,O77&lt;=$G$13),1,0)</x:f>
        <x:v>1</x:v>
      </x:c>
      <x:c r="T77" s="10" t="n">
        <x:f>EOMONTH(J77-'Сводка'!$B$11,-1)</x:f>
        <x:v>45900</x:v>
      </x:c>
      <x:c r="U77" s="4" t="n">
        <x:f>MATCH(J77,'Сводка'!$R$3:$R$397,0)</x:f>
        <x:v>88</x:v>
      </x:c>
      <x:c r="V77" s="4" t="n">
        <x:f>MATCH(J77-'Сводка'!$B$11,'Сводка'!$R$3:$R$397,0)</x:f>
        <x:v>87</x:v>
      </x:c>
      <x:c r="W77" s="4" t="n">
        <x:f>MATCH(T77,$J$388:$J$400,0)</x:f>
        <x:v>3</x:v>
      </x:c>
      <x:c r="X77" s="3"/>
      <x:c r="Y77" s="3"/>
      <x:c r="Z77" s="3"/>
    </x:row>
    <x:row r="78" ht="15" customHeight="1">
      <x:c r="A78" s="7" t="str">
        <x:f>IF(60&lt;='Сводка'!$B$3,'Сводка'!$B$4+60,"")</x:f>
      </x:c>
      <x:c r="B78" s="20" t="str">
        <x:f>IF($A78="","",(A78-$T$405+1)/1000)</x:f>
      </x:c>
      <x:c r="C78" s="20" t="str">
        <x:f>IF($A78="","",2*(A78-$T$405)/$T$406-1)</x:f>
      </x:c>
      <x:c r="D78" s="3" t="str">
        <x:f>IF($A78="","",$B$4+$B$5*LN(B78)+INDEX($E$4:$E$15,MONTH(A78)))</x:f>
      </x:c>
      <x:c r="E78" s="3" t="str">
        <x:f>IF($A78="","",SQRT($T$403^2+H78^2))</x:f>
      </x:c>
      <x:c r="F78" s="3" t="str">
        <x:f>IF($A78="","",D78-$T$404*E78)</x:f>
      </x:c>
      <x:c r="G78" s="3" t="str">
        <x:f>IF($A78="","",D78+$T$404*E78)</x:f>
      </x:c>
      <x:c r="H78" s="3" t="str">
        <x:f>IF($A78="","",SQRT(MAX(0,(1)*$S$409*(1)+(1)*$T$409*(LN(B78))+(LN(B78))*$S$410*(1)+(LN(B78))*$T$410*(LN(B78))+2*((1)*INDEX($S$416:$V$427,MONTH(A78),1)+(LN(B78))*INDEX($S$416:$V$427,MONTH(A78),2))+INDEX($W$416:$W$427,MONTH(A78)))))</x:f>
      </x:c>
      <x:c r="I78" s="3"/>
      <x:c r="J78" s="10" t="n">
        <x:v>45929</x:v>
      </x:c>
      <x:c r="K78" s="8" t="n">
        <x:f>INDEX('Сводка'!$S$3:$S$397,U78)</x:f>
        <x:v>290</x:v>
      </x:c>
      <x:c r="L78" s="8" t="n">
        <x:f>INDEX('Сводка'!$S$3:$S$397,V78)</x:f>
        <x:v>290</x:v>
      </x:c>
      <x:c r="M78" s="8" t="n">
        <x:f>INDEX($K$388:$N$400,W78,1)+INDEX($K$388:$N$400,W78,2)*LN(((J78-$T$405+1)/1000))+INDEX($O$388:$Z$400,W78,MONTH(J78))</x:f>
        <x:v>288.06809894399044</x:v>
      </x:c>
      <x:c r="N78" s="8" t="n">
        <x:f>K78-M78</x:f>
        <x:v>1.9319010560095649</x:v>
      </x:c>
      <x:c r="O78" s="8" t="n">
        <x:f>ABS(N78)</x:f>
        <x:v>1.9319010560095649</x:v>
      </x:c>
      <x:c r="P78" s="8" t="n">
        <x:f>N78^2</x:f>
        <x:v>3.7322416902108717</x:v>
      </x:c>
      <x:c r="Q78" s="8" t="n">
        <x:f>K78-L78</x:f>
        <x:v>0</x:v>
      </x:c>
      <x:c r="R78" s="9" t="n">
        <x:f>IF(AND(INDEX('Сводка'!$T$3:$T$397,U78)=0,INDEX('Сводка'!$T$3:$T$397,V78)=0),1,0)</x:f>
        <x:v>1</x:v>
      </x:c>
      <x:c r="S78" s="9" t="n">
        <x:f>IF(AND(R78=1,O78&lt;=$G$13),1,0)</x:f>
        <x:v>1</x:v>
      </x:c>
      <x:c r="T78" s="10" t="n">
        <x:f>EOMONTH(J78-'Сводка'!$B$11,-1)</x:f>
        <x:v>45900</x:v>
      </x:c>
      <x:c r="U78" s="4" t="n">
        <x:f>MATCH(J78,'Сводка'!$R$3:$R$397,0)</x:f>
        <x:v>89</x:v>
      </x:c>
      <x:c r="V78" s="4" t="n">
        <x:f>MATCH(J78-'Сводка'!$B$11,'Сводка'!$R$3:$R$397,0)</x:f>
        <x:v>88</x:v>
      </x:c>
      <x:c r="W78" s="4" t="n">
        <x:f>MATCH(T78,$J$388:$J$400,0)</x:f>
        <x:v>3</x:v>
      </x:c>
      <x:c r="X78" s="3"/>
      <x:c r="Y78" s="3"/>
      <x:c r="Z78" s="3"/>
    </x:row>
    <x:row r="79" ht="15" customHeight="1">
      <x:c r="A79" s="7" t="str">
        <x:f>IF(61&lt;='Сводка'!$B$3,'Сводка'!$B$4+61,"")</x:f>
      </x:c>
      <x:c r="B79" s="20" t="str">
        <x:f>IF($A79="","",(A79-$T$405+1)/1000)</x:f>
      </x:c>
      <x:c r="C79" s="20" t="str">
        <x:f>IF($A79="","",2*(A79-$T$405)/$T$406-1)</x:f>
      </x:c>
      <x:c r="D79" s="3" t="str">
        <x:f>IF($A79="","",$B$4+$B$5*LN(B79)+INDEX($E$4:$E$15,MONTH(A79)))</x:f>
      </x:c>
      <x:c r="E79" s="3" t="str">
        <x:f>IF($A79="","",SQRT($T$403^2+H79^2))</x:f>
      </x:c>
      <x:c r="F79" s="3" t="str">
        <x:f>IF($A79="","",D79-$T$404*E79)</x:f>
      </x:c>
      <x:c r="G79" s="3" t="str">
        <x:f>IF($A79="","",D79+$T$404*E79)</x:f>
      </x:c>
      <x:c r="H79" s="3" t="str">
        <x:f>IF($A79="","",SQRT(MAX(0,(1)*$S$409*(1)+(1)*$T$409*(LN(B79))+(LN(B79))*$S$410*(1)+(LN(B79))*$T$410*(LN(B79))+2*((1)*INDEX($S$416:$V$427,MONTH(A79),1)+(LN(B79))*INDEX($S$416:$V$427,MONTH(A79),2))+INDEX($W$416:$W$427,MONTH(A79)))))</x:f>
      </x:c>
      <x:c r="I79" s="3"/>
      <x:c r="J79" s="10" t="n">
        <x:v>45930</x:v>
      </x:c>
      <x:c r="K79" s="8" t="n">
        <x:f>INDEX('Сводка'!$S$3:$S$397,U79)</x:f>
        <x:v>293</x:v>
      </x:c>
      <x:c r="L79" s="8" t="n">
        <x:f>INDEX('Сводка'!$S$3:$S$397,V79)</x:f>
        <x:v>290</x:v>
      </x:c>
      <x:c r="M79" s="8" t="n">
        <x:f>INDEX($K$388:$N$400,W79,1)+INDEX($K$388:$N$400,W79,2)*LN(((J79-$T$405+1)/1000))+INDEX($O$388:$Z$400,W79,MONTH(J79))</x:f>
        <x:v>288.07404482446697</x:v>
      </x:c>
      <x:c r="N79" s="8" t="n">
        <x:f>K79-M79</x:f>
        <x:v>4.9259551755330335</x:v>
      </x:c>
      <x:c r="O79" s="8" t="n">
        <x:f>ABS(N79)</x:f>
        <x:v>4.9259551755330335</x:v>
      </x:c>
      <x:c r="P79" s="8" t="n">
        <x:f>N79^2</x:f>
        <x:v>24.26503439136068</x:v>
      </x:c>
      <x:c r="Q79" s="8" t="n">
        <x:f>K79-L79</x:f>
        <x:v>3</x:v>
      </x:c>
      <x:c r="R79" s="9" t="n">
        <x:f>IF(AND(INDEX('Сводка'!$T$3:$T$397,U79)=0,INDEX('Сводка'!$T$3:$T$397,V79)=0),1,0)</x:f>
        <x:v>1</x:v>
      </x:c>
      <x:c r="S79" s="9" t="n">
        <x:f>IF(AND(R79=1,O79&lt;=$G$13),1,0)</x:f>
        <x:v>1</x:v>
      </x:c>
      <x:c r="T79" s="10" t="n">
        <x:f>EOMONTH(J79-'Сводка'!$B$11,-1)</x:f>
        <x:v>45900</x:v>
      </x:c>
      <x:c r="U79" s="4" t="n">
        <x:f>MATCH(J79,'Сводка'!$R$3:$R$397,0)</x:f>
        <x:v>90</x:v>
      </x:c>
      <x:c r="V79" s="4" t="n">
        <x:f>MATCH(J79-'Сводка'!$B$11,'Сводка'!$R$3:$R$397,0)</x:f>
        <x:v>89</x:v>
      </x:c>
      <x:c r="W79" s="4" t="n">
        <x:f>MATCH(T79,$J$388:$J$400,0)</x:f>
        <x:v>3</x:v>
      </x:c>
      <x:c r="X79" s="3"/>
      <x:c r="Y79" s="3"/>
      <x:c r="Z79" s="3"/>
    </x:row>
    <x:row r="80" ht="15" customHeight="1">
      <x:c r="A80" s="7" t="str">
        <x:f>IF(62&lt;='Сводка'!$B$3,'Сводка'!$B$4+62,"")</x:f>
      </x:c>
      <x:c r="B80" s="20" t="str">
        <x:f>IF($A80="","",(A80-$T$405+1)/1000)</x:f>
      </x:c>
      <x:c r="C80" s="20" t="str">
        <x:f>IF($A80="","",2*(A80-$T$405)/$T$406-1)</x:f>
      </x:c>
      <x:c r="D80" s="3" t="str">
        <x:f>IF($A80="","",$B$4+$B$5*LN(B80)+INDEX($E$4:$E$15,MONTH(A80)))</x:f>
      </x:c>
      <x:c r="E80" s="3" t="str">
        <x:f>IF($A80="","",SQRT($T$403^2+H80^2))</x:f>
      </x:c>
      <x:c r="F80" s="3" t="str">
        <x:f>IF($A80="","",D80-$T$404*E80)</x:f>
      </x:c>
      <x:c r="G80" s="3" t="str">
        <x:f>IF($A80="","",D80+$T$404*E80)</x:f>
      </x:c>
      <x:c r="H80" s="3" t="str">
        <x:f>IF($A80="","",SQRT(MAX(0,(1)*$S$409*(1)+(1)*$T$409*(LN(B80))+(LN(B80))*$S$410*(1)+(LN(B80))*$T$410*(LN(B80))+2*((1)*INDEX($S$416:$V$427,MONTH(A80),1)+(LN(B80))*INDEX($S$416:$V$427,MONTH(A80),2))+INDEX($W$416:$W$427,MONTH(A80)))))</x:f>
      </x:c>
      <x:c r="I80" s="3"/>
      <x:c r="J80" s="10" t="n">
        <x:v>45931</x:v>
      </x:c>
      <x:c r="K80" s="8" t="n">
        <x:f>INDEX('Сводка'!$S$3:$S$397,U80)</x:f>
        <x:v>292</x:v>
      </x:c>
      <x:c r="L80" s="8" t="n">
        <x:f>INDEX('Сводка'!$S$3:$S$397,V80)</x:f>
        <x:v>293</x:v>
      </x:c>
      <x:c r="M80" s="8" t="n">
        <x:f>INDEX($K$388:$N$400,W80,1)+INDEX($K$388:$N$400,W80,2)*LN(((J80-$T$405+1)/1000))+INDEX($O$388:$Z$400,W80,MONTH(J80))</x:f>
        <x:v>134.25849624556704</x:v>
      </x:c>
      <x:c r="N80" s="8" t="n">
        <x:f>K80-M80</x:f>
        <x:v>157.74150375443296</x:v>
      </x:c>
      <x:c r="O80" s="8" t="n">
        <x:f>ABS(N80)</x:f>
        <x:v>157.74150375443296</x:v>
      </x:c>
      <x:c r="P80" s="8" t="n">
        <x:f>N80^2</x:f>
        <x:v>24882.382006709788</x:v>
      </x:c>
      <x:c r="Q80" s="8" t="n">
        <x:f>K80-L80</x:f>
        <x:v>-1</x:v>
      </x:c>
      <x:c r="R80" s="9" t="n">
        <x:f>IF(AND(INDEX('Сводка'!$T$3:$T$397,U80)=0,INDEX('Сводка'!$T$3:$T$397,V80)=0),1,0)</x:f>
        <x:v>1</x:v>
      </x:c>
      <x:c r="S80" s="9" t="n">
        <x:f>IF(AND(R80=1,O80&lt;=$G$13),1,0)</x:f>
        <x:v>0</x:v>
      </x:c>
      <x:c r="T80" s="10" t="n">
        <x:f>EOMONTH(J80-'Сводка'!$B$11,-1)</x:f>
        <x:v>45900</x:v>
      </x:c>
      <x:c r="U80" s="4" t="n">
        <x:f>MATCH(J80,'Сводка'!$R$3:$R$397,0)</x:f>
        <x:v>91</x:v>
      </x:c>
      <x:c r="V80" s="4" t="n">
        <x:f>MATCH(J80-'Сводка'!$B$11,'Сводка'!$R$3:$R$397,0)</x:f>
        <x:v>90</x:v>
      </x:c>
      <x:c r="W80" s="4" t="n">
        <x:f>MATCH(T80,$J$388:$J$400,0)</x:f>
        <x:v>3</x:v>
      </x:c>
      <x:c r="X80" s="3"/>
      <x:c r="Y80" s="3"/>
      <x:c r="Z80" s="3"/>
    </x:row>
    <x:row r="81" ht="15" customHeight="1">
      <x:c r="A81" s="7" t="str">
        <x:f>IF(63&lt;='Сводка'!$B$3,'Сводка'!$B$4+63,"")</x:f>
      </x:c>
      <x:c r="B81" s="20" t="str">
        <x:f>IF($A81="","",(A81-$T$405+1)/1000)</x:f>
      </x:c>
      <x:c r="C81" s="20" t="str">
        <x:f>IF($A81="","",2*(A81-$T$405)/$T$406-1)</x:f>
      </x:c>
      <x:c r="D81" s="3" t="str">
        <x:f>IF($A81="","",$B$4+$B$5*LN(B81)+INDEX($E$4:$E$15,MONTH(A81)))</x:f>
      </x:c>
      <x:c r="E81" s="3" t="str">
        <x:f>IF($A81="","",SQRT($T$403^2+H81^2))</x:f>
      </x:c>
      <x:c r="F81" s="3" t="str">
        <x:f>IF($A81="","",D81-$T$404*E81)</x:f>
      </x:c>
      <x:c r="G81" s="3" t="str">
        <x:f>IF($A81="","",D81+$T$404*E81)</x:f>
      </x:c>
      <x:c r="H81" s="3" t="str">
        <x:f>IF($A81="","",SQRT(MAX(0,(1)*$S$409*(1)+(1)*$T$409*(LN(B81))+(LN(B81))*$S$410*(1)+(LN(B81))*$T$410*(LN(B81))+2*((1)*INDEX($S$416:$V$427,MONTH(A81),1)+(LN(B81))*INDEX($S$416:$V$427,MONTH(A81),2))+INDEX($W$416:$W$427,MONTH(A81)))))</x:f>
      </x:c>
      <x:c r="I81" s="3"/>
      <x:c r="J81" s="10" t="n">
        <x:v>45932</x:v>
      </x:c>
      <x:c r="K81" s="8" t="n">
        <x:f>INDEX('Сводка'!$S$3:$S$397,U81)</x:f>
        <x:v>284</x:v>
      </x:c>
      <x:c r="L81" s="8" t="n">
        <x:f>INDEX('Сводка'!$S$3:$S$397,V81)</x:f>
        <x:v>292</x:v>
      </x:c>
      <x:c r="M81" s="8" t="n">
        <x:f>INDEX($K$388:$N$400,W81,1)+INDEX($K$388:$N$400,W81,2)*LN(((J81-$T$405+1)/1000))+INDEX($O$388:$Z$400,W81,MONTH(J81))</x:f>
        <x:v>134.11244984672783</x:v>
      </x:c>
      <x:c r="N81" s="8" t="n">
        <x:f>K81-M81</x:f>
        <x:v>149.88755015327217</x:v>
      </x:c>
      <x:c r="O81" s="8" t="n">
        <x:f>ABS(N81)</x:f>
        <x:v>149.88755015327217</x:v>
      </x:c>
      <x:c r="P81" s="8" t="n">
        <x:f>N81^2</x:f>
        <x:v>22466.277690949682</x:v>
      </x:c>
      <x:c r="Q81" s="8" t="n">
        <x:f>K81-L81</x:f>
        <x:v>-8</x:v>
      </x:c>
      <x:c r="R81" s="9" t="n">
        <x:f>IF(AND(INDEX('Сводка'!$T$3:$T$397,U81)=0,INDEX('Сводка'!$T$3:$T$397,V81)=0),1,0)</x:f>
        <x:v>1</x:v>
      </x:c>
      <x:c r="S81" s="9" t="n">
        <x:f>IF(AND(R81=1,O81&lt;=$G$13),1,0)</x:f>
        <x:v>0</x:v>
      </x:c>
      <x:c r="T81" s="10" t="n">
        <x:f>EOMONTH(J81-'Сводка'!$B$11,-1)</x:f>
        <x:v>45930</x:v>
      </x:c>
      <x:c r="U81" s="4" t="n">
        <x:f>MATCH(J81,'Сводка'!$R$3:$R$397,0)</x:f>
        <x:v>92</x:v>
      </x:c>
      <x:c r="V81" s="4" t="n">
        <x:f>MATCH(J81-'Сводка'!$B$11,'Сводка'!$R$3:$R$397,0)</x:f>
        <x:v>91</x:v>
      </x:c>
      <x:c r="W81" s="4" t="n">
        <x:f>MATCH(T81,$J$388:$J$400,0)</x:f>
        <x:v>4</x:v>
      </x:c>
      <x:c r="X81" s="3"/>
      <x:c r="Y81" s="3"/>
      <x:c r="Z81" s="3"/>
    </x:row>
    <x:row r="82" ht="15" customHeight="1">
      <x:c r="A82" s="7" t="str">
        <x:f>IF(64&lt;='Сводка'!$B$3,'Сводка'!$B$4+64,"")</x:f>
      </x:c>
      <x:c r="B82" s="20" t="str">
        <x:f>IF($A82="","",(A82-$T$405+1)/1000)</x:f>
      </x:c>
      <x:c r="C82" s="20" t="str">
        <x:f>IF($A82="","",2*(A82-$T$405)/$T$406-1)</x:f>
      </x:c>
      <x:c r="D82" s="3" t="str">
        <x:f>IF($A82="","",$B$4+$B$5*LN(B82)+INDEX($E$4:$E$15,MONTH(A82)))</x:f>
      </x:c>
      <x:c r="E82" s="3" t="str">
        <x:f>IF($A82="","",SQRT($T$403^2+H82^2))</x:f>
      </x:c>
      <x:c r="F82" s="3" t="str">
        <x:f>IF($A82="","",D82-$T$404*E82)</x:f>
      </x:c>
      <x:c r="G82" s="3" t="str">
        <x:f>IF($A82="","",D82+$T$404*E82)</x:f>
      </x:c>
      <x:c r="H82" s="3" t="str">
        <x:f>IF($A82="","",SQRT(MAX(0,(1)*$S$409*(1)+(1)*$T$409*(LN(B82))+(LN(B82))*$S$410*(1)+(LN(B82))*$T$410*(LN(B82))+2*((1)*INDEX($S$416:$V$427,MONTH(A82),1)+(LN(B82))*INDEX($S$416:$V$427,MONTH(A82),2))+INDEX($W$416:$W$427,MONTH(A82)))))</x:f>
      </x:c>
      <x:c r="I82" s="3"/>
      <x:c r="J82" s="10" t="n">
        <x:v>45933</x:v>
      </x:c>
      <x:c r="K82" s="8" t="n">
        <x:f>INDEX('Сводка'!$S$3:$S$397,U82)</x:f>
        <x:v>274</x:v>
      </x:c>
      <x:c r="L82" s="8" t="n">
        <x:f>INDEX('Сводка'!$S$3:$S$397,V82)</x:f>
        <x:v>284</x:v>
      </x:c>
      <x:c r="M82" s="8" t="n">
        <x:f>INDEX($K$388:$N$400,W82,1)+INDEX($K$388:$N$400,W82,2)*LN(((J82-$T$405+1)/1000))+INDEX($O$388:$Z$400,W82,MONTH(J82))</x:f>
        <x:v>134.11837541554627</x:v>
      </x:c>
      <x:c r="N82" s="8" t="n">
        <x:f>K82-M82</x:f>
        <x:v>139.88162458445373</x:v>
      </x:c>
      <x:c r="O82" s="8" t="n">
        <x:f>ABS(N82)</x:f>
        <x:v>139.88162458445373</x:v>
      </x:c>
      <x:c r="P82" s="8" t="n">
        <x:f>N82^2</x:f>
        <x:v>19566.86889638605</x:v>
      </x:c>
      <x:c r="Q82" s="8" t="n">
        <x:f>K82-L82</x:f>
        <x:v>-10</x:v>
      </x:c>
      <x:c r="R82" s="9" t="n">
        <x:f>IF(AND(INDEX('Сводка'!$T$3:$T$397,U82)=0,INDEX('Сводка'!$T$3:$T$397,V82)=0),1,0)</x:f>
        <x:v>1</x:v>
      </x:c>
      <x:c r="S82" s="9" t="n">
        <x:f>IF(AND(R82=1,O82&lt;=$G$13),1,0)</x:f>
        <x:v>0</x:v>
      </x:c>
      <x:c r="T82" s="10" t="n">
        <x:f>EOMONTH(J82-'Сводка'!$B$11,-1)</x:f>
        <x:v>45930</x:v>
      </x:c>
      <x:c r="U82" s="4" t="n">
        <x:f>MATCH(J82,'Сводка'!$R$3:$R$397,0)</x:f>
        <x:v>93</x:v>
      </x:c>
      <x:c r="V82" s="4" t="n">
        <x:f>MATCH(J82-'Сводка'!$B$11,'Сводка'!$R$3:$R$397,0)</x:f>
        <x:v>92</x:v>
      </x:c>
      <x:c r="W82" s="4" t="n">
        <x:f>MATCH(T82,$J$388:$J$400,0)</x:f>
        <x:v>4</x:v>
      </x:c>
      <x:c r="X82" s="3"/>
      <x:c r="Y82" s="3"/>
      <x:c r="Z82" s="3"/>
    </x:row>
    <x:row r="83" ht="15" customHeight="1">
      <x:c r="A83" s="7" t="str">
        <x:f>IF(65&lt;='Сводка'!$B$3,'Сводка'!$B$4+65,"")</x:f>
      </x:c>
      <x:c r="B83" s="20" t="str">
        <x:f>IF($A83="","",(A83-$T$405+1)/1000)</x:f>
      </x:c>
      <x:c r="C83" s="20" t="str">
        <x:f>IF($A83="","",2*(A83-$T$405)/$T$406-1)</x:f>
      </x:c>
      <x:c r="D83" s="3" t="str">
        <x:f>IF($A83="","",$B$4+$B$5*LN(B83)+INDEX($E$4:$E$15,MONTH(A83)))</x:f>
      </x:c>
      <x:c r="E83" s="3" t="str">
        <x:f>IF($A83="","",SQRT($T$403^2+H83^2))</x:f>
      </x:c>
      <x:c r="F83" s="3" t="str">
        <x:f>IF($A83="","",D83-$T$404*E83)</x:f>
      </x:c>
      <x:c r="G83" s="3" t="str">
        <x:f>IF($A83="","",D83+$T$404*E83)</x:f>
      </x:c>
      <x:c r="H83" s="3" t="str">
        <x:f>IF($A83="","",SQRT(MAX(0,(1)*$S$409*(1)+(1)*$T$409*(LN(B83))+(LN(B83))*$S$410*(1)+(LN(B83))*$T$410*(LN(B83))+2*((1)*INDEX($S$416:$V$427,MONTH(A83),1)+(LN(B83))*INDEX($S$416:$V$427,MONTH(A83),2))+INDEX($W$416:$W$427,MONTH(A83)))))</x:f>
      </x:c>
      <x:c r="I83" s="3"/>
      <x:c r="J83" s="10" t="n">
        <x:v>45934</x:v>
      </x:c>
      <x:c r="K83" s="8" t="n">
        <x:f>INDEX('Сводка'!$S$3:$S$397,U83)</x:f>
        <x:v>258</x:v>
      </x:c>
      <x:c r="L83" s="8" t="n">
        <x:f>INDEX('Сводка'!$S$3:$S$397,V83)</x:f>
        <x:v>274</x:v>
      </x:c>
      <x:c r="M83" s="8" t="n">
        <x:f>INDEX($K$388:$N$400,W83,1)+INDEX($K$388:$N$400,W83,2)*LN(((J83-$T$405+1)/1000))+INDEX($O$388:$Z$400,W83,MONTH(J83))</x:f>
        <x:v>134.12430030149883</x:v>
      </x:c>
      <x:c r="N83" s="8" t="n">
        <x:f>K83-M83</x:f>
        <x:v>123.87569969850117</x:v>
      </x:c>
      <x:c r="O83" s="8" t="n">
        <x:f>ABS(N83)</x:f>
        <x:v>123.87569969850117</x:v>
      </x:c>
      <x:c r="P83" s="8" t="n">
        <x:f>N83^2</x:f>
        <x:v>15345.188975793242</x:v>
      </x:c>
      <x:c r="Q83" s="8" t="n">
        <x:f>K83-L83</x:f>
        <x:v>-16</x:v>
      </x:c>
      <x:c r="R83" s="9" t="n">
        <x:f>IF(AND(INDEX('Сводка'!$T$3:$T$397,U83)=0,INDEX('Сводка'!$T$3:$T$397,V83)=0),1,0)</x:f>
        <x:v>1</x:v>
      </x:c>
      <x:c r="S83" s="9" t="n">
        <x:f>IF(AND(R83=1,O83&lt;=$G$13),1,0)</x:f>
        <x:v>0</x:v>
      </x:c>
      <x:c r="T83" s="10" t="n">
        <x:f>EOMONTH(J83-'Сводка'!$B$11,-1)</x:f>
        <x:v>45930</x:v>
      </x:c>
      <x:c r="U83" s="4" t="n">
        <x:f>MATCH(J83,'Сводка'!$R$3:$R$397,0)</x:f>
        <x:v>94</x:v>
      </x:c>
      <x:c r="V83" s="4" t="n">
        <x:f>MATCH(J83-'Сводка'!$B$11,'Сводка'!$R$3:$R$397,0)</x:f>
        <x:v>93</x:v>
      </x:c>
      <x:c r="W83" s="4" t="n">
        <x:f>MATCH(T83,$J$388:$J$400,0)</x:f>
        <x:v>4</x:v>
      </x:c>
      <x:c r="X83" s="3"/>
      <x:c r="Y83" s="3"/>
      <x:c r="Z83" s="3"/>
    </x:row>
    <x:row r="84" ht="15" customHeight="1">
      <x:c r="A84" s="7" t="str">
        <x:f>IF(66&lt;='Сводка'!$B$3,'Сводка'!$B$4+66,"")</x:f>
      </x:c>
      <x:c r="B84" s="20" t="str">
        <x:f>IF($A84="","",(A84-$T$405+1)/1000)</x:f>
      </x:c>
      <x:c r="C84" s="20" t="str">
        <x:f>IF($A84="","",2*(A84-$T$405)/$T$406-1)</x:f>
      </x:c>
      <x:c r="D84" s="3" t="str">
        <x:f>IF($A84="","",$B$4+$B$5*LN(B84)+INDEX($E$4:$E$15,MONTH(A84)))</x:f>
      </x:c>
      <x:c r="E84" s="3" t="str">
        <x:f>IF($A84="","",SQRT($T$403^2+H84^2))</x:f>
      </x:c>
      <x:c r="F84" s="3" t="str">
        <x:f>IF($A84="","",D84-$T$404*E84)</x:f>
      </x:c>
      <x:c r="G84" s="3" t="str">
        <x:f>IF($A84="","",D84+$T$404*E84)</x:f>
      </x:c>
      <x:c r="H84" s="3" t="str">
        <x:f>IF($A84="","",SQRT(MAX(0,(1)*$S$409*(1)+(1)*$T$409*(LN(B84))+(LN(B84))*$S$410*(1)+(LN(B84))*$T$410*(LN(B84))+2*((1)*INDEX($S$416:$V$427,MONTH(A84),1)+(LN(B84))*INDEX($S$416:$V$427,MONTH(A84),2))+INDEX($W$416:$W$427,MONTH(A84)))))</x:f>
      </x:c>
      <x:c r="I84" s="3"/>
      <x:c r="J84" s="10" t="n">
        <x:v>45935</x:v>
      </x:c>
      <x:c r="K84" s="8" t="n">
        <x:f>INDEX('Сводка'!$S$3:$S$397,U84)</x:f>
        <x:v>240</x:v>
      </x:c>
      <x:c r="L84" s="8" t="n">
        <x:f>INDEX('Сводка'!$S$3:$S$397,V84)</x:f>
        <x:v>258</x:v>
      </x:c>
      <x:c r="M84" s="8" t="n">
        <x:f>INDEX($K$388:$N$400,W84,1)+INDEX($K$388:$N$400,W84,2)*LN(((J84-$T$405+1)/1000))+INDEX($O$388:$Z$400,W84,MONTH(J84))</x:f>
        <x:v>134.13022450474284</x:v>
      </x:c>
      <x:c r="N84" s="8" t="n">
        <x:f>K84-M84</x:f>
        <x:v>105.86977549525716</x:v>
      </x:c>
      <x:c r="O84" s="8" t="n">
        <x:f>ABS(N84)</x:f>
        <x:v>105.86977549525716</x:v>
      </x:c>
      <x:c r="P84" s="8" t="n">
        <x:f>N84^2</x:f>
        <x:v>11208.409363416153</x:v>
      </x:c>
      <x:c r="Q84" s="8" t="n">
        <x:f>K84-L84</x:f>
        <x:v>-18</x:v>
      </x:c>
      <x:c r="R84" s="9" t="n">
        <x:f>IF(AND(INDEX('Сводка'!$T$3:$T$397,U84)=0,INDEX('Сводка'!$T$3:$T$397,V84)=0),1,0)</x:f>
        <x:v>1</x:v>
      </x:c>
      <x:c r="S84" s="9" t="n">
        <x:f>IF(AND(R84=1,O84&lt;=$G$13),1,0)</x:f>
        <x:v>0</x:v>
      </x:c>
      <x:c r="T84" s="10" t="n">
        <x:f>EOMONTH(J84-'Сводка'!$B$11,-1)</x:f>
        <x:v>45930</x:v>
      </x:c>
      <x:c r="U84" s="4" t="n">
        <x:f>MATCH(J84,'Сводка'!$R$3:$R$397,0)</x:f>
        <x:v>95</x:v>
      </x:c>
      <x:c r="V84" s="4" t="n">
        <x:f>MATCH(J84-'Сводка'!$B$11,'Сводка'!$R$3:$R$397,0)</x:f>
        <x:v>94</x:v>
      </x:c>
      <x:c r="W84" s="4" t="n">
        <x:f>MATCH(T84,$J$388:$J$400,0)</x:f>
        <x:v>4</x:v>
      </x:c>
      <x:c r="X84" s="3"/>
      <x:c r="Y84" s="3"/>
      <x:c r="Z84" s="3"/>
    </x:row>
    <x:row r="85" ht="15" customHeight="1">
      <x:c r="A85" s="7" t="str">
        <x:f>IF(67&lt;='Сводка'!$B$3,'Сводка'!$B$4+67,"")</x:f>
      </x:c>
      <x:c r="B85" s="20" t="str">
        <x:f>IF($A85="","",(A85-$T$405+1)/1000)</x:f>
      </x:c>
      <x:c r="C85" s="20" t="str">
        <x:f>IF($A85="","",2*(A85-$T$405)/$T$406-1)</x:f>
      </x:c>
      <x:c r="D85" s="3" t="str">
        <x:f>IF($A85="","",$B$4+$B$5*LN(B85)+INDEX($E$4:$E$15,MONTH(A85)))</x:f>
      </x:c>
      <x:c r="E85" s="3" t="str">
        <x:f>IF($A85="","",SQRT($T$403^2+H85^2))</x:f>
      </x:c>
      <x:c r="F85" s="3" t="str">
        <x:f>IF($A85="","",D85-$T$404*E85)</x:f>
      </x:c>
      <x:c r="G85" s="3" t="str">
        <x:f>IF($A85="","",D85+$T$404*E85)</x:f>
      </x:c>
      <x:c r="H85" s="3" t="str">
        <x:f>IF($A85="","",SQRT(MAX(0,(1)*$S$409*(1)+(1)*$T$409*(LN(B85))+(LN(B85))*$S$410*(1)+(LN(B85))*$T$410*(LN(B85))+2*((1)*INDEX($S$416:$V$427,MONTH(A85),1)+(LN(B85))*INDEX($S$416:$V$427,MONTH(A85),2))+INDEX($W$416:$W$427,MONTH(A85)))))</x:f>
      </x:c>
      <x:c r="I85" s="3"/>
      <x:c r="J85" s="10" t="n">
        <x:v>45936</x:v>
      </x:c>
      <x:c r="K85" s="8" t="n">
        <x:f>INDEX('Сводка'!$S$3:$S$397,U85)</x:f>
        <x:v>224</x:v>
      </x:c>
      <x:c r="L85" s="8" t="n">
        <x:f>INDEX('Сводка'!$S$3:$S$397,V85)</x:f>
        <x:v>240</x:v>
      </x:c>
      <x:c r="M85" s="8" t="n">
        <x:f>INDEX($K$388:$N$400,W85,1)+INDEX($K$388:$N$400,W85,2)*LN(((J85-$T$405+1)/1000))+INDEX($O$388:$Z$400,W85,MONTH(J85))</x:f>
        <x:v>134.13614802543566</x:v>
      </x:c>
      <x:c r="N85" s="8" t="n">
        <x:f>K85-M85</x:f>
        <x:v>89.86385197456434</x:v>
      </x:c>
      <x:c r="O85" s="8" t="n">
        <x:f>ABS(N85)</x:f>
        <x:v>89.86385197456434</x:v>
      </x:c>
      <x:c r="P85" s="8" t="n">
        <x:f>N85^2</x:f>
        <x:v>8075.511891706411</x:v>
      </x:c>
      <x:c r="Q85" s="8" t="n">
        <x:f>K85-L85</x:f>
        <x:v>-16</x:v>
      </x:c>
      <x:c r="R85" s="9" t="n">
        <x:f>IF(AND(INDEX('Сводка'!$T$3:$T$397,U85)=0,INDEX('Сводка'!$T$3:$T$397,V85)=0),1,0)</x:f>
        <x:v>1</x:v>
      </x:c>
      <x:c r="S85" s="9" t="n">
        <x:f>IF(AND(R85=1,O85&lt;=$G$13),1,0)</x:f>
        <x:v>0</x:v>
      </x:c>
      <x:c r="T85" s="10" t="n">
        <x:f>EOMONTH(J85-'Сводка'!$B$11,-1)</x:f>
        <x:v>45930</x:v>
      </x:c>
      <x:c r="U85" s="4" t="n">
        <x:f>MATCH(J85,'Сводка'!$R$3:$R$397,0)</x:f>
        <x:v>96</x:v>
      </x:c>
      <x:c r="V85" s="4" t="n">
        <x:f>MATCH(J85-'Сводка'!$B$11,'Сводка'!$R$3:$R$397,0)</x:f>
        <x:v>95</x:v>
      </x:c>
      <x:c r="W85" s="4" t="n">
        <x:f>MATCH(T85,$J$388:$J$400,0)</x:f>
        <x:v>4</x:v>
      </x:c>
      <x:c r="X85" s="3"/>
      <x:c r="Y85" s="3"/>
      <x:c r="Z85" s="3"/>
    </x:row>
    <x:row r="86" ht="15" customHeight="1">
      <x:c r="A86" s="7" t="str">
        <x:f>IF(68&lt;='Сводка'!$B$3,'Сводка'!$B$4+68,"")</x:f>
      </x:c>
      <x:c r="B86" s="20" t="str">
        <x:f>IF($A86="","",(A86-$T$405+1)/1000)</x:f>
      </x:c>
      <x:c r="C86" s="20" t="str">
        <x:f>IF($A86="","",2*(A86-$T$405)/$T$406-1)</x:f>
      </x:c>
      <x:c r="D86" s="3" t="str">
        <x:f>IF($A86="","",$B$4+$B$5*LN(B86)+INDEX($E$4:$E$15,MONTH(A86)))</x:f>
      </x:c>
      <x:c r="E86" s="3" t="str">
        <x:f>IF($A86="","",SQRT($T$403^2+H86^2))</x:f>
      </x:c>
      <x:c r="F86" s="3" t="str">
        <x:f>IF($A86="","",D86-$T$404*E86)</x:f>
      </x:c>
      <x:c r="G86" s="3" t="str">
        <x:f>IF($A86="","",D86+$T$404*E86)</x:f>
      </x:c>
      <x:c r="H86" s="3" t="str">
        <x:f>IF($A86="","",SQRT(MAX(0,(1)*$S$409*(1)+(1)*$T$409*(LN(B86))+(LN(B86))*$S$410*(1)+(LN(B86))*$T$410*(LN(B86))+2*((1)*INDEX($S$416:$V$427,MONTH(A86),1)+(LN(B86))*INDEX($S$416:$V$427,MONTH(A86),2))+INDEX($W$416:$W$427,MONTH(A86)))))</x:f>
      </x:c>
      <x:c r="I86" s="3"/>
      <x:c r="J86" s="10" t="n">
        <x:v>45937</x:v>
      </x:c>
      <x:c r="K86" s="8" t="n">
        <x:f>INDEX('Сводка'!$S$3:$S$397,U86)</x:f>
        <x:v>210</x:v>
      </x:c>
      <x:c r="L86" s="8" t="n">
        <x:f>INDEX('Сводка'!$S$3:$S$397,V86)</x:f>
        <x:v>224</x:v>
      </x:c>
      <x:c r="M86" s="8" t="n">
        <x:f>INDEX($K$388:$N$400,W86,1)+INDEX($K$388:$N$400,W86,2)*LN(((J86-$T$405+1)/1000))+INDEX($O$388:$Z$400,W86,MONTH(J86))</x:f>
        <x:v>134.14207086373452</x:v>
      </x:c>
      <x:c r="N86" s="8" t="n">
        <x:f>K86-M86</x:f>
        <x:v>75.85792913626548</x:v>
      </x:c>
      <x:c r="O86" s="8" t="n">
        <x:f>ABS(N86)</x:f>
        <x:v>75.85792913626548</x:v>
      </x:c>
      <x:c r="P86" s="8" t="n">
        <x:f>N86^2</x:f>
        <x:v>5754.4254128426755</x:v>
      </x:c>
      <x:c r="Q86" s="8" t="n">
        <x:f>K86-L86</x:f>
        <x:v>-14</x:v>
      </x:c>
      <x:c r="R86" s="9" t="n">
        <x:f>IF(AND(INDEX('Сводка'!$T$3:$T$397,U86)=0,INDEX('Сводка'!$T$3:$T$397,V86)=0),1,0)</x:f>
        <x:v>1</x:v>
      </x:c>
      <x:c r="S86" s="9" t="n">
        <x:f>IF(AND(R86=1,O86&lt;=$G$13),1,0)</x:f>
        <x:v>0</x:v>
      </x:c>
      <x:c r="T86" s="10" t="n">
        <x:f>EOMONTH(J86-'Сводка'!$B$11,-1)</x:f>
        <x:v>45930</x:v>
      </x:c>
      <x:c r="U86" s="4" t="n">
        <x:f>MATCH(J86,'Сводка'!$R$3:$R$397,0)</x:f>
        <x:v>97</x:v>
      </x:c>
      <x:c r="V86" s="4" t="n">
        <x:f>MATCH(J86-'Сводка'!$B$11,'Сводка'!$R$3:$R$397,0)</x:f>
        <x:v>96</x:v>
      </x:c>
      <x:c r="W86" s="4" t="n">
        <x:f>MATCH(T86,$J$388:$J$400,0)</x:f>
        <x:v>4</x:v>
      </x:c>
      <x:c r="X86" s="3"/>
      <x:c r="Y86" s="3"/>
      <x:c r="Z86" s="3"/>
    </x:row>
    <x:row r="87" ht="15" customHeight="1">
      <x:c r="A87" s="7" t="str">
        <x:f>IF(69&lt;='Сводка'!$B$3,'Сводка'!$B$4+69,"")</x:f>
      </x:c>
      <x:c r="B87" s="20" t="str">
        <x:f>IF($A87="","",(A87-$T$405+1)/1000)</x:f>
      </x:c>
      <x:c r="C87" s="20" t="str">
        <x:f>IF($A87="","",2*(A87-$T$405)/$T$406-1)</x:f>
      </x:c>
      <x:c r="D87" s="3" t="str">
        <x:f>IF($A87="","",$B$4+$B$5*LN(B87)+INDEX($E$4:$E$15,MONTH(A87)))</x:f>
      </x:c>
      <x:c r="E87" s="3" t="str">
        <x:f>IF($A87="","",SQRT($T$403^2+H87^2))</x:f>
      </x:c>
      <x:c r="F87" s="3" t="str">
        <x:f>IF($A87="","",D87-$T$404*E87)</x:f>
      </x:c>
      <x:c r="G87" s="3" t="str">
        <x:f>IF($A87="","",D87+$T$404*E87)</x:f>
      </x:c>
      <x:c r="H87" s="3" t="str">
        <x:f>IF($A87="","",SQRT(MAX(0,(1)*$S$409*(1)+(1)*$T$409*(LN(B87))+(LN(B87))*$S$410*(1)+(LN(B87))*$T$410*(LN(B87))+2*((1)*INDEX($S$416:$V$427,MONTH(A87),1)+(LN(B87))*INDEX($S$416:$V$427,MONTH(A87),2))+INDEX($W$416:$W$427,MONTH(A87)))))</x:f>
      </x:c>
      <x:c r="I87" s="3"/>
      <x:c r="J87" s="10" t="n">
        <x:v>45938</x:v>
      </x:c>
      <x:c r="K87" s="8" t="n">
        <x:f>INDEX('Сводка'!$S$3:$S$397,U87)</x:f>
        <x:v>198</x:v>
      </x:c>
      <x:c r="L87" s="8" t="n">
        <x:f>INDEX('Сводка'!$S$3:$S$397,V87)</x:f>
        <x:v>210</x:v>
      </x:c>
      <x:c r="M87" s="8" t="n">
        <x:f>INDEX($K$388:$N$400,W87,1)+INDEX($K$388:$N$400,W87,2)*LN(((J87-$T$405+1)/1000))+INDEX($O$388:$Z$400,W87,MONTH(J87))</x:f>
        <x:v>134.14799301979664</x:v>
      </x:c>
      <x:c r="N87" s="8" t="n">
        <x:f>K87-M87</x:f>
        <x:v>63.852006980203356</x:v>
      </x:c>
      <x:c r="O87" s="8" t="n">
        <x:f>ABS(N87)</x:f>
        <x:v>63.852006980203356</x:v>
      </x:c>
      <x:c r="P87" s="8" t="n">
        <x:f>N87^2</x:f>
        <x:v>4077.078795399938</x:v>
      </x:c>
      <x:c r="Q87" s="8" t="n">
        <x:f>K87-L87</x:f>
        <x:v>-12</x:v>
      </x:c>
      <x:c r="R87" s="9" t="n">
        <x:f>IF(AND(INDEX('Сводка'!$T$3:$T$397,U87)=0,INDEX('Сводка'!$T$3:$T$397,V87)=0),1,0)</x:f>
        <x:v>1</x:v>
      </x:c>
      <x:c r="S87" s="9" t="n">
        <x:f>IF(AND(R87=1,O87&lt;=$G$13),1,0)</x:f>
        <x:v>0</x:v>
      </x:c>
      <x:c r="T87" s="10" t="n">
        <x:f>EOMONTH(J87-'Сводка'!$B$11,-1)</x:f>
        <x:v>45930</x:v>
      </x:c>
      <x:c r="U87" s="4" t="n">
        <x:f>MATCH(J87,'Сводка'!$R$3:$R$397,0)</x:f>
        <x:v>98</x:v>
      </x:c>
      <x:c r="V87" s="4" t="n">
        <x:f>MATCH(J87-'Сводка'!$B$11,'Сводка'!$R$3:$R$397,0)</x:f>
        <x:v>97</x:v>
      </x:c>
      <x:c r="W87" s="4" t="n">
        <x:f>MATCH(T87,$J$388:$J$400,0)</x:f>
        <x:v>4</x:v>
      </x:c>
      <x:c r="X87" s="3"/>
      <x:c r="Y87" s="3"/>
      <x:c r="Z87" s="3"/>
    </x:row>
    <x:row r="88" ht="15" customHeight="1">
      <x:c r="A88" s="7" t="str">
        <x:f>IF(70&lt;='Сводка'!$B$3,'Сводка'!$B$4+70,"")</x:f>
      </x:c>
      <x:c r="B88" s="20" t="str">
        <x:f>IF($A88="","",(A88-$T$405+1)/1000)</x:f>
      </x:c>
      <x:c r="C88" s="20" t="str">
        <x:f>IF($A88="","",2*(A88-$T$405)/$T$406-1)</x:f>
      </x:c>
      <x:c r="D88" s="3" t="str">
        <x:f>IF($A88="","",$B$4+$B$5*LN(B88)+INDEX($E$4:$E$15,MONTH(A88)))</x:f>
      </x:c>
      <x:c r="E88" s="3" t="str">
        <x:f>IF($A88="","",SQRT($T$403^2+H88^2))</x:f>
      </x:c>
      <x:c r="F88" s="3" t="str">
        <x:f>IF($A88="","",D88-$T$404*E88)</x:f>
      </x:c>
      <x:c r="G88" s="3" t="str">
        <x:f>IF($A88="","",D88+$T$404*E88)</x:f>
      </x:c>
      <x:c r="H88" s="3" t="str">
        <x:f>IF($A88="","",SQRT(MAX(0,(1)*$S$409*(1)+(1)*$T$409*(LN(B88))+(LN(B88))*$S$410*(1)+(LN(B88))*$T$410*(LN(B88))+2*((1)*INDEX($S$416:$V$427,MONTH(A88),1)+(LN(B88))*INDEX($S$416:$V$427,MONTH(A88),2))+INDEX($W$416:$W$427,MONTH(A88)))))</x:f>
      </x:c>
      <x:c r="I88" s="3"/>
      <x:c r="J88" s="10" t="n">
        <x:v>45939</x:v>
      </x:c>
      <x:c r="K88" s="8" t="n">
        <x:f>INDEX('Сводка'!$S$3:$S$397,U88)</x:f>
        <x:v>178</x:v>
      </x:c>
      <x:c r="L88" s="8" t="n">
        <x:f>INDEX('Сводка'!$S$3:$S$397,V88)</x:f>
        <x:v>198</x:v>
      </x:c>
      <x:c r="M88" s="8" t="n">
        <x:f>INDEX($K$388:$N$400,W88,1)+INDEX($K$388:$N$400,W88,2)*LN(((J88-$T$405+1)/1000))+INDEX($O$388:$Z$400,W88,MONTH(J88))</x:f>
        <x:v>134.15391449377915</x:v>
      </x:c>
      <x:c r="N88" s="8" t="n">
        <x:f>K88-M88</x:f>
        <x:v>43.846085506220845</x:v>
      </x:c>
      <x:c r="O88" s="8" t="n">
        <x:f>ABS(N88)</x:f>
        <x:v>43.846085506220845</x:v>
      </x:c>
      <x:c r="P88" s="8" t="n">
        <x:f>N88^2</x:f>
        <x:v>1922.4792142188296</x:v>
      </x:c>
      <x:c r="Q88" s="8" t="n">
        <x:f>K88-L88</x:f>
        <x:v>-20</x:v>
      </x:c>
      <x:c r="R88" s="9" t="n">
        <x:f>IF(AND(INDEX('Сводка'!$T$3:$T$397,U88)=0,INDEX('Сводка'!$T$3:$T$397,V88)=0),1,0)</x:f>
        <x:v>1</x:v>
      </x:c>
      <x:c r="S88" s="9" t="n">
        <x:f>IF(AND(R88=1,O88&lt;=$G$13),1,0)</x:f>
        <x:v>0</x:v>
      </x:c>
      <x:c r="T88" s="10" t="n">
        <x:f>EOMONTH(J88-'Сводка'!$B$11,-1)</x:f>
        <x:v>45930</x:v>
      </x:c>
      <x:c r="U88" s="4" t="n">
        <x:f>MATCH(J88,'Сводка'!$R$3:$R$397,0)</x:f>
        <x:v>99</x:v>
      </x:c>
      <x:c r="V88" s="4" t="n">
        <x:f>MATCH(J88-'Сводка'!$B$11,'Сводка'!$R$3:$R$397,0)</x:f>
        <x:v>98</x:v>
      </x:c>
      <x:c r="W88" s="4" t="n">
        <x:f>MATCH(T88,$J$388:$J$400,0)</x:f>
        <x:v>4</x:v>
      </x:c>
      <x:c r="X88" s="3"/>
      <x:c r="Y88" s="3"/>
      <x:c r="Z88" s="3"/>
    </x:row>
    <x:row r="89" ht="15" customHeight="1">
      <x:c r="A89" s="7" t="str">
        <x:f>IF(71&lt;='Сводка'!$B$3,'Сводка'!$B$4+71,"")</x:f>
      </x:c>
      <x:c r="B89" s="20" t="str">
        <x:f>IF($A89="","",(A89-$T$405+1)/1000)</x:f>
      </x:c>
      <x:c r="C89" s="20" t="str">
        <x:f>IF($A89="","",2*(A89-$T$405)/$T$406-1)</x:f>
      </x:c>
      <x:c r="D89" s="3" t="str">
        <x:f>IF($A89="","",$B$4+$B$5*LN(B89)+INDEX($E$4:$E$15,MONTH(A89)))</x:f>
      </x:c>
      <x:c r="E89" s="3" t="str">
        <x:f>IF($A89="","",SQRT($T$403^2+H89^2))</x:f>
      </x:c>
      <x:c r="F89" s="3" t="str">
        <x:f>IF($A89="","",D89-$T$404*E89)</x:f>
      </x:c>
      <x:c r="G89" s="3" t="str">
        <x:f>IF($A89="","",D89+$T$404*E89)</x:f>
      </x:c>
      <x:c r="H89" s="3" t="str">
        <x:f>IF($A89="","",SQRT(MAX(0,(1)*$S$409*(1)+(1)*$T$409*(LN(B89))+(LN(B89))*$S$410*(1)+(LN(B89))*$T$410*(LN(B89))+2*((1)*INDEX($S$416:$V$427,MONTH(A89),1)+(LN(B89))*INDEX($S$416:$V$427,MONTH(A89),2))+INDEX($W$416:$W$427,MONTH(A89)))))</x:f>
      </x:c>
      <x:c r="I89" s="3"/>
      <x:c r="J89" s="10" t="n">
        <x:v>45940</x:v>
      </x:c>
      <x:c r="K89" s="8" t="n">
        <x:f>INDEX('Сводка'!$S$3:$S$397,U89)</x:f>
        <x:v>163</x:v>
      </x:c>
      <x:c r="L89" s="8" t="n">
        <x:f>INDEX('Сводка'!$S$3:$S$397,V89)</x:f>
        <x:v>178</x:v>
      </x:c>
      <x:c r="M89" s="8" t="n">
        <x:f>INDEX($K$388:$N$400,W89,1)+INDEX($K$388:$N$400,W89,2)*LN(((J89-$T$405+1)/1000))+INDEX($O$388:$Z$400,W89,MONTH(J89))</x:f>
        <x:v>134.15983528583916</x:v>
      </x:c>
      <x:c r="N89" s="8" t="n">
        <x:f>K89-M89</x:f>
        <x:v>28.840164714160835</x:v>
      </x:c>
      <x:c r="O89" s="8" t="n">
        <x:f>ABS(N89)</x:f>
        <x:v>28.840164714160835</x:v>
      </x:c>
      <x:c r="P89" s="8" t="n">
        <x:f>N89^2</x:f>
        <x:v>831.7551007399277</x:v>
      </x:c>
      <x:c r="Q89" s="8" t="n">
        <x:f>K89-L89</x:f>
        <x:v>-15</x:v>
      </x:c>
      <x:c r="R89" s="9" t="n">
        <x:f>IF(AND(INDEX('Сводка'!$T$3:$T$397,U89)=0,INDEX('Сводка'!$T$3:$T$397,V89)=0),1,0)</x:f>
        <x:v>1</x:v>
      </x:c>
      <x:c r="S89" s="9" t="n">
        <x:f>IF(AND(R89=1,O89&lt;=$G$13),1,0)</x:f>
        <x:v>0</x:v>
      </x:c>
      <x:c r="T89" s="10" t="n">
        <x:f>EOMONTH(J89-'Сводка'!$B$11,-1)</x:f>
        <x:v>45930</x:v>
      </x:c>
      <x:c r="U89" s="4" t="n">
        <x:f>MATCH(J89,'Сводка'!$R$3:$R$397,0)</x:f>
        <x:v>100</x:v>
      </x:c>
      <x:c r="V89" s="4" t="n">
        <x:f>MATCH(J89-'Сводка'!$B$11,'Сводка'!$R$3:$R$397,0)</x:f>
        <x:v>99</x:v>
      </x:c>
      <x:c r="W89" s="4" t="n">
        <x:f>MATCH(T89,$J$388:$J$400,0)</x:f>
        <x:v>4</x:v>
      </x:c>
      <x:c r="X89" s="3"/>
      <x:c r="Y89" s="3"/>
      <x:c r="Z89" s="3"/>
    </x:row>
    <x:row r="90" ht="15" customHeight="1">
      <x:c r="A90" s="7" t="str">
        <x:f>IF(72&lt;='Сводка'!$B$3,'Сводка'!$B$4+72,"")</x:f>
      </x:c>
      <x:c r="B90" s="20" t="str">
        <x:f>IF($A90="","",(A90-$T$405+1)/1000)</x:f>
      </x:c>
      <x:c r="C90" s="20" t="str">
        <x:f>IF($A90="","",2*(A90-$T$405)/$T$406-1)</x:f>
      </x:c>
      <x:c r="D90" s="3" t="str">
        <x:f>IF($A90="","",$B$4+$B$5*LN(B90)+INDEX($E$4:$E$15,MONTH(A90)))</x:f>
      </x:c>
      <x:c r="E90" s="3" t="str">
        <x:f>IF($A90="","",SQRT($T$403^2+H90^2))</x:f>
      </x:c>
      <x:c r="F90" s="3" t="str">
        <x:f>IF($A90="","",D90-$T$404*E90)</x:f>
      </x:c>
      <x:c r="G90" s="3" t="str">
        <x:f>IF($A90="","",D90+$T$404*E90)</x:f>
      </x:c>
      <x:c r="H90" s="3" t="str">
        <x:f>IF($A90="","",SQRT(MAX(0,(1)*$S$409*(1)+(1)*$T$409*(LN(B90))+(LN(B90))*$S$410*(1)+(LN(B90))*$T$410*(LN(B90))+2*((1)*INDEX($S$416:$V$427,MONTH(A90),1)+(LN(B90))*INDEX($S$416:$V$427,MONTH(A90),2))+INDEX($W$416:$W$427,MONTH(A90)))))</x:f>
      </x:c>
      <x:c r="I90" s="3"/>
      <x:c r="J90" s="10" t="n">
        <x:v>45941</x:v>
      </x:c>
      <x:c r="K90" s="8" t="n">
        <x:f>INDEX('Сводка'!$S$3:$S$397,U90)</x:f>
        <x:v>152</x:v>
      </x:c>
      <x:c r="L90" s="8" t="n">
        <x:f>INDEX('Сводка'!$S$3:$S$397,V90)</x:f>
        <x:v>163</x:v>
      </x:c>
      <x:c r="M90" s="8" t="n">
        <x:f>INDEX($K$388:$N$400,W90,1)+INDEX($K$388:$N$400,W90,2)*LN(((J90-$T$405+1)/1000))+INDEX($O$388:$Z$400,W90,MONTH(J90))</x:f>
        <x:v>134.16575539613373</x:v>
      </x:c>
      <x:c r="N90" s="8" t="n">
        <x:f>K90-M90</x:f>
        <x:v>17.834244603866267</x:v>
      </x:c>
      <x:c r="O90" s="8" t="n">
        <x:f>ABS(N90)</x:f>
        <x:v>17.834244603866267</x:v>
      </x:c>
      <x:c r="P90" s="8" t="n">
        <x:f>N90^2</x:f>
        <x:v>318.06028059053307</x:v>
      </x:c>
      <x:c r="Q90" s="8" t="n">
        <x:f>K90-L90</x:f>
        <x:v>-11</x:v>
      </x:c>
      <x:c r="R90" s="9" t="n">
        <x:f>IF(AND(INDEX('Сводка'!$T$3:$T$397,U90)=0,INDEX('Сводка'!$T$3:$T$397,V90)=0),1,0)</x:f>
        <x:v>1</x:v>
      </x:c>
      <x:c r="S90" s="9" t="n">
        <x:f>IF(AND(R90=1,O90&lt;=$G$13),1,0)</x:f>
        <x:v>0</x:v>
      </x:c>
      <x:c r="T90" s="10" t="n">
        <x:f>EOMONTH(J90-'Сводка'!$B$11,-1)</x:f>
        <x:v>45930</x:v>
      </x:c>
      <x:c r="U90" s="4" t="n">
        <x:f>MATCH(J90,'Сводка'!$R$3:$R$397,0)</x:f>
        <x:v>101</x:v>
      </x:c>
      <x:c r="V90" s="4" t="n">
        <x:f>MATCH(J90-'Сводка'!$B$11,'Сводка'!$R$3:$R$397,0)</x:f>
        <x:v>100</x:v>
      </x:c>
      <x:c r="W90" s="4" t="n">
        <x:f>MATCH(T90,$J$388:$J$400,0)</x:f>
        <x:v>4</x:v>
      </x:c>
      <x:c r="X90" s="3"/>
      <x:c r="Y90" s="3"/>
      <x:c r="Z90" s="3"/>
    </x:row>
    <x:row r="91" ht="15" customHeight="1">
      <x:c r="A91" s="7" t="str">
        <x:f>IF(73&lt;='Сводка'!$B$3,'Сводка'!$B$4+73,"")</x:f>
      </x:c>
      <x:c r="B91" s="20" t="str">
        <x:f>IF($A91="","",(A91-$T$405+1)/1000)</x:f>
      </x:c>
      <x:c r="C91" s="20" t="str">
        <x:f>IF($A91="","",2*(A91-$T$405)/$T$406-1)</x:f>
      </x:c>
      <x:c r="D91" s="3" t="str">
        <x:f>IF($A91="","",$B$4+$B$5*LN(B91)+INDEX($E$4:$E$15,MONTH(A91)))</x:f>
      </x:c>
      <x:c r="E91" s="3" t="str">
        <x:f>IF($A91="","",SQRT($T$403^2+H91^2))</x:f>
      </x:c>
      <x:c r="F91" s="3" t="str">
        <x:f>IF($A91="","",D91-$T$404*E91)</x:f>
      </x:c>
      <x:c r="G91" s="3" t="str">
        <x:f>IF($A91="","",D91+$T$404*E91)</x:f>
      </x:c>
      <x:c r="H91" s="3" t="str">
        <x:f>IF($A91="","",SQRT(MAX(0,(1)*$S$409*(1)+(1)*$T$409*(LN(B91))+(LN(B91))*$S$410*(1)+(LN(B91))*$T$410*(LN(B91))+2*((1)*INDEX($S$416:$V$427,MONTH(A91),1)+(LN(B91))*INDEX($S$416:$V$427,MONTH(A91),2))+INDEX($W$416:$W$427,MONTH(A91)))))</x:f>
      </x:c>
      <x:c r="I91" s="3"/>
      <x:c r="J91" s="10" t="n">
        <x:v>45942</x:v>
      </x:c>
      <x:c r="K91" s="8" t="n">
        <x:f>INDEX('Сводка'!$S$3:$S$397,U91)</x:f>
        <x:v>138</x:v>
      </x:c>
      <x:c r="L91" s="8" t="n">
        <x:f>INDEX('Сводка'!$S$3:$S$397,V91)</x:f>
        <x:v>152</x:v>
      </x:c>
      <x:c r="M91" s="8" t="n">
        <x:f>INDEX($K$388:$N$400,W91,1)+INDEX($K$388:$N$400,W91,2)*LN(((J91-$T$405+1)/1000))+INDEX($O$388:$Z$400,W91,MONTH(J91))</x:f>
        <x:v>134.17167482481986</x:v>
      </x:c>
      <x:c r="N91" s="8" t="n">
        <x:f>K91-M91</x:f>
        <x:v>3.82832517518014</x:v>
      </x:c>
      <x:c r="O91" s="8" t="n">
        <x:f>ABS(N91)</x:f>
        <x:v>3.82832517518014</x:v>
      </x:c>
      <x:c r="P91" s="8" t="n">
        <x:f>N91^2</x:f>
        <x:v>14.65607364691805</x:v>
      </x:c>
      <x:c r="Q91" s="8" t="n">
        <x:f>K91-L91</x:f>
        <x:v>-14</x:v>
      </x:c>
      <x:c r="R91" s="9" t="n">
        <x:f>IF(AND(INDEX('Сводка'!$T$3:$T$397,U91)=0,INDEX('Сводка'!$T$3:$T$397,V91)=0),1,0)</x:f>
        <x:v>1</x:v>
      </x:c>
      <x:c r="S91" s="9" t="n">
        <x:f>IF(AND(R91=1,O91&lt;=$G$13),1,0)</x:f>
        <x:v>1</x:v>
      </x:c>
      <x:c r="T91" s="10" t="n">
        <x:f>EOMONTH(J91-'Сводка'!$B$11,-1)</x:f>
        <x:v>45930</x:v>
      </x:c>
      <x:c r="U91" s="4" t="n">
        <x:f>MATCH(J91,'Сводка'!$R$3:$R$397,0)</x:f>
        <x:v>102</x:v>
      </x:c>
      <x:c r="V91" s="4" t="n">
        <x:f>MATCH(J91-'Сводка'!$B$11,'Сводка'!$R$3:$R$397,0)</x:f>
        <x:v>101</x:v>
      </x:c>
      <x:c r="W91" s="4" t="n">
        <x:f>MATCH(T91,$J$388:$J$400,0)</x:f>
        <x:v>4</x:v>
      </x:c>
      <x:c r="X91" s="3"/>
      <x:c r="Y91" s="3"/>
      <x:c r="Z91" s="3"/>
    </x:row>
    <x:row r="92" ht="15" customHeight="1">
      <x:c r="A92" s="7" t="str">
        <x:f>IF(74&lt;='Сводка'!$B$3,'Сводка'!$B$4+74,"")</x:f>
      </x:c>
      <x:c r="B92" s="20" t="str">
        <x:f>IF($A92="","",(A92-$T$405+1)/1000)</x:f>
      </x:c>
      <x:c r="C92" s="20" t="str">
        <x:f>IF($A92="","",2*(A92-$T$405)/$T$406-1)</x:f>
      </x:c>
      <x:c r="D92" s="3" t="str">
        <x:f>IF($A92="","",$B$4+$B$5*LN(B92)+INDEX($E$4:$E$15,MONTH(A92)))</x:f>
      </x:c>
      <x:c r="E92" s="3" t="str">
        <x:f>IF($A92="","",SQRT($T$403^2+H92^2))</x:f>
      </x:c>
      <x:c r="F92" s="3" t="str">
        <x:f>IF($A92="","",D92-$T$404*E92)</x:f>
      </x:c>
      <x:c r="G92" s="3" t="str">
        <x:f>IF($A92="","",D92+$T$404*E92)</x:f>
      </x:c>
      <x:c r="H92" s="3" t="str">
        <x:f>IF($A92="","",SQRT(MAX(0,(1)*$S$409*(1)+(1)*$T$409*(LN(B92))+(LN(B92))*$S$410*(1)+(LN(B92))*$T$410*(LN(B92))+2*((1)*INDEX($S$416:$V$427,MONTH(A92),1)+(LN(B92))*INDEX($S$416:$V$427,MONTH(A92),2))+INDEX($W$416:$W$427,MONTH(A92)))))</x:f>
      </x:c>
      <x:c r="I92" s="3"/>
      <x:c r="J92" s="10" t="n">
        <x:v>45943</x:v>
      </x:c>
      <x:c r="K92" s="8" t="n">
        <x:f>INDEX('Сводка'!$S$3:$S$397,U92)</x:f>
        <x:v>123</x:v>
      </x:c>
      <x:c r="L92" s="8" t="n">
        <x:f>INDEX('Сводка'!$S$3:$S$397,V92)</x:f>
        <x:v>138</x:v>
      </x:c>
      <x:c r="M92" s="8" t="n">
        <x:f>INDEX($K$388:$N$400,W92,1)+INDEX($K$388:$N$400,W92,2)*LN(((J92-$T$405+1)/1000))+INDEX($O$388:$Z$400,W92,MONTH(J92))</x:f>
        <x:v>134.1775935720544</x:v>
      </x:c>
      <x:c r="N92" s="8" t="n">
        <x:f>K92-M92</x:f>
        <x:v>-11.177593572054406</x:v>
      </x:c>
      <x:c r="O92" s="8" t="n">
        <x:f>ABS(N92)</x:f>
        <x:v>11.177593572054406</x:v>
      </x:c>
      <x:c r="P92" s="8" t="n">
        <x:f>N92^2</x:f>
        <x:v>124.93859806203197</x:v>
      </x:c>
      <x:c r="Q92" s="8" t="n">
        <x:f>K92-L92</x:f>
        <x:v>-15</x:v>
      </x:c>
      <x:c r="R92" s="9" t="n">
        <x:f>IF(AND(INDEX('Сводка'!$T$3:$T$397,U92)=0,INDEX('Сводка'!$T$3:$T$397,V92)=0),1,0)</x:f>
        <x:v>1</x:v>
      </x:c>
      <x:c r="S92" s="9" t="n">
        <x:f>IF(AND(R92=1,O92&lt;=$G$13),1,0)</x:f>
        <x:v>0</x:v>
      </x:c>
      <x:c r="T92" s="10" t="n">
        <x:f>EOMONTH(J92-'Сводка'!$B$11,-1)</x:f>
        <x:v>45930</x:v>
      </x:c>
      <x:c r="U92" s="4" t="n">
        <x:f>MATCH(J92,'Сводка'!$R$3:$R$397,0)</x:f>
        <x:v>103</x:v>
      </x:c>
      <x:c r="V92" s="4" t="n">
        <x:f>MATCH(J92-'Сводка'!$B$11,'Сводка'!$R$3:$R$397,0)</x:f>
        <x:v>102</x:v>
      </x:c>
      <x:c r="W92" s="4" t="n">
        <x:f>MATCH(T92,$J$388:$J$400,0)</x:f>
        <x:v>4</x:v>
      </x:c>
      <x:c r="X92" s="3"/>
      <x:c r="Y92" s="3"/>
      <x:c r="Z92" s="3"/>
    </x:row>
    <x:row r="93" ht="15" customHeight="1">
      <x:c r="A93" s="7" t="str">
        <x:f>IF(75&lt;='Сводка'!$B$3,'Сводка'!$B$4+75,"")</x:f>
      </x:c>
      <x:c r="B93" s="20" t="str">
        <x:f>IF($A93="","",(A93-$T$405+1)/1000)</x:f>
      </x:c>
      <x:c r="C93" s="20" t="str">
        <x:f>IF($A93="","",2*(A93-$T$405)/$T$406-1)</x:f>
      </x:c>
      <x:c r="D93" s="3" t="str">
        <x:f>IF($A93="","",$B$4+$B$5*LN(B93)+INDEX($E$4:$E$15,MONTH(A93)))</x:f>
      </x:c>
      <x:c r="E93" s="3" t="str">
        <x:f>IF($A93="","",SQRT($T$403^2+H93^2))</x:f>
      </x:c>
      <x:c r="F93" s="3" t="str">
        <x:f>IF($A93="","",D93-$T$404*E93)</x:f>
      </x:c>
      <x:c r="G93" s="3" t="str">
        <x:f>IF($A93="","",D93+$T$404*E93)</x:f>
      </x:c>
      <x:c r="H93" s="3" t="str">
        <x:f>IF($A93="","",SQRT(MAX(0,(1)*$S$409*(1)+(1)*$T$409*(LN(B93))+(LN(B93))*$S$410*(1)+(LN(B93))*$T$410*(LN(B93))+2*((1)*INDEX($S$416:$V$427,MONTH(A93),1)+(LN(B93))*INDEX($S$416:$V$427,MONTH(A93),2))+INDEX($W$416:$W$427,MONTH(A93)))))</x:f>
      </x:c>
      <x:c r="I93" s="3"/>
      <x:c r="J93" s="10" t="n">
        <x:v>45944</x:v>
      </x:c>
      <x:c r="K93" s="8" t="n">
        <x:f>INDEX('Сводка'!$S$3:$S$397,U93)</x:f>
        <x:v>111</x:v>
      </x:c>
      <x:c r="L93" s="8" t="n">
        <x:f>INDEX('Сводка'!$S$3:$S$397,V93)</x:f>
        <x:v>123</x:v>
      </x:c>
      <x:c r="M93" s="8" t="n">
        <x:f>INDEX($K$388:$N$400,W93,1)+INDEX($K$388:$N$400,W93,2)*LN(((J93-$T$405+1)/1000))+INDEX($O$388:$Z$400,W93,MONTH(J93))</x:f>
        <x:v>134.18351163799434</x:v>
      </x:c>
      <x:c r="N93" s="8" t="n">
        <x:f>K93-M93</x:f>
        <x:v>-23.183511637994343</x:v>
      </x:c>
      <x:c r="O93" s="8" t="n">
        <x:f>ABS(N93)</x:f>
        <x:v>23.183511637994343</x:v>
      </x:c>
      <x:c r="P93" s="8" t="n">
        <x:f>N93^2</x:f>
        <x:v>537.4752118690192</x:v>
      </x:c>
      <x:c r="Q93" s="8" t="n">
        <x:f>K93-L93</x:f>
        <x:v>-12</x:v>
      </x:c>
      <x:c r="R93" s="9" t="n">
        <x:f>IF(AND(INDEX('Сводка'!$T$3:$T$397,U93)=0,INDEX('Сводка'!$T$3:$T$397,V93)=0),1,0)</x:f>
        <x:v>1</x:v>
      </x:c>
      <x:c r="S93" s="9" t="n">
        <x:f>IF(AND(R93=1,O93&lt;=$G$13),1,0)</x:f>
        <x:v>0</x:v>
      </x:c>
      <x:c r="T93" s="10" t="n">
        <x:f>EOMONTH(J93-'Сводка'!$B$11,-1)</x:f>
        <x:v>45930</x:v>
      </x:c>
      <x:c r="U93" s="4" t="n">
        <x:f>MATCH(J93,'Сводка'!$R$3:$R$397,0)</x:f>
        <x:v>104</x:v>
      </x:c>
      <x:c r="V93" s="4" t="n">
        <x:f>MATCH(J93-'Сводка'!$B$11,'Сводка'!$R$3:$R$397,0)</x:f>
        <x:v>103</x:v>
      </x:c>
      <x:c r="W93" s="4" t="n">
        <x:f>MATCH(T93,$J$388:$J$400,0)</x:f>
        <x:v>4</x:v>
      </x:c>
      <x:c r="X93" s="3"/>
      <x:c r="Y93" s="3"/>
      <x:c r="Z93" s="3"/>
    </x:row>
    <x:row r="94" ht="15" customHeight="1">
      <x:c r="A94" s="7" t="str">
        <x:f>IF(76&lt;='Сводка'!$B$3,'Сводка'!$B$4+76,"")</x:f>
      </x:c>
      <x:c r="B94" s="20" t="str">
        <x:f>IF($A94="","",(A94-$T$405+1)/1000)</x:f>
      </x:c>
      <x:c r="C94" s="20" t="str">
        <x:f>IF($A94="","",2*(A94-$T$405)/$T$406-1)</x:f>
      </x:c>
      <x:c r="D94" s="3" t="str">
        <x:f>IF($A94="","",$B$4+$B$5*LN(B94)+INDEX($E$4:$E$15,MONTH(A94)))</x:f>
      </x:c>
      <x:c r="E94" s="3" t="str">
        <x:f>IF($A94="","",SQRT($T$403^2+H94^2))</x:f>
      </x:c>
      <x:c r="F94" s="3" t="str">
        <x:f>IF($A94="","",D94-$T$404*E94)</x:f>
      </x:c>
      <x:c r="G94" s="3" t="str">
        <x:f>IF($A94="","",D94+$T$404*E94)</x:f>
      </x:c>
      <x:c r="H94" s="3" t="str">
        <x:f>IF($A94="","",SQRT(MAX(0,(1)*$S$409*(1)+(1)*$T$409*(LN(B94))+(LN(B94))*$S$410*(1)+(LN(B94))*$T$410*(LN(B94))+2*((1)*INDEX($S$416:$V$427,MONTH(A94),1)+(LN(B94))*INDEX($S$416:$V$427,MONTH(A94),2))+INDEX($W$416:$W$427,MONTH(A94)))))</x:f>
      </x:c>
      <x:c r="I94" s="3"/>
      <x:c r="J94" s="10" t="n">
        <x:v>45945</x:v>
      </x:c>
      <x:c r="K94" s="8" t="n">
        <x:f>INDEX('Сводка'!$S$3:$S$397,U94)</x:f>
        <x:v>100</x:v>
      </x:c>
      <x:c r="L94" s="8" t="n">
        <x:f>INDEX('Сводка'!$S$3:$S$397,V94)</x:f>
        <x:v>111</x:v>
      </x:c>
      <x:c r="M94" s="8" t="n">
        <x:f>INDEX($K$388:$N$400,W94,1)+INDEX($K$388:$N$400,W94,2)*LN(((J94-$T$405+1)/1000))+INDEX($O$388:$Z$400,W94,MONTH(J94))</x:f>
        <x:v>134.18942902279645</x:v>
      </x:c>
      <x:c r="N94" s="8" t="n">
        <x:f>K94-M94</x:f>
        <x:v>-34.189429022796446</x:v>
      </x:c>
      <x:c r="O94" s="8" t="n">
        <x:f>ABS(N94)</x:f>
        <x:v>34.189429022796446</x:v>
      </x:c>
      <x:c r="P94" s="8" t="n">
        <x:f>N94^2</x:f>
        <x:v>1168.917056904836</x:v>
      </x:c>
      <x:c r="Q94" s="8" t="n">
        <x:f>K94-L94</x:f>
        <x:v>-11</x:v>
      </x:c>
      <x:c r="R94" s="9" t="n">
        <x:f>IF(AND(INDEX('Сводка'!$T$3:$T$397,U94)=0,INDEX('Сводка'!$T$3:$T$397,V94)=0),1,0)</x:f>
        <x:v>1</x:v>
      </x:c>
      <x:c r="S94" s="9" t="n">
        <x:f>IF(AND(R94=1,O94&lt;=$G$13),1,0)</x:f>
        <x:v>0</x:v>
      </x:c>
      <x:c r="T94" s="10" t="n">
        <x:f>EOMONTH(J94-'Сводка'!$B$11,-1)</x:f>
        <x:v>45930</x:v>
      </x:c>
      <x:c r="U94" s="4" t="n">
        <x:f>MATCH(J94,'Сводка'!$R$3:$R$397,0)</x:f>
        <x:v>105</x:v>
      </x:c>
      <x:c r="V94" s="4" t="n">
        <x:f>MATCH(J94-'Сводка'!$B$11,'Сводка'!$R$3:$R$397,0)</x:f>
        <x:v>104</x:v>
      </x:c>
      <x:c r="W94" s="4" t="n">
        <x:f>MATCH(T94,$J$388:$J$400,0)</x:f>
        <x:v>4</x:v>
      </x:c>
      <x:c r="X94" s="3"/>
      <x:c r="Y94" s="3"/>
      <x:c r="Z94" s="3"/>
    </x:row>
    <x:row r="95" ht="15" customHeight="1">
      <x:c r="A95" s="7" t="str">
        <x:f>IF(77&lt;='Сводка'!$B$3,'Сводка'!$B$4+77,"")</x:f>
      </x:c>
      <x:c r="B95" s="20" t="str">
        <x:f>IF($A95="","",(A95-$T$405+1)/1000)</x:f>
      </x:c>
      <x:c r="C95" s="20" t="str">
        <x:f>IF($A95="","",2*(A95-$T$405)/$T$406-1)</x:f>
      </x:c>
      <x:c r="D95" s="3" t="str">
        <x:f>IF($A95="","",$B$4+$B$5*LN(B95)+INDEX($E$4:$E$15,MONTH(A95)))</x:f>
      </x:c>
      <x:c r="E95" s="3" t="str">
        <x:f>IF($A95="","",SQRT($T$403^2+H95^2))</x:f>
      </x:c>
      <x:c r="F95" s="3" t="str">
        <x:f>IF($A95="","",D95-$T$404*E95)</x:f>
      </x:c>
      <x:c r="G95" s="3" t="str">
        <x:f>IF($A95="","",D95+$T$404*E95)</x:f>
      </x:c>
      <x:c r="H95" s="3" t="str">
        <x:f>IF($A95="","",SQRT(MAX(0,(1)*$S$409*(1)+(1)*$T$409*(LN(B95))+(LN(B95))*$S$410*(1)+(LN(B95))*$T$410*(LN(B95))+2*((1)*INDEX($S$416:$V$427,MONTH(A95),1)+(LN(B95))*INDEX($S$416:$V$427,MONTH(A95),2))+INDEX($W$416:$W$427,MONTH(A95)))))</x:f>
      </x:c>
      <x:c r="I95" s="3"/>
      <x:c r="J95" s="10" t="n">
        <x:v>45946</x:v>
      </x:c>
      <x:c r="K95" s="8" t="n">
        <x:f>INDEX('Сводка'!$S$3:$S$397,U95)</x:f>
        <x:v>89</x:v>
      </x:c>
      <x:c r="L95" s="8" t="n">
        <x:f>INDEX('Сводка'!$S$3:$S$397,V95)</x:f>
        <x:v>100</x:v>
      </x:c>
      <x:c r="M95" s="8" t="n">
        <x:f>INDEX($K$388:$N$400,W95,1)+INDEX($K$388:$N$400,W95,2)*LN(((J95-$T$405+1)/1000))+INDEX($O$388:$Z$400,W95,MONTH(J95))</x:f>
        <x:v>134.19534572661752</x:v>
      </x:c>
      <x:c r="N95" s="8" t="n">
        <x:f>K95-M95</x:f>
        <x:v>-45.19534572661752</x:v>
      </x:c>
      <x:c r="O95" s="8" t="n">
        <x:f>ABS(N95)</x:f>
        <x:v>45.19534572661752</x:v>
      </x:c>
      <x:c r="P95" s="8" t="n">
        <x:f>N95^2</x:f>
        <x:v>2042.6192753484843</x:v>
      </x:c>
      <x:c r="Q95" s="8" t="n">
        <x:f>K95-L95</x:f>
        <x:v>-11</x:v>
      </x:c>
      <x:c r="R95" s="9" t="n">
        <x:f>IF(AND(INDEX('Сводка'!$T$3:$T$397,U95)=0,INDEX('Сводка'!$T$3:$T$397,V95)=0),1,0)</x:f>
        <x:v>1</x:v>
      </x:c>
      <x:c r="S95" s="9" t="n">
        <x:f>IF(AND(R95=1,O95&lt;=$G$13),1,0)</x:f>
        <x:v>0</x:v>
      </x:c>
      <x:c r="T95" s="10" t="n">
        <x:f>EOMONTH(J95-'Сводка'!$B$11,-1)</x:f>
        <x:v>45930</x:v>
      </x:c>
      <x:c r="U95" s="4" t="n">
        <x:f>MATCH(J95,'Сводка'!$R$3:$R$397,0)</x:f>
        <x:v>106</x:v>
      </x:c>
      <x:c r="V95" s="4" t="n">
        <x:f>MATCH(J95-'Сводка'!$B$11,'Сводка'!$R$3:$R$397,0)</x:f>
        <x:v>105</x:v>
      </x:c>
      <x:c r="W95" s="4" t="n">
        <x:f>MATCH(T95,$J$388:$J$400,0)</x:f>
        <x:v>4</x:v>
      </x:c>
      <x:c r="X95" s="3"/>
      <x:c r="Y95" s="3"/>
      <x:c r="Z95" s="3"/>
    </x:row>
    <x:row r="96" ht="15" customHeight="1">
      <x:c r="A96" s="7" t="str">
        <x:f>IF(78&lt;='Сводка'!$B$3,'Сводка'!$B$4+78,"")</x:f>
      </x:c>
      <x:c r="B96" s="20" t="str">
        <x:f>IF($A96="","",(A96-$T$405+1)/1000)</x:f>
      </x:c>
      <x:c r="C96" s="20" t="str">
        <x:f>IF($A96="","",2*(A96-$T$405)/$T$406-1)</x:f>
      </x:c>
      <x:c r="D96" s="3" t="str">
        <x:f>IF($A96="","",$B$4+$B$5*LN(B96)+INDEX($E$4:$E$15,MONTH(A96)))</x:f>
      </x:c>
      <x:c r="E96" s="3" t="str">
        <x:f>IF($A96="","",SQRT($T$403^2+H96^2))</x:f>
      </x:c>
      <x:c r="F96" s="3" t="str">
        <x:f>IF($A96="","",D96-$T$404*E96)</x:f>
      </x:c>
      <x:c r="G96" s="3" t="str">
        <x:f>IF($A96="","",D96+$T$404*E96)</x:f>
      </x:c>
      <x:c r="H96" s="3" t="str">
        <x:f>IF($A96="","",SQRT(MAX(0,(1)*$S$409*(1)+(1)*$T$409*(LN(B96))+(LN(B96))*$S$410*(1)+(LN(B96))*$T$410*(LN(B96))+2*((1)*INDEX($S$416:$V$427,MONTH(A96),1)+(LN(B96))*INDEX($S$416:$V$427,MONTH(A96),2))+INDEX($W$416:$W$427,MONTH(A96)))))</x:f>
      </x:c>
      <x:c r="I96" s="3"/>
      <x:c r="J96" s="10" t="n">
        <x:v>45947</x:v>
      </x:c>
      <x:c r="K96" s="8" t="n">
        <x:f>INDEX('Сводка'!$S$3:$S$397,U96)</x:f>
        <x:v>79</x:v>
      </x:c>
      <x:c r="L96" s="8" t="n">
        <x:f>INDEX('Сводка'!$S$3:$S$397,V96)</x:f>
        <x:v>89</x:v>
      </x:c>
      <x:c r="M96" s="8" t="n">
        <x:f>INDEX($K$388:$N$400,W96,1)+INDEX($K$388:$N$400,W96,2)*LN(((J96-$T$405+1)/1000))+INDEX($O$388:$Z$400,W96,MONTH(J96))</x:f>
        <x:v>134.20126174961428</x:v>
      </x:c>
      <x:c r="N96" s="8" t="n">
        <x:f>K96-M96</x:f>
        <x:v>-55.201261749614275</x:v>
      </x:c>
      <x:c r="O96" s="8" t="n">
        <x:f>ABS(N96)</x:f>
        <x:v>55.201261749614275</x:v>
      </x:c>
      <x:c r="P96" s="8" t="n">
        <x:f>N96^2</x:f>
        <x:v>3047.179298749428</x:v>
      </x:c>
      <x:c r="Q96" s="8" t="n">
        <x:f>K96-L96</x:f>
        <x:v>-10</x:v>
      </x:c>
      <x:c r="R96" s="9" t="n">
        <x:f>IF(AND(INDEX('Сводка'!$T$3:$T$397,U96)=0,INDEX('Сводка'!$T$3:$T$397,V96)=0),1,0)</x:f>
        <x:v>1</x:v>
      </x:c>
      <x:c r="S96" s="9" t="n">
        <x:f>IF(AND(R96=1,O96&lt;=$G$13),1,0)</x:f>
        <x:v>0</x:v>
      </x:c>
      <x:c r="T96" s="10" t="n">
        <x:f>EOMONTH(J96-'Сводка'!$B$11,-1)</x:f>
        <x:v>45930</x:v>
      </x:c>
      <x:c r="U96" s="4" t="n">
        <x:f>MATCH(J96,'Сводка'!$R$3:$R$397,0)</x:f>
        <x:v>107</x:v>
      </x:c>
      <x:c r="V96" s="4" t="n">
        <x:f>MATCH(J96-'Сводка'!$B$11,'Сводка'!$R$3:$R$397,0)</x:f>
        <x:v>106</x:v>
      </x:c>
      <x:c r="W96" s="4" t="n">
        <x:f>MATCH(T96,$J$388:$J$400,0)</x:f>
        <x:v>4</x:v>
      </x:c>
      <x:c r="X96" s="3"/>
      <x:c r="Y96" s="3"/>
      <x:c r="Z96" s="3"/>
    </x:row>
    <x:row r="97" ht="15" customHeight="1">
      <x:c r="A97" s="7" t="str">
        <x:f>IF(79&lt;='Сводка'!$B$3,'Сводка'!$B$4+79,"")</x:f>
      </x:c>
      <x:c r="B97" s="20" t="str">
        <x:f>IF($A97="","",(A97-$T$405+1)/1000)</x:f>
      </x:c>
      <x:c r="C97" s="20" t="str">
        <x:f>IF($A97="","",2*(A97-$T$405)/$T$406-1)</x:f>
      </x:c>
      <x:c r="D97" s="3" t="str">
        <x:f>IF($A97="","",$B$4+$B$5*LN(B97)+INDEX($E$4:$E$15,MONTH(A97)))</x:f>
      </x:c>
      <x:c r="E97" s="3" t="str">
        <x:f>IF($A97="","",SQRT($T$403^2+H97^2))</x:f>
      </x:c>
      <x:c r="F97" s="3" t="str">
        <x:f>IF($A97="","",D97-$T$404*E97)</x:f>
      </x:c>
      <x:c r="G97" s="3" t="str">
        <x:f>IF($A97="","",D97+$T$404*E97)</x:f>
      </x:c>
      <x:c r="H97" s="3" t="str">
        <x:f>IF($A97="","",SQRT(MAX(0,(1)*$S$409*(1)+(1)*$T$409*(LN(B97))+(LN(B97))*$S$410*(1)+(LN(B97))*$T$410*(LN(B97))+2*((1)*INDEX($S$416:$V$427,MONTH(A97),1)+(LN(B97))*INDEX($S$416:$V$427,MONTH(A97),2))+INDEX($W$416:$W$427,MONTH(A97)))))</x:f>
      </x:c>
      <x:c r="I97" s="3"/>
      <x:c r="J97" s="10" t="n">
        <x:v>45948</x:v>
      </x:c>
      <x:c r="K97" s="8" t="n">
        <x:f>INDEX('Сводка'!$S$3:$S$397,U97)</x:f>
        <x:v>66</x:v>
      </x:c>
      <x:c r="L97" s="8" t="n">
        <x:f>INDEX('Сводка'!$S$3:$S$397,V97)</x:f>
        <x:v>79</x:v>
      </x:c>
      <x:c r="M97" s="8" t="n">
        <x:f>INDEX($K$388:$N$400,W97,1)+INDEX($K$388:$N$400,W97,2)*LN(((J97-$T$405+1)/1000))+INDEX($O$388:$Z$400,W97,MONTH(J97))</x:f>
        <x:v>134.20717709194332</x:v>
      </x:c>
      <x:c r="N97" s="8" t="n">
        <x:f>K97-M97</x:f>
        <x:v>-68.20717709194332</x:v>
      </x:c>
      <x:c r="O97" s="8" t="n">
        <x:f>ABS(N97)</x:f>
        <x:v>68.20717709194332</x:v>
      </x:c>
      <x:c r="P97" s="8" t="n">
        <x:f>N97^2</x:f>
        <x:v>4652.2190068517175</x:v>
      </x:c>
      <x:c r="Q97" s="8" t="n">
        <x:f>K97-L97</x:f>
        <x:v>-13</x:v>
      </x:c>
      <x:c r="R97" s="9" t="n">
        <x:f>IF(AND(INDEX('Сводка'!$T$3:$T$397,U97)=0,INDEX('Сводка'!$T$3:$T$397,V97)=0),1,0)</x:f>
        <x:v>1</x:v>
      </x:c>
      <x:c r="S97" s="9" t="n">
        <x:f>IF(AND(R97=1,O97&lt;=$G$13),1,0)</x:f>
        <x:v>0</x:v>
      </x:c>
      <x:c r="T97" s="10" t="n">
        <x:f>EOMONTH(J97-'Сводка'!$B$11,-1)</x:f>
        <x:v>45930</x:v>
      </x:c>
      <x:c r="U97" s="4" t="n">
        <x:f>MATCH(J97,'Сводка'!$R$3:$R$397,0)</x:f>
        <x:v>108</x:v>
      </x:c>
      <x:c r="V97" s="4" t="n">
        <x:f>MATCH(J97-'Сводка'!$B$11,'Сводка'!$R$3:$R$397,0)</x:f>
        <x:v>107</x:v>
      </x:c>
      <x:c r="W97" s="4" t="n">
        <x:f>MATCH(T97,$J$388:$J$400,0)</x:f>
        <x:v>4</x:v>
      </x:c>
      <x:c r="X97" s="3"/>
      <x:c r="Y97" s="3"/>
      <x:c r="Z97" s="3"/>
    </x:row>
    <x:row r="98" ht="15" customHeight="1">
      <x:c r="A98" s="7" t="str">
        <x:f>IF(80&lt;='Сводка'!$B$3,'Сводка'!$B$4+80,"")</x:f>
      </x:c>
      <x:c r="B98" s="20" t="str">
        <x:f>IF($A98="","",(A98-$T$405+1)/1000)</x:f>
      </x:c>
      <x:c r="C98" s="20" t="str">
        <x:f>IF($A98="","",2*(A98-$T$405)/$T$406-1)</x:f>
      </x:c>
      <x:c r="D98" s="3" t="str">
        <x:f>IF($A98="","",$B$4+$B$5*LN(B98)+INDEX($E$4:$E$15,MONTH(A98)))</x:f>
      </x:c>
      <x:c r="E98" s="3" t="str">
        <x:f>IF($A98="","",SQRT($T$403^2+H98^2))</x:f>
      </x:c>
      <x:c r="F98" s="3" t="str">
        <x:f>IF($A98="","",D98-$T$404*E98)</x:f>
      </x:c>
      <x:c r="G98" s="3" t="str">
        <x:f>IF($A98="","",D98+$T$404*E98)</x:f>
      </x:c>
      <x:c r="H98" s="3" t="str">
        <x:f>IF($A98="","",SQRT(MAX(0,(1)*$S$409*(1)+(1)*$T$409*(LN(B98))+(LN(B98))*$S$410*(1)+(LN(B98))*$T$410*(LN(B98))+2*((1)*INDEX($S$416:$V$427,MONTH(A98),1)+(LN(B98))*INDEX($S$416:$V$427,MONTH(A98),2))+INDEX($W$416:$W$427,MONTH(A98)))))</x:f>
      </x:c>
      <x:c r="I98" s="3"/>
      <x:c r="J98" s="10" t="n">
        <x:v>45949</x:v>
      </x:c>
      <x:c r="K98" s="8" t="n">
        <x:f>INDEX('Сводка'!$S$3:$S$397,U98)</x:f>
        <x:v>56</x:v>
      </x:c>
      <x:c r="L98" s="8" t="n">
        <x:f>INDEX('Сводка'!$S$3:$S$397,V98)</x:f>
        <x:v>66</x:v>
      </x:c>
      <x:c r="M98" s="8" t="n">
        <x:f>INDEX($K$388:$N$400,W98,1)+INDEX($K$388:$N$400,W98,2)*LN(((J98-$T$405+1)/1000))+INDEX($O$388:$Z$400,W98,MONTH(J98))</x:f>
        <x:v>134.21309175376132</x:v>
      </x:c>
      <x:c r="N98" s="8" t="n">
        <x:f>K98-M98</x:f>
        <x:v>-78.21309175376132</x:v>
      </x:c>
      <x:c r="O98" s="8" t="n">
        <x:f>ABS(N98)</x:f>
        <x:v>78.21309175376132</x:v>
      </x:c>
      <x:c r="P98" s="8" t="n">
        <x:f>N98^2</x:f>
        <x:v>6117.287721682287</x:v>
      </x:c>
      <x:c r="Q98" s="8" t="n">
        <x:f>K98-L98</x:f>
        <x:v>-10</x:v>
      </x:c>
      <x:c r="R98" s="9" t="n">
        <x:f>IF(AND(INDEX('Сводка'!$T$3:$T$397,U98)=0,INDEX('Сводка'!$T$3:$T$397,V98)=0),1,0)</x:f>
        <x:v>1</x:v>
      </x:c>
      <x:c r="S98" s="9" t="n">
        <x:f>IF(AND(R98=1,O98&lt;=$G$13),1,0)</x:f>
        <x:v>0</x:v>
      </x:c>
      <x:c r="T98" s="10" t="n">
        <x:f>EOMONTH(J98-'Сводка'!$B$11,-1)</x:f>
        <x:v>45930</x:v>
      </x:c>
      <x:c r="U98" s="4" t="n">
        <x:f>MATCH(J98,'Сводка'!$R$3:$R$397,0)</x:f>
        <x:v>109</x:v>
      </x:c>
      <x:c r="V98" s="4" t="n">
        <x:f>MATCH(J98-'Сводка'!$B$11,'Сводка'!$R$3:$R$397,0)</x:f>
        <x:v>108</x:v>
      </x:c>
      <x:c r="W98" s="4" t="n">
        <x:f>MATCH(T98,$J$388:$J$400,0)</x:f>
        <x:v>4</x:v>
      </x:c>
      <x:c r="X98" s="3"/>
      <x:c r="Y98" s="3"/>
      <x:c r="Z98" s="3"/>
    </x:row>
    <x:row r="99" ht="15" customHeight="1">
      <x:c r="A99" s="7" t="str">
        <x:f>IF(81&lt;='Сводка'!$B$3,'Сводка'!$B$4+81,"")</x:f>
      </x:c>
      <x:c r="B99" s="20" t="str">
        <x:f>IF($A99="","",(A99-$T$405+1)/1000)</x:f>
      </x:c>
      <x:c r="C99" s="20" t="str">
        <x:f>IF($A99="","",2*(A99-$T$405)/$T$406-1)</x:f>
      </x:c>
      <x:c r="D99" s="3" t="str">
        <x:f>IF($A99="","",$B$4+$B$5*LN(B99)+INDEX($E$4:$E$15,MONTH(A99)))</x:f>
      </x:c>
      <x:c r="E99" s="3" t="str">
        <x:f>IF($A99="","",SQRT($T$403^2+H99^2))</x:f>
      </x:c>
      <x:c r="F99" s="3" t="str">
        <x:f>IF($A99="","",D99-$T$404*E99)</x:f>
      </x:c>
      <x:c r="G99" s="3" t="str">
        <x:f>IF($A99="","",D99+$T$404*E99)</x:f>
      </x:c>
      <x:c r="H99" s="3" t="str">
        <x:f>IF($A99="","",SQRT(MAX(0,(1)*$S$409*(1)+(1)*$T$409*(LN(B99))+(LN(B99))*$S$410*(1)+(LN(B99))*$T$410*(LN(B99))+2*((1)*INDEX($S$416:$V$427,MONTH(A99),1)+(LN(B99))*INDEX($S$416:$V$427,MONTH(A99),2))+INDEX($W$416:$W$427,MONTH(A99)))))</x:f>
      </x:c>
      <x:c r="I99" s="3"/>
      <x:c r="J99" s="10" t="n">
        <x:v>45950</x:v>
      </x:c>
      <x:c r="K99" s="8" t="n">
        <x:f>INDEX('Сводка'!$S$3:$S$397,U99)</x:f>
        <x:v>46</x:v>
      </x:c>
      <x:c r="L99" s="8" t="n">
        <x:f>INDEX('Сводка'!$S$3:$S$397,V99)</x:f>
        <x:v>56</x:v>
      </x:c>
      <x:c r="M99" s="8" t="n">
        <x:f>INDEX($K$388:$N$400,W99,1)+INDEX($K$388:$N$400,W99,2)*LN(((J99-$T$405+1)/1000))+INDEX($O$388:$Z$400,W99,MONTH(J99))</x:f>
        <x:v>134.21900573522484</x:v>
      </x:c>
      <x:c r="N99" s="8" t="n">
        <x:f>K99-M99</x:f>
        <x:v>-88.21900573522484</x:v>
      </x:c>
      <x:c r="O99" s="8" t="n">
        <x:f>ABS(N99)</x:f>
        <x:v>88.21900573522484</x:v>
      </x:c>
      <x:c r="P99" s="8" t="n">
        <x:f>N99^2</x:f>
        <x:v>7782.592972911633</x:v>
      </x:c>
      <x:c r="Q99" s="8" t="n">
        <x:f>K99-L99</x:f>
        <x:v>-10</x:v>
      </x:c>
      <x:c r="R99" s="9" t="n">
        <x:f>IF(AND(INDEX('Сводка'!$T$3:$T$397,U99)=0,INDEX('Сводка'!$T$3:$T$397,V99)=0),1,0)</x:f>
        <x:v>1</x:v>
      </x:c>
      <x:c r="S99" s="9" t="n">
        <x:f>IF(AND(R99=1,O99&lt;=$G$13),1,0)</x:f>
        <x:v>0</x:v>
      </x:c>
      <x:c r="T99" s="10" t="n">
        <x:f>EOMONTH(J99-'Сводка'!$B$11,-1)</x:f>
        <x:v>45930</x:v>
      </x:c>
      <x:c r="U99" s="4" t="n">
        <x:f>MATCH(J99,'Сводка'!$R$3:$R$397,0)</x:f>
        <x:v>110</x:v>
      </x:c>
      <x:c r="V99" s="4" t="n">
        <x:f>MATCH(J99-'Сводка'!$B$11,'Сводка'!$R$3:$R$397,0)</x:f>
        <x:v>109</x:v>
      </x:c>
      <x:c r="W99" s="4" t="n">
        <x:f>MATCH(T99,$J$388:$J$400,0)</x:f>
        <x:v>4</x:v>
      </x:c>
      <x:c r="X99" s="3"/>
      <x:c r="Y99" s="3"/>
      <x:c r="Z99" s="3"/>
    </x:row>
    <x:row r="100" ht="15" customHeight="1">
      <x:c r="A100" s="7" t="str">
        <x:f>IF(82&lt;='Сводка'!$B$3,'Сводка'!$B$4+82,"")</x:f>
      </x:c>
      <x:c r="B100" s="20" t="str">
        <x:f>IF($A100="","",(A100-$T$405+1)/1000)</x:f>
      </x:c>
      <x:c r="C100" s="20" t="str">
        <x:f>IF($A100="","",2*(A100-$T$405)/$T$406-1)</x:f>
      </x:c>
      <x:c r="D100" s="3" t="str">
        <x:f>IF($A100="","",$B$4+$B$5*LN(B100)+INDEX($E$4:$E$15,MONTH(A100)))</x:f>
      </x:c>
      <x:c r="E100" s="3" t="str">
        <x:f>IF($A100="","",SQRT($T$403^2+H100^2))</x:f>
      </x:c>
      <x:c r="F100" s="3" t="str">
        <x:f>IF($A100="","",D100-$T$404*E100)</x:f>
      </x:c>
      <x:c r="G100" s="3" t="str">
        <x:f>IF($A100="","",D100+$T$404*E100)</x:f>
      </x:c>
      <x:c r="H100" s="3" t="str">
        <x:f>IF($A100="","",SQRT(MAX(0,(1)*$S$409*(1)+(1)*$T$409*(LN(B100))+(LN(B100))*$S$410*(1)+(LN(B100))*$T$410*(LN(B100))+2*((1)*INDEX($S$416:$V$427,MONTH(A100),1)+(LN(B100))*INDEX($S$416:$V$427,MONTH(A100),2))+INDEX($W$416:$W$427,MONTH(A100)))))</x:f>
      </x:c>
      <x:c r="I100" s="3"/>
      <x:c r="J100" s="10" t="n">
        <x:v>45951</x:v>
      </x:c>
      <x:c r="K100" s="8" t="n">
        <x:f>INDEX('Сводка'!$S$3:$S$397,U100)</x:f>
        <x:v>36</x:v>
      </x:c>
      <x:c r="L100" s="8" t="n">
        <x:f>INDEX('Сводка'!$S$3:$S$397,V100)</x:f>
        <x:v>46</x:v>
      </x:c>
      <x:c r="M100" s="8" t="n">
        <x:f>INDEX($K$388:$N$400,W100,1)+INDEX($K$388:$N$400,W100,2)*LN(((J100-$T$405+1)/1000))+INDEX($O$388:$Z$400,W100,MONTH(J100))</x:f>
        <x:v>134.22491903649038</x:v>
      </x:c>
      <x:c r="N100" s="8" t="n">
        <x:f>K100-M100</x:f>
        <x:v>-98.22491903649038</x:v>
      </x:c>
      <x:c r="O100" s="8" t="n">
        <x:f>ABS(N100)</x:f>
        <x:v>98.22491903649038</x:v>
      </x:c>
      <x:c r="P100" s="8" t="n">
        <x:f>N100^2</x:f>
        <x:v>9648.134719725089</x:v>
      </x:c>
      <x:c r="Q100" s="8" t="n">
        <x:f>K100-L100</x:f>
        <x:v>-10</x:v>
      </x:c>
      <x:c r="R100" s="9" t="n">
        <x:f>IF(AND(INDEX('Сводка'!$T$3:$T$397,U100)=0,INDEX('Сводка'!$T$3:$T$397,V100)=0),1,0)</x:f>
        <x:v>1</x:v>
      </x:c>
      <x:c r="S100" s="9" t="n">
        <x:f>IF(AND(R100=1,O100&lt;=$G$13),1,0)</x:f>
        <x:v>0</x:v>
      </x:c>
      <x:c r="T100" s="10" t="n">
        <x:f>EOMONTH(J100-'Сводка'!$B$11,-1)</x:f>
        <x:v>45930</x:v>
      </x:c>
      <x:c r="U100" s="4" t="n">
        <x:f>MATCH(J100,'Сводка'!$R$3:$R$397,0)</x:f>
        <x:v>111</x:v>
      </x:c>
      <x:c r="V100" s="4" t="n">
        <x:f>MATCH(J100-'Сводка'!$B$11,'Сводка'!$R$3:$R$397,0)</x:f>
        <x:v>110</x:v>
      </x:c>
      <x:c r="W100" s="4" t="n">
        <x:f>MATCH(T100,$J$388:$J$400,0)</x:f>
        <x:v>4</x:v>
      </x:c>
      <x:c r="X100" s="3"/>
      <x:c r="Y100" s="3"/>
      <x:c r="Z100" s="3"/>
    </x:row>
    <x:row r="101" ht="15" customHeight="1">
      <x:c r="A101" s="7" t="str">
        <x:f>IF(83&lt;='Сводка'!$B$3,'Сводка'!$B$4+83,"")</x:f>
      </x:c>
      <x:c r="B101" s="20" t="str">
        <x:f>IF($A101="","",(A101-$T$405+1)/1000)</x:f>
      </x:c>
      <x:c r="C101" s="20" t="str">
        <x:f>IF($A101="","",2*(A101-$T$405)/$T$406-1)</x:f>
      </x:c>
      <x:c r="D101" s="3" t="str">
        <x:f>IF($A101="","",$B$4+$B$5*LN(B101)+INDEX($E$4:$E$15,MONTH(A101)))</x:f>
      </x:c>
      <x:c r="E101" s="3" t="str">
        <x:f>IF($A101="","",SQRT($T$403^2+H101^2))</x:f>
      </x:c>
      <x:c r="F101" s="3" t="str">
        <x:f>IF($A101="","",D101-$T$404*E101)</x:f>
      </x:c>
      <x:c r="G101" s="3" t="str">
        <x:f>IF($A101="","",D101+$T$404*E101)</x:f>
      </x:c>
      <x:c r="H101" s="3" t="str">
        <x:f>IF($A101="","",SQRT(MAX(0,(1)*$S$409*(1)+(1)*$T$409*(LN(B101))+(LN(B101))*$S$410*(1)+(LN(B101))*$T$410*(LN(B101))+2*((1)*INDEX($S$416:$V$427,MONTH(A101),1)+(LN(B101))*INDEX($S$416:$V$427,MONTH(A101),2))+INDEX($W$416:$W$427,MONTH(A101)))))</x:f>
      </x:c>
      <x:c r="I101" s="3"/>
      <x:c r="J101" s="10" t="n">
        <x:v>45952</x:v>
      </x:c>
      <x:c r="K101" s="8" t="n">
        <x:f>INDEX('Сводка'!$S$3:$S$397,U101)</x:f>
        <x:v>30</x:v>
      </x:c>
      <x:c r="L101" s="8" t="n">
        <x:f>INDEX('Сводка'!$S$3:$S$397,V101)</x:f>
        <x:v>36</x:v>
      </x:c>
      <x:c r="M101" s="8" t="n">
        <x:f>INDEX($K$388:$N$400,W101,1)+INDEX($K$388:$N$400,W101,2)*LN(((J101-$T$405+1)/1000))+INDEX($O$388:$Z$400,W101,MONTH(J101))</x:f>
        <x:v>134.23083165771433</x:v>
      </x:c>
      <x:c r="N101" s="8" t="n">
        <x:f>K101-M101</x:f>
        <x:v>-104.23083165771433</x:v>
      </x:c>
      <x:c r="O101" s="8" t="n">
        <x:f>ABS(N101)</x:f>
        <x:v>104.23083165771433</x:v>
      </x:c>
      <x:c r="P101" s="8" t="n">
        <x:f>N101^2</x:f>
        <x:v>10864.066268058785</x:v>
      </x:c>
      <x:c r="Q101" s="8" t="n">
        <x:f>K101-L101</x:f>
        <x:v>-6</x:v>
      </x:c>
      <x:c r="R101" s="9" t="n">
        <x:f>IF(AND(INDEX('Сводка'!$T$3:$T$397,U101)=0,INDEX('Сводка'!$T$3:$T$397,V101)=0),1,0)</x:f>
        <x:v>1</x:v>
      </x:c>
      <x:c r="S101" s="9" t="n">
        <x:f>IF(AND(R101=1,O101&lt;=$G$13),1,0)</x:f>
        <x:v>0</x:v>
      </x:c>
      <x:c r="T101" s="10" t="n">
        <x:f>EOMONTH(J101-'Сводка'!$B$11,-1)</x:f>
        <x:v>45930</x:v>
      </x:c>
      <x:c r="U101" s="4" t="n">
        <x:f>MATCH(J101,'Сводка'!$R$3:$R$397,0)</x:f>
        <x:v>112</x:v>
      </x:c>
      <x:c r="V101" s="4" t="n">
        <x:f>MATCH(J101-'Сводка'!$B$11,'Сводка'!$R$3:$R$397,0)</x:f>
        <x:v>111</x:v>
      </x:c>
      <x:c r="W101" s="4" t="n">
        <x:f>MATCH(T101,$J$388:$J$400,0)</x:f>
        <x:v>4</x:v>
      </x:c>
      <x:c r="X101" s="3"/>
      <x:c r="Y101" s="3"/>
      <x:c r="Z101" s="3"/>
    </x:row>
    <x:row r="102" ht="15" customHeight="1">
      <x:c r="A102" s="7" t="str">
        <x:f>IF(84&lt;='Сводка'!$B$3,'Сводка'!$B$4+84,"")</x:f>
      </x:c>
      <x:c r="B102" s="20" t="str">
        <x:f>IF($A102="","",(A102-$T$405+1)/1000)</x:f>
      </x:c>
      <x:c r="C102" s="20" t="str">
        <x:f>IF($A102="","",2*(A102-$T$405)/$T$406-1)</x:f>
      </x:c>
      <x:c r="D102" s="3" t="str">
        <x:f>IF($A102="","",$B$4+$B$5*LN(B102)+INDEX($E$4:$E$15,MONTH(A102)))</x:f>
      </x:c>
      <x:c r="E102" s="3" t="str">
        <x:f>IF($A102="","",SQRT($T$403^2+H102^2))</x:f>
      </x:c>
      <x:c r="F102" s="3" t="str">
        <x:f>IF($A102="","",D102-$T$404*E102)</x:f>
      </x:c>
      <x:c r="G102" s="3" t="str">
        <x:f>IF($A102="","",D102+$T$404*E102)</x:f>
      </x:c>
      <x:c r="H102" s="3" t="str">
        <x:f>IF($A102="","",SQRT(MAX(0,(1)*$S$409*(1)+(1)*$T$409*(LN(B102))+(LN(B102))*$S$410*(1)+(LN(B102))*$T$410*(LN(B102))+2*((1)*INDEX($S$416:$V$427,MONTH(A102),1)+(LN(B102))*INDEX($S$416:$V$427,MONTH(A102),2))+INDEX($W$416:$W$427,MONTH(A102)))))</x:f>
      </x:c>
      <x:c r="I102" s="3"/>
      <x:c r="J102" s="10" t="n">
        <x:v>45953</x:v>
      </x:c>
      <x:c r="K102" s="8" t="n">
        <x:f>INDEX('Сводка'!$S$3:$S$397,U102)</x:f>
        <x:v>19</x:v>
      </x:c>
      <x:c r="L102" s="8" t="n">
        <x:f>INDEX('Сводка'!$S$3:$S$397,V102)</x:f>
        <x:v>30</x:v>
      </x:c>
      <x:c r="M102" s="8" t="n">
        <x:f>INDEX($K$388:$N$400,W102,1)+INDEX($K$388:$N$400,W102,2)*LN(((J102-$T$405+1)/1000))+INDEX($O$388:$Z$400,W102,MONTH(J102))</x:f>
        <x:v>134.23674359905314</x:v>
      </x:c>
      <x:c r="N102" s="8" t="n">
        <x:f>K102-M102</x:f>
        <x:v>-115.23674359905314</x:v>
      </x:c>
      <x:c r="O102" s="8" t="n">
        <x:f>ABS(N102)</x:f>
        <x:v>115.23674359905314</x:v>
      </x:c>
      <x:c r="P102" s="8" t="n">
        <x:f>N102^2</x:f>
        <x:v>13279.507075313915</x:v>
      </x:c>
      <x:c r="Q102" s="8" t="n">
        <x:f>K102-L102</x:f>
        <x:v>-11</x:v>
      </x:c>
      <x:c r="R102" s="9" t="n">
        <x:f>IF(AND(INDEX('Сводка'!$T$3:$T$397,U102)=0,INDEX('Сводка'!$T$3:$T$397,V102)=0),1,0)</x:f>
        <x:v>1</x:v>
      </x:c>
      <x:c r="S102" s="9" t="n">
        <x:f>IF(AND(R102=1,O102&lt;=$G$13),1,0)</x:f>
        <x:v>0</x:v>
      </x:c>
      <x:c r="T102" s="10" t="n">
        <x:f>EOMONTH(J102-'Сводка'!$B$11,-1)</x:f>
        <x:v>45930</x:v>
      </x:c>
      <x:c r="U102" s="4" t="n">
        <x:f>MATCH(J102,'Сводка'!$R$3:$R$397,0)</x:f>
        <x:v>113</x:v>
      </x:c>
      <x:c r="V102" s="4" t="n">
        <x:f>MATCH(J102-'Сводка'!$B$11,'Сводка'!$R$3:$R$397,0)</x:f>
        <x:v>112</x:v>
      </x:c>
      <x:c r="W102" s="4" t="n">
        <x:f>MATCH(T102,$J$388:$J$400,0)</x:f>
        <x:v>4</x:v>
      </x:c>
      <x:c r="X102" s="3"/>
      <x:c r="Y102" s="3"/>
      <x:c r="Z102" s="3"/>
    </x:row>
    <x:row r="103" ht="15" customHeight="1">
      <x:c r="A103" s="7" t="str">
        <x:f>IF(85&lt;='Сводка'!$B$3,'Сводка'!$B$4+85,"")</x:f>
      </x:c>
      <x:c r="B103" s="20" t="str">
        <x:f>IF($A103="","",(A103-$T$405+1)/1000)</x:f>
      </x:c>
      <x:c r="C103" s="20" t="str">
        <x:f>IF($A103="","",2*(A103-$T$405)/$T$406-1)</x:f>
      </x:c>
      <x:c r="D103" s="3" t="str">
        <x:f>IF($A103="","",$B$4+$B$5*LN(B103)+INDEX($E$4:$E$15,MONTH(A103)))</x:f>
      </x:c>
      <x:c r="E103" s="3" t="str">
        <x:f>IF($A103="","",SQRT($T$403^2+H103^2))</x:f>
      </x:c>
      <x:c r="F103" s="3" t="str">
        <x:f>IF($A103="","",D103-$T$404*E103)</x:f>
      </x:c>
      <x:c r="G103" s="3" t="str">
        <x:f>IF($A103="","",D103+$T$404*E103)</x:f>
      </x:c>
      <x:c r="H103" s="3" t="str">
        <x:f>IF($A103="","",SQRT(MAX(0,(1)*$S$409*(1)+(1)*$T$409*(LN(B103))+(LN(B103))*$S$410*(1)+(LN(B103))*$T$410*(LN(B103))+2*((1)*INDEX($S$416:$V$427,MONTH(A103),1)+(LN(B103))*INDEX($S$416:$V$427,MONTH(A103),2))+INDEX($W$416:$W$427,MONTH(A103)))))</x:f>
      </x:c>
      <x:c r="I103" s="3"/>
      <x:c r="J103" s="10" t="n">
        <x:v>45954</x:v>
      </x:c>
      <x:c r="K103" s="8" t="n">
        <x:f>INDEX('Сводка'!$S$3:$S$397,U103)</x:f>
        <x:v>12</x:v>
      </x:c>
      <x:c r="L103" s="8" t="n">
        <x:f>INDEX('Сводка'!$S$3:$S$397,V103)</x:f>
        <x:v>19</x:v>
      </x:c>
      <x:c r="M103" s="8" t="n">
        <x:f>INDEX($K$388:$N$400,W103,1)+INDEX($K$388:$N$400,W103,2)*LN(((J103-$T$405+1)/1000))+INDEX($O$388:$Z$400,W103,MONTH(J103))</x:f>
        <x:v>134.24265486066318</x:v>
      </x:c>
      <x:c r="N103" s="8" t="n">
        <x:f>K103-M103</x:f>
        <x:v>-122.24265486066318</x:v>
      </x:c>
      <x:c r="O103" s="8" t="n">
        <x:f>ABS(N103)</x:f>
        <x:v>122.24265486066318</x:v>
      </x:c>
      <x:c r="P103" s="8" t="n">
        <x:f>N103^2</x:f>
        <x:v>14943.26666738322</x:v>
      </x:c>
      <x:c r="Q103" s="8" t="n">
        <x:f>K103-L103</x:f>
        <x:v>-7</x:v>
      </x:c>
      <x:c r="R103" s="9" t="n">
        <x:f>IF(AND(INDEX('Сводка'!$T$3:$T$397,U103)=0,INDEX('Сводка'!$T$3:$T$397,V103)=0),1,0)</x:f>
        <x:v>1</x:v>
      </x:c>
      <x:c r="S103" s="9" t="n">
        <x:f>IF(AND(R103=1,O103&lt;=$G$13),1,0)</x:f>
        <x:v>0</x:v>
      </x:c>
      <x:c r="T103" s="10" t="n">
        <x:f>EOMONTH(J103-'Сводка'!$B$11,-1)</x:f>
        <x:v>45930</x:v>
      </x:c>
      <x:c r="U103" s="4" t="n">
        <x:f>MATCH(J103,'Сводка'!$R$3:$R$397,0)</x:f>
        <x:v>114</x:v>
      </x:c>
      <x:c r="V103" s="4" t="n">
        <x:f>MATCH(J103-'Сводка'!$B$11,'Сводка'!$R$3:$R$397,0)</x:f>
        <x:v>113</x:v>
      </x:c>
      <x:c r="W103" s="4" t="n">
        <x:f>MATCH(T103,$J$388:$J$400,0)</x:f>
        <x:v>4</x:v>
      </x:c>
      <x:c r="X103" s="3"/>
      <x:c r="Y103" s="3"/>
      <x:c r="Z103" s="3"/>
    </x:row>
    <x:row r="104" ht="15" customHeight="1">
      <x:c r="A104" s="7" t="str">
        <x:f>IF(86&lt;='Сводка'!$B$3,'Сводка'!$B$4+86,"")</x:f>
      </x:c>
      <x:c r="B104" s="20" t="str">
        <x:f>IF($A104="","",(A104-$T$405+1)/1000)</x:f>
      </x:c>
      <x:c r="C104" s="20" t="str">
        <x:f>IF($A104="","",2*(A104-$T$405)/$T$406-1)</x:f>
      </x:c>
      <x:c r="D104" s="3" t="str">
        <x:f>IF($A104="","",$B$4+$B$5*LN(B104)+INDEX($E$4:$E$15,MONTH(A104)))</x:f>
      </x:c>
      <x:c r="E104" s="3" t="str">
        <x:f>IF($A104="","",SQRT($T$403^2+H104^2))</x:f>
      </x:c>
      <x:c r="F104" s="3" t="str">
        <x:f>IF($A104="","",D104-$T$404*E104)</x:f>
      </x:c>
      <x:c r="G104" s="3" t="str">
        <x:f>IF($A104="","",D104+$T$404*E104)</x:f>
      </x:c>
      <x:c r="H104" s="3" t="str">
        <x:f>IF($A104="","",SQRT(MAX(0,(1)*$S$409*(1)+(1)*$T$409*(LN(B104))+(LN(B104))*$S$410*(1)+(LN(B104))*$T$410*(LN(B104))+2*((1)*INDEX($S$416:$V$427,MONTH(A104),1)+(LN(B104))*INDEX($S$416:$V$427,MONTH(A104),2))+INDEX($W$416:$W$427,MONTH(A104)))))</x:f>
      </x:c>
      <x:c r="I104" s="3"/>
      <x:c r="J104" s="10" t="n">
        <x:v>45955</x:v>
      </x:c>
      <x:c r="K104" s="8" t="n">
        <x:f>INDEX('Сводка'!$S$3:$S$397,U104)</x:f>
        <x:v>5</x:v>
      </x:c>
      <x:c r="L104" s="8" t="n">
        <x:f>INDEX('Сводка'!$S$3:$S$397,V104)</x:f>
        <x:v>12</x:v>
      </x:c>
      <x:c r="M104" s="8" t="n">
        <x:f>INDEX($K$388:$N$400,W104,1)+INDEX($K$388:$N$400,W104,2)*LN(((J104-$T$405+1)/1000))+INDEX($O$388:$Z$400,W104,MONTH(J104))</x:f>
        <x:v>134.24856544270065</x:v>
      </x:c>
      <x:c r="N104" s="8" t="n">
        <x:f>K104-M104</x:f>
        <x:v>-129.24856544270065</x:v>
      </x:c>
      <x:c r="O104" s="8" t="n">
        <x:f>ABS(N104)</x:f>
        <x:v>129.24856544270065</x:v>
      </x:c>
      <x:c r="P104" s="8" t="n">
        <x:f>N104^2</x:f>
        <x:v>16705.191668996074</x:v>
      </x:c>
      <x:c r="Q104" s="8" t="n">
        <x:f>K104-L104</x:f>
        <x:v>-7</x:v>
      </x:c>
      <x:c r="R104" s="9" t="n">
        <x:f>IF(AND(INDEX('Сводка'!$T$3:$T$397,U104)=0,INDEX('Сводка'!$T$3:$T$397,V104)=0),1,0)</x:f>
        <x:v>1</x:v>
      </x:c>
      <x:c r="S104" s="9" t="n">
        <x:f>IF(AND(R104=1,O104&lt;=$G$13),1,0)</x:f>
        <x:v>0</x:v>
      </x:c>
      <x:c r="T104" s="10" t="n">
        <x:f>EOMONTH(J104-'Сводка'!$B$11,-1)</x:f>
        <x:v>45930</x:v>
      </x:c>
      <x:c r="U104" s="4" t="n">
        <x:f>MATCH(J104,'Сводка'!$R$3:$R$397,0)</x:f>
        <x:v>115</x:v>
      </x:c>
      <x:c r="V104" s="4" t="n">
        <x:f>MATCH(J104-'Сводка'!$B$11,'Сводка'!$R$3:$R$397,0)</x:f>
        <x:v>114</x:v>
      </x:c>
      <x:c r="W104" s="4" t="n">
        <x:f>MATCH(T104,$J$388:$J$400,0)</x:f>
        <x:v>4</x:v>
      </x:c>
      <x:c r="X104" s="3"/>
      <x:c r="Y104" s="3"/>
      <x:c r="Z104" s="3"/>
    </x:row>
    <x:row r="105" ht="15" customHeight="1">
      <x:c r="A105" s="7" t="str">
        <x:f>IF(87&lt;='Сводка'!$B$3,'Сводка'!$B$4+87,"")</x:f>
      </x:c>
      <x:c r="B105" s="20" t="str">
        <x:f>IF($A105="","",(A105-$T$405+1)/1000)</x:f>
      </x:c>
      <x:c r="C105" s="20" t="str">
        <x:f>IF($A105="","",2*(A105-$T$405)/$T$406-1)</x:f>
      </x:c>
      <x:c r="D105" s="3" t="str">
        <x:f>IF($A105="","",$B$4+$B$5*LN(B105)+INDEX($E$4:$E$15,MONTH(A105)))</x:f>
      </x:c>
      <x:c r="E105" s="3" t="str">
        <x:f>IF($A105="","",SQRT($T$403^2+H105^2))</x:f>
      </x:c>
      <x:c r="F105" s="3" t="str">
        <x:f>IF($A105="","",D105-$T$404*E105)</x:f>
      </x:c>
      <x:c r="G105" s="3" t="str">
        <x:f>IF($A105="","",D105+$T$404*E105)</x:f>
      </x:c>
      <x:c r="H105" s="3" t="str">
        <x:f>IF($A105="","",SQRT(MAX(0,(1)*$S$409*(1)+(1)*$T$409*(LN(B105))+(LN(B105))*$S$410*(1)+(LN(B105))*$T$410*(LN(B105))+2*((1)*INDEX($S$416:$V$427,MONTH(A105),1)+(LN(B105))*INDEX($S$416:$V$427,MONTH(A105),2))+INDEX($W$416:$W$427,MONTH(A105)))))</x:f>
      </x:c>
      <x:c r="I105" s="3"/>
      <x:c r="J105" s="10" t="n">
        <x:v>45956</x:v>
      </x:c>
      <x:c r="K105" s="8" t="n">
        <x:f>INDEX('Сводка'!$S$3:$S$397,U105)</x:f>
        <x:v>-1</x:v>
      </x:c>
      <x:c r="L105" s="8" t="n">
        <x:f>INDEX('Сводка'!$S$3:$S$397,V105)</x:f>
        <x:v>5</x:v>
      </x:c>
      <x:c r="M105" s="8" t="n">
        <x:f>INDEX($K$388:$N$400,W105,1)+INDEX($K$388:$N$400,W105,2)*LN(((J105-$T$405+1)/1000))+INDEX($O$388:$Z$400,W105,MONTH(J105))</x:f>
        <x:v>134.25447534532182</x:v>
      </x:c>
      <x:c r="N105" s="8" t="n">
        <x:f>K105-M105</x:f>
        <x:v>-135.25447534532182</x:v>
      </x:c>
      <x:c r="O105" s="8" t="n">
        <x:f>ABS(N105)</x:f>
        <x:v>135.25447534532182</x:v>
      </x:c>
      <x:c r="P105" s="8" t="n">
        <x:f>N105^2</x:f>
        <x:v>18293.77310093827</x:v>
      </x:c>
      <x:c r="Q105" s="8" t="n">
        <x:f>K105-L105</x:f>
        <x:v>-6</x:v>
      </x:c>
      <x:c r="R105" s="9" t="n">
        <x:f>IF(AND(INDEX('Сводка'!$T$3:$T$397,U105)=0,INDEX('Сводка'!$T$3:$T$397,V105)=0),1,0)</x:f>
        <x:v>1</x:v>
      </x:c>
      <x:c r="S105" s="9" t="n">
        <x:f>IF(AND(R105=1,O105&lt;=$G$13),1,0)</x:f>
        <x:v>0</x:v>
      </x:c>
      <x:c r="T105" s="10" t="n">
        <x:f>EOMONTH(J105-'Сводка'!$B$11,-1)</x:f>
        <x:v>45930</x:v>
      </x:c>
      <x:c r="U105" s="4" t="n">
        <x:f>MATCH(J105,'Сводка'!$R$3:$R$397,0)</x:f>
        <x:v>116</x:v>
      </x:c>
      <x:c r="V105" s="4" t="n">
        <x:f>MATCH(J105-'Сводка'!$B$11,'Сводка'!$R$3:$R$397,0)</x:f>
        <x:v>115</x:v>
      </x:c>
      <x:c r="W105" s="4" t="n">
        <x:f>MATCH(T105,$J$388:$J$400,0)</x:f>
        <x:v>4</x:v>
      </x:c>
      <x:c r="X105" s="3"/>
      <x:c r="Y105" s="3"/>
      <x:c r="Z105" s="3"/>
    </x:row>
    <x:row r="106" ht="15" customHeight="1">
      <x:c r="A106" s="7" t="str">
        <x:f>IF(88&lt;='Сводка'!$B$3,'Сводка'!$B$4+88,"")</x:f>
      </x:c>
      <x:c r="B106" s="20" t="str">
        <x:f>IF($A106="","",(A106-$T$405+1)/1000)</x:f>
      </x:c>
      <x:c r="C106" s="20" t="str">
        <x:f>IF($A106="","",2*(A106-$T$405)/$T$406-1)</x:f>
      </x:c>
      <x:c r="D106" s="3" t="str">
        <x:f>IF($A106="","",$B$4+$B$5*LN(B106)+INDEX($E$4:$E$15,MONTH(A106)))</x:f>
      </x:c>
      <x:c r="E106" s="3" t="str">
        <x:f>IF($A106="","",SQRT($T$403^2+H106^2))</x:f>
      </x:c>
      <x:c r="F106" s="3" t="str">
        <x:f>IF($A106="","",D106-$T$404*E106)</x:f>
      </x:c>
      <x:c r="G106" s="3" t="str">
        <x:f>IF($A106="","",D106+$T$404*E106)</x:f>
      </x:c>
      <x:c r="H106" s="3" t="str">
        <x:f>IF($A106="","",SQRT(MAX(0,(1)*$S$409*(1)+(1)*$T$409*(LN(B106))+(LN(B106))*$S$410*(1)+(LN(B106))*$T$410*(LN(B106))+2*((1)*INDEX($S$416:$V$427,MONTH(A106),1)+(LN(B106))*INDEX($S$416:$V$427,MONTH(A106),2))+INDEX($W$416:$W$427,MONTH(A106)))))</x:f>
      </x:c>
      <x:c r="I106" s="3"/>
      <x:c r="J106" s="10" t="n">
        <x:v>45957</x:v>
      </x:c>
      <x:c r="K106" s="8" t="n">
        <x:f>INDEX('Сводка'!$S$3:$S$397,U106)</x:f>
        <x:v>-11</x:v>
      </x:c>
      <x:c r="L106" s="8" t="n">
        <x:f>INDEX('Сводка'!$S$3:$S$397,V106)</x:f>
        <x:v>-1</x:v>
      </x:c>
      <x:c r="M106" s="8" t="n">
        <x:f>INDEX($K$388:$N$400,W106,1)+INDEX($K$388:$N$400,W106,2)*LN(((J106-$T$405+1)/1000))+INDEX($O$388:$Z$400,W106,MONTH(J106))</x:f>
        <x:v>134.2603845686829</x:v>
      </x:c>
      <x:c r="N106" s="8" t="n">
        <x:f>K106-M106</x:f>
        <x:v>-145.2603845686829</x:v>
      </x:c>
      <x:c r="O106" s="8" t="n">
        <x:f>ABS(N106)</x:f>
        <x:v>145.2603845686829</x:v>
      </x:c>
      <x:c r="P106" s="8" t="n">
        <x:f>N106^2</x:f>
        <x:v>21100.579325041646</x:v>
      </x:c>
      <x:c r="Q106" s="8" t="n">
        <x:f>K106-L106</x:f>
        <x:v>-10</x:v>
      </x:c>
      <x:c r="R106" s="9" t="n">
        <x:f>IF(AND(INDEX('Сводка'!$T$3:$T$397,U106)=0,INDEX('Сводка'!$T$3:$T$397,V106)=0),1,0)</x:f>
        <x:v>1</x:v>
      </x:c>
      <x:c r="S106" s="9" t="n">
        <x:f>IF(AND(R106=1,O106&lt;=$G$13),1,0)</x:f>
        <x:v>0</x:v>
      </x:c>
      <x:c r="T106" s="10" t="n">
        <x:f>EOMONTH(J106-'Сводка'!$B$11,-1)</x:f>
        <x:v>45930</x:v>
      </x:c>
      <x:c r="U106" s="4" t="n">
        <x:f>MATCH(J106,'Сводка'!$R$3:$R$397,0)</x:f>
        <x:v>117</x:v>
      </x:c>
      <x:c r="V106" s="4" t="n">
        <x:f>MATCH(J106-'Сводка'!$B$11,'Сводка'!$R$3:$R$397,0)</x:f>
        <x:v>116</x:v>
      </x:c>
      <x:c r="W106" s="4" t="n">
        <x:f>MATCH(T106,$J$388:$J$400,0)</x:f>
        <x:v>4</x:v>
      </x:c>
      <x:c r="X106" s="3"/>
      <x:c r="Y106" s="3"/>
      <x:c r="Z106" s="3"/>
    </x:row>
    <x:row r="107" ht="15" customHeight="1">
      <x:c r="A107" s="7" t="str">
        <x:f>IF(89&lt;='Сводка'!$B$3,'Сводка'!$B$4+89,"")</x:f>
      </x:c>
      <x:c r="B107" s="20" t="str">
        <x:f>IF($A107="","",(A107-$T$405+1)/1000)</x:f>
      </x:c>
      <x:c r="C107" s="20" t="str">
        <x:f>IF($A107="","",2*(A107-$T$405)/$T$406-1)</x:f>
      </x:c>
      <x:c r="D107" s="3" t="str">
        <x:f>IF($A107="","",$B$4+$B$5*LN(B107)+INDEX($E$4:$E$15,MONTH(A107)))</x:f>
      </x:c>
      <x:c r="E107" s="3" t="str">
        <x:f>IF($A107="","",SQRT($T$403^2+H107^2))</x:f>
      </x:c>
      <x:c r="F107" s="3" t="str">
        <x:f>IF($A107="","",D107-$T$404*E107)</x:f>
      </x:c>
      <x:c r="G107" s="3" t="str">
        <x:f>IF($A107="","",D107+$T$404*E107)</x:f>
      </x:c>
      <x:c r="H107" s="3" t="str">
        <x:f>IF($A107="","",SQRT(MAX(0,(1)*$S$409*(1)+(1)*$T$409*(LN(B107))+(LN(B107))*$S$410*(1)+(LN(B107))*$T$410*(LN(B107))+2*((1)*INDEX($S$416:$V$427,MONTH(A107),1)+(LN(B107))*INDEX($S$416:$V$427,MONTH(A107),2))+INDEX($W$416:$W$427,MONTH(A107)))))</x:f>
      </x:c>
      <x:c r="I107" s="3"/>
      <x:c r="J107" s="10" t="n">
        <x:v>45958</x:v>
      </x:c>
      <x:c r="K107" s="8" t="n">
        <x:f>INDEX('Сводка'!$S$3:$S$397,U107)</x:f>
        <x:v>-20</x:v>
      </x:c>
      <x:c r="L107" s="8" t="n">
        <x:f>INDEX('Сводка'!$S$3:$S$397,V107)</x:f>
        <x:v>-11</x:v>
      </x:c>
      <x:c r="M107" s="8" t="n">
        <x:f>INDEX($K$388:$N$400,W107,1)+INDEX($K$388:$N$400,W107,2)*LN(((J107-$T$405+1)/1000))+INDEX($O$388:$Z$400,W107,MONTH(J107))</x:f>
        <x:v>134.26629311293996</x:v>
      </x:c>
      <x:c r="N107" s="8" t="n">
        <x:f>K107-M107</x:f>
        <x:v>-154.26629311293996</x:v>
      </x:c>
      <x:c r="O107" s="8" t="n">
        <x:f>ABS(N107)</x:f>
        <x:v>154.26629311293996</x:v>
      </x:c>
      <x:c r="P107" s="8" t="n">
        <x:f>N107^2</x:f>
        <x:v>23798.089190807506</x:v>
      </x:c>
      <x:c r="Q107" s="8" t="n">
        <x:f>K107-L107</x:f>
        <x:v>-9</x:v>
      </x:c>
      <x:c r="R107" s="9" t="n">
        <x:f>IF(AND(INDEX('Сводка'!$T$3:$T$397,U107)=0,INDEX('Сводка'!$T$3:$T$397,V107)=0),1,0)</x:f>
        <x:v>1</x:v>
      </x:c>
      <x:c r="S107" s="9" t="n">
        <x:f>IF(AND(R107=1,O107&lt;=$G$13),1,0)</x:f>
        <x:v>0</x:v>
      </x:c>
      <x:c r="T107" s="10" t="n">
        <x:f>EOMONTH(J107-'Сводка'!$B$11,-1)</x:f>
        <x:v>45930</x:v>
      </x:c>
      <x:c r="U107" s="4" t="n">
        <x:f>MATCH(J107,'Сводка'!$R$3:$R$397,0)</x:f>
        <x:v>118</x:v>
      </x:c>
      <x:c r="V107" s="4" t="n">
        <x:f>MATCH(J107-'Сводка'!$B$11,'Сводка'!$R$3:$R$397,0)</x:f>
        <x:v>117</x:v>
      </x:c>
      <x:c r="W107" s="4" t="n">
        <x:f>MATCH(T107,$J$388:$J$400,0)</x:f>
        <x:v>4</x:v>
      </x:c>
      <x:c r="X107" s="3"/>
      <x:c r="Y107" s="3"/>
      <x:c r="Z107" s="3"/>
    </x:row>
    <x:row r="108" ht="15" customHeight="1">
      <x:c r="A108" s="7" t="str">
        <x:f>IF(90&lt;='Сводка'!$B$3,'Сводка'!$B$4+90,"")</x:f>
      </x:c>
      <x:c r="B108" s="20" t="str">
        <x:f>IF($A108="","",(A108-$T$405+1)/1000)</x:f>
      </x:c>
      <x:c r="C108" s="20" t="str">
        <x:f>IF($A108="","",2*(A108-$T$405)/$T$406-1)</x:f>
      </x:c>
      <x:c r="D108" s="3" t="str">
        <x:f>IF($A108="","",$B$4+$B$5*LN(B108)+INDEX($E$4:$E$15,MONTH(A108)))</x:f>
      </x:c>
      <x:c r="E108" s="3" t="str">
        <x:f>IF($A108="","",SQRT($T$403^2+H108^2))</x:f>
      </x:c>
      <x:c r="F108" s="3" t="str">
        <x:f>IF($A108="","",D108-$T$404*E108)</x:f>
      </x:c>
      <x:c r="G108" s="3" t="str">
        <x:f>IF($A108="","",D108+$T$404*E108)</x:f>
      </x:c>
      <x:c r="H108" s="3" t="str">
        <x:f>IF($A108="","",SQRT(MAX(0,(1)*$S$409*(1)+(1)*$T$409*(LN(B108))+(LN(B108))*$S$410*(1)+(LN(B108))*$T$410*(LN(B108))+2*((1)*INDEX($S$416:$V$427,MONTH(A108),1)+(LN(B108))*INDEX($S$416:$V$427,MONTH(A108),2))+INDEX($W$416:$W$427,MONTH(A108)))))</x:f>
      </x:c>
      <x:c r="I108" s="3"/>
      <x:c r="J108" s="10" t="n">
        <x:v>45959</x:v>
      </x:c>
      <x:c r="K108" s="8" t="n">
        <x:f>INDEX('Сводка'!$S$3:$S$397,U108)</x:f>
        <x:v>-27</x:v>
      </x:c>
      <x:c r="L108" s="8" t="n">
        <x:f>INDEX('Сводка'!$S$3:$S$397,V108)</x:f>
        <x:v>-20</x:v>
      </x:c>
      <x:c r="M108" s="8" t="n">
        <x:f>INDEX($K$388:$N$400,W108,1)+INDEX($K$388:$N$400,W108,2)*LN(((J108-$T$405+1)/1000))+INDEX($O$388:$Z$400,W108,MONTH(J108))</x:f>
        <x:v>134.27220097824912</x:v>
      </x:c>
      <x:c r="N108" s="8" t="n">
        <x:f>K108-M108</x:f>
        <x:v>-161.27220097824912</x:v>
      </x:c>
      <x:c r="O108" s="8" t="n">
        <x:f>ABS(N108)</x:f>
        <x:v>161.27220097824912</x:v>
      </x:c>
      <x:c r="P108" s="8" t="n">
        <x:f>N108^2</x:f>
        <x:v>26008.722808368777</x:v>
      </x:c>
      <x:c r="Q108" s="8" t="n">
        <x:f>K108-L108</x:f>
        <x:v>-7</x:v>
      </x:c>
      <x:c r="R108" s="9" t="n">
        <x:f>IF(AND(INDEX('Сводка'!$T$3:$T$397,U108)=0,INDEX('Сводка'!$T$3:$T$397,V108)=0),1,0)</x:f>
        <x:v>1</x:v>
      </x:c>
      <x:c r="S108" s="9" t="n">
        <x:f>IF(AND(R108=1,O108&lt;=$G$13),1,0)</x:f>
        <x:v>0</x:v>
      </x:c>
      <x:c r="T108" s="10" t="n">
        <x:f>EOMONTH(J108-'Сводка'!$B$11,-1)</x:f>
        <x:v>45930</x:v>
      </x:c>
      <x:c r="U108" s="4" t="n">
        <x:f>MATCH(J108,'Сводка'!$R$3:$R$397,0)</x:f>
        <x:v>119</x:v>
      </x:c>
      <x:c r="V108" s="4" t="n">
        <x:f>MATCH(J108-'Сводка'!$B$11,'Сводка'!$R$3:$R$397,0)</x:f>
        <x:v>118</x:v>
      </x:c>
      <x:c r="W108" s="4" t="n">
        <x:f>MATCH(T108,$J$388:$J$400,0)</x:f>
        <x:v>4</x:v>
      </x:c>
      <x:c r="X108" s="3"/>
      <x:c r="Y108" s="3"/>
      <x:c r="Z108" s="3"/>
    </x:row>
    <x:row r="109" ht="15" customHeight="1">
      <x:c r="A109" s="3"/>
      <x:c r="B109" s="3"/>
      <x:c r="C109" s="3"/>
      <x:c r="D109" s="3"/>
      <x:c r="E109" s="3"/>
      <x:c r="F109" s="3"/>
      <x:c r="G109" s="3"/>
      <x:c r="H109" s="3"/>
      <x:c r="I109" s="3"/>
      <x:c r="J109" s="10" t="n">
        <x:v>45960</x:v>
      </x:c>
      <x:c r="K109" s="8" t="n">
        <x:f>INDEX('Сводка'!$S$3:$S$397,U109)</x:f>
        <x:v>-33</x:v>
      </x:c>
      <x:c r="L109" s="8" t="n">
        <x:f>INDEX('Сводка'!$S$3:$S$397,V109)</x:f>
        <x:v>-27</x:v>
      </x:c>
      <x:c r="M109" s="8" t="n">
        <x:f>INDEX($K$388:$N$400,W109,1)+INDEX($K$388:$N$400,W109,2)*LN(((J109-$T$405+1)/1000))+INDEX($O$388:$Z$400,W109,MONTH(J109))</x:f>
        <x:v>134.2781081647664</x:v>
      </x:c>
      <x:c r="N109" s="8" t="n">
        <x:f>K109-M109</x:f>
        <x:v>-167.2781081647664</x:v>
      </x:c>
      <x:c r="O109" s="8" t="n">
        <x:f>ABS(N109)</x:f>
        <x:v>167.2781081647664</x:v>
      </x:c>
      <x:c r="P109" s="8" t="n">
        <x:f>N109^2</x:f>
        <x:v>27981.965471183285</x:v>
      </x:c>
      <x:c r="Q109" s="8" t="n">
        <x:f>K109-L109</x:f>
        <x:v>-6</x:v>
      </x:c>
      <x:c r="R109" s="9" t="n">
        <x:f>IF(AND(INDEX('Сводка'!$T$3:$T$397,U109)=0,INDEX('Сводка'!$T$3:$T$397,V109)=0),1,0)</x:f>
        <x:v>1</x:v>
      </x:c>
      <x:c r="S109" s="9" t="n">
        <x:f>IF(AND(R109=1,O109&lt;=$G$13),1,0)</x:f>
        <x:v>0</x:v>
      </x:c>
      <x:c r="T109" s="10" t="n">
        <x:f>EOMONTH(J109-'Сводка'!$B$11,-1)</x:f>
        <x:v>45930</x:v>
      </x:c>
      <x:c r="U109" s="4" t="n">
        <x:f>MATCH(J109,'Сводка'!$R$3:$R$397,0)</x:f>
        <x:v>120</x:v>
      </x:c>
      <x:c r="V109" s="4" t="n">
        <x:f>MATCH(J109-'Сводка'!$B$11,'Сводка'!$R$3:$R$397,0)</x:f>
        <x:v>119</x:v>
      </x:c>
      <x:c r="W109" s="4" t="n">
        <x:f>MATCH(T109,$J$388:$J$400,0)</x:f>
        <x:v>4</x:v>
      </x:c>
      <x:c r="X109" s="3"/>
      <x:c r="Y109" s="3"/>
      <x:c r="Z109" s="3"/>
    </x:row>
    <x:row r="110" ht="15" customHeight="1">
      <x:c r="A110" s="3"/>
      <x:c r="B110" s="3"/>
      <x:c r="C110" s="3"/>
      <x:c r="D110" s="3"/>
      <x:c r="E110" s="3"/>
      <x:c r="F110" s="3"/>
      <x:c r="G110" s="3"/>
      <x:c r="H110" s="3"/>
      <x:c r="I110" s="3"/>
      <x:c r="J110" s="10" t="n">
        <x:v>45961</x:v>
      </x:c>
      <x:c r="K110" s="8" t="n">
        <x:f>INDEX('Сводка'!$S$3:$S$397,U110)</x:f>
        <x:v>-36</x:v>
      </x:c>
      <x:c r="L110" s="8" t="n">
        <x:f>INDEX('Сводка'!$S$3:$S$397,V110)</x:f>
        <x:v>-33</x:v>
      </x:c>
      <x:c r="M110" s="8" t="n">
        <x:f>INDEX($K$388:$N$400,W110,1)+INDEX($K$388:$N$400,W110,2)*LN(((J110-$T$405+1)/1000))+INDEX($O$388:$Z$400,W110,MONTH(J110))</x:f>
        <x:v>134.2840146726477</x:v>
      </x:c>
      <x:c r="N110" s="8" t="n">
        <x:f>K110-M110</x:f>
        <x:v>-170.2840146726477</x:v>
      </x:c>
      <x:c r="O110" s="8" t="n">
        <x:f>ABS(N110)</x:f>
        <x:v>170.2840146726477</x:v>
      </x:c>
      <x:c r="P110" s="8" t="n">
        <x:f>N110^2</x:f>
        <x:v>28996.64565303449</x:v>
      </x:c>
      <x:c r="Q110" s="8" t="n">
        <x:f>K110-L110</x:f>
        <x:v>-3</x:v>
      </x:c>
      <x:c r="R110" s="9" t="n">
        <x:f>IF(AND(INDEX('Сводка'!$T$3:$T$397,U110)=0,INDEX('Сводка'!$T$3:$T$397,V110)=0),1,0)</x:f>
        <x:v>1</x:v>
      </x:c>
      <x:c r="S110" s="9" t="n">
        <x:f>IF(AND(R110=1,O110&lt;=$G$13),1,0)</x:f>
        <x:v>0</x:v>
      </x:c>
      <x:c r="T110" s="10" t="n">
        <x:f>EOMONTH(J110-'Сводка'!$B$11,-1)</x:f>
        <x:v>45930</x:v>
      </x:c>
      <x:c r="U110" s="4" t="n">
        <x:f>MATCH(J110,'Сводка'!$R$3:$R$397,0)</x:f>
        <x:v>121</x:v>
      </x:c>
      <x:c r="V110" s="4" t="n">
        <x:f>MATCH(J110-'Сводка'!$B$11,'Сводка'!$R$3:$R$397,0)</x:f>
        <x:v>120</x:v>
      </x:c>
      <x:c r="W110" s="4" t="n">
        <x:f>MATCH(T110,$J$388:$J$400,0)</x:f>
        <x:v>4</x:v>
      </x:c>
      <x:c r="X110" s="3"/>
      <x:c r="Y110" s="3"/>
      <x:c r="Z110" s="3"/>
    </x:row>
    <x:row r="111" ht="15" customHeight="1">
      <x:c r="A111" s="3"/>
      <x:c r="B111" s="3"/>
      <x:c r="C111" s="3"/>
      <x:c r="D111" s="3"/>
      <x:c r="E111" s="3"/>
      <x:c r="F111" s="3"/>
      <x:c r="G111" s="3"/>
      <x:c r="H111" s="3"/>
      <x:c r="I111" s="3"/>
      <x:c r="J111" s="10" t="n">
        <x:v>45962</x:v>
      </x:c>
      <x:c r="K111" s="8" t="n">
        <x:f>INDEX('Сводка'!$S$3:$S$397,U111)</x:f>
        <x:v>-37</x:v>
      </x:c>
      <x:c r="L111" s="8" t="n">
        <x:f>INDEX('Сводка'!$S$3:$S$397,V111)</x:f>
        <x:v>-36</x:v>
      </x:c>
      <x:c r="M111" s="8" t="n">
        <x:f>INDEX($K$388:$N$400,W111,1)+INDEX($K$388:$N$400,W111,2)*LN(((J111-$T$405+1)/1000))+INDEX($O$388:$Z$400,W111,MONTH(J111))</x:f>
        <x:v>-4.292646908821368</x:v>
      </x:c>
      <x:c r="N111" s="8" t="n">
        <x:f>K111-M111</x:f>
        <x:v>-32.70735309117863</x:v>
      </x:c>
      <x:c r="O111" s="8" t="n">
        <x:f>ABS(N111)</x:f>
        <x:v>32.70735309117863</x:v>
      </x:c>
      <x:c r="P111" s="8" t="n">
        <x:f>N111^2</x:f>
        <x:v>1069.7709462310324</x:v>
      </x:c>
      <x:c r="Q111" s="8" t="n">
        <x:f>K111-L111</x:f>
        <x:v>-1</x:v>
      </x:c>
      <x:c r="R111" s="9" t="n">
        <x:f>IF(AND(INDEX('Сводка'!$T$3:$T$397,U111)=0,INDEX('Сводка'!$T$3:$T$397,V111)=0),1,0)</x:f>
        <x:v>1</x:v>
      </x:c>
      <x:c r="S111" s="9" t="n">
        <x:f>IF(AND(R111=1,O111&lt;=$G$13),1,0)</x:f>
        <x:v>0</x:v>
      </x:c>
      <x:c r="T111" s="10" t="n">
        <x:f>EOMONTH(J111-'Сводка'!$B$11,-1)</x:f>
        <x:v>45930</x:v>
      </x:c>
      <x:c r="U111" s="4" t="n">
        <x:f>MATCH(J111,'Сводка'!$R$3:$R$397,0)</x:f>
        <x:v>122</x:v>
      </x:c>
      <x:c r="V111" s="4" t="n">
        <x:f>MATCH(J111-'Сводка'!$B$11,'Сводка'!$R$3:$R$397,0)</x:f>
        <x:v>121</x:v>
      </x:c>
      <x:c r="W111" s="4" t="n">
        <x:f>MATCH(T111,$J$388:$J$400,0)</x:f>
        <x:v>4</x:v>
      </x:c>
      <x:c r="X111" s="3"/>
      <x:c r="Y111" s="3"/>
      <x:c r="Z111" s="3"/>
    </x:row>
    <x:row r="112" ht="15" customHeight="1">
      <x:c r="A112" s="3"/>
      <x:c r="B112" s="3"/>
      <x:c r="C112" s="3"/>
      <x:c r="D112" s="3"/>
      <x:c r="E112" s="3"/>
      <x:c r="F112" s="3"/>
      <x:c r="G112" s="3"/>
      <x:c r="H112" s="3"/>
      <x:c r="I112" s="3"/>
      <x:c r="J112" s="10" t="n">
        <x:v>45963</x:v>
      </x:c>
      <x:c r="K112" s="8" t="n">
        <x:f>INDEX('Сводка'!$S$3:$S$397,U112)</x:f>
        <x:v>-40</x:v>
      </x:c>
      <x:c r="L112" s="8" t="n">
        <x:f>INDEX('Сводка'!$S$3:$S$397,V112)</x:f>
        <x:v>-37</x:v>
      </x:c>
      <x:c r="M112" s="8" t="n">
        <x:f>INDEX($K$388:$N$400,W112,1)+INDEX($K$388:$N$400,W112,2)*LN(((J112-$T$405+1)/1000))+INDEX($O$388:$Z$400,W112,MONTH(J112))</x:f>
        <x:v>-4.384093437972865</x:v>
      </x:c>
      <x:c r="N112" s="8" t="n">
        <x:f>K112-M112</x:f>
        <x:v>-35.615906562027135</x:v>
      </x:c>
      <x:c r="O112" s="8" t="n">
        <x:f>ABS(N112)</x:f>
        <x:v>35.615906562027135</x:v>
      </x:c>
      <x:c r="P112" s="8" t="n">
        <x:f>N112^2</x:f>
        <x:v>1268.4928002350475</x:v>
      </x:c>
      <x:c r="Q112" s="8" t="n">
        <x:f>K112-L112</x:f>
        <x:v>-3</x:v>
      </x:c>
      <x:c r="R112" s="9" t="n">
        <x:f>IF(AND(INDEX('Сводка'!$T$3:$T$397,U112)=0,INDEX('Сводка'!$T$3:$T$397,V112)=0),1,0)</x:f>
        <x:v>1</x:v>
      </x:c>
      <x:c r="S112" s="9" t="n">
        <x:f>IF(AND(R112=1,O112&lt;=$G$13),1,0)</x:f>
        <x:v>0</x:v>
      </x:c>
      <x:c r="T112" s="10" t="n">
        <x:f>EOMONTH(J112-'Сводка'!$B$11,-1)</x:f>
        <x:v>45961</x:v>
      </x:c>
      <x:c r="U112" s="4" t="n">
        <x:f>MATCH(J112,'Сводка'!$R$3:$R$397,0)</x:f>
        <x:v>123</x:v>
      </x:c>
      <x:c r="V112" s="4" t="n">
        <x:f>MATCH(J112-'Сводка'!$B$11,'Сводка'!$R$3:$R$397,0)</x:f>
        <x:v>122</x:v>
      </x:c>
      <x:c r="W112" s="4" t="n">
        <x:f>MATCH(T112,$J$388:$J$400,0)</x:f>
        <x:v>5</x:v>
      </x:c>
      <x:c r="X112" s="3"/>
      <x:c r="Y112" s="3"/>
      <x:c r="Z112" s="3"/>
    </x:row>
    <x:row r="113" ht="15" customHeight="1">
      <x:c r="A113" s="3"/>
      <x:c r="B113" s="3"/>
      <x:c r="C113" s="3"/>
      <x:c r="D113" s="3"/>
      <x:c r="E113" s="3"/>
      <x:c r="F113" s="3"/>
      <x:c r="G113" s="3"/>
      <x:c r="H113" s="3"/>
      <x:c r="I113" s="3"/>
      <x:c r="J113" s="10" t="n">
        <x:v>45964</x:v>
      </x:c>
      <x:c r="K113" s="8" t="n">
        <x:f>INDEX('Сводка'!$S$3:$S$397,U113)</x:f>
        <x:v>-46</x:v>
      </x:c>
      <x:c r="L113" s="8" t="n">
        <x:f>INDEX('Сводка'!$S$3:$S$397,V113)</x:f>
        <x:v>-40</x:v>
      </x:c>
      <x:c r="M113" s="8" t="n">
        <x:f>INDEX($K$388:$N$400,W113,1)+INDEX($K$388:$N$400,W113,2)*LN(((J113-$T$405+1)/1000))+INDEX($O$388:$Z$400,W113,MONTH(J113))</x:f>
        <x:v>-4.3782007530151645</x:v>
      </x:c>
      <x:c r="N113" s="8" t="n">
        <x:f>K113-M113</x:f>
        <x:v>-41.621799246984835</x:v>
      </x:c>
      <x:c r="O113" s="8" t="n">
        <x:f>ABS(N113)</x:f>
        <x:v>41.621799246984835</x:v>
      </x:c>
      <x:c r="P113" s="8" t="n">
        <x:f>N113^2</x:f>
        <x:v>1732.3741725563075</x:v>
      </x:c>
      <x:c r="Q113" s="8" t="n">
        <x:f>K113-L113</x:f>
        <x:v>-6</x:v>
      </x:c>
      <x:c r="R113" s="9" t="n">
        <x:f>IF(AND(INDEX('Сводка'!$T$3:$T$397,U113)=0,INDEX('Сводка'!$T$3:$T$397,V113)=0),1,0)</x:f>
        <x:v>1</x:v>
      </x:c>
      <x:c r="S113" s="9" t="n">
        <x:f>IF(AND(R113=1,O113&lt;=$G$13),1,0)</x:f>
        <x:v>0</x:v>
      </x:c>
      <x:c r="T113" s="10" t="n">
        <x:f>EOMONTH(J113-'Сводка'!$B$11,-1)</x:f>
        <x:v>45961</x:v>
      </x:c>
      <x:c r="U113" s="4" t="n">
        <x:f>MATCH(J113,'Сводка'!$R$3:$R$397,0)</x:f>
        <x:v>124</x:v>
      </x:c>
      <x:c r="V113" s="4" t="n">
        <x:f>MATCH(J113-'Сводка'!$B$11,'Сводка'!$R$3:$R$397,0)</x:f>
        <x:v>123</x:v>
      </x:c>
      <x:c r="W113" s="4" t="n">
        <x:f>MATCH(T113,$J$388:$J$400,0)</x:f>
        <x:v>5</x:v>
      </x:c>
      <x:c r="X113" s="3"/>
      <x:c r="Y113" s="3"/>
      <x:c r="Z113" s="3"/>
    </x:row>
    <x:row r="114" ht="15" customHeight="1">
      <x:c r="A114" s="3"/>
      <x:c r="B114" s="3"/>
      <x:c r="C114" s="3"/>
      <x:c r="D114" s="3"/>
      <x:c r="E114" s="3"/>
      <x:c r="F114" s="3"/>
      <x:c r="G114" s="3"/>
      <x:c r="H114" s="3"/>
      <x:c r="I114" s="3"/>
      <x:c r="J114" s="10" t="n">
        <x:v>45965</x:v>
      </x:c>
      <x:c r="K114" s="8" t="n">
        <x:f>INDEX('Сводка'!$S$3:$S$397,U114)</x:f>
        <x:v>-49</x:v>
      </x:c>
      <x:c r="L114" s="8" t="n">
        <x:f>INDEX('Сводка'!$S$3:$S$397,V114)</x:f>
        <x:v>-46</x:v>
      </x:c>
      <x:c r="M114" s="8" t="n">
        <x:f>INDEX($K$388:$N$400,W114,1)+INDEX($K$388:$N$400,W114,2)*LN(((J114-$T$405+1)/1000))+INDEX($O$388:$Z$400,W114,MONTH(J114))</x:f>
        <x:v>-4.372308744716463</x:v>
      </x:c>
      <x:c r="N114" s="8" t="n">
        <x:f>K114-M114</x:f>
        <x:v>-44.62769125528354</x:v>
      </x:c>
      <x:c r="O114" s="8" t="n">
        <x:f>ABS(N114)</x:f>
        <x:v>44.62769125528354</x:v>
      </x:c>
      <x:c r="P114" s="8" t="n">
        <x:f>N114^2</x:f>
        <x:v>1991.6308267769107</x:v>
      </x:c>
      <x:c r="Q114" s="8" t="n">
        <x:f>K114-L114</x:f>
        <x:v>-3</x:v>
      </x:c>
      <x:c r="R114" s="9" t="n">
        <x:f>IF(AND(INDEX('Сводка'!$T$3:$T$397,U114)=0,INDEX('Сводка'!$T$3:$T$397,V114)=0),1,0)</x:f>
        <x:v>1</x:v>
      </x:c>
      <x:c r="S114" s="9" t="n">
        <x:f>IF(AND(R114=1,O114&lt;=$G$13),1,0)</x:f>
        <x:v>0</x:v>
      </x:c>
      <x:c r="T114" s="10" t="n">
        <x:f>EOMONTH(J114-'Сводка'!$B$11,-1)</x:f>
        <x:v>45961</x:v>
      </x:c>
      <x:c r="U114" s="4" t="n">
        <x:f>MATCH(J114,'Сводка'!$R$3:$R$397,0)</x:f>
        <x:v>125</x:v>
      </x:c>
      <x:c r="V114" s="4" t="n">
        <x:f>MATCH(J114-'Сводка'!$B$11,'Сводка'!$R$3:$R$397,0)</x:f>
        <x:v>124</x:v>
      </x:c>
      <x:c r="W114" s="4" t="n">
        <x:f>MATCH(T114,$J$388:$J$400,0)</x:f>
        <x:v>5</x:v>
      </x:c>
      <x:c r="X114" s="3"/>
      <x:c r="Y114" s="3"/>
      <x:c r="Z114" s="3"/>
    </x:row>
    <x:row r="115" ht="15" customHeight="1">
      <x:c r="A115" s="3"/>
      <x:c r="B115" s="3"/>
      <x:c r="C115" s="3"/>
      <x:c r="D115" s="3"/>
      <x:c r="E115" s="3"/>
      <x:c r="F115" s="3"/>
      <x:c r="G115" s="3"/>
      <x:c r="H115" s="3"/>
      <x:c r="I115" s="3"/>
      <x:c r="J115" s="10" t="n">
        <x:v>45966</x:v>
      </x:c>
      <x:c r="K115" s="8" t="n">
        <x:f>INDEX('Сводка'!$S$3:$S$397,U115)</x:f>
        <x:v>-56</x:v>
      </x:c>
      <x:c r="L115" s="8" t="n">
        <x:f>INDEX('Сводка'!$S$3:$S$397,V115)</x:f>
        <x:v>-49</x:v>
      </x:c>
      <x:c r="M115" s="8" t="n">
        <x:f>INDEX($K$388:$N$400,W115,1)+INDEX($K$388:$N$400,W115,2)*LN(((J115-$T$405+1)/1000))+INDEX($O$388:$Z$400,W115,MONTH(J115))</x:f>
        <x:v>-4.366417412921379</x:v>
      </x:c>
      <x:c r="N115" s="8" t="n">
        <x:f>K115-M115</x:f>
        <x:v>-51.63358258707862</x:v>
      </x:c>
      <x:c r="O115" s="8" t="n">
        <x:f>ABS(N115)</x:f>
        <x:v>51.63358258707862</x:v>
      </x:c>
      <x:c r="P115" s="8" t="n">
        <x:f>N115^2</x:f>
        <x:v>2666.0268507766687</x:v>
      </x:c>
      <x:c r="Q115" s="8" t="n">
        <x:f>K115-L115</x:f>
        <x:v>-7</x:v>
      </x:c>
      <x:c r="R115" s="9" t="n">
        <x:f>IF(AND(INDEX('Сводка'!$T$3:$T$397,U115)=0,INDEX('Сводка'!$T$3:$T$397,V115)=0),1,0)</x:f>
        <x:v>1</x:v>
      </x:c>
      <x:c r="S115" s="9" t="n">
        <x:f>IF(AND(R115=1,O115&lt;=$G$13),1,0)</x:f>
        <x:v>0</x:v>
      </x:c>
      <x:c r="T115" s="10" t="n">
        <x:f>EOMONTH(J115-'Сводка'!$B$11,-1)</x:f>
        <x:v>45961</x:v>
      </x:c>
      <x:c r="U115" s="4" t="n">
        <x:f>MATCH(J115,'Сводка'!$R$3:$R$397,0)</x:f>
        <x:v>126</x:v>
      </x:c>
      <x:c r="V115" s="4" t="n">
        <x:f>MATCH(J115-'Сводка'!$B$11,'Сводка'!$R$3:$R$397,0)</x:f>
        <x:v>125</x:v>
      </x:c>
      <x:c r="W115" s="4" t="n">
        <x:f>MATCH(T115,$J$388:$J$400,0)</x:f>
        <x:v>5</x:v>
      </x:c>
      <x:c r="X115" s="3"/>
      <x:c r="Y115" s="3"/>
      <x:c r="Z115" s="3"/>
    </x:row>
    <x:row r="116" ht="15" customHeight="1">
      <x:c r="A116" s="3"/>
      <x:c r="B116" s="3"/>
      <x:c r="C116" s="3"/>
      <x:c r="D116" s="3"/>
      <x:c r="E116" s="3"/>
      <x:c r="F116" s="3"/>
      <x:c r="G116" s="3"/>
      <x:c r="H116" s="3"/>
      <x:c r="I116" s="3"/>
      <x:c r="J116" s="10" t="n">
        <x:v>45967</x:v>
      </x:c>
      <x:c r="K116" s="8" t="n">
        <x:f>INDEX('Сводка'!$S$3:$S$397,U116)</x:f>
        <x:v>-61</x:v>
      </x:c>
      <x:c r="L116" s="8" t="n">
        <x:f>INDEX('Сводка'!$S$3:$S$397,V116)</x:f>
        <x:v>-56</x:v>
      </x:c>
      <x:c r="M116" s="8" t="n">
        <x:f>INDEX($K$388:$N$400,W116,1)+INDEX($K$388:$N$400,W116,2)*LN(((J116-$T$405+1)/1000))+INDEX($O$388:$Z$400,W116,MONTH(J116))</x:f>
        <x:v>-4.360526757474602</x:v>
      </x:c>
      <x:c r="N116" s="8" t="n">
        <x:f>K116-M116</x:f>
        <x:v>-56.6394732425254</x:v>
      </x:c>
      <x:c r="O116" s="8" t="n">
        <x:f>ABS(N116)</x:f>
        <x:v>56.6394732425254</x:v>
      </x:c>
      <x:c r="P116" s="8" t="n">
        <x:f>N116^2</x:f>
        <x:v>3208.0299291907504</x:v>
      </x:c>
      <x:c r="Q116" s="8" t="n">
        <x:f>K116-L116</x:f>
        <x:v>-5</x:v>
      </x:c>
      <x:c r="R116" s="9" t="n">
        <x:f>IF(AND(INDEX('Сводка'!$T$3:$T$397,U116)=0,INDEX('Сводка'!$T$3:$T$397,V116)=0),1,0)</x:f>
        <x:v>1</x:v>
      </x:c>
      <x:c r="S116" s="9" t="n">
        <x:f>IF(AND(R116=1,O116&lt;=$G$13),1,0)</x:f>
        <x:v>0</x:v>
      </x:c>
      <x:c r="T116" s="10" t="n">
        <x:f>EOMONTH(J116-'Сводка'!$B$11,-1)</x:f>
        <x:v>45961</x:v>
      </x:c>
      <x:c r="U116" s="4" t="n">
        <x:f>MATCH(J116,'Сводка'!$R$3:$R$397,0)</x:f>
        <x:v>127</x:v>
      </x:c>
      <x:c r="V116" s="4" t="n">
        <x:f>MATCH(J116-'Сводка'!$B$11,'Сводка'!$R$3:$R$397,0)</x:f>
        <x:v>126</x:v>
      </x:c>
      <x:c r="W116" s="4" t="n">
        <x:f>MATCH(T116,$J$388:$J$400,0)</x:f>
        <x:v>5</x:v>
      </x:c>
      <x:c r="X116" s="3"/>
      <x:c r="Y116" s="3"/>
      <x:c r="Z116" s="3"/>
    </x:row>
    <x:row r="117" ht="15" customHeight="1">
      <x:c r="A117" s="3"/>
      <x:c r="B117" s="3"/>
      <x:c r="C117" s="3"/>
      <x:c r="D117" s="3"/>
      <x:c r="E117" s="3"/>
      <x:c r="F117" s="3"/>
      <x:c r="G117" s="3"/>
      <x:c r="H117" s="3"/>
      <x:c r="I117" s="3"/>
      <x:c r="J117" s="10" t="n">
        <x:v>45968</x:v>
      </x:c>
      <x:c r="K117" s="8" t="n">
        <x:f>INDEX('Сводка'!$S$3:$S$397,U117)</x:f>
        <x:v>-69</x:v>
      </x:c>
      <x:c r="L117" s="8" t="n">
        <x:f>INDEX('Сводка'!$S$3:$S$397,V117)</x:f>
        <x:v>-61</x:v>
      </x:c>
      <x:c r="M117" s="8" t="n">
        <x:f>INDEX($K$388:$N$400,W117,1)+INDEX($K$388:$N$400,W117,2)*LN(((J117-$T$405+1)/1000))+INDEX($O$388:$Z$400,W117,MONTH(J117))</x:f>
        <x:v>-4.354636778220836</x:v>
      </x:c>
      <x:c r="N117" s="8" t="n">
        <x:f>K117-M117</x:f>
        <x:v>-64.64536322177916</x:v>
      </x:c>
      <x:c r="O117" s="8" t="n">
        <x:f>ABS(N117)</x:f>
        <x:v>64.64536322177916</x:v>
      </x:c>
      <x:c r="P117" s="8" t="n">
        <x:f>N117^2</x:f>
        <x:v>4179.022986075758</x:v>
      </x:c>
      <x:c r="Q117" s="8" t="n">
        <x:f>K117-L117</x:f>
        <x:v>-8</x:v>
      </x:c>
      <x:c r="R117" s="9" t="n">
        <x:f>IF(AND(INDEX('Сводка'!$T$3:$T$397,U117)=0,INDEX('Сводка'!$T$3:$T$397,V117)=0),1,0)</x:f>
        <x:v>1</x:v>
      </x:c>
      <x:c r="S117" s="9" t="n">
        <x:f>IF(AND(R117=1,O117&lt;=$G$13),1,0)</x:f>
        <x:v>0</x:v>
      </x:c>
      <x:c r="T117" s="10" t="n">
        <x:f>EOMONTH(J117-'Сводка'!$B$11,-1)</x:f>
        <x:v>45961</x:v>
      </x:c>
      <x:c r="U117" s="4" t="n">
        <x:f>MATCH(J117,'Сводка'!$R$3:$R$397,0)</x:f>
        <x:v>128</x:v>
      </x:c>
      <x:c r="V117" s="4" t="n">
        <x:f>MATCH(J117-'Сводка'!$B$11,'Сводка'!$R$3:$R$397,0)</x:f>
        <x:v>127</x:v>
      </x:c>
      <x:c r="W117" s="4" t="n">
        <x:f>MATCH(T117,$J$388:$J$400,0)</x:f>
        <x:v>5</x:v>
      </x:c>
      <x:c r="X117" s="3"/>
      <x:c r="Y117" s="3"/>
      <x:c r="Z117" s="3"/>
    </x:row>
    <x:row r="118" ht="15" customHeight="1">
      <x:c r="A118" s="3"/>
      <x:c r="B118" s="3"/>
      <x:c r="C118" s="3"/>
      <x:c r="D118" s="3"/>
      <x:c r="E118" s="3"/>
      <x:c r="F118" s="3"/>
      <x:c r="G118" s="3"/>
      <x:c r="H118" s="3"/>
      <x:c r="I118" s="3"/>
      <x:c r="J118" s="10" t="n">
        <x:v>45969</x:v>
      </x:c>
      <x:c r="K118" s="8" t="n">
        <x:f>INDEX('Сводка'!$S$3:$S$397,U118)</x:f>
        <x:v>-74</x:v>
      </x:c>
      <x:c r="L118" s="8" t="n">
        <x:f>INDEX('Сводка'!$S$3:$S$397,V118)</x:f>
        <x:v>-69</x:v>
      </x:c>
      <x:c r="M118" s="8" t="n">
        <x:f>INDEX($K$388:$N$400,W118,1)+INDEX($K$388:$N$400,W118,2)*LN(((J118-$T$405+1)/1000))+INDEX($O$388:$Z$400,W118,MONTH(J118))</x:f>
        <x:v>-4.348747475004856</x:v>
      </x:c>
      <x:c r="N118" s="8" t="n">
        <x:f>K118-M118</x:f>
        <x:v>-69.65125252499514</x:v>
      </x:c>
      <x:c r="O118" s="8" t="n">
        <x:f>ABS(N118)</x:f>
        <x:v>69.65125252499514</x:v>
      </x:c>
      <x:c r="P118" s="8" t="n">
        <x:f>N118^2</x:f>
        <x:v>4851.296978300642</x:v>
      </x:c>
      <x:c r="Q118" s="8" t="n">
        <x:f>K118-L118</x:f>
        <x:v>-5</x:v>
      </x:c>
      <x:c r="R118" s="9" t="n">
        <x:f>IF(AND(INDEX('Сводка'!$T$3:$T$397,U118)=0,INDEX('Сводка'!$T$3:$T$397,V118)=0),1,0)</x:f>
        <x:v>1</x:v>
      </x:c>
      <x:c r="S118" s="9" t="n">
        <x:f>IF(AND(R118=1,O118&lt;=$G$13),1,0)</x:f>
        <x:v>0</x:v>
      </x:c>
      <x:c r="T118" s="10" t="n">
        <x:f>EOMONTH(J118-'Сводка'!$B$11,-1)</x:f>
        <x:v>45961</x:v>
      </x:c>
      <x:c r="U118" s="4" t="n">
        <x:f>MATCH(J118,'Сводка'!$R$3:$R$397,0)</x:f>
        <x:v>129</x:v>
      </x:c>
      <x:c r="V118" s="4" t="n">
        <x:f>MATCH(J118-'Сводка'!$B$11,'Сводка'!$R$3:$R$397,0)</x:f>
        <x:v>128</x:v>
      </x:c>
      <x:c r="W118" s="4" t="n">
        <x:f>MATCH(T118,$J$388:$J$400,0)</x:f>
        <x:v>5</x:v>
      </x:c>
      <x:c r="X118" s="3"/>
      <x:c r="Y118" s="3"/>
      <x:c r="Z118" s="3"/>
    </x:row>
    <x:row r="119" ht="15" customHeight="1">
      <x:c r="A119" s="3"/>
      <x:c r="B119" s="3"/>
      <x:c r="C119" s="3"/>
      <x:c r="D119" s="3"/>
      <x:c r="E119" s="3"/>
      <x:c r="F119" s="3"/>
      <x:c r="G119" s="3"/>
      <x:c r="H119" s="3"/>
      <x:c r="I119" s="3"/>
      <x:c r="J119" s="10" t="n">
        <x:v>45970</x:v>
      </x:c>
      <x:c r="K119" s="8" t="n">
        <x:f>INDEX('Сводка'!$S$3:$S$397,U119)</x:f>
        <x:v>-80</x:v>
      </x:c>
      <x:c r="L119" s="8" t="n">
        <x:f>INDEX('Сводка'!$S$3:$S$397,V119)</x:f>
        <x:v>-74</x:v>
      </x:c>
      <x:c r="M119" s="8" t="n">
        <x:f>INDEX($K$388:$N$400,W119,1)+INDEX($K$388:$N$400,W119,2)*LN(((J119-$T$405+1)/1000))+INDEX($O$388:$Z$400,W119,MONTH(J119))</x:f>
        <x:v>-4.342858847671508</x:v>
      </x:c>
      <x:c r="N119" s="8" t="n">
        <x:f>K119-M119</x:f>
        <x:v>-75.65714115232849</x:v>
      </x:c>
      <x:c r="O119" s="8" t="n">
        <x:f>ABS(N119)</x:f>
        <x:v>75.65714115232849</x:v>
      </x:c>
      <x:c r="P119" s="8" t="n">
        <x:f>N119^2</x:f>
        <x:v>5724.003007343357</x:v>
      </x:c>
      <x:c r="Q119" s="8" t="n">
        <x:f>K119-L119</x:f>
        <x:v>-6</x:v>
      </x:c>
      <x:c r="R119" s="9" t="n">
        <x:f>IF(AND(INDEX('Сводка'!$T$3:$T$397,U119)=0,INDEX('Сводка'!$T$3:$T$397,V119)=0),1,0)</x:f>
        <x:v>1</x:v>
      </x:c>
      <x:c r="S119" s="9" t="n">
        <x:f>IF(AND(R119=1,O119&lt;=$G$13),1,0)</x:f>
        <x:v>0</x:v>
      </x:c>
      <x:c r="T119" s="10" t="n">
        <x:f>EOMONTH(J119-'Сводка'!$B$11,-1)</x:f>
        <x:v>45961</x:v>
      </x:c>
      <x:c r="U119" s="4" t="n">
        <x:f>MATCH(J119,'Сводка'!$R$3:$R$397,0)</x:f>
        <x:v>130</x:v>
      </x:c>
      <x:c r="V119" s="4" t="n">
        <x:f>MATCH(J119-'Сводка'!$B$11,'Сводка'!$R$3:$R$397,0)</x:f>
        <x:v>129</x:v>
      </x:c>
      <x:c r="W119" s="4" t="n">
        <x:f>MATCH(T119,$J$388:$J$400,0)</x:f>
        <x:v>5</x:v>
      </x:c>
      <x:c r="X119" s="3"/>
      <x:c r="Y119" s="3"/>
      <x:c r="Z119" s="3"/>
    </x:row>
    <x:row r="120" ht="15" customHeight="1">
      <x:c r="A120" s="3"/>
      <x:c r="B120" s="3"/>
      <x:c r="C120" s="3"/>
      <x:c r="D120" s="3"/>
      <x:c r="E120" s="3"/>
      <x:c r="F120" s="3"/>
      <x:c r="G120" s="3"/>
      <x:c r="H120" s="3"/>
      <x:c r="I120" s="3"/>
      <x:c r="J120" s="10" t="n">
        <x:v>45971</x:v>
      </x:c>
      <x:c r="K120" s="8" t="n">
        <x:f>INDEX('Сводка'!$S$3:$S$397,U120)</x:f>
        <x:v>-83</x:v>
      </x:c>
      <x:c r="L120" s="8" t="n">
        <x:f>INDEX('Сводка'!$S$3:$S$397,V120)</x:f>
        <x:v>-80</x:v>
      </x:c>
      <x:c r="M120" s="8" t="n">
        <x:f>INDEX($K$388:$N$400,W120,1)+INDEX($K$388:$N$400,W120,2)*LN(((J120-$T$405+1)/1000))+INDEX($O$388:$Z$400,W120,MONTH(J120))</x:f>
        <x:v>-4.336970896065665</x:v>
      </x:c>
      <x:c r="N120" s="8" t="n">
        <x:f>K120-M120</x:f>
        <x:v>-78.66302910393433</x:v>
      </x:c>
      <x:c r="O120" s="8" t="n">
        <x:f>ABS(N120)</x:f>
        <x:v>78.66302910393433</x:v>
      </x:c>
      <x:c r="P120" s="8" t="n">
        <x:f>N120^2</x:f>
        <x:v>6187.87214780642</x:v>
      </x:c>
      <x:c r="Q120" s="8" t="n">
        <x:f>K120-L120</x:f>
        <x:v>-3</x:v>
      </x:c>
      <x:c r="R120" s="9" t="n">
        <x:f>IF(AND(INDEX('Сводка'!$T$3:$T$397,U120)=0,INDEX('Сводка'!$T$3:$T$397,V120)=0),1,0)</x:f>
        <x:v>1</x:v>
      </x:c>
      <x:c r="S120" s="9" t="n">
        <x:f>IF(AND(R120=1,O120&lt;=$G$13),1,0)</x:f>
        <x:v>0</x:v>
      </x:c>
      <x:c r="T120" s="10" t="n">
        <x:f>EOMONTH(J120-'Сводка'!$B$11,-1)</x:f>
        <x:v>45961</x:v>
      </x:c>
      <x:c r="U120" s="4" t="n">
        <x:f>MATCH(J120,'Сводка'!$R$3:$R$397,0)</x:f>
        <x:v>131</x:v>
      </x:c>
      <x:c r="V120" s="4" t="n">
        <x:f>MATCH(J120-'Сводка'!$B$11,'Сводка'!$R$3:$R$397,0)</x:f>
        <x:v>130</x:v>
      </x:c>
      <x:c r="W120" s="4" t="n">
        <x:f>MATCH(T120,$J$388:$J$400,0)</x:f>
        <x:v>5</x:v>
      </x:c>
      <x:c r="X120" s="3"/>
      <x:c r="Y120" s="3"/>
      <x:c r="Z120" s="3"/>
    </x:row>
    <x:row r="121" ht="15" customHeight="1">
      <x:c r="A121" s="3"/>
      <x:c r="B121" s="3"/>
      <x:c r="C121" s="3"/>
      <x:c r="D121" s="3"/>
      <x:c r="E121" s="3"/>
      <x:c r="F121" s="3"/>
      <x:c r="G121" s="3"/>
      <x:c r="H121" s="3"/>
      <x:c r="I121" s="3"/>
      <x:c r="J121" s="10" t="n">
        <x:v>45972</x:v>
      </x:c>
      <x:c r="K121" s="8" t="n">
        <x:f>INDEX('Сводка'!$S$3:$S$397,U121)</x:f>
        <x:v>-89</x:v>
      </x:c>
      <x:c r="L121" s="8" t="n">
        <x:f>INDEX('Сводка'!$S$3:$S$397,V121)</x:f>
        <x:v>-83</x:v>
      </x:c>
      <x:c r="M121" s="8" t="n">
        <x:f>INDEX($K$388:$N$400,W121,1)+INDEX($K$388:$N$400,W121,2)*LN(((J121-$T$405+1)/1000))+INDEX($O$388:$Z$400,W121,MONTH(J121))</x:f>
        <x:v>-4.331083620032274</x:v>
      </x:c>
      <x:c r="N121" s="8" t="n">
        <x:f>K121-M121</x:f>
        <x:v>-84.66891637996773</x:v>
      </x:c>
      <x:c r="O121" s="8" t="n">
        <x:f>ABS(N121)</x:f>
        <x:v>84.66891637996773</x:v>
      </x:c>
      <x:c r="P121" s="8" t="n">
        <x:f>N121^2</x:f>
        <x:v>7168.825400957967</x:v>
      </x:c>
      <x:c r="Q121" s="8" t="n">
        <x:f>K121-L121</x:f>
        <x:v>-6</x:v>
      </x:c>
      <x:c r="R121" s="9" t="n">
        <x:f>IF(AND(INDEX('Сводка'!$T$3:$T$397,U121)=0,INDEX('Сводка'!$T$3:$T$397,V121)=0),1,0)</x:f>
        <x:v>1</x:v>
      </x:c>
      <x:c r="S121" s="9" t="n">
        <x:f>IF(AND(R121=1,O121&lt;=$G$13),1,0)</x:f>
        <x:v>0</x:v>
      </x:c>
      <x:c r="T121" s="10" t="n">
        <x:f>EOMONTH(J121-'Сводка'!$B$11,-1)</x:f>
        <x:v>45961</x:v>
      </x:c>
      <x:c r="U121" s="4" t="n">
        <x:f>MATCH(J121,'Сводка'!$R$3:$R$397,0)</x:f>
        <x:v>132</x:v>
      </x:c>
      <x:c r="V121" s="4" t="n">
        <x:f>MATCH(J121-'Сводка'!$B$11,'Сводка'!$R$3:$R$397,0)</x:f>
        <x:v>131</x:v>
      </x:c>
      <x:c r="W121" s="4" t="n">
        <x:f>MATCH(T121,$J$388:$J$400,0)</x:f>
        <x:v>5</x:v>
      </x:c>
      <x:c r="X121" s="3"/>
      <x:c r="Y121" s="3"/>
      <x:c r="Z121" s="3"/>
    </x:row>
    <x:row r="122" ht="15" customHeight="1">
      <x:c r="A122" s="3"/>
      <x:c r="B122" s="3"/>
      <x:c r="C122" s="3"/>
      <x:c r="D122" s="3"/>
      <x:c r="E122" s="3"/>
      <x:c r="F122" s="3"/>
      <x:c r="G122" s="3"/>
      <x:c r="H122" s="3"/>
      <x:c r="I122" s="3"/>
      <x:c r="J122" s="10" t="n">
        <x:v>45973</x:v>
      </x:c>
      <x:c r="K122" s="8" t="n">
        <x:f>INDEX('Сводка'!$S$3:$S$397,U122)</x:f>
        <x:v>-88</x:v>
      </x:c>
      <x:c r="L122" s="8" t="n">
        <x:f>INDEX('Сводка'!$S$3:$S$397,V122)</x:f>
        <x:v>-89</x:v>
      </x:c>
      <x:c r="M122" s="8" t="n">
        <x:f>INDEX($K$388:$N$400,W122,1)+INDEX($K$388:$N$400,W122,2)*LN(((J122-$T$405+1)/1000))+INDEX($O$388:$Z$400,W122,MONTH(J122))</x:f>
        <x:v>-4.325197019416279</x:v>
      </x:c>
      <x:c r="N122" s="8" t="n">
        <x:f>K122-M122</x:f>
        <x:v>-83.67480298058372</x:v>
      </x:c>
      <x:c r="O122" s="8" t="n">
        <x:f>ABS(N122)</x:f>
        <x:v>83.67480298058372</x:v>
      </x:c>
      <x:c r="P122" s="8" t="n">
        <x:f>N122^2</x:f>
        <x:v>7001.4726538395025</x:v>
      </x:c>
      <x:c r="Q122" s="8" t="n">
        <x:f>K122-L122</x:f>
        <x:v>1</x:v>
      </x:c>
      <x:c r="R122" s="9" t="n">
        <x:f>IF(AND(INDEX('Сводка'!$T$3:$T$397,U122)=0,INDEX('Сводка'!$T$3:$T$397,V122)=0),1,0)</x:f>
        <x:v>1</x:v>
      </x:c>
      <x:c r="S122" s="9" t="n">
        <x:f>IF(AND(R122=1,O122&lt;=$G$13),1,0)</x:f>
        <x:v>0</x:v>
      </x:c>
      <x:c r="T122" s="10" t="n">
        <x:f>EOMONTH(J122-'Сводка'!$B$11,-1)</x:f>
        <x:v>45961</x:v>
      </x:c>
      <x:c r="U122" s="4" t="n">
        <x:f>MATCH(J122,'Сводка'!$R$3:$R$397,0)</x:f>
        <x:v>133</x:v>
      </x:c>
      <x:c r="V122" s="4" t="n">
        <x:f>MATCH(J122-'Сводка'!$B$11,'Сводка'!$R$3:$R$397,0)</x:f>
        <x:v>132</x:v>
      </x:c>
      <x:c r="W122" s="4" t="n">
        <x:f>MATCH(T122,$J$388:$J$400,0)</x:f>
        <x:v>5</x:v>
      </x:c>
      <x:c r="X122" s="3"/>
      <x:c r="Y122" s="3"/>
      <x:c r="Z122" s="3"/>
    </x:row>
    <x:row r="123" ht="15" customHeight="1">
      <x:c r="A123" s="3"/>
      <x:c r="B123" s="3"/>
      <x:c r="C123" s="3"/>
      <x:c r="D123" s="3"/>
      <x:c r="E123" s="3"/>
      <x:c r="F123" s="3"/>
      <x:c r="G123" s="3"/>
      <x:c r="H123" s="3"/>
      <x:c r="I123" s="3"/>
      <x:c r="J123" s="10" t="n">
        <x:v>45974</x:v>
      </x:c>
      <x:c r="K123" s="8" t="n">
        <x:f>INDEX('Сводка'!$S$3:$S$397,U123)</x:f>
        <x:v>-89</x:v>
      </x:c>
      <x:c r="L123" s="8" t="n">
        <x:f>INDEX('Сводка'!$S$3:$S$397,V123)</x:f>
        <x:v>-88</x:v>
      </x:c>
      <x:c r="M123" s="8" t="n">
        <x:f>INDEX($K$388:$N$400,W123,1)+INDEX($K$388:$N$400,W123,2)*LN(((J123-$T$405+1)/1000))+INDEX($O$388:$Z$400,W123,MONTH(J123))</x:f>
        <x:v>-4.3193110940627975</x:v>
      </x:c>
      <x:c r="N123" s="8" t="n">
        <x:f>K123-M123</x:f>
        <x:v>-84.6806889059372</x:v>
      </x:c>
      <x:c r="O123" s="8" t="n">
        <x:f>ABS(N123)</x:f>
        <x:v>84.6806889059372</x:v>
      </x:c>
      <x:c r="P123" s="8" t="n">
        <x:f>N123^2</x:f>
        <x:v>7170.819073584116</x:v>
      </x:c>
      <x:c r="Q123" s="8" t="n">
        <x:f>K123-L123</x:f>
        <x:v>-1</x:v>
      </x:c>
      <x:c r="R123" s="9" t="n">
        <x:f>IF(AND(INDEX('Сводка'!$T$3:$T$397,U123)=0,INDEX('Сводка'!$T$3:$T$397,V123)=0),1,0)</x:f>
        <x:v>1</x:v>
      </x:c>
      <x:c r="S123" s="9" t="n">
        <x:f>IF(AND(R123=1,O123&lt;=$G$13),1,0)</x:f>
        <x:v>0</x:v>
      </x:c>
      <x:c r="T123" s="10" t="n">
        <x:f>EOMONTH(J123-'Сводка'!$B$11,-1)</x:f>
        <x:v>45961</x:v>
      </x:c>
      <x:c r="U123" s="4" t="n">
        <x:f>MATCH(J123,'Сводка'!$R$3:$R$397,0)</x:f>
        <x:v>134</x:v>
      </x:c>
      <x:c r="V123" s="4" t="n">
        <x:f>MATCH(J123-'Сводка'!$B$11,'Сводка'!$R$3:$R$397,0)</x:f>
        <x:v>133</x:v>
      </x:c>
      <x:c r="W123" s="4" t="n">
        <x:f>MATCH(T123,$J$388:$J$400,0)</x:f>
        <x:v>5</x:v>
      </x:c>
      <x:c r="X123" s="3"/>
      <x:c r="Y123" s="3"/>
      <x:c r="Z123" s="3"/>
    </x:row>
    <x:row r="124" ht="15" customHeight="1">
      <x:c r="A124" s="3"/>
      <x:c r="B124" s="3"/>
      <x:c r="C124" s="3"/>
      <x:c r="D124" s="3"/>
      <x:c r="E124" s="3"/>
      <x:c r="F124" s="3"/>
      <x:c r="G124" s="3"/>
      <x:c r="H124" s="3"/>
      <x:c r="I124" s="3"/>
      <x:c r="J124" s="10" t="n">
        <x:v>45975</x:v>
      </x:c>
      <x:c r="K124" s="8" t="n">
        <x:f>INDEX('Сводка'!$S$3:$S$397,U124)</x:f>
        <x:v>-95</x:v>
      </x:c>
      <x:c r="L124" s="8" t="n">
        <x:f>INDEX('Сводка'!$S$3:$S$397,V124)</x:f>
        <x:v>-89</x:v>
      </x:c>
      <x:c r="M124" s="8" t="n">
        <x:f>INDEX($K$388:$N$400,W124,1)+INDEX($K$388:$N$400,W124,2)*LN(((J124-$T$405+1)/1000))+INDEX($O$388:$Z$400,W124,MONTH(J124))</x:f>
        <x:v>-4.313425843816873</x:v>
      </x:c>
      <x:c r="N124" s="8" t="n">
        <x:f>K124-M124</x:f>
        <x:v>-90.68657415618313</x:v>
      </x:c>
      <x:c r="O124" s="8" t="n">
        <x:f>ABS(N124)</x:f>
        <x:v>90.68657415618313</x:v>
      </x:c>
      <x:c r="P124" s="8" t="n">
        <x:f>N124^2</x:f>
        <x:v>8224.0547321849</x:v>
      </x:c>
      <x:c r="Q124" s="8" t="n">
        <x:f>K124-L124</x:f>
        <x:v>-6</x:v>
      </x:c>
      <x:c r="R124" s="9" t="n">
        <x:f>IF(AND(INDEX('Сводка'!$T$3:$T$397,U124)=0,INDEX('Сводка'!$T$3:$T$397,V124)=0),1,0)</x:f>
        <x:v>1</x:v>
      </x:c>
      <x:c r="S124" s="9" t="n">
        <x:f>IF(AND(R124=1,O124&lt;=$G$13),1,0)</x:f>
        <x:v>0</x:v>
      </x:c>
      <x:c r="T124" s="10" t="n">
        <x:f>EOMONTH(J124-'Сводка'!$B$11,-1)</x:f>
        <x:v>45961</x:v>
      </x:c>
      <x:c r="U124" s="4" t="n">
        <x:f>MATCH(J124,'Сводка'!$R$3:$R$397,0)</x:f>
        <x:v>135</x:v>
      </x:c>
      <x:c r="V124" s="4" t="n">
        <x:f>MATCH(J124-'Сводка'!$B$11,'Сводка'!$R$3:$R$397,0)</x:f>
        <x:v>134</x:v>
      </x:c>
      <x:c r="W124" s="4" t="n">
        <x:f>MATCH(T124,$J$388:$J$400,0)</x:f>
        <x:v>5</x:v>
      </x:c>
      <x:c r="X124" s="3"/>
      <x:c r="Y124" s="3"/>
      <x:c r="Z124" s="3"/>
    </x:row>
    <x:row r="125" ht="15" customHeight="1">
      <x:c r="A125" s="3"/>
      <x:c r="B125" s="3"/>
      <x:c r="C125" s="3"/>
      <x:c r="D125" s="3"/>
      <x:c r="E125" s="3"/>
      <x:c r="F125" s="3"/>
      <x:c r="G125" s="3"/>
      <x:c r="H125" s="3"/>
      <x:c r="I125" s="3"/>
      <x:c r="J125" s="10" t="n">
        <x:v>45976</x:v>
      </x:c>
      <x:c r="K125" s="8" t="n">
        <x:f>INDEX('Сводка'!$S$3:$S$397,U125)</x:f>
        <x:v>-90</x:v>
      </x:c>
      <x:c r="L125" s="8" t="n">
        <x:f>INDEX('Сводка'!$S$3:$S$397,V125)</x:f>
        <x:v>-95</x:v>
      </x:c>
      <x:c r="M125" s="8" t="n">
        <x:f>INDEX($K$388:$N$400,W125,1)+INDEX($K$388:$N$400,W125,2)*LN(((J125-$T$405+1)/1000))+INDEX($O$388:$Z$400,W125,MONTH(J125))</x:f>
        <x:v>-4.307541268523664</x:v>
      </x:c>
      <x:c r="N125" s="8" t="n">
        <x:f>K125-M125</x:f>
        <x:v>-85.69245873147634</x:v>
      </x:c>
      <x:c r="O125" s="8" t="n">
        <x:f>ABS(N125)</x:f>
        <x:v>85.69245873147634</x:v>
      </x:c>
      <x:c r="P125" s="8" t="n">
        <x:f>N125^2</x:f>
        <x:v>7343.197483445775</x:v>
      </x:c>
      <x:c r="Q125" s="8" t="n">
        <x:f>K125-L125</x:f>
        <x:v>5</x:v>
      </x:c>
      <x:c r="R125" s="9" t="n">
        <x:f>IF(AND(INDEX('Сводка'!$T$3:$T$397,U125)=0,INDEX('Сводка'!$T$3:$T$397,V125)=0),1,0)</x:f>
        <x:v>1</x:v>
      </x:c>
      <x:c r="S125" s="9" t="n">
        <x:f>IF(AND(R125=1,O125&lt;=$G$13),1,0)</x:f>
        <x:v>0</x:v>
      </x:c>
      <x:c r="T125" s="10" t="n">
        <x:f>EOMONTH(J125-'Сводка'!$B$11,-1)</x:f>
        <x:v>45961</x:v>
      </x:c>
      <x:c r="U125" s="4" t="n">
        <x:f>MATCH(J125,'Сводка'!$R$3:$R$397,0)</x:f>
        <x:v>136</x:v>
      </x:c>
      <x:c r="V125" s="4" t="n">
        <x:f>MATCH(J125-'Сводка'!$B$11,'Сводка'!$R$3:$R$397,0)</x:f>
        <x:v>135</x:v>
      </x:c>
      <x:c r="W125" s="4" t="n">
        <x:f>MATCH(T125,$J$388:$J$400,0)</x:f>
        <x:v>5</x:v>
      </x:c>
      <x:c r="X125" s="3"/>
      <x:c r="Y125" s="3"/>
      <x:c r="Z125" s="3"/>
    </x:row>
    <x:row r="126" ht="15" customHeight="1">
      <x:c r="A126" s="3"/>
      <x:c r="B126" s="3"/>
      <x:c r="C126" s="3"/>
      <x:c r="D126" s="3"/>
      <x:c r="E126" s="3"/>
      <x:c r="F126" s="3"/>
      <x:c r="G126" s="3"/>
      <x:c r="H126" s="3"/>
      <x:c r="I126" s="3"/>
      <x:c r="J126" s="10" t="n">
        <x:v>45977</x:v>
      </x:c>
      <x:c r="K126" s="8" t="n">
        <x:f>INDEX('Сводка'!$S$3:$S$397,U126)</x:f>
        <x:v>-81</x:v>
      </x:c>
      <x:c r="L126" s="8" t="n">
        <x:f>INDEX('Сводка'!$S$3:$S$397,V126)</x:f>
        <x:v>-90</x:v>
      </x:c>
      <x:c r="M126" s="8" t="n">
        <x:f>INDEX($K$388:$N$400,W126,1)+INDEX($K$388:$N$400,W126,2)*LN(((J126-$T$405+1)/1000))+INDEX($O$388:$Z$400,W126,MONTH(J126))</x:f>
        <x:v>-4.301657368028373</x:v>
      </x:c>
      <x:c r="N126" s="8" t="n">
        <x:f>K126-M126</x:f>
        <x:v>-76.69834263197163</x:v>
      </x:c>
      <x:c r="O126" s="8" t="n">
        <x:f>ABS(N126)</x:f>
        <x:v>76.69834263197163</x:v>
      </x:c>
      <x:c r="P126" s="8" t="n">
        <x:f>N126^2</x:f>
        <x:v>5882.635762491316</x:v>
      </x:c>
      <x:c r="Q126" s="8" t="n">
        <x:f>K126-L126</x:f>
        <x:v>9</x:v>
      </x:c>
      <x:c r="R126" s="9" t="n">
        <x:f>IF(AND(INDEX('Сводка'!$T$3:$T$397,U126)=0,INDEX('Сводка'!$T$3:$T$397,V126)=0),1,0)</x:f>
        <x:v>1</x:v>
      </x:c>
      <x:c r="S126" s="9" t="n">
        <x:f>IF(AND(R126=1,O126&lt;=$G$13),1,0)</x:f>
        <x:v>0</x:v>
      </x:c>
      <x:c r="T126" s="10" t="n">
        <x:f>EOMONTH(J126-'Сводка'!$B$11,-1)</x:f>
        <x:v>45961</x:v>
      </x:c>
      <x:c r="U126" s="4" t="n">
        <x:f>MATCH(J126,'Сводка'!$R$3:$R$397,0)</x:f>
        <x:v>137</x:v>
      </x:c>
      <x:c r="V126" s="4" t="n">
        <x:f>MATCH(J126-'Сводка'!$B$11,'Сводка'!$R$3:$R$397,0)</x:f>
        <x:v>136</x:v>
      </x:c>
      <x:c r="W126" s="4" t="n">
        <x:f>MATCH(T126,$J$388:$J$400,0)</x:f>
        <x:v>5</x:v>
      </x:c>
      <x:c r="X126" s="3"/>
      <x:c r="Y126" s="3"/>
      <x:c r="Z126" s="3"/>
    </x:row>
    <x:row r="127" ht="15" customHeight="1">
      <x:c r="A127" s="3"/>
      <x:c r="B127" s="3"/>
      <x:c r="C127" s="3"/>
      <x:c r="D127" s="3"/>
      <x:c r="E127" s="3"/>
      <x:c r="F127" s="3"/>
      <x:c r="G127" s="3"/>
      <x:c r="H127" s="3"/>
      <x:c r="I127" s="3"/>
      <x:c r="J127" s="10" t="n">
        <x:v>45978</x:v>
      </x:c>
      <x:c r="K127" s="8" t="n">
        <x:f>INDEX('Сводка'!$S$3:$S$397,U127)</x:f>
        <x:v>-83</x:v>
      </x:c>
      <x:c r="L127" s="8" t="n">
        <x:f>INDEX('Сводка'!$S$3:$S$397,V127)</x:f>
        <x:v>-81</x:v>
      </x:c>
      <x:c r="M127" s="8" t="n">
        <x:f>INDEX($K$388:$N$400,W127,1)+INDEX($K$388:$N$400,W127,2)*LN(((J127-$T$405+1)/1000))+INDEX($O$388:$Z$400,W127,MONTH(J127))</x:f>
        <x:v>-4.295774142176285</x:v>
      </x:c>
      <x:c r="N127" s="8" t="n">
        <x:f>K127-M127</x:f>
        <x:v>-78.70422585782372</x:v>
      </x:c>
      <x:c r="O127" s="8" t="n">
        <x:f>ABS(N127)</x:f>
        <x:v>78.70422585782372</x:v>
      </x:c>
      <x:c r="P127" s="8" t="n">
        <x:f>N127^2</x:f>
        <x:v>6194.355167879327</x:v>
      </x:c>
      <x:c r="Q127" s="8" t="n">
        <x:f>K127-L127</x:f>
        <x:v>-2</x:v>
      </x:c>
      <x:c r="R127" s="9" t="n">
        <x:f>IF(AND(INDEX('Сводка'!$T$3:$T$397,U127)=0,INDEX('Сводка'!$T$3:$T$397,V127)=0),1,0)</x:f>
        <x:v>1</x:v>
      </x:c>
      <x:c r="S127" s="9" t="n">
        <x:f>IF(AND(R127=1,O127&lt;=$G$13),1,0)</x:f>
        <x:v>0</x:v>
      </x:c>
      <x:c r="T127" s="10" t="n">
        <x:f>EOMONTH(J127-'Сводка'!$B$11,-1)</x:f>
        <x:v>45961</x:v>
      </x:c>
      <x:c r="U127" s="4" t="n">
        <x:f>MATCH(J127,'Сводка'!$R$3:$R$397,0)</x:f>
        <x:v>138</x:v>
      </x:c>
      <x:c r="V127" s="4" t="n">
        <x:f>MATCH(J127-'Сводка'!$B$11,'Сводка'!$R$3:$R$397,0)</x:f>
        <x:v>137</x:v>
      </x:c>
      <x:c r="W127" s="4" t="n">
        <x:f>MATCH(T127,$J$388:$J$400,0)</x:f>
        <x:v>5</x:v>
      </x:c>
      <x:c r="X127" s="3"/>
      <x:c r="Y127" s="3"/>
      <x:c r="Z127" s="3"/>
    </x:row>
    <x:row r="128" ht="15" customHeight="1">
      <x:c r="A128" s="3"/>
      <x:c r="B128" s="3"/>
      <x:c r="C128" s="3"/>
      <x:c r="D128" s="3"/>
      <x:c r="E128" s="3"/>
      <x:c r="F128" s="3"/>
      <x:c r="G128" s="3"/>
      <x:c r="H128" s="3"/>
      <x:c r="I128" s="3"/>
      <x:c r="J128" s="10" t="n">
        <x:v>45979</x:v>
      </x:c>
      <x:c r="K128" s="8" t="n">
        <x:f>INDEX('Сводка'!$S$3:$S$397,U128)</x:f>
        <x:v>-72</x:v>
      </x:c>
      <x:c r="L128" s="8" t="n">
        <x:f>INDEX('Сводка'!$S$3:$S$397,V128)</x:f>
        <x:v>-83</x:v>
      </x:c>
      <x:c r="M128" s="8" t="n">
        <x:f>INDEX($K$388:$N$400,W128,1)+INDEX($K$388:$N$400,W128,2)*LN(((J128-$T$405+1)/1000))+INDEX($O$388:$Z$400,W128,MONTH(J128))</x:f>
        <x:v>-4.289891590812687</x:v>
      </x:c>
      <x:c r="N128" s="8" t="n">
        <x:f>K128-M128</x:f>
        <x:v>-67.71010840918731</x:v>
      </x:c>
      <x:c r="O128" s="8" t="n">
        <x:f>ABS(N128)</x:f>
        <x:v>67.71010840918731</x:v>
      </x:c>
      <x:c r="P128" s="8" t="n">
        <x:f>N128^2</x:f>
        <x:v>4584.658780783899</x:v>
      </x:c>
      <x:c r="Q128" s="8" t="n">
        <x:f>K128-L128</x:f>
        <x:v>11</x:v>
      </x:c>
      <x:c r="R128" s="9" t="n">
        <x:f>IF(AND(INDEX('Сводка'!$T$3:$T$397,U128)=0,INDEX('Сводка'!$T$3:$T$397,V128)=0),1,0)</x:f>
        <x:v>1</x:v>
      </x:c>
      <x:c r="S128" s="9" t="n">
        <x:f>IF(AND(R128=1,O128&lt;=$G$13),1,0)</x:f>
        <x:v>0</x:v>
      </x:c>
      <x:c r="T128" s="10" t="n">
        <x:f>EOMONTH(J128-'Сводка'!$B$11,-1)</x:f>
        <x:v>45961</x:v>
      </x:c>
      <x:c r="U128" s="4" t="n">
        <x:f>MATCH(J128,'Сводка'!$R$3:$R$397,0)</x:f>
        <x:v>139</x:v>
      </x:c>
      <x:c r="V128" s="4" t="n">
        <x:f>MATCH(J128-'Сводка'!$B$11,'Сводка'!$R$3:$R$397,0)</x:f>
        <x:v>138</x:v>
      </x:c>
      <x:c r="W128" s="4" t="n">
        <x:f>MATCH(T128,$J$388:$J$400,0)</x:f>
        <x:v>5</x:v>
      </x:c>
      <x:c r="X128" s="3"/>
      <x:c r="Y128" s="3"/>
      <x:c r="Z128" s="3"/>
    </x:row>
    <x:row r="129" ht="15" customHeight="1">
      <x:c r="A129" s="3"/>
      <x:c r="B129" s="3"/>
      <x:c r="C129" s="3"/>
      <x:c r="D129" s="3"/>
      <x:c r="E129" s="3"/>
      <x:c r="F129" s="3"/>
      <x:c r="G129" s="3"/>
      <x:c r="H129" s="3"/>
      <x:c r="I129" s="3"/>
      <x:c r="J129" s="10" t="n">
        <x:v>45980</x:v>
      </x:c>
      <x:c r="K129" s="8" t="n">
        <x:f>INDEX('Сводка'!$S$3:$S$397,U129)</x:f>
        <x:v>-74</x:v>
      </x:c>
      <x:c r="L129" s="8" t="n">
        <x:f>INDEX('Сводка'!$S$3:$S$397,V129)</x:f>
        <x:v>-72</x:v>
      </x:c>
      <x:c r="M129" s="8" t="n">
        <x:f>INDEX($K$388:$N$400,W129,1)+INDEX($K$388:$N$400,W129,2)*LN(((J129-$T$405+1)/1000))+INDEX($O$388:$Z$400,W129,MONTH(J129))</x:f>
        <x:v>-4.284009713782922</x:v>
      </x:c>
      <x:c r="N129" s="8" t="n">
        <x:f>K129-M129</x:f>
        <x:v>-69.71599028621708</x:v>
      </x:c>
      <x:c r="O129" s="8" t="n">
        <x:f>ABS(N129)</x:f>
        <x:v>69.71599028621708</x:v>
      </x:c>
      <x:c r="P129" s="8" t="n">
        <x:f>N129^2</x:f>
        <x:v>4860.319301587914</x:v>
      </x:c>
      <x:c r="Q129" s="8" t="n">
        <x:f>K129-L129</x:f>
        <x:v>-2</x:v>
      </x:c>
      <x:c r="R129" s="9" t="n">
        <x:f>IF(AND(INDEX('Сводка'!$T$3:$T$397,U129)=0,INDEX('Сводка'!$T$3:$T$397,V129)=0),1,0)</x:f>
        <x:v>1</x:v>
      </x:c>
      <x:c r="S129" s="9" t="n">
        <x:f>IF(AND(R129=1,O129&lt;=$G$13),1,0)</x:f>
        <x:v>0</x:v>
      </x:c>
      <x:c r="T129" s="10" t="n">
        <x:f>EOMONTH(J129-'Сводка'!$B$11,-1)</x:f>
        <x:v>45961</x:v>
      </x:c>
      <x:c r="U129" s="4" t="n">
        <x:f>MATCH(J129,'Сводка'!$R$3:$R$397,0)</x:f>
        <x:v>140</x:v>
      </x:c>
      <x:c r="V129" s="4" t="n">
        <x:f>MATCH(J129-'Сводка'!$B$11,'Сводка'!$R$3:$R$397,0)</x:f>
        <x:v>139</x:v>
      </x:c>
      <x:c r="W129" s="4" t="n">
        <x:f>MATCH(T129,$J$388:$J$400,0)</x:f>
        <x:v>5</x:v>
      </x:c>
      <x:c r="X129" s="3"/>
      <x:c r="Y129" s="3"/>
      <x:c r="Z129" s="3"/>
    </x:row>
    <x:row r="130" ht="15" customHeight="1">
      <x:c r="A130" s="3"/>
      <x:c r="B130" s="3"/>
      <x:c r="C130" s="3"/>
      <x:c r="D130" s="3"/>
      <x:c r="E130" s="3"/>
      <x:c r="F130" s="3"/>
      <x:c r="G130" s="3"/>
      <x:c r="H130" s="3"/>
      <x:c r="I130" s="3"/>
      <x:c r="J130" s="10" t="n">
        <x:v>45981</x:v>
      </x:c>
      <x:c r="K130" s="8" t="n">
        <x:f>INDEX('Сводка'!$S$3:$S$397,U130)</x:f>
        <x:v>-71</x:v>
      </x:c>
      <x:c r="L130" s="8" t="n">
        <x:f>INDEX('Сводка'!$S$3:$S$397,V130)</x:f>
        <x:v>-74</x:v>
      </x:c>
      <x:c r="M130" s="8" t="n">
        <x:f>INDEX($K$388:$N$400,W130,1)+INDEX($K$388:$N$400,W130,2)*LN(((J130-$T$405+1)/1000))+INDEX($O$388:$Z$400,W130,MONTH(J130))</x:f>
        <x:v>-4.278128510932461</x:v>
      </x:c>
      <x:c r="N130" s="8" t="n">
        <x:f>K130-M130</x:f>
        <x:v>-66.72187148906754</x:v>
      </x:c>
      <x:c r="O130" s="8" t="n">
        <x:f>ABS(N130)</x:f>
        <x:v>66.72187148906754</x:v>
      </x:c>
      <x:c r="P130" s="8" t="n">
        <x:f>N130^2</x:f>
        <x:v>4451.808135003644</x:v>
      </x:c>
      <x:c r="Q130" s="8" t="n">
        <x:f>K130-L130</x:f>
        <x:v>3</x:v>
      </x:c>
      <x:c r="R130" s="9" t="n">
        <x:f>IF(AND(INDEX('Сводка'!$T$3:$T$397,U130)=0,INDEX('Сводка'!$T$3:$T$397,V130)=0),1,0)</x:f>
        <x:v>1</x:v>
      </x:c>
      <x:c r="S130" s="9" t="n">
        <x:f>IF(AND(R130=1,O130&lt;=$G$13),1,0)</x:f>
        <x:v>0</x:v>
      </x:c>
      <x:c r="T130" s="10" t="n">
        <x:f>EOMONTH(J130-'Сводка'!$B$11,-1)</x:f>
        <x:v>45961</x:v>
      </x:c>
      <x:c r="U130" s="4" t="n">
        <x:f>MATCH(J130,'Сводка'!$R$3:$R$397,0)</x:f>
        <x:v>141</x:v>
      </x:c>
      <x:c r="V130" s="4" t="n">
        <x:f>MATCH(J130-'Сводка'!$B$11,'Сводка'!$R$3:$R$397,0)</x:f>
        <x:v>140</x:v>
      </x:c>
      <x:c r="W130" s="4" t="n">
        <x:f>MATCH(T130,$J$388:$J$400,0)</x:f>
        <x:v>5</x:v>
      </x:c>
      <x:c r="X130" s="3"/>
      <x:c r="Y130" s="3"/>
      <x:c r="Z130" s="3"/>
    </x:row>
    <x:row r="131" ht="15" customHeight="1">
      <x:c r="A131" s="3"/>
      <x:c r="B131" s="3"/>
      <x:c r="C131" s="3"/>
      <x:c r="D131" s="3"/>
      <x:c r="E131" s="3"/>
      <x:c r="F131" s="3"/>
      <x:c r="G131" s="3"/>
      <x:c r="H131" s="3"/>
      <x:c r="I131" s="3"/>
      <x:c r="J131" s="10" t="n">
        <x:v>45982</x:v>
      </x:c>
      <x:c r="K131" s="8" t="n">
        <x:f>INDEX('Сводка'!$S$3:$S$397,U131)</x:f>
        <x:v>-85</x:v>
      </x:c>
      <x:c r="L131" s="8" t="n">
        <x:f>INDEX('Сводка'!$S$3:$S$397,V131)</x:f>
        <x:v>-71</x:v>
      </x:c>
      <x:c r="M131" s="8" t="n">
        <x:f>INDEX($K$388:$N$400,W131,1)+INDEX($K$388:$N$400,W131,2)*LN(((J131-$T$405+1)/1000))+INDEX($O$388:$Z$400,W131,MONTH(J131))</x:f>
        <x:v>-4.272247982106705</x:v>
      </x:c>
      <x:c r="N131" s="8" t="n">
        <x:f>K131-M131</x:f>
        <x:v>-80.7277520178933</x:v>
      </x:c>
      <x:c r="O131" s="8" t="n">
        <x:f>ABS(N131)</x:f>
        <x:v>80.7277520178933</x:v>
      </x:c>
      <x:c r="P131" s="8" t="n">
        <x:f>N131^2</x:f>
        <x:v>6516.969945862475</x:v>
      </x:c>
      <x:c r="Q131" s="8" t="n">
        <x:f>K131-L131</x:f>
        <x:v>-14</x:v>
      </x:c>
      <x:c r="R131" s="9" t="n">
        <x:f>IF(AND(INDEX('Сводка'!$T$3:$T$397,U131)=0,INDEX('Сводка'!$T$3:$T$397,V131)=0),1,0)</x:f>
        <x:v>1</x:v>
      </x:c>
      <x:c r="S131" s="9" t="n">
        <x:f>IF(AND(R131=1,O131&lt;=$G$13),1,0)</x:f>
        <x:v>0</x:v>
      </x:c>
      <x:c r="T131" s="10" t="n">
        <x:f>EOMONTH(J131-'Сводка'!$B$11,-1)</x:f>
        <x:v>45961</x:v>
      </x:c>
      <x:c r="U131" s="4" t="n">
        <x:f>MATCH(J131,'Сводка'!$R$3:$R$397,0)</x:f>
        <x:v>142</x:v>
      </x:c>
      <x:c r="V131" s="4" t="n">
        <x:f>MATCH(J131-'Сводка'!$B$11,'Сводка'!$R$3:$R$397,0)</x:f>
        <x:v>141</x:v>
      </x:c>
      <x:c r="W131" s="4" t="n">
        <x:f>MATCH(T131,$J$388:$J$400,0)</x:f>
        <x:v>5</x:v>
      </x:c>
      <x:c r="X131" s="3"/>
      <x:c r="Y131" s="3"/>
      <x:c r="Z131" s="3"/>
    </x:row>
    <x:row r="132" ht="15" customHeight="1">
      <x:c r="A132" s="3"/>
      <x:c r="B132" s="3"/>
      <x:c r="C132" s="3"/>
      <x:c r="D132" s="3"/>
      <x:c r="E132" s="3"/>
      <x:c r="F132" s="3"/>
      <x:c r="G132" s="3"/>
      <x:c r="H132" s="3"/>
      <x:c r="I132" s="3"/>
      <x:c r="J132" s="10" t="n">
        <x:v>45983</x:v>
      </x:c>
      <x:c r="K132" s="8" t="n">
        <x:f>INDEX('Сводка'!$S$3:$S$397,U132)</x:f>
        <x:v>-98</x:v>
      </x:c>
      <x:c r="L132" s="8" t="n">
        <x:f>INDEX('Сводка'!$S$3:$S$397,V132)</x:f>
        <x:v>-85</x:v>
      </x:c>
      <x:c r="M132" s="8" t="n">
        <x:f>INDEX($K$388:$N$400,W132,1)+INDEX($K$388:$N$400,W132,2)*LN(((J132-$T$405+1)/1000))+INDEX($O$388:$Z$400,W132,MONTH(J132))</x:f>
        <x:v>-4.266368127151239</x:v>
      </x:c>
      <x:c r="N132" s="8" t="n">
        <x:f>K132-M132</x:f>
        <x:v>-93.73363187284876</x:v>
      </x:c>
      <x:c r="O132" s="8" t="n">
        <x:f>ABS(N132)</x:f>
        <x:v>93.73363187284876</x:v>
      </x:c>
      <x:c r="P132" s="8" t="n">
        <x:f>N132^2</x:f>
        <x:v>8785.993744074729</x:v>
      </x:c>
      <x:c r="Q132" s="8" t="n">
        <x:f>K132-L132</x:f>
        <x:v>-13</x:v>
      </x:c>
      <x:c r="R132" s="9" t="n">
        <x:f>IF(AND(INDEX('Сводка'!$T$3:$T$397,U132)=0,INDEX('Сводка'!$T$3:$T$397,V132)=0),1,0)</x:f>
        <x:v>1</x:v>
      </x:c>
      <x:c r="S132" s="9" t="n">
        <x:f>IF(AND(R132=1,O132&lt;=$G$13),1,0)</x:f>
        <x:v>0</x:v>
      </x:c>
      <x:c r="T132" s="10" t="n">
        <x:f>EOMONTH(J132-'Сводка'!$B$11,-1)</x:f>
        <x:v>45961</x:v>
      </x:c>
      <x:c r="U132" s="4" t="n">
        <x:f>MATCH(J132,'Сводка'!$R$3:$R$397,0)</x:f>
        <x:v>143</x:v>
      </x:c>
      <x:c r="V132" s="4" t="n">
        <x:f>MATCH(J132-'Сводка'!$B$11,'Сводка'!$R$3:$R$397,0)</x:f>
        <x:v>142</x:v>
      </x:c>
      <x:c r="W132" s="4" t="n">
        <x:f>MATCH(T132,$J$388:$J$400,0)</x:f>
        <x:v>5</x:v>
      </x:c>
      <x:c r="X132" s="3"/>
      <x:c r="Y132" s="3"/>
      <x:c r="Z132" s="3"/>
    </x:row>
    <x:row r="133" ht="15" customHeight="1">
      <x:c r="A133" s="3"/>
      <x:c r="B133" s="3"/>
      <x:c r="C133" s="3"/>
      <x:c r="D133" s="3"/>
      <x:c r="E133" s="3"/>
      <x:c r="F133" s="3"/>
      <x:c r="G133" s="3"/>
      <x:c r="H133" s="3"/>
      <x:c r="I133" s="3"/>
      <x:c r="J133" s="10" t="n">
        <x:v>45984</x:v>
      </x:c>
      <x:c r="K133" s="8" t="n">
        <x:f>INDEX('Сводка'!$S$3:$S$397,U133)</x:f>
        <x:v>-118</x:v>
      </x:c>
      <x:c r="L133" s="8" t="n">
        <x:f>INDEX('Сводка'!$S$3:$S$397,V133)</x:f>
        <x:v>-98</x:v>
      </x:c>
      <x:c r="M133" s="8" t="n">
        <x:f>INDEX($K$388:$N$400,W133,1)+INDEX($K$388:$N$400,W133,2)*LN(((J133-$T$405+1)/1000))+INDEX($O$388:$Z$400,W133,MONTH(J133))</x:f>
        <x:v>-4.260488945911604</x:v>
      </x:c>
      <x:c r="N133" s="8" t="n">
        <x:f>K133-M133</x:f>
        <x:v>-113.7395110540884</x:v>
      </x:c>
      <x:c r="O133" s="8" t="n">
        <x:f>ABS(N133)</x:f>
        <x:v>113.7395110540884</x:v>
      </x:c>
      <x:c r="P133" s="8" t="n">
        <x:f>N133^2</x:f>
        <x:v>12936.676374823097</x:v>
      </x:c>
      <x:c r="Q133" s="8" t="n">
        <x:f>K133-L133</x:f>
        <x:v>-20</x:v>
      </x:c>
      <x:c r="R133" s="9" t="n">
        <x:f>IF(AND(INDEX('Сводка'!$T$3:$T$397,U133)=0,INDEX('Сводка'!$T$3:$T$397,V133)=0),1,0)</x:f>
        <x:v>1</x:v>
      </x:c>
      <x:c r="S133" s="9" t="n">
        <x:f>IF(AND(R133=1,O133&lt;=$G$13),1,0)</x:f>
        <x:v>0</x:v>
      </x:c>
      <x:c r="T133" s="10" t="n">
        <x:f>EOMONTH(J133-'Сводка'!$B$11,-1)</x:f>
        <x:v>45961</x:v>
      </x:c>
      <x:c r="U133" s="4" t="n">
        <x:f>MATCH(J133,'Сводка'!$R$3:$R$397,0)</x:f>
        <x:v>144</x:v>
      </x:c>
      <x:c r="V133" s="4" t="n">
        <x:f>MATCH(J133-'Сводка'!$B$11,'Сводка'!$R$3:$R$397,0)</x:f>
        <x:v>143</x:v>
      </x:c>
      <x:c r="W133" s="4" t="n">
        <x:f>MATCH(T133,$J$388:$J$400,0)</x:f>
        <x:v>5</x:v>
      </x:c>
      <x:c r="X133" s="3"/>
      <x:c r="Y133" s="3"/>
      <x:c r="Z133" s="3"/>
    </x:row>
    <x:row r="134" ht="15" customHeight="1">
      <x:c r="A134" s="3"/>
      <x:c r="B134" s="3"/>
      <x:c r="C134" s="3"/>
      <x:c r="D134" s="3"/>
      <x:c r="E134" s="3"/>
      <x:c r="F134" s="3"/>
      <x:c r="G134" s="3"/>
      <x:c r="H134" s="3"/>
      <x:c r="I134" s="3"/>
      <x:c r="J134" s="10" t="n">
        <x:v>45985</x:v>
      </x:c>
      <x:c r="K134" s="8" t="n">
        <x:f>INDEX('Сводка'!$S$3:$S$397,U134)</x:f>
        <x:v>-123</x:v>
      </x:c>
      <x:c r="L134" s="8" t="n">
        <x:f>INDEX('Сводка'!$S$3:$S$397,V134)</x:f>
        <x:v>-118</x:v>
      </x:c>
      <x:c r="M134" s="8" t="n">
        <x:f>INDEX($K$388:$N$400,W134,1)+INDEX($K$388:$N$400,W134,2)*LN(((J134-$T$405+1)/1000))+INDEX($O$388:$Z$400,W134,MONTH(J134))</x:f>
        <x:v>-4.254610438233414</x:v>
      </x:c>
      <x:c r="N134" s="8" t="n">
        <x:f>K134-M134</x:f>
        <x:v>-118.74538956176659</x:v>
      </x:c>
      <x:c r="O134" s="8" t="n">
        <x:f>ABS(N134)</x:f>
        <x:v>118.74538956176659</x:v>
      </x:c>
      <x:c r="P134" s="8" t="n">
        <x:f>N134^2</x:f>
        <x:v>14100.467542175706</x:v>
      </x:c>
      <x:c r="Q134" s="8" t="n">
        <x:f>K134-L134</x:f>
        <x:v>-5</x:v>
      </x:c>
      <x:c r="R134" s="9" t="n">
        <x:f>IF(AND(INDEX('Сводка'!$T$3:$T$397,U134)=0,INDEX('Сводка'!$T$3:$T$397,V134)=0),1,0)</x:f>
        <x:v>1</x:v>
      </x:c>
      <x:c r="S134" s="9" t="n">
        <x:f>IF(AND(R134=1,O134&lt;=$G$13),1,0)</x:f>
        <x:v>0</x:v>
      </x:c>
      <x:c r="T134" s="10" t="n">
        <x:f>EOMONTH(J134-'Сводка'!$B$11,-1)</x:f>
        <x:v>45961</x:v>
      </x:c>
      <x:c r="U134" s="4" t="n">
        <x:f>MATCH(J134,'Сводка'!$R$3:$R$397,0)</x:f>
        <x:v>145</x:v>
      </x:c>
      <x:c r="V134" s="4" t="n">
        <x:f>MATCH(J134-'Сводка'!$B$11,'Сводка'!$R$3:$R$397,0)</x:f>
        <x:v>144</x:v>
      </x:c>
      <x:c r="W134" s="4" t="n">
        <x:f>MATCH(T134,$J$388:$J$400,0)</x:f>
        <x:v>5</x:v>
      </x:c>
      <x:c r="X134" s="3"/>
      <x:c r="Y134" s="3"/>
      <x:c r="Z134" s="3"/>
    </x:row>
    <x:row r="135" ht="15" customHeight="1">
      <x:c r="A135" s="3"/>
      <x:c r="B135" s="3"/>
      <x:c r="C135" s="3"/>
      <x:c r="D135" s="3"/>
      <x:c r="E135" s="3"/>
      <x:c r="F135" s="3"/>
      <x:c r="G135" s="3"/>
      <x:c r="H135" s="3"/>
      <x:c r="I135" s="3"/>
      <x:c r="J135" s="10" t="n">
        <x:v>45986</x:v>
      </x:c>
      <x:c r="K135" s="8" t="n">
        <x:f>INDEX('Сводка'!$S$3:$S$397,U135)</x:f>
        <x:v>-116</x:v>
      </x:c>
      <x:c r="L135" s="8" t="n">
        <x:f>INDEX('Сводка'!$S$3:$S$397,V135)</x:f>
        <x:v>-123</x:v>
      </x:c>
      <x:c r="M135" s="8" t="n">
        <x:f>INDEX($K$388:$N$400,W135,1)+INDEX($K$388:$N$400,W135,2)*LN(((J135-$T$405+1)/1000))+INDEX($O$388:$Z$400,W135,MONTH(J135))</x:f>
        <x:v>-4.248732603962381</x:v>
      </x:c>
      <x:c r="N135" s="8" t="n">
        <x:f>K135-M135</x:f>
        <x:v>-111.75126739603762</x:v>
      </x:c>
      <x:c r="O135" s="8" t="n">
        <x:f>ABS(N135)</x:f>
        <x:v>111.75126739603762</x:v>
      </x:c>
      <x:c r="P135" s="8" t="n">
        <x:f>N135^2</x:f>
        <x:v>12488.3457646207</x:v>
      </x:c>
      <x:c r="Q135" s="8" t="n">
        <x:f>K135-L135</x:f>
        <x:v>7</x:v>
      </x:c>
      <x:c r="R135" s="9" t="n">
        <x:f>IF(AND(INDEX('Сводка'!$T$3:$T$397,U135)=0,INDEX('Сводка'!$T$3:$T$397,V135)=0),1,0)</x:f>
        <x:v>1</x:v>
      </x:c>
      <x:c r="S135" s="9" t="n">
        <x:f>IF(AND(R135=1,O135&lt;=$G$13),1,0)</x:f>
        <x:v>0</x:v>
      </x:c>
      <x:c r="T135" s="10" t="n">
        <x:f>EOMONTH(J135-'Сводка'!$B$11,-1)</x:f>
        <x:v>45961</x:v>
      </x:c>
      <x:c r="U135" s="4" t="n">
        <x:f>MATCH(J135,'Сводка'!$R$3:$R$397,0)</x:f>
        <x:v>146</x:v>
      </x:c>
      <x:c r="V135" s="4" t="n">
        <x:f>MATCH(J135-'Сводка'!$B$11,'Сводка'!$R$3:$R$397,0)</x:f>
        <x:v>145</x:v>
      </x:c>
      <x:c r="W135" s="4" t="n">
        <x:f>MATCH(T135,$J$388:$J$400,0)</x:f>
        <x:v>5</x:v>
      </x:c>
      <x:c r="X135" s="3"/>
      <x:c r="Y135" s="3"/>
      <x:c r="Z135" s="3"/>
    </x:row>
    <x:row r="136" ht="15" customHeight="1">
      <x:c r="A136" s="3"/>
      <x:c r="B136" s="3"/>
      <x:c r="C136" s="3"/>
      <x:c r="D136" s="3"/>
      <x:c r="E136" s="3"/>
      <x:c r="F136" s="3"/>
      <x:c r="G136" s="3"/>
      <x:c r="H136" s="3"/>
      <x:c r="I136" s="3"/>
      <x:c r="J136" s="10" t="n">
        <x:v>45987</x:v>
      </x:c>
      <x:c r="K136" s="8" t="n">
        <x:f>INDEX('Сводка'!$S$3:$S$397,U136)</x:f>
        <x:v>-119</x:v>
      </x:c>
      <x:c r="L136" s="8" t="n">
        <x:f>INDEX('Сводка'!$S$3:$S$397,V136)</x:f>
        <x:v>-116</x:v>
      </x:c>
      <x:c r="M136" s="8" t="n">
        <x:f>INDEX($K$388:$N$400,W136,1)+INDEX($K$388:$N$400,W136,2)*LN(((J136-$T$405+1)/1000))+INDEX($O$388:$Z$400,W136,MONTH(J136))</x:f>
        <x:v>-4.242855442944247</x:v>
      </x:c>
      <x:c r="N136" s="8" t="n">
        <x:f>K136-M136</x:f>
        <x:v>-114.75714455705575</x:v>
      </x:c>
      <x:c r="O136" s="8" t="n">
        <x:f>ABS(N136)</x:f>
        <x:v>114.75714455705575</x:v>
      </x:c>
      <x:c r="P136" s="8" t="n">
        <x:f>N136^2</x:f>
        <x:v>13169.20222688899</x:v>
      </x:c>
      <x:c r="Q136" s="8" t="n">
        <x:f>K136-L136</x:f>
        <x:v>-3</x:v>
      </x:c>
      <x:c r="R136" s="9" t="n">
        <x:f>IF(AND(INDEX('Сводка'!$T$3:$T$397,U136)=0,INDEX('Сводка'!$T$3:$T$397,V136)=0),1,0)</x:f>
        <x:v>1</x:v>
      </x:c>
      <x:c r="S136" s="9" t="n">
        <x:f>IF(AND(R136=1,O136&lt;=$G$13),1,0)</x:f>
        <x:v>0</x:v>
      </x:c>
      <x:c r="T136" s="10" t="n">
        <x:f>EOMONTH(J136-'Сводка'!$B$11,-1)</x:f>
        <x:v>45961</x:v>
      </x:c>
      <x:c r="U136" s="4" t="n">
        <x:f>MATCH(J136,'Сводка'!$R$3:$R$397,0)</x:f>
        <x:v>147</x:v>
      </x:c>
      <x:c r="V136" s="4" t="n">
        <x:f>MATCH(J136-'Сводка'!$B$11,'Сводка'!$R$3:$R$397,0)</x:f>
        <x:v>146</x:v>
      </x:c>
      <x:c r="W136" s="4" t="n">
        <x:f>MATCH(T136,$J$388:$J$400,0)</x:f>
        <x:v>5</x:v>
      </x:c>
      <x:c r="X136" s="3"/>
      <x:c r="Y136" s="3"/>
      <x:c r="Z136" s="3"/>
    </x:row>
    <x:row r="137" ht="15" customHeight="1">
      <x:c r="A137" s="3"/>
      <x:c r="B137" s="3"/>
      <x:c r="C137" s="3"/>
      <x:c r="D137" s="3"/>
      <x:c r="E137" s="3"/>
      <x:c r="F137" s="3"/>
      <x:c r="G137" s="3"/>
      <x:c r="H137" s="3"/>
      <x:c r="I137" s="3"/>
      <x:c r="J137" s="10" t="n">
        <x:v>45988</x:v>
      </x:c>
      <x:c r="K137" s="8" t="n">
        <x:f>INDEX('Сводка'!$S$3:$S$397,U137)</x:f>
        <x:v>-114</x:v>
      </x:c>
      <x:c r="L137" s="8" t="n">
        <x:f>INDEX('Сводка'!$S$3:$S$397,V137)</x:f>
        <x:v>-119</x:v>
      </x:c>
      <x:c r="M137" s="8" t="n">
        <x:f>INDEX($K$388:$N$400,W137,1)+INDEX($K$388:$N$400,W137,2)*LN(((J137-$T$405+1)/1000))+INDEX($O$388:$Z$400,W137,MONTH(J137))</x:f>
        <x:v>-4.236978955024753</x:v>
      </x:c>
      <x:c r="N137" s="8" t="n">
        <x:f>K137-M137</x:f>
        <x:v>-109.76302104497525</x:v>
      </x:c>
      <x:c r="O137" s="8" t="n">
        <x:f>ABS(N137)</x:f>
        <x:v>109.76302104497525</x:v>
      </x:c>
      <x:c r="P137" s="8" t="n">
        <x:f>N137^2</x:f>
        <x:v>12047.920788919679</x:v>
      </x:c>
      <x:c r="Q137" s="8" t="n">
        <x:f>K137-L137</x:f>
        <x:v>5</x:v>
      </x:c>
      <x:c r="R137" s="9" t="n">
        <x:f>IF(AND(INDEX('Сводка'!$T$3:$T$397,U137)=0,INDEX('Сводка'!$T$3:$T$397,V137)=0),1,0)</x:f>
        <x:v>1</x:v>
      </x:c>
      <x:c r="S137" s="9" t="n">
        <x:f>IF(AND(R137=1,O137&lt;=$G$13),1,0)</x:f>
        <x:v>0</x:v>
      </x:c>
      <x:c r="T137" s="10" t="n">
        <x:f>EOMONTH(J137-'Сводка'!$B$11,-1)</x:f>
        <x:v>45961</x:v>
      </x:c>
      <x:c r="U137" s="4" t="n">
        <x:f>MATCH(J137,'Сводка'!$R$3:$R$397,0)</x:f>
        <x:v>148</x:v>
      </x:c>
      <x:c r="V137" s="4" t="n">
        <x:f>MATCH(J137-'Сводка'!$B$11,'Сводка'!$R$3:$R$397,0)</x:f>
        <x:v>147</x:v>
      </x:c>
      <x:c r="W137" s="4" t="n">
        <x:f>MATCH(T137,$J$388:$J$400,0)</x:f>
        <x:v>5</x:v>
      </x:c>
      <x:c r="X137" s="3"/>
      <x:c r="Y137" s="3"/>
      <x:c r="Z137" s="3"/>
    </x:row>
    <x:row r="138" ht="15" customHeight="1">
      <x:c r="A138" s="3"/>
      <x:c r="B138" s="3"/>
      <x:c r="C138" s="3"/>
      <x:c r="D138" s="3"/>
      <x:c r="E138" s="3"/>
      <x:c r="F138" s="3"/>
      <x:c r="G138" s="3"/>
      <x:c r="H138" s="3"/>
      <x:c r="I138" s="3"/>
      <x:c r="J138" s="10" t="n">
        <x:v>45989</x:v>
      </x:c>
      <x:c r="K138" s="8" t="n">
        <x:f>INDEX('Сводка'!$S$3:$S$397,U138)</x:f>
        <x:v>-86</x:v>
      </x:c>
      <x:c r="L138" s="8" t="n">
        <x:f>INDEX('Сводка'!$S$3:$S$397,V138)</x:f>
        <x:v>-114</x:v>
      </x:c>
      <x:c r="M138" s="8" t="n">
        <x:f>INDEX($K$388:$N$400,W138,1)+INDEX($K$388:$N$400,W138,2)*LN(((J138-$T$405+1)/1000))+INDEX($O$388:$Z$400,W138,MONTH(J138))</x:f>
        <x:v>-4.231103140049797</x:v>
      </x:c>
      <x:c r="N138" s="8" t="n">
        <x:f>K138-M138</x:f>
        <x:v>-81.7688968599502</x:v>
      </x:c>
      <x:c r="O138" s="8" t="n">
        <x:f>ABS(N138)</x:f>
        <x:v>81.7688968599502</x:v>
      </x:c>
      <x:c r="P138" s="8" t="n">
        <x:f>N138^2</x:f>
        <x:v>6686.152493693175</x:v>
      </x:c>
      <x:c r="Q138" s="8" t="n">
        <x:f>K138-L138</x:f>
        <x:v>28</x:v>
      </x:c>
      <x:c r="R138" s="9" t="n">
        <x:f>IF(AND(INDEX('Сводка'!$T$3:$T$397,U138)=0,INDEX('Сводка'!$T$3:$T$397,V138)=0),1,0)</x:f>
        <x:v>0</x:v>
      </x:c>
      <x:c r="S138" s="9" t="n">
        <x:f>IF(AND(R138=1,O138&lt;=$G$13),1,0)</x:f>
        <x:v>0</x:v>
      </x:c>
      <x:c r="T138" s="10" t="n">
        <x:f>EOMONTH(J138-'Сводка'!$B$11,-1)</x:f>
        <x:v>45961</x:v>
      </x:c>
      <x:c r="U138" s="4" t="n">
        <x:f>MATCH(J138,'Сводка'!$R$3:$R$397,0)</x:f>
        <x:v>149</x:v>
      </x:c>
      <x:c r="V138" s="4" t="n">
        <x:f>MATCH(J138-'Сводка'!$B$11,'Сводка'!$R$3:$R$397,0)</x:f>
        <x:v>148</x:v>
      </x:c>
      <x:c r="W138" s="4" t="n">
        <x:f>MATCH(T138,$J$388:$J$400,0)</x:f>
        <x:v>5</x:v>
      </x:c>
      <x:c r="X138" s="3"/>
      <x:c r="Y138" s="3"/>
      <x:c r="Z138" s="3"/>
    </x:row>
    <x:row r="139" ht="15" customHeight="1">
      <x:c r="A139" s="3"/>
      <x:c r="B139" s="3"/>
      <x:c r="C139" s="3"/>
      <x:c r="D139" s="3"/>
      <x:c r="E139" s="3"/>
      <x:c r="F139" s="3"/>
      <x:c r="G139" s="3"/>
      <x:c r="H139" s="3"/>
      <x:c r="I139" s="3"/>
      <x:c r="J139" s="10" t="n">
        <x:v>45990</x:v>
      </x:c>
      <x:c r="K139" s="8" t="n">
        <x:f>INDEX('Сводка'!$S$3:$S$397,U139)</x:f>
        <x:v>-58</x:v>
      </x:c>
      <x:c r="L139" s="8" t="n">
        <x:f>INDEX('Сводка'!$S$3:$S$397,V139)</x:f>
        <x:v>-86</x:v>
      </x:c>
      <x:c r="M139" s="8" t="n">
        <x:f>INDEX($K$388:$N$400,W139,1)+INDEX($K$388:$N$400,W139,2)*LN(((J139-$T$405+1)/1000))+INDEX($O$388:$Z$400,W139,MONTH(J139))</x:f>
        <x:v>-4.2252279978652325</x:v>
      </x:c>
      <x:c r="N139" s="8" t="n">
        <x:f>K139-M139</x:f>
        <x:v>-53.77477200213477</x:v>
      </x:c>
      <x:c r="O139" s="8" t="n">
        <x:f>ABS(N139)</x:f>
        <x:v>53.77477200213477</x:v>
      </x:c>
      <x:c r="P139" s="8" t="n">
        <x:f>N139^2</x:f>
        <x:v>2891.7261038815773</x:v>
      </x:c>
      <x:c r="Q139" s="8" t="n">
        <x:f>K139-L139</x:f>
        <x:v>28</x:v>
      </x:c>
      <x:c r="R139" s="9" t="n">
        <x:f>IF(AND(INDEX('Сводка'!$T$3:$T$397,U139)=0,INDEX('Сводка'!$T$3:$T$397,V139)=0),1,0)</x:f>
        <x:v>0</x:v>
      </x:c>
      <x:c r="S139" s="9" t="n">
        <x:f>IF(AND(R139=1,O139&lt;=$G$13),1,0)</x:f>
        <x:v>0</x:v>
      </x:c>
      <x:c r="T139" s="10" t="n">
        <x:f>EOMONTH(J139-'Сводка'!$B$11,-1)</x:f>
        <x:v>45961</x:v>
      </x:c>
      <x:c r="U139" s="4" t="n">
        <x:f>MATCH(J139,'Сводка'!$R$3:$R$397,0)</x:f>
        <x:v>150</x:v>
      </x:c>
      <x:c r="V139" s="4" t="n">
        <x:f>MATCH(J139-'Сводка'!$B$11,'Сводка'!$R$3:$R$397,0)</x:f>
        <x:v>149</x:v>
      </x:c>
      <x:c r="W139" s="4" t="n">
        <x:f>MATCH(T139,$J$388:$J$400,0)</x:f>
        <x:v>5</x:v>
      </x:c>
      <x:c r="X139" s="3"/>
      <x:c r="Y139" s="3"/>
      <x:c r="Z139" s="3"/>
    </x:row>
    <x:row r="140" ht="15" customHeight="1">
      <x:c r="A140" s="3"/>
      <x:c r="B140" s="3"/>
      <x:c r="C140" s="3"/>
      <x:c r="D140" s="3"/>
      <x:c r="E140" s="3"/>
      <x:c r="F140" s="3"/>
      <x:c r="G140" s="3"/>
      <x:c r="H140" s="3"/>
      <x:c r="I140" s="3"/>
      <x:c r="J140" s="10" t="n">
        <x:v>45991</x:v>
      </x:c>
      <x:c r="K140" s="8" t="n">
        <x:f>INDEX('Сводка'!$S$3:$S$397,U140)</x:f>
        <x:v>-53</x:v>
      </x:c>
      <x:c r="L140" s="8" t="n">
        <x:f>INDEX('Сводка'!$S$3:$S$397,V140)</x:f>
        <x:v>-58</x:v>
      </x:c>
      <x:c r="M140" s="8" t="n">
        <x:f>INDEX($K$388:$N$400,W140,1)+INDEX($K$388:$N$400,W140,2)*LN(((J140-$T$405+1)/1000))+INDEX($O$388:$Z$400,W140,MONTH(J140))</x:f>
        <x:v>-4.219353528317015</x:v>
      </x:c>
      <x:c r="N140" s="8" t="n">
        <x:f>K140-M140</x:f>
        <x:v>-48.780646471682985</x:v>
      </x:c>
      <x:c r="O140" s="8" t="n">
        <x:f>ABS(N140)</x:f>
        <x:v>48.780646471682985</x:v>
      </x:c>
      <x:c r="P140" s="8" t="n">
        <x:f>N140^2</x:f>
        <x:v>2379.5514701953175</x:v>
      </x:c>
      <x:c r="Q140" s="8" t="n">
        <x:f>K140-L140</x:f>
        <x:v>5</x:v>
      </x:c>
      <x:c r="R140" s="9" t="n">
        <x:f>IF(AND(INDEX('Сводка'!$T$3:$T$397,U140)=0,INDEX('Сводка'!$T$3:$T$397,V140)=0),1,0)</x:f>
        <x:v>1</x:v>
      </x:c>
      <x:c r="S140" s="9" t="n">
        <x:f>IF(AND(R140=1,O140&lt;=$G$13),1,0)</x:f>
        <x:v>0</x:v>
      </x:c>
      <x:c r="T140" s="10" t="n">
        <x:f>EOMONTH(J140-'Сводка'!$B$11,-1)</x:f>
        <x:v>45961</x:v>
      </x:c>
      <x:c r="U140" s="4" t="n">
        <x:f>MATCH(J140,'Сводка'!$R$3:$R$397,0)</x:f>
        <x:v>151</x:v>
      </x:c>
      <x:c r="V140" s="4" t="n">
        <x:f>MATCH(J140-'Сводка'!$B$11,'Сводка'!$R$3:$R$397,0)</x:f>
        <x:v>150</x:v>
      </x:c>
      <x:c r="W140" s="4" t="n">
        <x:f>MATCH(T140,$J$388:$J$400,0)</x:f>
        <x:v>5</x:v>
      </x:c>
      <x:c r="X140" s="3"/>
      <x:c r="Y140" s="3"/>
      <x:c r="Z140" s="3"/>
    </x:row>
    <x:row r="141" ht="15" customHeight="1">
      <x:c r="A141" s="3"/>
      <x:c r="B141" s="3"/>
      <x:c r="C141" s="3"/>
      <x:c r="D141" s="3"/>
      <x:c r="E141" s="3"/>
      <x:c r="F141" s="3"/>
      <x:c r="G141" s="3"/>
      <x:c r="H141" s="3"/>
      <x:c r="I141" s="3"/>
      <x:c r="J141" s="10" t="n">
        <x:v>45992</x:v>
      </x:c>
      <x:c r="K141" s="8" t="n">
        <x:f>INDEX('Сводка'!$S$3:$S$397,U141)</x:f>
        <x:v>-56</x:v>
      </x:c>
      <x:c r="L141" s="8" t="n">
        <x:f>INDEX('Сводка'!$S$3:$S$397,V141)</x:f>
        <x:v>-53</x:v>
      </x:c>
      <x:c r="M141" s="8" t="n">
        <x:f>INDEX($K$388:$N$400,W141,1)+INDEX($K$388:$N$400,W141,2)*LN(((J141-$T$405+1)/1000))+INDEX($O$388:$Z$400,W141,MONTH(J141))</x:f>
        <x:v>30.707698612166965</x:v>
      </x:c>
      <x:c r="N141" s="8" t="n">
        <x:f>K141-M141</x:f>
        <x:v>-86.70769861216696</x:v>
      </x:c>
      <x:c r="O141" s="8" t="n">
        <x:f>ABS(N141)</x:f>
        <x:v>86.70769861216696</x:v>
      </x:c>
      <x:c r="P141" s="8" t="n">
        <x:f>N141^2</x:f>
        <x:v>7518.224998618381</x:v>
      </x:c>
      <x:c r="Q141" s="8" t="n">
        <x:f>K141-L141</x:f>
        <x:v>-3</x:v>
      </x:c>
      <x:c r="R141" s="9" t="n">
        <x:f>IF(AND(INDEX('Сводка'!$T$3:$T$397,U141)=0,INDEX('Сводка'!$T$3:$T$397,V141)=0),1,0)</x:f>
        <x:v>1</x:v>
      </x:c>
      <x:c r="S141" s="9" t="n">
        <x:f>IF(AND(R141=1,O141&lt;=$G$13),1,0)</x:f>
        <x:v>0</x:v>
      </x:c>
      <x:c r="T141" s="10" t="n">
        <x:f>EOMONTH(J141-'Сводка'!$B$11,-1)</x:f>
        <x:v>45961</x:v>
      </x:c>
      <x:c r="U141" s="4" t="n">
        <x:f>MATCH(J141,'Сводка'!$R$3:$R$397,0)</x:f>
        <x:v>152</x:v>
      </x:c>
      <x:c r="V141" s="4" t="n">
        <x:f>MATCH(J141-'Сводка'!$B$11,'Сводка'!$R$3:$R$397,0)</x:f>
        <x:v>151</x:v>
      </x:c>
      <x:c r="W141" s="4" t="n">
        <x:f>MATCH(T141,$J$388:$J$400,0)</x:f>
        <x:v>5</x:v>
      </x:c>
      <x:c r="X141" s="3"/>
      <x:c r="Y141" s="3"/>
      <x:c r="Z141" s="3"/>
    </x:row>
    <x:row r="142" ht="15" customHeight="1">
      <x:c r="A142" s="3"/>
      <x:c r="B142" s="3"/>
      <x:c r="C142" s="3"/>
      <x:c r="D142" s="3"/>
      <x:c r="E142" s="3"/>
      <x:c r="F142" s="3"/>
      <x:c r="G142" s="3"/>
      <x:c r="H142" s="3"/>
      <x:c r="I142" s="3"/>
      <x:c r="J142" s="10" t="n">
        <x:v>45993</x:v>
      </x:c>
      <x:c r="K142" s="8" t="n">
        <x:f>INDEX('Сводка'!$S$3:$S$397,U142)</x:f>
        <x:v>-46</x:v>
      </x:c>
      <x:c r="L142" s="8" t="n">
        <x:f>INDEX('Сводка'!$S$3:$S$397,V142)</x:f>
        <x:v>-56</x:v>
      </x:c>
      <x:c r="M142" s="8" t="n">
        <x:f>INDEX($K$388:$N$400,W142,1)+INDEX($K$388:$N$400,W142,2)*LN(((J142-$T$405+1)/1000))+INDEX($O$388:$Z$400,W142,MONTH(J142))</x:f>
        <x:v>30.469749842134277</x:v>
      </x:c>
      <x:c r="N142" s="8" t="n">
        <x:f>K142-M142</x:f>
        <x:v>-76.46974984213428</x:v>
      </x:c>
      <x:c r="O142" s="8" t="n">
        <x:f>ABS(N142)</x:f>
        <x:v>76.46974984213428</x:v>
      </x:c>
      <x:c r="P142" s="8" t="n">
        <x:f>N142^2</x:f>
        <x:v>5847.622640918596</x:v>
      </x:c>
      <x:c r="Q142" s="8" t="n">
        <x:f>K142-L142</x:f>
        <x:v>10</x:v>
      </x:c>
      <x:c r="R142" s="9" t="n">
        <x:f>IF(AND(INDEX('Сводка'!$T$3:$T$397,U142)=0,INDEX('Сводка'!$T$3:$T$397,V142)=0),1,0)</x:f>
        <x:v>1</x:v>
      </x:c>
      <x:c r="S142" s="9" t="n">
        <x:f>IF(AND(R142=1,O142&lt;=$G$13),1,0)</x:f>
        <x:v>0</x:v>
      </x:c>
      <x:c r="T142" s="10" t="n">
        <x:f>EOMONTH(J142-'Сводка'!$B$11,-1)</x:f>
        <x:v>45991</x:v>
      </x:c>
      <x:c r="U142" s="4" t="n">
        <x:f>MATCH(J142,'Сводка'!$R$3:$R$397,0)</x:f>
        <x:v>153</x:v>
      </x:c>
      <x:c r="V142" s="4" t="n">
        <x:f>MATCH(J142-'Сводка'!$B$11,'Сводка'!$R$3:$R$397,0)</x:f>
        <x:v>152</x:v>
      </x:c>
      <x:c r="W142" s="4" t="n">
        <x:f>MATCH(T142,$J$388:$J$400,0)</x:f>
        <x:v>6</x:v>
      </x:c>
      <x:c r="X142" s="3"/>
      <x:c r="Y142" s="3"/>
      <x:c r="Z142" s="3"/>
    </x:row>
    <x:row r="143" ht="15" customHeight="1">
      <x:c r="A143" s="3"/>
      <x:c r="B143" s="3"/>
      <x:c r="C143" s="3"/>
      <x:c r="D143" s="3"/>
      <x:c r="E143" s="3"/>
      <x:c r="F143" s="3"/>
      <x:c r="G143" s="3"/>
      <x:c r="H143" s="3"/>
      <x:c r="I143" s="3"/>
      <x:c r="J143" s="10" t="n">
        <x:v>45994</x:v>
      </x:c>
      <x:c r="K143" s="8" t="n">
        <x:f>INDEX('Сводка'!$S$3:$S$397,U143)</x:f>
        <x:v>-30</x:v>
      </x:c>
      <x:c r="L143" s="8" t="n">
        <x:f>INDEX('Сводка'!$S$3:$S$397,V143)</x:f>
        <x:v>-46</x:v>
      </x:c>
      <x:c r="M143" s="8" t="n">
        <x:f>INDEX($K$388:$N$400,W143,1)+INDEX($K$388:$N$400,W143,2)*LN(((J143-$T$405+1)/1000))+INDEX($O$388:$Z$400,W143,MONTH(J143))</x:f>
        <x:v>30.475594400857872</x:v>
      </x:c>
      <x:c r="N143" s="8" t="n">
        <x:f>K143-M143</x:f>
        <x:v>-60.47559440085787</x:v>
      </x:c>
      <x:c r="O143" s="8" t="n">
        <x:f>ABS(N143)</x:f>
        <x:v>60.47559440085787</x:v>
      </x:c>
      <x:c r="P143" s="8" t="n">
        <x:f>N143^2</x:f>
        <x:v>3657.297518137072</x:v>
      </x:c>
      <x:c r="Q143" s="8" t="n">
        <x:f>K143-L143</x:f>
        <x:v>16</x:v>
      </x:c>
      <x:c r="R143" s="9" t="n">
        <x:f>IF(AND(INDEX('Сводка'!$T$3:$T$397,U143)=0,INDEX('Сводка'!$T$3:$T$397,V143)=0),1,0)</x:f>
        <x:v>1</x:v>
      </x:c>
      <x:c r="S143" s="9" t="n">
        <x:f>IF(AND(R143=1,O143&lt;=$G$13),1,0)</x:f>
        <x:v>0</x:v>
      </x:c>
      <x:c r="T143" s="10" t="n">
        <x:f>EOMONTH(J143-'Сводка'!$B$11,-1)</x:f>
        <x:v>45991</x:v>
      </x:c>
      <x:c r="U143" s="4" t="n">
        <x:f>MATCH(J143,'Сводка'!$R$3:$R$397,0)</x:f>
        <x:v>154</x:v>
      </x:c>
      <x:c r="V143" s="4" t="n">
        <x:f>MATCH(J143-'Сводка'!$B$11,'Сводка'!$R$3:$R$397,0)</x:f>
        <x:v>153</x:v>
      </x:c>
      <x:c r="W143" s="4" t="n">
        <x:f>MATCH(T143,$J$388:$J$400,0)</x:f>
        <x:v>6</x:v>
      </x:c>
      <x:c r="X143" s="3"/>
      <x:c r="Y143" s="3"/>
      <x:c r="Z143" s="3"/>
    </x:row>
    <x:row r="144" ht="15" customHeight="1">
      <x:c r="A144" s="3"/>
      <x:c r="B144" s="3"/>
      <x:c r="C144" s="3"/>
      <x:c r="D144" s="3"/>
      <x:c r="E144" s="3"/>
      <x:c r="F144" s="3"/>
      <x:c r="G144" s="3"/>
      <x:c r="H144" s="3"/>
      <x:c r="I144" s="3"/>
      <x:c r="J144" s="10" t="n">
        <x:v>45995</x:v>
      </x:c>
      <x:c r="K144" s="8" t="n">
        <x:f>INDEX('Сводка'!$S$3:$S$397,U144)</x:f>
        <x:v>-20</x:v>
      </x:c>
      <x:c r="L144" s="8" t="n">
        <x:f>INDEX('Сводка'!$S$3:$S$397,V144)</x:f>
        <x:v>-30</x:v>
      </x:c>
      <x:c r="M144" s="8" t="n">
        <x:f>INDEX($K$388:$N$400,W144,1)+INDEX($K$388:$N$400,W144,2)*LN(((J144-$T$405+1)/1000))+INDEX($O$388:$Z$400,W144,MONTH(J144))</x:f>
        <x:v>30.48143829075289</x:v>
      </x:c>
      <x:c r="N144" s="8" t="n">
        <x:f>K144-M144</x:f>
        <x:v>-50.48143829075289</x:v>
      </x:c>
      <x:c r="O144" s="8" t="n">
        <x:f>ABS(N144)</x:f>
        <x:v>50.48143829075289</x:v>
      </x:c>
      <x:c r="P144" s="8" t="n">
        <x:f>N144^2</x:f>
        <x:v>2548.3756119030922</x:v>
      </x:c>
      <x:c r="Q144" s="8" t="n">
        <x:f>K144-L144</x:f>
        <x:v>10</x:v>
      </x:c>
      <x:c r="R144" s="9" t="n">
        <x:f>IF(AND(INDEX('Сводка'!$T$3:$T$397,U144)=0,INDEX('Сводка'!$T$3:$T$397,V144)=0),1,0)</x:f>
        <x:v>1</x:v>
      </x:c>
      <x:c r="S144" s="9" t="n">
        <x:f>IF(AND(R144=1,O144&lt;=$G$13),1,0)</x:f>
        <x:v>0</x:v>
      </x:c>
      <x:c r="T144" s="10" t="n">
        <x:f>EOMONTH(J144-'Сводка'!$B$11,-1)</x:f>
        <x:v>45991</x:v>
      </x:c>
      <x:c r="U144" s="4" t="n">
        <x:f>MATCH(J144,'Сводка'!$R$3:$R$397,0)</x:f>
        <x:v>155</x:v>
      </x:c>
      <x:c r="V144" s="4" t="n">
        <x:f>MATCH(J144-'Сводка'!$B$11,'Сводка'!$R$3:$R$397,0)</x:f>
        <x:v>154</x:v>
      </x:c>
      <x:c r="W144" s="4" t="n">
        <x:f>MATCH(T144,$J$388:$J$400,0)</x:f>
        <x:v>6</x:v>
      </x:c>
      <x:c r="X144" s="3"/>
      <x:c r="Y144" s="3"/>
      <x:c r="Z144" s="3"/>
    </x:row>
    <x:row r="145" ht="15" customHeight="1">
      <x:c r="A145" s="3"/>
      <x:c r="B145" s="3"/>
      <x:c r="C145" s="3"/>
      <x:c r="D145" s="3"/>
      <x:c r="E145" s="3"/>
      <x:c r="F145" s="3"/>
      <x:c r="G145" s="3"/>
      <x:c r="H145" s="3"/>
      <x:c r="I145" s="3"/>
      <x:c r="J145" s="10" t="n">
        <x:v>45996</x:v>
      </x:c>
      <x:c r="K145" s="8" t="n">
        <x:f>INDEX('Сводка'!$S$3:$S$397,U145)</x:f>
        <x:v>-16</x:v>
      </x:c>
      <x:c r="L145" s="8" t="n">
        <x:f>INDEX('Сводка'!$S$3:$S$397,V145)</x:f>
        <x:v>-20</x:v>
      </x:c>
      <x:c r="M145" s="8" t="n">
        <x:f>INDEX($K$388:$N$400,W145,1)+INDEX($K$388:$N$400,W145,2)*LN(((J145-$T$405+1)/1000))+INDEX($O$388:$Z$400,W145,MONTH(J145))</x:f>
        <x:v>30.487281511972327</x:v>
      </x:c>
      <x:c r="N145" s="8" t="n">
        <x:f>K145-M145</x:f>
        <x:v>-46.48728151197233</x:v>
      </x:c>
      <x:c r="O145" s="8" t="n">
        <x:f>ABS(N145)</x:f>
        <x:v>46.48728151197233</x:v>
      </x:c>
      <x:c r="P145" s="8" t="n">
        <x:f>N145^2</x:f>
        <x:v>2161.067342373364</x:v>
      </x:c>
      <x:c r="Q145" s="8" t="n">
        <x:f>K145-L145</x:f>
        <x:v>4</x:v>
      </x:c>
      <x:c r="R145" s="9" t="n">
        <x:f>IF(AND(INDEX('Сводка'!$T$3:$T$397,U145)=0,INDEX('Сводка'!$T$3:$T$397,V145)=0),1,0)</x:f>
        <x:v>0</x:v>
      </x:c>
      <x:c r="S145" s="9" t="n">
        <x:f>IF(AND(R145=1,O145&lt;=$G$13),1,0)</x:f>
        <x:v>0</x:v>
      </x:c>
      <x:c r="T145" s="10" t="n">
        <x:f>EOMONTH(J145-'Сводка'!$B$11,-1)</x:f>
        <x:v>45991</x:v>
      </x:c>
      <x:c r="U145" s="4" t="n">
        <x:f>MATCH(J145,'Сводка'!$R$3:$R$397,0)</x:f>
        <x:v>156</x:v>
      </x:c>
      <x:c r="V145" s="4" t="n">
        <x:f>MATCH(J145-'Сводка'!$B$11,'Сводка'!$R$3:$R$397,0)</x:f>
        <x:v>155</x:v>
      </x:c>
      <x:c r="W145" s="4" t="n">
        <x:f>MATCH(T145,$J$388:$J$400,0)</x:f>
        <x:v>6</x:v>
      </x:c>
      <x:c r="X145" s="3"/>
      <x:c r="Y145" s="3"/>
      <x:c r="Z145" s="3"/>
    </x:row>
    <x:row r="146" ht="15" customHeight="1">
      <x:c r="A146" s="3"/>
      <x:c r="B146" s="3"/>
      <x:c r="C146" s="3"/>
      <x:c r="D146" s="3"/>
      <x:c r="E146" s="3"/>
      <x:c r="F146" s="3"/>
      <x:c r="G146" s="3"/>
      <x:c r="H146" s="3"/>
      <x:c r="I146" s="3"/>
      <x:c r="J146" s="10" t="n">
        <x:v>45997</x:v>
      </x:c>
      <x:c r="K146" s="8" t="n">
        <x:f>INDEX('Сводка'!$S$3:$S$397,U146)</x:f>
        <x:v>-12</x:v>
      </x:c>
      <x:c r="L146" s="8" t="n">
        <x:f>INDEX('Сводка'!$S$3:$S$397,V146)</x:f>
        <x:v>-16</x:v>
      </x:c>
      <x:c r="M146" s="8" t="n">
        <x:f>INDEX($K$388:$N$400,W146,1)+INDEX($K$388:$N$400,W146,2)*LN(((J146-$T$405+1)/1000))+INDEX($O$388:$Z$400,W146,MONTH(J146))</x:f>
        <x:v>30.49312406466926</x:v>
      </x:c>
      <x:c r="N146" s="8" t="n">
        <x:f>K146-M146</x:f>
        <x:v>-42.49312406466926</x:v>
      </x:c>
      <x:c r="O146" s="8" t="n">
        <x:f>ABS(N146)</x:f>
        <x:v>42.49312406466926</x:v>
      </x:c>
      <x:c r="P146" s="8" t="n">
        <x:f>N146^2</x:f>
        <x:v>1805.6655927753739</x:v>
      </x:c>
      <x:c r="Q146" s="8" t="n">
        <x:f>K146-L146</x:f>
        <x:v>4</x:v>
      </x:c>
      <x:c r="R146" s="9" t="n">
        <x:f>IF(AND(INDEX('Сводка'!$T$3:$T$397,U146)=0,INDEX('Сводка'!$T$3:$T$397,V146)=0),1,0)</x:f>
        <x:v>0</x:v>
      </x:c>
      <x:c r="S146" s="9" t="n">
        <x:f>IF(AND(R146=1,O146&lt;=$G$13),1,0)</x:f>
        <x:v>0</x:v>
      </x:c>
      <x:c r="T146" s="10" t="n">
        <x:f>EOMONTH(J146-'Сводка'!$B$11,-1)</x:f>
        <x:v>45991</x:v>
      </x:c>
      <x:c r="U146" s="4" t="n">
        <x:f>MATCH(J146,'Сводка'!$R$3:$R$397,0)</x:f>
        <x:v>157</x:v>
      </x:c>
      <x:c r="V146" s="4" t="n">
        <x:f>MATCH(J146-'Сводка'!$B$11,'Сводка'!$R$3:$R$397,0)</x:f>
        <x:v>156</x:v>
      </x:c>
      <x:c r="W146" s="4" t="n">
        <x:f>MATCH(T146,$J$388:$J$400,0)</x:f>
        <x:v>6</x:v>
      </x:c>
      <x:c r="X146" s="3"/>
      <x:c r="Y146" s="3"/>
      <x:c r="Z146" s="3"/>
    </x:row>
    <x:row r="147" ht="15" customHeight="1">
      <x:c r="A147" s="3"/>
      <x:c r="B147" s="3"/>
      <x:c r="C147" s="3"/>
      <x:c r="D147" s="3"/>
      <x:c r="E147" s="3"/>
      <x:c r="F147" s="3"/>
      <x:c r="G147" s="3"/>
      <x:c r="H147" s="3"/>
      <x:c r="I147" s="3"/>
      <x:c r="J147" s="10" t="n">
        <x:v>45998</x:v>
      </x:c>
      <x:c r="K147" s="8" t="n">
        <x:f>INDEX('Сводка'!$S$3:$S$397,U147)</x:f>
        <x:v>-8</x:v>
      </x:c>
      <x:c r="L147" s="8" t="n">
        <x:f>INDEX('Сводка'!$S$3:$S$397,V147)</x:f>
        <x:v>-12</x:v>
      </x:c>
      <x:c r="M147" s="8" t="n">
        <x:f>INDEX($K$388:$N$400,W147,1)+INDEX($K$388:$N$400,W147,2)*LN(((J147-$T$405+1)/1000))+INDEX($O$388:$Z$400,W147,MONTH(J147))</x:f>
        <x:v>30.4989659489966</x:v>
      </x:c>
      <x:c r="N147" s="8" t="n">
        <x:f>K147-M147</x:f>
        <x:v>-38.4989659489966</x:v>
      </x:c>
      <x:c r="O147" s="8" t="n">
        <x:f>ABS(N147)</x:f>
        <x:v>38.4989659489966</x:v>
      </x:c>
      <x:c r="P147" s="8" t="n">
        <x:f>N147^2</x:f>
        <x:v>1482.1703791419995</x:v>
      </x:c>
      <x:c r="Q147" s="8" t="n">
        <x:f>K147-L147</x:f>
        <x:v>4</x:v>
      </x:c>
      <x:c r="R147" s="9" t="n">
        <x:f>IF(AND(INDEX('Сводка'!$T$3:$T$397,U147)=0,INDEX('Сводка'!$T$3:$T$397,V147)=0),1,0)</x:f>
        <x:v>0</x:v>
      </x:c>
      <x:c r="S147" s="9" t="n">
        <x:f>IF(AND(R147=1,O147&lt;=$G$13),1,0)</x:f>
        <x:v>0</x:v>
      </x:c>
      <x:c r="T147" s="10" t="n">
        <x:f>EOMONTH(J147-'Сводка'!$B$11,-1)</x:f>
        <x:v>45991</x:v>
      </x:c>
      <x:c r="U147" s="4" t="n">
        <x:f>MATCH(J147,'Сводка'!$R$3:$R$397,0)</x:f>
        <x:v>158</x:v>
      </x:c>
      <x:c r="V147" s="4" t="n">
        <x:f>MATCH(J147-'Сводка'!$B$11,'Сводка'!$R$3:$R$397,0)</x:f>
        <x:v>157</x:v>
      </x:c>
      <x:c r="W147" s="4" t="n">
        <x:f>MATCH(T147,$J$388:$J$400,0)</x:f>
        <x:v>6</x:v>
      </x:c>
      <x:c r="X147" s="3"/>
      <x:c r="Y147" s="3"/>
      <x:c r="Z147" s="3"/>
    </x:row>
    <x:row r="148" ht="15" customHeight="1">
      <x:c r="A148" s="3"/>
      <x:c r="B148" s="3"/>
      <x:c r="C148" s="3"/>
      <x:c r="D148" s="3"/>
      <x:c r="E148" s="3"/>
      <x:c r="F148" s="3"/>
      <x:c r="G148" s="3"/>
      <x:c r="H148" s="3"/>
      <x:c r="I148" s="3"/>
      <x:c r="J148" s="10" t="n">
        <x:v>45999</x:v>
      </x:c>
      <x:c r="K148" s="8" t="n">
        <x:f>INDEX('Сводка'!$S$3:$S$397,U148)</x:f>
        <x:v>-13</x:v>
      </x:c>
      <x:c r="L148" s="8" t="n">
        <x:f>INDEX('Сводка'!$S$3:$S$397,V148)</x:f>
        <x:v>-8</x:v>
      </x:c>
      <x:c r="M148" s="8" t="n">
        <x:f>INDEX($K$388:$N$400,W148,1)+INDEX($K$388:$N$400,W148,2)*LN(((J148-$T$405+1)/1000))+INDEX($O$388:$Z$400,W148,MONTH(J148))</x:f>
        <x:v>30.504807165107238</x:v>
      </x:c>
      <x:c r="N148" s="8" t="n">
        <x:f>K148-M148</x:f>
        <x:v>-43.50480716510724</x:v>
      </x:c>
      <x:c r="O148" s="8" t="n">
        <x:f>ABS(N148)</x:f>
        <x:v>43.50480716510724</x:v>
      </x:c>
      <x:c r="P148" s="8" t="n">
        <x:f>N148^2</x:f>
        <x:v>1892.668246473166</x:v>
      </x:c>
      <x:c r="Q148" s="8" t="n">
        <x:f>K148-L148</x:f>
        <x:v>-5</x:v>
      </x:c>
      <x:c r="R148" s="9" t="n">
        <x:f>IF(AND(INDEX('Сводка'!$T$3:$T$397,U148)=0,INDEX('Сводка'!$T$3:$T$397,V148)=0),1,0)</x:f>
        <x:v>1</x:v>
      </x:c>
      <x:c r="S148" s="9" t="n">
        <x:f>IF(AND(R148=1,O148&lt;=$G$13),1,0)</x:f>
        <x:v>0</x:v>
      </x:c>
      <x:c r="T148" s="10" t="n">
        <x:f>EOMONTH(J148-'Сводка'!$B$11,-1)</x:f>
        <x:v>45991</x:v>
      </x:c>
      <x:c r="U148" s="4" t="n">
        <x:f>MATCH(J148,'Сводка'!$R$3:$R$397,0)</x:f>
        <x:v>159</x:v>
      </x:c>
      <x:c r="V148" s="4" t="n">
        <x:f>MATCH(J148-'Сводка'!$B$11,'Сводка'!$R$3:$R$397,0)</x:f>
        <x:v>158</x:v>
      </x:c>
      <x:c r="W148" s="4" t="n">
        <x:f>MATCH(T148,$J$388:$J$400,0)</x:f>
        <x:v>6</x:v>
      </x:c>
      <x:c r="X148" s="3"/>
      <x:c r="Y148" s="3"/>
      <x:c r="Z148" s="3"/>
    </x:row>
    <x:row r="149" ht="15" customHeight="1">
      <x:c r="A149" s="3"/>
      <x:c r="B149" s="3"/>
      <x:c r="C149" s="3"/>
      <x:c r="D149" s="3"/>
      <x:c r="E149" s="3"/>
      <x:c r="F149" s="3"/>
      <x:c r="G149" s="3"/>
      <x:c r="H149" s="3"/>
      <x:c r="I149" s="3"/>
      <x:c r="J149" s="10" t="n">
        <x:v>46000</x:v>
      </x:c>
      <x:c r="K149" s="8" t="n">
        <x:f>INDEX('Сводка'!$S$3:$S$397,U149)</x:f>
        <x:v>-20</x:v>
      </x:c>
      <x:c r="L149" s="8" t="n">
        <x:f>INDEX('Сводка'!$S$3:$S$397,V149)</x:f>
        <x:v>-13</x:v>
      </x:c>
      <x:c r="M149" s="8" t="n">
        <x:f>INDEX($K$388:$N$400,W149,1)+INDEX($K$388:$N$400,W149,2)*LN(((J149-$T$405+1)/1000))+INDEX($O$388:$Z$400,W149,MONTH(J149))</x:f>
        <x:v>30.51064771315407</x:v>
      </x:c>
      <x:c r="N149" s="8" t="n">
        <x:f>K149-M149</x:f>
        <x:v>-50.51064771315407</x:v>
      </x:c>
      <x:c r="O149" s="8" t="n">
        <x:f>ABS(N149)</x:f>
        <x:v>50.51064771315407</x:v>
      </x:c>
      <x:c r="P149" s="8" t="n">
        <x:f>N149^2</x:f>
        <x:v>2551.3255324023567</x:v>
      </x:c>
      <x:c r="Q149" s="8" t="n">
        <x:f>K149-L149</x:f>
        <x:v>-7</x:v>
      </x:c>
      <x:c r="R149" s="9" t="n">
        <x:f>IF(AND(INDEX('Сводка'!$T$3:$T$397,U149)=0,INDEX('Сводка'!$T$3:$T$397,V149)=0),1,0)</x:f>
        <x:v>1</x:v>
      </x:c>
      <x:c r="S149" s="9" t="n">
        <x:f>IF(AND(R149=1,O149&lt;=$G$13),1,0)</x:f>
        <x:v>0</x:v>
      </x:c>
      <x:c r="T149" s="10" t="n">
        <x:f>EOMONTH(J149-'Сводка'!$B$11,-1)</x:f>
        <x:v>45991</x:v>
      </x:c>
      <x:c r="U149" s="4" t="n">
        <x:f>MATCH(J149,'Сводка'!$R$3:$R$397,0)</x:f>
        <x:v>160</x:v>
      </x:c>
      <x:c r="V149" s="4" t="n">
        <x:f>MATCH(J149-'Сводка'!$B$11,'Сводка'!$R$3:$R$397,0)</x:f>
        <x:v>159</x:v>
      </x:c>
      <x:c r="W149" s="4" t="n">
        <x:f>MATCH(T149,$J$388:$J$400,0)</x:f>
        <x:v>6</x:v>
      </x:c>
      <x:c r="X149" s="3"/>
      <x:c r="Y149" s="3"/>
      <x:c r="Z149" s="3"/>
    </x:row>
    <x:row r="150" ht="15" customHeight="1">
      <x:c r="A150" s="3"/>
      <x:c r="B150" s="3"/>
      <x:c r="C150" s="3"/>
      <x:c r="D150" s="3"/>
      <x:c r="E150" s="3"/>
      <x:c r="F150" s="3"/>
      <x:c r="G150" s="3"/>
      <x:c r="H150" s="3"/>
      <x:c r="I150" s="3"/>
      <x:c r="J150" s="10" t="n">
        <x:v>46001</x:v>
      </x:c>
      <x:c r="K150" s="8" t="n">
        <x:f>INDEX('Сводка'!$S$3:$S$397,U150)</x:f>
        <x:v>-28</x:v>
      </x:c>
      <x:c r="L150" s="8" t="n">
        <x:f>INDEX('Сводка'!$S$3:$S$397,V150)</x:f>
        <x:v>-20</x:v>
      </x:c>
      <x:c r="M150" s="8" t="n">
        <x:f>INDEX($K$388:$N$400,W150,1)+INDEX($K$388:$N$400,W150,2)*LN(((J150-$T$405+1)/1000))+INDEX($O$388:$Z$400,W150,MONTH(J150))</x:f>
        <x:v>30.516487593289852</x:v>
      </x:c>
      <x:c r="N150" s="8" t="n">
        <x:f>K150-M150</x:f>
        <x:v>-58.51648759328985</x:v>
      </x:c>
      <x:c r="O150" s="8" t="n">
        <x:f>ABS(N150)</x:f>
        <x:v>58.51648759328985</x:v>
      </x:c>
      <x:c r="P150" s="8" t="n">
        <x:f>N150^2</x:f>
        <x:v>3424.179320255645</x:v>
      </x:c>
      <x:c r="Q150" s="8" t="n">
        <x:f>K150-L150</x:f>
        <x:v>-8</x:v>
      </x:c>
      <x:c r="R150" s="9" t="n">
        <x:f>IF(AND(INDEX('Сводка'!$T$3:$T$397,U150)=0,INDEX('Сводка'!$T$3:$T$397,V150)=0),1,0)</x:f>
        <x:v>1</x:v>
      </x:c>
      <x:c r="S150" s="9" t="n">
        <x:f>IF(AND(R150=1,O150&lt;=$G$13),1,0)</x:f>
        <x:v>0</x:v>
      </x:c>
      <x:c r="T150" s="10" t="n">
        <x:f>EOMONTH(J150-'Сводка'!$B$11,-1)</x:f>
        <x:v>45991</x:v>
      </x:c>
      <x:c r="U150" s="4" t="n">
        <x:f>MATCH(J150,'Сводка'!$R$3:$R$397,0)</x:f>
        <x:v>161</x:v>
      </x:c>
      <x:c r="V150" s="4" t="n">
        <x:f>MATCH(J150-'Сводка'!$B$11,'Сводка'!$R$3:$R$397,0)</x:f>
        <x:v>160</x:v>
      </x:c>
      <x:c r="W150" s="4" t="n">
        <x:f>MATCH(T150,$J$388:$J$400,0)</x:f>
        <x:v>6</x:v>
      </x:c>
      <x:c r="X150" s="3"/>
      <x:c r="Y150" s="3"/>
      <x:c r="Z150" s="3"/>
    </x:row>
    <x:row r="151" ht="15" customHeight="1">
      <x:c r="A151" s="3"/>
      <x:c r="B151" s="3"/>
      <x:c r="C151" s="3"/>
      <x:c r="D151" s="3"/>
      <x:c r="E151" s="3"/>
      <x:c r="F151" s="3"/>
      <x:c r="G151" s="3"/>
      <x:c r="H151" s="3"/>
      <x:c r="I151" s="3"/>
      <x:c r="J151" s="10" t="n">
        <x:v>46002</x:v>
      </x:c>
      <x:c r="K151" s="8" t="n">
        <x:f>INDEX('Сводка'!$S$3:$S$397,U151)</x:f>
        <x:v>-38</x:v>
      </x:c>
      <x:c r="L151" s="8" t="n">
        <x:f>INDEX('Сводка'!$S$3:$S$397,V151)</x:f>
        <x:v>-28</x:v>
      </x:c>
      <x:c r="M151" s="8" t="n">
        <x:f>INDEX($K$388:$N$400,W151,1)+INDEX($K$388:$N$400,W151,2)*LN(((J151-$T$405+1)/1000))+INDEX($O$388:$Z$400,W151,MONTH(J151))</x:f>
        <x:v>30.522326805667348</x:v>
      </x:c>
      <x:c r="N151" s="8" t="n">
        <x:f>K151-M151</x:f>
        <x:v>-68.52232680566735</x:v>
      </x:c>
      <x:c r="O151" s="8" t="n">
        <x:f>ABS(N151)</x:f>
        <x:v>68.52232680566735</x:v>
      </x:c>
      <x:c r="P151" s="8" t="n">
        <x:f>N151^2</x:f>
        <x:v>4695.309270862678</x:v>
      </x:c>
      <x:c r="Q151" s="8" t="n">
        <x:f>K151-L151</x:f>
        <x:v>-10</x:v>
      </x:c>
      <x:c r="R151" s="9" t="n">
        <x:f>IF(AND(INDEX('Сводка'!$T$3:$T$397,U151)=0,INDEX('Сводка'!$T$3:$T$397,V151)=0),1,0)</x:f>
        <x:v>1</x:v>
      </x:c>
      <x:c r="S151" s="9" t="n">
        <x:f>IF(AND(R151=1,O151&lt;=$G$13),1,0)</x:f>
        <x:v>0</x:v>
      </x:c>
      <x:c r="T151" s="10" t="n">
        <x:f>EOMONTH(J151-'Сводка'!$B$11,-1)</x:f>
        <x:v>45991</x:v>
      </x:c>
      <x:c r="U151" s="4" t="n">
        <x:f>MATCH(J151,'Сводка'!$R$3:$R$397,0)</x:f>
        <x:v>162</x:v>
      </x:c>
      <x:c r="V151" s="4" t="n">
        <x:f>MATCH(J151-'Сводка'!$B$11,'Сводка'!$R$3:$R$397,0)</x:f>
        <x:v>161</x:v>
      </x:c>
      <x:c r="W151" s="4" t="n">
        <x:f>MATCH(T151,$J$388:$J$400,0)</x:f>
        <x:v>6</x:v>
      </x:c>
      <x:c r="X151" s="3"/>
      <x:c r="Y151" s="3"/>
      <x:c r="Z151" s="3"/>
    </x:row>
    <x:row r="152" ht="15" customHeight="1">
      <x:c r="A152" s="3"/>
      <x:c r="B152" s="3"/>
      <x:c r="C152" s="3"/>
      <x:c r="D152" s="3"/>
      <x:c r="E152" s="3"/>
      <x:c r="F152" s="3"/>
      <x:c r="G152" s="3"/>
      <x:c r="H152" s="3"/>
      <x:c r="I152" s="3"/>
      <x:c r="J152" s="10" t="n">
        <x:v>46003</x:v>
      </x:c>
      <x:c r="K152" s="8" t="n">
        <x:f>INDEX('Сводка'!$S$3:$S$397,U152)</x:f>
        <x:v>-37.7</x:v>
      </x:c>
      <x:c r="L152" s="8" t="n">
        <x:f>INDEX('Сводка'!$S$3:$S$397,V152)</x:f>
        <x:v>-38</x:v>
      </x:c>
      <x:c r="M152" s="8" t="n">
        <x:f>INDEX($K$388:$N$400,W152,1)+INDEX($K$388:$N$400,W152,2)*LN(((J152-$T$405+1)/1000))+INDEX($O$388:$Z$400,W152,MONTH(J152))</x:f>
        <x:v>30.528165350439238</x:v>
      </x:c>
      <x:c r="N152" s="8" t="n">
        <x:f>K152-M152</x:f>
        <x:v>-68.22816535043924</x:v>
      </x:c>
      <x:c r="O152" s="8" t="n">
        <x:f>ABS(N152)</x:f>
        <x:v>68.22816535043924</x:v>
      </x:c>
      <x:c r="P152" s="8" t="n">
        <x:f>N152^2</x:f>
        <x:v>4655.082547086878</x:v>
      </x:c>
      <x:c r="Q152" s="8" t="n">
        <x:f>K152-L152</x:f>
        <x:v>0.29999999999999716</x:v>
      </x:c>
      <x:c r="R152" s="9" t="n">
        <x:f>IF(AND(INDEX('Сводка'!$T$3:$T$397,U152)=0,INDEX('Сводка'!$T$3:$T$397,V152)=0),1,0)</x:f>
        <x:v>0</x:v>
      </x:c>
      <x:c r="S152" s="9" t="n">
        <x:f>IF(AND(R152=1,O152&lt;=$G$13),1,0)</x:f>
        <x:v>0</x:v>
      </x:c>
      <x:c r="T152" s="10" t="n">
        <x:f>EOMONTH(J152-'Сводка'!$B$11,-1)</x:f>
        <x:v>45991</x:v>
      </x:c>
      <x:c r="U152" s="4" t="n">
        <x:f>MATCH(J152,'Сводка'!$R$3:$R$397,0)</x:f>
        <x:v>163</x:v>
      </x:c>
      <x:c r="V152" s="4" t="n">
        <x:f>MATCH(J152-'Сводка'!$B$11,'Сводка'!$R$3:$R$397,0)</x:f>
        <x:v>162</x:v>
      </x:c>
      <x:c r="W152" s="4" t="n">
        <x:f>MATCH(T152,$J$388:$J$400,0)</x:f>
        <x:v>6</x:v>
      </x:c>
      <x:c r="X152" s="3"/>
      <x:c r="Y152" s="3"/>
      <x:c r="Z152" s="3"/>
    </x:row>
    <x:row r="153" ht="15" customHeight="1">
      <x:c r="A153" s="3"/>
      <x:c r="B153" s="3"/>
      <x:c r="C153" s="3"/>
      <x:c r="D153" s="3"/>
      <x:c r="E153" s="3"/>
      <x:c r="F153" s="3"/>
      <x:c r="G153" s="3"/>
      <x:c r="H153" s="3"/>
      <x:c r="I153" s="3"/>
      <x:c r="J153" s="10" t="n">
        <x:v>46004</x:v>
      </x:c>
      <x:c r="K153" s="8" t="n">
        <x:f>INDEX('Сводка'!$S$3:$S$397,U153)</x:f>
        <x:v>-37.3</x:v>
      </x:c>
      <x:c r="L153" s="8" t="n">
        <x:f>INDEX('Сводка'!$S$3:$S$397,V153)</x:f>
        <x:v>-37.7</x:v>
      </x:c>
      <x:c r="M153" s="8" t="n">
        <x:f>INDEX($K$388:$N$400,W153,1)+INDEX($K$388:$N$400,W153,2)*LN(((J153-$T$405+1)/1000))+INDEX($O$388:$Z$400,W153,MONTH(J153))</x:f>
        <x:v>30.534003227758163</x:v>
      </x:c>
      <x:c r="N153" s="8" t="n">
        <x:f>K153-M153</x:f>
        <x:v>-67.83400322775816</x:v>
      </x:c>
      <x:c r="O153" s="8" t="n">
        <x:f>ABS(N153)</x:f>
        <x:v>67.83400322775816</x:v>
      </x:c>
      <x:c r="P153" s="8" t="n">
        <x:f>N153^2</x:f>
        <x:v>4601.451993903504</x:v>
      </x:c>
      <x:c r="Q153" s="8" t="n">
        <x:f>K153-L153</x:f>
        <x:v>0.4000000000000057</x:v>
      </x:c>
      <x:c r="R153" s="9" t="n">
        <x:f>IF(AND(INDEX('Сводка'!$T$3:$T$397,U153)=0,INDEX('Сводка'!$T$3:$T$397,V153)=0),1,0)</x:f>
        <x:v>0</x:v>
      </x:c>
      <x:c r="S153" s="9" t="n">
        <x:f>IF(AND(R153=1,O153&lt;=$G$13),1,0)</x:f>
        <x:v>0</x:v>
      </x:c>
      <x:c r="T153" s="10" t="n">
        <x:f>EOMONTH(J153-'Сводка'!$B$11,-1)</x:f>
        <x:v>45991</x:v>
      </x:c>
      <x:c r="U153" s="4" t="n">
        <x:f>MATCH(J153,'Сводка'!$R$3:$R$397,0)</x:f>
        <x:v>164</x:v>
      </x:c>
      <x:c r="V153" s="4" t="n">
        <x:f>MATCH(J153-'Сводка'!$B$11,'Сводка'!$R$3:$R$397,0)</x:f>
        <x:v>163</x:v>
      </x:c>
      <x:c r="W153" s="4" t="n">
        <x:f>MATCH(T153,$J$388:$J$400,0)</x:f>
        <x:v>6</x:v>
      </x:c>
      <x:c r="X153" s="3"/>
      <x:c r="Y153" s="3"/>
      <x:c r="Z153" s="3"/>
    </x:row>
    <x:row r="154" ht="15" customHeight="1">
      <x:c r="A154" s="3"/>
      <x:c r="B154" s="3"/>
      <x:c r="C154" s="3"/>
      <x:c r="D154" s="3"/>
      <x:c r="E154" s="3"/>
      <x:c r="F154" s="3"/>
      <x:c r="G154" s="3"/>
      <x:c r="H154" s="3"/>
      <x:c r="I154" s="3"/>
      <x:c r="J154" s="10" t="n">
        <x:v>46005</x:v>
      </x:c>
      <x:c r="K154" s="8" t="n">
        <x:f>INDEX('Сводка'!$S$3:$S$397,U154)</x:f>
        <x:v>-37</x:v>
      </x:c>
      <x:c r="L154" s="8" t="n">
        <x:f>INDEX('Сводка'!$S$3:$S$397,V154)</x:f>
        <x:v>-37.3</x:v>
      </x:c>
      <x:c r="M154" s="8" t="n">
        <x:f>INDEX($K$388:$N$400,W154,1)+INDEX($K$388:$N$400,W154,2)*LN(((J154-$T$405+1)/1000))+INDEX($O$388:$Z$400,W154,MONTH(J154))</x:f>
        <x:v>30.539840437776704</x:v>
      </x:c>
      <x:c r="N154" s="8" t="n">
        <x:f>K154-M154</x:f>
        <x:v>-67.5398404377767</x:v>
      </x:c>
      <x:c r="O154" s="8" t="n">
        <x:f>ABS(N154)</x:f>
        <x:v>67.5398404377767</x:v>
      </x:c>
      <x:c r="P154" s="8" t="n">
        <x:f>N154^2</x:f>
        <x:v>4561.6300463603375</x:v>
      </x:c>
      <x:c r="Q154" s="8" t="n">
        <x:f>K154-L154</x:f>
        <x:v>0.29999999999999716</x:v>
      </x:c>
      <x:c r="R154" s="9" t="n">
        <x:f>IF(AND(INDEX('Сводка'!$T$3:$T$397,U154)=0,INDEX('Сводка'!$T$3:$T$397,V154)=0),1,0)</x:f>
        <x:v>0</x:v>
      </x:c>
      <x:c r="S154" s="9" t="n">
        <x:f>IF(AND(R154=1,O154&lt;=$G$13),1,0)</x:f>
        <x:v>0</x:v>
      </x:c>
      <x:c r="T154" s="10" t="n">
        <x:f>EOMONTH(J154-'Сводка'!$B$11,-1)</x:f>
        <x:v>45991</x:v>
      </x:c>
      <x:c r="U154" s="4" t="n">
        <x:f>MATCH(J154,'Сводка'!$R$3:$R$397,0)</x:f>
        <x:v>165</x:v>
      </x:c>
      <x:c r="V154" s="4" t="n">
        <x:f>MATCH(J154-'Сводка'!$B$11,'Сводка'!$R$3:$R$397,0)</x:f>
        <x:v>164</x:v>
      </x:c>
      <x:c r="W154" s="4" t="n">
        <x:f>MATCH(T154,$J$388:$J$400,0)</x:f>
        <x:v>6</x:v>
      </x:c>
      <x:c r="X154" s="3"/>
      <x:c r="Y154" s="3"/>
      <x:c r="Z154" s="3"/>
    </x:row>
    <x:row r="155" ht="15" customHeight="1">
      <x:c r="A155" s="3"/>
      <x:c r="B155" s="3"/>
      <x:c r="C155" s="3"/>
      <x:c r="D155" s="3"/>
      <x:c r="E155" s="3"/>
      <x:c r="F155" s="3"/>
      <x:c r="G155" s="3"/>
      <x:c r="H155" s="3"/>
      <x:c r="I155" s="3"/>
      <x:c r="J155" s="10" t="n">
        <x:v>46006</x:v>
      </x:c>
      <x:c r="K155" s="8" t="n">
        <x:f>INDEX('Сводка'!$S$3:$S$397,U155)</x:f>
        <x:v>-37</x:v>
      </x:c>
      <x:c r="L155" s="8" t="n">
        <x:f>INDEX('Сводка'!$S$3:$S$397,V155)</x:f>
        <x:v>-37</x:v>
      </x:c>
      <x:c r="M155" s="8" t="n">
        <x:f>INDEX($K$388:$N$400,W155,1)+INDEX($K$388:$N$400,W155,2)*LN(((J155-$T$405+1)/1000))+INDEX($O$388:$Z$400,W155,MONTH(J155))</x:f>
        <x:v>30.54567698064743</x:v>
      </x:c>
      <x:c r="N155" s="8" t="n">
        <x:f>K155-M155</x:f>
        <x:v>-67.54567698064743</x:v>
      </x:c>
      <x:c r="O155" s="8" t="n">
        <x:f>ABS(N155)</x:f>
        <x:v>67.54567698064743</x:v>
      </x:c>
      <x:c r="P155" s="8" t="n">
        <x:f>N155^2</x:f>
        <x:v>4562.418478773964</x:v>
      </x:c>
      <x:c r="Q155" s="8" t="n">
        <x:f>K155-L155</x:f>
        <x:v>0</x:v>
      </x:c>
      <x:c r="R155" s="9" t="n">
        <x:f>IF(AND(INDEX('Сводка'!$T$3:$T$397,U155)=0,INDEX('Сводка'!$T$3:$T$397,V155)=0),1,0)</x:f>
        <x:v>1</x:v>
      </x:c>
      <x:c r="S155" s="9" t="n">
        <x:f>IF(AND(R155=1,O155&lt;=$G$13),1,0)</x:f>
        <x:v>0</x:v>
      </x:c>
      <x:c r="T155" s="10" t="n">
        <x:f>EOMONTH(J155-'Сводка'!$B$11,-1)</x:f>
        <x:v>45991</x:v>
      </x:c>
      <x:c r="U155" s="4" t="n">
        <x:f>MATCH(J155,'Сводка'!$R$3:$R$397,0)</x:f>
        <x:v>166</x:v>
      </x:c>
      <x:c r="V155" s="4" t="n">
        <x:f>MATCH(J155-'Сводка'!$B$11,'Сводка'!$R$3:$R$397,0)</x:f>
        <x:v>165</x:v>
      </x:c>
      <x:c r="W155" s="4" t="n">
        <x:f>MATCH(T155,$J$388:$J$400,0)</x:f>
        <x:v>6</x:v>
      </x:c>
      <x:c r="X155" s="3"/>
      <x:c r="Y155" s="3"/>
      <x:c r="Z155" s="3"/>
    </x:row>
    <x:row r="156" ht="15" customHeight="1">
      <x:c r="A156" s="3"/>
      <x:c r="B156" s="3"/>
      <x:c r="C156" s="3"/>
      <x:c r="D156" s="3"/>
      <x:c r="E156" s="3"/>
      <x:c r="F156" s="3"/>
      <x:c r="G156" s="3"/>
      <x:c r="H156" s="3"/>
      <x:c r="I156" s="3"/>
      <x:c r="J156" s="10" t="n">
        <x:v>46007</x:v>
      </x:c>
      <x:c r="K156" s="8" t="n">
        <x:f>INDEX('Сводка'!$S$3:$S$397,U156)</x:f>
        <x:v>-41</x:v>
      </x:c>
      <x:c r="L156" s="8" t="n">
        <x:f>INDEX('Сводка'!$S$3:$S$397,V156)</x:f>
        <x:v>-37</x:v>
      </x:c>
      <x:c r="M156" s="8" t="n">
        <x:f>INDEX($K$388:$N$400,W156,1)+INDEX($K$388:$N$400,W156,2)*LN(((J156-$T$405+1)/1000))+INDEX($O$388:$Z$400,W156,MONTH(J156))</x:f>
        <x:v>30.551512856522777</x:v>
      </x:c>
      <x:c r="N156" s="8" t="n">
        <x:f>K156-M156</x:f>
        <x:v>-71.55151285652278</x:v>
      </x:c>
      <x:c r="O156" s="8" t="n">
        <x:f>ABS(N156)</x:f>
        <x:v>71.55151285652278</x:v>
      </x:c>
      <x:c r="P156" s="8" t="n">
        <x:f>N156^2</x:f>
        <x:v>5119.618992057144</x:v>
      </x:c>
      <x:c r="Q156" s="8" t="n">
        <x:f>K156-L156</x:f>
        <x:v>-4</x:v>
      </x:c>
      <x:c r="R156" s="9" t="n">
        <x:f>IF(AND(INDEX('Сводка'!$T$3:$T$397,U156)=0,INDEX('Сводка'!$T$3:$T$397,V156)=0),1,0)</x:f>
        <x:v>1</x:v>
      </x:c>
      <x:c r="S156" s="9" t="n">
        <x:f>IF(AND(R156=1,O156&lt;=$G$13),1,0)</x:f>
        <x:v>0</x:v>
      </x:c>
      <x:c r="T156" s="10" t="n">
        <x:f>EOMONTH(J156-'Сводка'!$B$11,-1)</x:f>
        <x:v>45991</x:v>
      </x:c>
      <x:c r="U156" s="4" t="n">
        <x:f>MATCH(J156,'Сводка'!$R$3:$R$397,0)</x:f>
        <x:v>167</x:v>
      </x:c>
      <x:c r="V156" s="4" t="n">
        <x:f>MATCH(J156-'Сводка'!$B$11,'Сводка'!$R$3:$R$397,0)</x:f>
        <x:v>166</x:v>
      </x:c>
      <x:c r="W156" s="4" t="n">
        <x:f>MATCH(T156,$J$388:$J$400,0)</x:f>
        <x:v>6</x:v>
      </x:c>
      <x:c r="X156" s="3"/>
      <x:c r="Y156" s="3"/>
      <x:c r="Z156" s="3"/>
    </x:row>
    <x:row r="157" ht="15" customHeight="1">
      <x:c r="A157" s="3"/>
      <x:c r="B157" s="3"/>
      <x:c r="C157" s="3"/>
      <x:c r="D157" s="3"/>
      <x:c r="E157" s="3"/>
      <x:c r="F157" s="3"/>
      <x:c r="G157" s="3"/>
      <x:c r="H157" s="3"/>
      <x:c r="I157" s="3"/>
      <x:c r="J157" s="10" t="n">
        <x:v>46008</x:v>
      </x:c>
      <x:c r="K157" s="8" t="n">
        <x:f>INDEX('Сводка'!$S$3:$S$397,U157)</x:f>
        <x:v>-35</x:v>
      </x:c>
      <x:c r="L157" s="8" t="n">
        <x:f>INDEX('Сводка'!$S$3:$S$397,V157)</x:f>
        <x:v>-41</x:v>
      </x:c>
      <x:c r="M157" s="8" t="n">
        <x:f>INDEX($K$388:$N$400,W157,1)+INDEX($K$388:$N$400,W157,2)*LN(((J157-$T$405+1)/1000))+INDEX($O$388:$Z$400,W157,MONTH(J157))</x:f>
        <x:v>30.557348065555217</x:v>
      </x:c>
      <x:c r="N157" s="8" t="n">
        <x:f>K157-M157</x:f>
        <x:v>-65.55734806555522</x:v>
      </x:c>
      <x:c r="O157" s="8" t="n">
        <x:f>ABS(N157)</x:f>
        <x:v>65.55734806555522</x:v>
      </x:c>
      <x:c r="P157" s="8" t="n">
        <x:f>N157^2</x:f>
        <x:v>4297.765885388357</x:v>
      </x:c>
      <x:c r="Q157" s="8" t="n">
        <x:f>K157-L157</x:f>
        <x:v>6</x:v>
      </x:c>
      <x:c r="R157" s="9" t="n">
        <x:f>IF(AND(INDEX('Сводка'!$T$3:$T$397,U157)=0,INDEX('Сводка'!$T$3:$T$397,V157)=0),1,0)</x:f>
        <x:v>1</x:v>
      </x:c>
      <x:c r="S157" s="9" t="n">
        <x:f>IF(AND(R157=1,O157&lt;=$G$13),1,0)</x:f>
        <x:v>0</x:v>
      </x:c>
      <x:c r="T157" s="10" t="n">
        <x:f>EOMONTH(J157-'Сводка'!$B$11,-1)</x:f>
        <x:v>45991</x:v>
      </x:c>
      <x:c r="U157" s="4" t="n">
        <x:f>MATCH(J157,'Сводка'!$R$3:$R$397,0)</x:f>
        <x:v>168</x:v>
      </x:c>
      <x:c r="V157" s="4" t="n">
        <x:f>MATCH(J157-'Сводка'!$B$11,'Сводка'!$R$3:$R$397,0)</x:f>
        <x:v>167</x:v>
      </x:c>
      <x:c r="W157" s="4" t="n">
        <x:f>MATCH(T157,$J$388:$J$400,0)</x:f>
        <x:v>6</x:v>
      </x:c>
      <x:c r="X157" s="3"/>
      <x:c r="Y157" s="3"/>
      <x:c r="Z157" s="3"/>
    </x:row>
    <x:row r="158" ht="15" customHeight="1">
      <x:c r="A158" s="3"/>
      <x:c r="B158" s="3"/>
      <x:c r="C158" s="3"/>
      <x:c r="D158" s="3"/>
      <x:c r="E158" s="3"/>
      <x:c r="F158" s="3"/>
      <x:c r="G158" s="3"/>
      <x:c r="H158" s="3"/>
      <x:c r="I158" s="3"/>
      <x:c r="J158" s="10" t="n">
        <x:v>46009</x:v>
      </x:c>
      <x:c r="K158" s="8" t="n">
        <x:f>INDEX('Сводка'!$S$3:$S$397,U158)</x:f>
        <x:v>-33</x:v>
      </x:c>
      <x:c r="L158" s="8" t="n">
        <x:f>INDEX('Сводка'!$S$3:$S$397,V158)</x:f>
        <x:v>-35</x:v>
      </x:c>
      <x:c r="M158" s="8" t="n">
        <x:f>INDEX($K$388:$N$400,W158,1)+INDEX($K$388:$N$400,W158,2)*LN(((J158-$T$405+1)/1000))+INDEX($O$388:$Z$400,W158,MONTH(J158))</x:f>
        <x:v>30.56318260789709</x:v>
      </x:c>
      <x:c r="N158" s="8" t="n">
        <x:f>K158-M158</x:f>
        <x:v>-63.56318260789709</x:v>
      </x:c>
      <x:c r="O158" s="8" t="n">
        <x:f>ABS(N158)</x:f>
        <x:v>63.56318260789709</x:v>
      </x:c>
      <x:c r="P158" s="8" t="n">
        <x:f>N158^2</x:f>
        <x:v>4040.2781832448713</x:v>
      </x:c>
      <x:c r="Q158" s="8" t="n">
        <x:f>K158-L158</x:f>
        <x:v>2</x:v>
      </x:c>
      <x:c r="R158" s="9" t="n">
        <x:f>IF(AND(INDEX('Сводка'!$T$3:$T$397,U158)=0,INDEX('Сводка'!$T$3:$T$397,V158)=0),1,0)</x:f>
        <x:v>1</x:v>
      </x:c>
      <x:c r="S158" s="9" t="n">
        <x:f>IF(AND(R158=1,O158&lt;=$G$13),1,0)</x:f>
        <x:v>0</x:v>
      </x:c>
      <x:c r="T158" s="10" t="n">
        <x:f>EOMONTH(J158-'Сводка'!$B$11,-1)</x:f>
        <x:v>45991</x:v>
      </x:c>
      <x:c r="U158" s="4" t="n">
        <x:f>MATCH(J158,'Сводка'!$R$3:$R$397,0)</x:f>
        <x:v>169</x:v>
      </x:c>
      <x:c r="V158" s="4" t="n">
        <x:f>MATCH(J158-'Сводка'!$B$11,'Сводка'!$R$3:$R$397,0)</x:f>
        <x:v>168</x:v>
      </x:c>
      <x:c r="W158" s="4" t="n">
        <x:f>MATCH(T158,$J$388:$J$400,0)</x:f>
        <x:v>6</x:v>
      </x:c>
      <x:c r="X158" s="3"/>
      <x:c r="Y158" s="3"/>
      <x:c r="Z158" s="3"/>
    </x:row>
    <x:row r="159" ht="15" customHeight="1">
      <x:c r="A159" s="3"/>
      <x:c r="B159" s="3"/>
      <x:c r="C159" s="3"/>
      <x:c r="D159" s="3"/>
      <x:c r="E159" s="3"/>
      <x:c r="F159" s="3"/>
      <x:c r="G159" s="3"/>
      <x:c r="H159" s="3"/>
      <x:c r="I159" s="3"/>
      <x:c r="J159" s="10" t="n">
        <x:v>46010</x:v>
      </x:c>
      <x:c r="K159" s="8" t="n">
        <x:f>INDEX('Сводка'!$S$3:$S$397,U159)</x:f>
        <x:v>-31</x:v>
      </x:c>
      <x:c r="L159" s="8" t="n">
        <x:f>INDEX('Сводка'!$S$3:$S$397,V159)</x:f>
        <x:v>-33</x:v>
      </x:c>
      <x:c r="M159" s="8" t="n">
        <x:f>INDEX($K$388:$N$400,W159,1)+INDEX($K$388:$N$400,W159,2)*LN(((J159-$T$405+1)/1000))+INDEX($O$388:$Z$400,W159,MONTH(J159))</x:f>
        <x:v>30.56901648370072</x:v>
      </x:c>
      <x:c r="N159" s="8" t="n">
        <x:f>K159-M159</x:f>
        <x:v>-61.56901648370072</x:v>
      </x:c>
      <x:c r="O159" s="8" t="n">
        <x:f>ABS(N159)</x:f>
        <x:v>61.56901648370072</x:v>
      </x:c>
      <x:c r="P159" s="8" t="n">
        <x:f>N159^2</x:f>
        <x:v>3790.743790770211</x:v>
      </x:c>
      <x:c r="Q159" s="8" t="n">
        <x:f>K159-L159</x:f>
        <x:v>2</x:v>
      </x:c>
      <x:c r="R159" s="9" t="n">
        <x:f>IF(AND(INDEX('Сводка'!$T$3:$T$397,U159)=0,INDEX('Сводка'!$T$3:$T$397,V159)=0),1,0)</x:f>
        <x:v>1</x:v>
      </x:c>
      <x:c r="S159" s="9" t="n">
        <x:f>IF(AND(R159=1,O159&lt;=$G$13),1,0)</x:f>
        <x:v>0</x:v>
      </x:c>
      <x:c r="T159" s="10" t="n">
        <x:f>EOMONTH(J159-'Сводка'!$B$11,-1)</x:f>
        <x:v>45991</x:v>
      </x:c>
      <x:c r="U159" s="4" t="n">
        <x:f>MATCH(J159,'Сводка'!$R$3:$R$397,0)</x:f>
        <x:v>170</x:v>
      </x:c>
      <x:c r="V159" s="4" t="n">
        <x:f>MATCH(J159-'Сводка'!$B$11,'Сводка'!$R$3:$R$397,0)</x:f>
        <x:v>169</x:v>
      </x:c>
      <x:c r="W159" s="4" t="n">
        <x:f>MATCH(T159,$J$388:$J$400,0)</x:f>
        <x:v>6</x:v>
      </x:c>
      <x:c r="X159" s="3"/>
      <x:c r="Y159" s="3"/>
      <x:c r="Z159" s="3"/>
    </x:row>
    <x:row r="160" ht="15" customHeight="1">
      <x:c r="A160" s="3"/>
      <x:c r="B160" s="3"/>
      <x:c r="C160" s="3"/>
      <x:c r="D160" s="3"/>
      <x:c r="E160" s="3"/>
      <x:c r="F160" s="3"/>
      <x:c r="G160" s="3"/>
      <x:c r="H160" s="3"/>
      <x:c r="I160" s="3"/>
      <x:c r="J160" s="10" t="n">
        <x:v>46011</x:v>
      </x:c>
      <x:c r="K160" s="8" t="n">
        <x:f>INDEX('Сводка'!$S$3:$S$397,U160)</x:f>
        <x:v>-31</x:v>
      </x:c>
      <x:c r="L160" s="8" t="n">
        <x:f>INDEX('Сводка'!$S$3:$S$397,V160)</x:f>
        <x:v>-31</x:v>
      </x:c>
      <x:c r="M160" s="8" t="n">
        <x:f>INDEX($K$388:$N$400,W160,1)+INDEX($K$388:$N$400,W160,2)*LN(((J160-$T$405+1)/1000))+INDEX($O$388:$Z$400,W160,MONTH(J160))</x:f>
        <x:v>30.574849693118438</x:v>
      </x:c>
      <x:c r="N160" s="8" t="n">
        <x:f>K160-M160</x:f>
        <x:v>-61.57484969311844</x:v>
      </x:c>
      <x:c r="O160" s="8" t="n">
        <x:f>ABS(N160)</x:f>
        <x:v>61.57484969311844</x:v>
      </x:c>
      <x:c r="P160" s="8" t="n">
        <x:f>N160^2</x:f>
        <x:v>3791.4621147301277</x:v>
      </x:c>
      <x:c r="Q160" s="8" t="n">
        <x:f>K160-L160</x:f>
        <x:v>0</x:v>
      </x:c>
      <x:c r="R160" s="9" t="n">
        <x:f>IF(AND(INDEX('Сводка'!$T$3:$T$397,U160)=0,INDEX('Сводка'!$T$3:$T$397,V160)=0),1,0)</x:f>
        <x:v>1</x:v>
      </x:c>
      <x:c r="S160" s="9" t="n">
        <x:f>IF(AND(R160=1,O160&lt;=$G$13),1,0)</x:f>
        <x:v>0</x:v>
      </x:c>
      <x:c r="T160" s="10" t="n">
        <x:f>EOMONTH(J160-'Сводка'!$B$11,-1)</x:f>
        <x:v>45991</x:v>
      </x:c>
      <x:c r="U160" s="4" t="n">
        <x:f>MATCH(J160,'Сводка'!$R$3:$R$397,0)</x:f>
        <x:v>171</x:v>
      </x:c>
      <x:c r="V160" s="4" t="n">
        <x:f>MATCH(J160-'Сводка'!$B$11,'Сводка'!$R$3:$R$397,0)</x:f>
        <x:v>170</x:v>
      </x:c>
      <x:c r="W160" s="4" t="n">
        <x:f>MATCH(T160,$J$388:$J$400,0)</x:f>
        <x:v>6</x:v>
      </x:c>
      <x:c r="X160" s="3"/>
      <x:c r="Y160" s="3"/>
      <x:c r="Z160" s="3"/>
    </x:row>
    <x:row r="161" ht="15" customHeight="1">
      <x:c r="A161" s="3"/>
      <x:c r="B161" s="3"/>
      <x:c r="C161" s="3"/>
      <x:c r="D161" s="3"/>
      <x:c r="E161" s="3"/>
      <x:c r="F161" s="3"/>
      <x:c r="G161" s="3"/>
      <x:c r="H161" s="3"/>
      <x:c r="I161" s="3"/>
      <x:c r="J161" s="10" t="n">
        <x:v>46012</x:v>
      </x:c>
      <x:c r="K161" s="8" t="n">
        <x:f>INDEX('Сводка'!$S$3:$S$397,U161)</x:f>
        <x:v>-30</x:v>
      </x:c>
      <x:c r="L161" s="8" t="n">
        <x:f>INDEX('Сводка'!$S$3:$S$397,V161)</x:f>
        <x:v>-31</x:v>
      </x:c>
      <x:c r="M161" s="8" t="n">
        <x:f>INDEX($K$388:$N$400,W161,1)+INDEX($K$388:$N$400,W161,2)*LN(((J161-$T$405+1)/1000))+INDEX($O$388:$Z$400,W161,MONTH(J161))</x:f>
        <x:v>30.580682236302394</x:v>
      </x:c>
      <x:c r="N161" s="8" t="n">
        <x:f>K161-M161</x:f>
        <x:v>-60.580682236302394</x:v>
      </x:c>
      <x:c r="O161" s="8" t="n">
        <x:f>ABS(N161)</x:f>
        <x:v>60.580682236302394</x:v>
      </x:c>
      <x:c r="P161" s="8" t="n">
        <x:f>N161^2</x:f>
        <x:v>3670.0190602158445</x:v>
      </x:c>
      <x:c r="Q161" s="8" t="n">
        <x:f>K161-L161</x:f>
        <x:v>1</x:v>
      </x:c>
      <x:c r="R161" s="9" t="n">
        <x:f>IF(AND(INDEX('Сводка'!$T$3:$T$397,U161)=0,INDEX('Сводка'!$T$3:$T$397,V161)=0),1,0)</x:f>
        <x:v>1</x:v>
      </x:c>
      <x:c r="S161" s="9" t="n">
        <x:f>IF(AND(R161=1,O161&lt;=$G$13),1,0)</x:f>
        <x:v>0</x:v>
      </x:c>
      <x:c r="T161" s="10" t="n">
        <x:f>EOMONTH(J161-'Сводка'!$B$11,-1)</x:f>
        <x:v>45991</x:v>
      </x:c>
      <x:c r="U161" s="4" t="n">
        <x:f>MATCH(J161,'Сводка'!$R$3:$R$397,0)</x:f>
        <x:v>172</x:v>
      </x:c>
      <x:c r="V161" s="4" t="n">
        <x:f>MATCH(J161-'Сводка'!$B$11,'Сводка'!$R$3:$R$397,0)</x:f>
        <x:v>171</x:v>
      </x:c>
      <x:c r="W161" s="4" t="n">
        <x:f>MATCH(T161,$J$388:$J$400,0)</x:f>
        <x:v>6</x:v>
      </x:c>
      <x:c r="X161" s="3"/>
      <x:c r="Y161" s="3"/>
      <x:c r="Z161" s="3"/>
    </x:row>
    <x:row r="162" ht="15" customHeight="1">
      <x:c r="A162" s="3"/>
      <x:c r="B162" s="3"/>
      <x:c r="C162" s="3"/>
      <x:c r="D162" s="3"/>
      <x:c r="E162" s="3"/>
      <x:c r="F162" s="3"/>
      <x:c r="G162" s="3"/>
      <x:c r="H162" s="3"/>
      <x:c r="I162" s="3"/>
      <x:c r="J162" s="10" t="n">
        <x:v>46013</x:v>
      </x:c>
      <x:c r="K162" s="8" t="n">
        <x:f>INDEX('Сводка'!$S$3:$S$397,U162)</x:f>
        <x:v>-27</x:v>
      </x:c>
      <x:c r="L162" s="8" t="n">
        <x:f>INDEX('Сводка'!$S$3:$S$397,V162)</x:f>
        <x:v>-30</x:v>
      </x:c>
      <x:c r="M162" s="8" t="n">
        <x:f>INDEX($K$388:$N$400,W162,1)+INDEX($K$388:$N$400,W162,2)*LN(((J162-$T$405+1)/1000))+INDEX($O$388:$Z$400,W162,MONTH(J162))</x:f>
        <x:v>30.586514113404803</x:v>
      </x:c>
      <x:c r="N162" s="8" t="n">
        <x:f>K162-M162</x:f>
        <x:v>-57.5865141134048</x:v>
      </x:c>
      <x:c r="O162" s="8" t="n">
        <x:f>ABS(N162)</x:f>
        <x:v>57.5865141134048</x:v>
      </x:c>
      <x:c r="P162" s="8" t="n">
        <x:f>N162^2</x:f>
        <x:v>3316.2066077333707</x:v>
      </x:c>
      <x:c r="Q162" s="8" t="n">
        <x:f>K162-L162</x:f>
        <x:v>3</x:v>
      </x:c>
      <x:c r="R162" s="9" t="n">
        <x:f>IF(AND(INDEX('Сводка'!$T$3:$T$397,U162)=0,INDEX('Сводка'!$T$3:$T$397,V162)=0),1,0)</x:f>
        <x:v>1</x:v>
      </x:c>
      <x:c r="S162" s="9" t="n">
        <x:f>IF(AND(R162=1,O162&lt;=$G$13),1,0)</x:f>
        <x:v>0</x:v>
      </x:c>
      <x:c r="T162" s="10" t="n">
        <x:f>EOMONTH(J162-'Сводка'!$B$11,-1)</x:f>
        <x:v>45991</x:v>
      </x:c>
      <x:c r="U162" s="4" t="n">
        <x:f>MATCH(J162,'Сводка'!$R$3:$R$397,0)</x:f>
        <x:v>173</x:v>
      </x:c>
      <x:c r="V162" s="4" t="n">
        <x:f>MATCH(J162-'Сводка'!$B$11,'Сводка'!$R$3:$R$397,0)</x:f>
        <x:v>172</x:v>
      </x:c>
      <x:c r="W162" s="4" t="n">
        <x:f>MATCH(T162,$J$388:$J$400,0)</x:f>
        <x:v>6</x:v>
      </x:c>
      <x:c r="X162" s="3"/>
      <x:c r="Y162" s="3"/>
      <x:c r="Z162" s="3"/>
    </x:row>
    <x:row r="163" ht="15" customHeight="1">
      <x:c r="A163" s="3"/>
      <x:c r="B163" s="3"/>
      <x:c r="C163" s="3"/>
      <x:c r="D163" s="3"/>
      <x:c r="E163" s="3"/>
      <x:c r="F163" s="3"/>
      <x:c r="G163" s="3"/>
      <x:c r="H163" s="3"/>
      <x:c r="I163" s="3"/>
      <x:c r="J163" s="10" t="n">
        <x:v>46014</x:v>
      </x:c>
      <x:c r="K163" s="8" t="n">
        <x:f>INDEX('Сводка'!$S$3:$S$397,U163)</x:f>
        <x:v>-23</x:v>
      </x:c>
      <x:c r="L163" s="8" t="n">
        <x:f>INDEX('Сводка'!$S$3:$S$397,V163)</x:f>
        <x:v>-27</x:v>
      </x:c>
      <x:c r="M163" s="8" t="n">
        <x:f>INDEX($K$388:$N$400,W163,1)+INDEX($K$388:$N$400,W163,2)*LN(((J163-$T$405+1)/1000))+INDEX($O$388:$Z$400,W163,MONTH(J163))</x:f>
        <x:v>30.592345324577764</x:v>
      </x:c>
      <x:c r="N163" s="8" t="n">
        <x:f>K163-M163</x:f>
        <x:v>-53.592345324577764</x:v>
      </x:c>
      <x:c r="O163" s="8" t="n">
        <x:f>ABS(N163)</x:f>
        <x:v>53.592345324577764</x:v>
      </x:c>
      <x:c r="P163" s="8" t="n">
        <x:f>N163^2</x:f>
        <x:v>2872.139477388792</x:v>
      </x:c>
      <x:c r="Q163" s="8" t="n">
        <x:f>K163-L163</x:f>
        <x:v>4</x:v>
      </x:c>
      <x:c r="R163" s="9" t="n">
        <x:f>IF(AND(INDEX('Сводка'!$T$3:$T$397,U163)=0,INDEX('Сводка'!$T$3:$T$397,V163)=0),1,0)</x:f>
        <x:v>1</x:v>
      </x:c>
      <x:c r="S163" s="9" t="n">
        <x:f>IF(AND(R163=1,O163&lt;=$G$13),1,0)</x:f>
        <x:v>0</x:v>
      </x:c>
      <x:c r="T163" s="10" t="n">
        <x:f>EOMONTH(J163-'Сводка'!$B$11,-1)</x:f>
        <x:v>45991</x:v>
      </x:c>
      <x:c r="U163" s="4" t="n">
        <x:f>MATCH(J163,'Сводка'!$R$3:$R$397,0)</x:f>
        <x:v>174</x:v>
      </x:c>
      <x:c r="V163" s="4" t="n">
        <x:f>MATCH(J163-'Сводка'!$B$11,'Сводка'!$R$3:$R$397,0)</x:f>
        <x:v>173</x:v>
      </x:c>
      <x:c r="W163" s="4" t="n">
        <x:f>MATCH(T163,$J$388:$J$400,0)</x:f>
        <x:v>6</x:v>
      </x:c>
      <x:c r="X163" s="3"/>
      <x:c r="Y163" s="3"/>
      <x:c r="Z163" s="3"/>
    </x:row>
    <x:row r="164" ht="15" customHeight="1">
      <x:c r="A164" s="3"/>
      <x:c r="B164" s="3"/>
      <x:c r="C164" s="3"/>
      <x:c r="D164" s="3"/>
      <x:c r="E164" s="3"/>
      <x:c r="F164" s="3"/>
      <x:c r="G164" s="3"/>
      <x:c r="H164" s="3"/>
      <x:c r="I164" s="3"/>
      <x:c r="J164" s="10" t="n">
        <x:v>46015</x:v>
      </x:c>
      <x:c r="K164" s="8" t="n">
        <x:f>INDEX('Сводка'!$S$3:$S$397,U164)</x:f>
        <x:v>-21</x:v>
      </x:c>
      <x:c r="L164" s="8" t="n">
        <x:f>INDEX('Сводка'!$S$3:$S$397,V164)</x:f>
        <x:v>-23</x:v>
      </x:c>
      <x:c r="M164" s="8" t="n">
        <x:f>INDEX($K$388:$N$400,W164,1)+INDEX($K$388:$N$400,W164,2)*LN(((J164-$T$405+1)/1000))+INDEX($O$388:$Z$400,W164,MONTH(J164))</x:f>
        <x:v>30.598175869973346</x:v>
      </x:c>
      <x:c r="N164" s="8" t="n">
        <x:f>K164-M164</x:f>
        <x:v>-51.598175869973346</x:v>
      </x:c>
      <x:c r="O164" s="8" t="n">
        <x:f>ABS(N164)</x:f>
        <x:v>51.598175869973346</x:v>
      </x:c>
      <x:c r="P164" s="8" t="n">
        <x:f>N164^2</x:f>
        <x:v>2662.3717531086995</x:v>
      </x:c>
      <x:c r="Q164" s="8" t="n">
        <x:f>K164-L164</x:f>
        <x:v>2</x:v>
      </x:c>
      <x:c r="R164" s="9" t="n">
        <x:f>IF(AND(INDEX('Сводка'!$T$3:$T$397,U164)=0,INDEX('Сводка'!$T$3:$T$397,V164)=0),1,0)</x:f>
        <x:v>1</x:v>
      </x:c>
      <x:c r="S164" s="9" t="n">
        <x:f>IF(AND(R164=1,O164&lt;=$G$13),1,0)</x:f>
        <x:v>0</x:v>
      </x:c>
      <x:c r="T164" s="10" t="n">
        <x:f>EOMONTH(J164-'Сводка'!$B$11,-1)</x:f>
        <x:v>45991</x:v>
      </x:c>
      <x:c r="U164" s="4" t="n">
        <x:f>MATCH(J164,'Сводка'!$R$3:$R$397,0)</x:f>
        <x:v>175</x:v>
      </x:c>
      <x:c r="V164" s="4" t="n">
        <x:f>MATCH(J164-'Сводка'!$B$11,'Сводка'!$R$3:$R$397,0)</x:f>
        <x:v>174</x:v>
      </x:c>
      <x:c r="W164" s="4" t="n">
        <x:f>MATCH(T164,$J$388:$J$400,0)</x:f>
        <x:v>6</x:v>
      </x:c>
      <x:c r="X164" s="3"/>
      <x:c r="Y164" s="3"/>
      <x:c r="Z164" s="3"/>
    </x:row>
    <x:row r="165" ht="15" customHeight="1">
      <x:c r="A165" s="3"/>
      <x:c r="B165" s="3"/>
      <x:c r="C165" s="3"/>
      <x:c r="D165" s="3"/>
      <x:c r="E165" s="3"/>
      <x:c r="F165" s="3"/>
      <x:c r="G165" s="3"/>
      <x:c r="H165" s="3"/>
      <x:c r="I165" s="3"/>
      <x:c r="J165" s="10" t="n">
        <x:v>46016</x:v>
      </x:c>
      <x:c r="K165" s="8" t="n">
        <x:f>INDEX('Сводка'!$S$3:$S$397,U165)</x:f>
        <x:v>-19</x:v>
      </x:c>
      <x:c r="L165" s="8" t="n">
        <x:f>INDEX('Сводка'!$S$3:$S$397,V165)</x:f>
        <x:v>-21</x:v>
      </x:c>
      <x:c r="M165" s="8" t="n">
        <x:f>INDEX($K$388:$N$400,W165,1)+INDEX($K$388:$N$400,W165,2)*LN(((J165-$T$405+1)/1000))+INDEX($O$388:$Z$400,W165,MONTH(J165))</x:f>
        <x:v>30.60400574974355</x:v>
      </x:c>
      <x:c r="N165" s="8" t="n">
        <x:f>K165-M165</x:f>
        <x:v>-49.60400574974355</x:v>
      </x:c>
      <x:c r="O165" s="8" t="n">
        <x:f>ABS(N165)</x:f>
        <x:v>49.60400574974355</x:v>
      </x:c>
      <x:c r="P165" s="8" t="n">
        <x:f>N165^2</x:f>
        <x:v>2460.5573864205912</x:v>
      </x:c>
      <x:c r="Q165" s="8" t="n">
        <x:f>K165-L165</x:f>
        <x:v>2</x:v>
      </x:c>
      <x:c r="R165" s="9" t="n">
        <x:f>IF(AND(INDEX('Сводка'!$T$3:$T$397,U165)=0,INDEX('Сводка'!$T$3:$T$397,V165)=0),1,0)</x:f>
        <x:v>1</x:v>
      </x:c>
      <x:c r="S165" s="9" t="n">
        <x:f>IF(AND(R165=1,O165&lt;=$G$13),1,0)</x:f>
        <x:v>0</x:v>
      </x:c>
      <x:c r="T165" s="10" t="n">
        <x:f>EOMONTH(J165-'Сводка'!$B$11,-1)</x:f>
        <x:v>45991</x:v>
      </x:c>
      <x:c r="U165" s="4" t="n">
        <x:f>MATCH(J165,'Сводка'!$R$3:$R$397,0)</x:f>
        <x:v>176</x:v>
      </x:c>
      <x:c r="V165" s="4" t="n">
        <x:f>MATCH(J165-'Сводка'!$B$11,'Сводка'!$R$3:$R$397,0)</x:f>
        <x:v>175</x:v>
      </x:c>
      <x:c r="W165" s="4" t="n">
        <x:f>MATCH(T165,$J$388:$J$400,0)</x:f>
        <x:v>6</x:v>
      </x:c>
      <x:c r="X165" s="3"/>
      <x:c r="Y165" s="3"/>
      <x:c r="Z165" s="3"/>
    </x:row>
    <x:row r="166" ht="15" customHeight="1">
      <x:c r="A166" s="3"/>
      <x:c r="B166" s="3"/>
      <x:c r="C166" s="3"/>
      <x:c r="D166" s="3"/>
      <x:c r="E166" s="3"/>
      <x:c r="F166" s="3"/>
      <x:c r="G166" s="3"/>
      <x:c r="H166" s="3"/>
      <x:c r="I166" s="3"/>
      <x:c r="J166" s="10" t="n">
        <x:v>46017</x:v>
      </x:c>
      <x:c r="K166" s="8" t="n">
        <x:f>INDEX('Сводка'!$S$3:$S$397,U166)</x:f>
        <x:v>-17</x:v>
      </x:c>
      <x:c r="L166" s="8" t="n">
        <x:f>INDEX('Сводка'!$S$3:$S$397,V166)</x:f>
        <x:v>-19</x:v>
      </x:c>
      <x:c r="M166" s="8" t="n">
        <x:f>INDEX($K$388:$N$400,W166,1)+INDEX($K$388:$N$400,W166,2)*LN(((J166-$T$405+1)/1000))+INDEX($O$388:$Z$400,W166,MONTH(J166))</x:f>
        <x:v>30.60983496404036</x:v>
      </x:c>
      <x:c r="N166" s="8" t="n">
        <x:f>K166-M166</x:f>
        <x:v>-47.60983496404036</x:v>
      </x:c>
      <x:c r="O166" s="8" t="n">
        <x:f>ABS(N166)</x:f>
        <x:v>47.60983496404036</x:v>
      </x:c>
      <x:c r="P166" s="8" t="n">
        <x:f>N166^2</x:f>
        <x:v>2266.69638530316</x:v>
      </x:c>
      <x:c r="Q166" s="8" t="n">
        <x:f>K166-L166</x:f>
        <x:v>2</x:v>
      </x:c>
      <x:c r="R166" s="9" t="n">
        <x:f>IF(AND(INDEX('Сводка'!$T$3:$T$397,U166)=0,INDEX('Сводка'!$T$3:$T$397,V166)=0),1,0)</x:f>
        <x:v>1</x:v>
      </x:c>
      <x:c r="S166" s="9" t="n">
        <x:f>IF(AND(R166=1,O166&lt;=$G$13),1,0)</x:f>
        <x:v>0</x:v>
      </x:c>
      <x:c r="T166" s="10" t="n">
        <x:f>EOMONTH(J166-'Сводка'!$B$11,-1)</x:f>
        <x:v>45991</x:v>
      </x:c>
      <x:c r="U166" s="4" t="n">
        <x:f>MATCH(J166,'Сводка'!$R$3:$R$397,0)</x:f>
        <x:v>177</x:v>
      </x:c>
      <x:c r="V166" s="4" t="n">
        <x:f>MATCH(J166-'Сводка'!$B$11,'Сводка'!$R$3:$R$397,0)</x:f>
        <x:v>176</x:v>
      </x:c>
      <x:c r="W166" s="4" t="n">
        <x:f>MATCH(T166,$J$388:$J$400,0)</x:f>
        <x:v>6</x:v>
      </x:c>
      <x:c r="X166" s="3"/>
      <x:c r="Y166" s="3"/>
      <x:c r="Z166" s="3"/>
    </x:row>
    <x:row r="167" ht="15" customHeight="1">
      <x:c r="A167" s="3"/>
      <x:c r="B167" s="3"/>
      <x:c r="C167" s="3"/>
      <x:c r="D167" s="3"/>
      <x:c r="E167" s="3"/>
      <x:c r="F167" s="3"/>
      <x:c r="G167" s="3"/>
      <x:c r="H167" s="3"/>
      <x:c r="I167" s="3"/>
      <x:c r="J167" s="10" t="n">
        <x:v>46018</x:v>
      </x:c>
      <x:c r="K167" s="8" t="n">
        <x:f>INDEX('Сводка'!$S$3:$S$397,U167)</x:f>
        <x:v>-15</x:v>
      </x:c>
      <x:c r="L167" s="8" t="n">
        <x:f>INDEX('Сводка'!$S$3:$S$397,V167)</x:f>
        <x:v>-17</x:v>
      </x:c>
      <x:c r="M167" s="8" t="n">
        <x:f>INDEX($K$388:$N$400,W167,1)+INDEX($K$388:$N$400,W167,2)*LN(((J167-$T$405+1)/1000))+INDEX($O$388:$Z$400,W167,MONTH(J167))</x:f>
        <x:v>30.615663513015676</x:v>
      </x:c>
      <x:c r="N167" s="8" t="n">
        <x:f>K167-M167</x:f>
        <x:v>-45.615663513015676</x:v>
      </x:c>
      <x:c r="O167" s="8" t="n">
        <x:f>ABS(N167)</x:f>
        <x:v>45.615663513015676</x:v>
      </x:c>
      <x:c r="P167" s="8" t="n">
        <x:f>N167^2</x:f>
        <x:v>2080.7887577326696</x:v>
      </x:c>
      <x:c r="Q167" s="8" t="n">
        <x:f>K167-L167</x:f>
        <x:v>2</x:v>
      </x:c>
      <x:c r="R167" s="9" t="n">
        <x:f>IF(AND(INDEX('Сводка'!$T$3:$T$397,U167)=0,INDEX('Сводка'!$T$3:$T$397,V167)=0),1,0)</x:f>
        <x:v>1</x:v>
      </x:c>
      <x:c r="S167" s="9" t="n">
        <x:f>IF(AND(R167=1,O167&lt;=$G$13),1,0)</x:f>
        <x:v>0</x:v>
      </x:c>
      <x:c r="T167" s="10" t="n">
        <x:f>EOMONTH(J167-'Сводка'!$B$11,-1)</x:f>
        <x:v>45991</x:v>
      </x:c>
      <x:c r="U167" s="4" t="n">
        <x:f>MATCH(J167,'Сводка'!$R$3:$R$397,0)</x:f>
        <x:v>178</x:v>
      </x:c>
      <x:c r="V167" s="4" t="n">
        <x:f>MATCH(J167-'Сводка'!$B$11,'Сводка'!$R$3:$R$397,0)</x:f>
        <x:v>177</x:v>
      </x:c>
      <x:c r="W167" s="4" t="n">
        <x:f>MATCH(T167,$J$388:$J$400,0)</x:f>
        <x:v>6</x:v>
      </x:c>
      <x:c r="X167" s="3"/>
      <x:c r="Y167" s="3"/>
      <x:c r="Z167" s="3"/>
    </x:row>
    <x:row r="168" ht="15" customHeight="1">
      <x:c r="A168" s="3"/>
      <x:c r="B168" s="3"/>
      <x:c r="C168" s="3"/>
      <x:c r="D168" s="3"/>
      <x:c r="E168" s="3"/>
      <x:c r="F168" s="3"/>
      <x:c r="G168" s="3"/>
      <x:c r="H168" s="3"/>
      <x:c r="I168" s="3"/>
      <x:c r="J168" s="10" t="n">
        <x:v>46019</x:v>
      </x:c>
      <x:c r="K168" s="8" t="n">
        <x:f>INDEX('Сводка'!$S$3:$S$397,U168)</x:f>
        <x:v>-12</x:v>
      </x:c>
      <x:c r="L168" s="8" t="n">
        <x:f>INDEX('Сводка'!$S$3:$S$397,V168)</x:f>
        <x:v>-15</x:v>
      </x:c>
      <x:c r="M168" s="8" t="n">
        <x:f>INDEX($K$388:$N$400,W168,1)+INDEX($K$388:$N$400,W168,2)*LN(((J168-$T$405+1)/1000))+INDEX($O$388:$Z$400,W168,MONTH(J168))</x:f>
        <x:v>30.62149139682134</x:v>
      </x:c>
      <x:c r="N168" s="8" t="n">
        <x:f>K168-M168</x:f>
        <x:v>-42.62149139682134</x:v>
      </x:c>
      <x:c r="O168" s="8" t="n">
        <x:f>ABS(N168)</x:f>
        <x:v>42.62149139682134</x:v>
      </x:c>
      <x:c r="P168" s="8" t="n">
        <x:f>N168^2</x:f>
        <x:v>1816.5915288893157</x:v>
      </x:c>
      <x:c r="Q168" s="8" t="n">
        <x:f>K168-L168</x:f>
        <x:v>3</x:v>
      </x:c>
      <x:c r="R168" s="9" t="n">
        <x:f>IF(AND(INDEX('Сводка'!$T$3:$T$397,U168)=0,INDEX('Сводка'!$T$3:$T$397,V168)=0),1,0)</x:f>
        <x:v>1</x:v>
      </x:c>
      <x:c r="S168" s="9" t="n">
        <x:f>IF(AND(R168=1,O168&lt;=$G$13),1,0)</x:f>
        <x:v>0</x:v>
      </x:c>
      <x:c r="T168" s="10" t="n">
        <x:f>EOMONTH(J168-'Сводка'!$B$11,-1)</x:f>
        <x:v>45991</x:v>
      </x:c>
      <x:c r="U168" s="4" t="n">
        <x:f>MATCH(J168,'Сводка'!$R$3:$R$397,0)</x:f>
        <x:v>179</x:v>
      </x:c>
      <x:c r="V168" s="4" t="n">
        <x:f>MATCH(J168-'Сводка'!$B$11,'Сводка'!$R$3:$R$397,0)</x:f>
        <x:v>178</x:v>
      </x:c>
      <x:c r="W168" s="4" t="n">
        <x:f>MATCH(T168,$J$388:$J$400,0)</x:f>
        <x:v>6</x:v>
      </x:c>
      <x:c r="X168" s="3"/>
      <x:c r="Y168" s="3"/>
      <x:c r="Z168" s="3"/>
    </x:row>
    <x:row r="169" ht="15" customHeight="1">
      <x:c r="A169" s="3"/>
      <x:c r="B169" s="3"/>
      <x:c r="C169" s="3"/>
      <x:c r="D169" s="3"/>
      <x:c r="E169" s="3"/>
      <x:c r="F169" s="3"/>
      <x:c r="G169" s="3"/>
      <x:c r="H169" s="3"/>
      <x:c r="I169" s="3"/>
      <x:c r="J169" s="10" t="n">
        <x:v>46020</x:v>
      </x:c>
      <x:c r="K169" s="8" t="n">
        <x:f>INDEX('Сводка'!$S$3:$S$397,U169)</x:f>
        <x:v>-6</x:v>
      </x:c>
      <x:c r="L169" s="8" t="n">
        <x:f>INDEX('Сводка'!$S$3:$S$397,V169)</x:f>
        <x:v>-12</x:v>
      </x:c>
      <x:c r="M169" s="8" t="n">
        <x:f>INDEX($K$388:$N$400,W169,1)+INDEX($K$388:$N$400,W169,2)*LN(((J169-$T$405+1)/1000))+INDEX($O$388:$Z$400,W169,MONTH(J169))</x:f>
        <x:v>30.627318615609155</x:v>
      </x:c>
      <x:c r="N169" s="8" t="n">
        <x:f>K169-M169</x:f>
        <x:v>-36.627318615609155</x:v>
      </x:c>
      <x:c r="O169" s="8" t="n">
        <x:f>ABS(N169)</x:f>
        <x:v>36.627318615609155</x:v>
      </x:c>
      <x:c r="P169" s="8" t="n">
        <x:f>N169^2</x:f>
        <x:v>1341.560468969349</x:v>
      </x:c>
      <x:c r="Q169" s="8" t="n">
        <x:f>K169-L169</x:f>
        <x:v>6</x:v>
      </x:c>
      <x:c r="R169" s="9" t="n">
        <x:f>IF(AND(INDEX('Сводка'!$T$3:$T$397,U169)=0,INDEX('Сводка'!$T$3:$T$397,V169)=0),1,0)</x:f>
        <x:v>1</x:v>
      </x:c>
      <x:c r="S169" s="9" t="n">
        <x:f>IF(AND(R169=1,O169&lt;=$G$13),1,0)</x:f>
        <x:v>0</x:v>
      </x:c>
      <x:c r="T169" s="10" t="n">
        <x:f>EOMONTH(J169-'Сводка'!$B$11,-1)</x:f>
        <x:v>45991</x:v>
      </x:c>
      <x:c r="U169" s="4" t="n">
        <x:f>MATCH(J169,'Сводка'!$R$3:$R$397,0)</x:f>
        <x:v>180</x:v>
      </x:c>
      <x:c r="V169" s="4" t="n">
        <x:f>MATCH(J169-'Сводка'!$B$11,'Сводка'!$R$3:$R$397,0)</x:f>
        <x:v>179</x:v>
      </x:c>
      <x:c r="W169" s="4" t="n">
        <x:f>MATCH(T169,$J$388:$J$400,0)</x:f>
        <x:v>6</x:v>
      </x:c>
      <x:c r="X169" s="3"/>
      <x:c r="Y169" s="3"/>
      <x:c r="Z169" s="3"/>
    </x:row>
    <x:row r="170" ht="15" customHeight="1">
      <x:c r="A170" s="3"/>
      <x:c r="B170" s="3"/>
      <x:c r="C170" s="3"/>
      <x:c r="D170" s="3"/>
      <x:c r="E170" s="3"/>
      <x:c r="F170" s="3"/>
      <x:c r="G170" s="3"/>
      <x:c r="H170" s="3"/>
      <x:c r="I170" s="3"/>
      <x:c r="J170" s="10" t="n">
        <x:v>46021</x:v>
      </x:c>
      <x:c r="K170" s="8" t="n">
        <x:f>INDEX('Сводка'!$S$3:$S$397,U170)</x:f>
        <x:v>-3</x:v>
      </x:c>
      <x:c r="L170" s="8" t="n">
        <x:f>INDEX('Сводка'!$S$3:$S$397,V170)</x:f>
        <x:v>-6</x:v>
      </x:c>
      <x:c r="M170" s="8" t="n">
        <x:f>INDEX($K$388:$N$400,W170,1)+INDEX($K$388:$N$400,W170,2)*LN(((J170-$T$405+1)/1000))+INDEX($O$388:$Z$400,W170,MONTH(J170))</x:f>
        <x:v>30.633145169530906</x:v>
      </x:c>
      <x:c r="N170" s="8" t="n">
        <x:f>K170-M170</x:f>
        <x:v>-33.633145169530906</x:v>
      </x:c>
      <x:c r="O170" s="8" t="n">
        <x:f>ABS(N170)</x:f>
        <x:v>33.633145169530906</x:v>
      </x:c>
      <x:c r="P170" s="8" t="n">
        <x:f>N170^2</x:f>
        <x:v>1131.18845399474</x:v>
      </x:c>
      <x:c r="Q170" s="8" t="n">
        <x:f>K170-L170</x:f>
        <x:v>3</x:v>
      </x:c>
      <x:c r="R170" s="9" t="n">
        <x:f>IF(AND(INDEX('Сводка'!$T$3:$T$397,U170)=0,INDEX('Сводка'!$T$3:$T$397,V170)=0),1,0)</x:f>
        <x:v>1</x:v>
      </x:c>
      <x:c r="S170" s="9" t="n">
        <x:f>IF(AND(R170=1,O170&lt;=$G$13),1,0)</x:f>
        <x:v>0</x:v>
      </x:c>
      <x:c r="T170" s="10" t="n">
        <x:f>EOMONTH(J170-'Сводка'!$B$11,-1)</x:f>
        <x:v>45991</x:v>
      </x:c>
      <x:c r="U170" s="4" t="n">
        <x:f>MATCH(J170,'Сводка'!$R$3:$R$397,0)</x:f>
        <x:v>181</x:v>
      </x:c>
      <x:c r="V170" s="4" t="n">
        <x:f>MATCH(J170-'Сводка'!$B$11,'Сводка'!$R$3:$R$397,0)</x:f>
        <x:v>180</x:v>
      </x:c>
      <x:c r="W170" s="4" t="n">
        <x:f>MATCH(T170,$J$388:$J$400,0)</x:f>
        <x:v>6</x:v>
      </x:c>
      <x:c r="X170" s="3"/>
      <x:c r="Y170" s="3"/>
      <x:c r="Z170" s="3"/>
    </x:row>
    <x:row r="171" ht="15" customHeight="1">
      <x:c r="A171" s="3"/>
      <x:c r="B171" s="3"/>
      <x:c r="C171" s="3"/>
      <x:c r="D171" s="3"/>
      <x:c r="E171" s="3"/>
      <x:c r="F171" s="3"/>
      <x:c r="G171" s="3"/>
      <x:c r="H171" s="3"/>
      <x:c r="I171" s="3"/>
      <x:c r="J171" s="10" t="n">
        <x:v>46022</x:v>
      </x:c>
      <x:c r="K171" s="8" t="n">
        <x:f>INDEX('Сводка'!$S$3:$S$397,U171)</x:f>
        <x:v>0</x:v>
      </x:c>
      <x:c r="L171" s="8" t="n">
        <x:f>INDEX('Сводка'!$S$3:$S$397,V171)</x:f>
        <x:v>-3</x:v>
      </x:c>
      <x:c r="M171" s="8" t="n">
        <x:f>INDEX($K$388:$N$400,W171,1)+INDEX($K$388:$N$400,W171,2)*LN(((J171-$T$405+1)/1000))+INDEX($O$388:$Z$400,W171,MONTH(J171))</x:f>
        <x:v>30.638971058738264</x:v>
      </x:c>
      <x:c r="N171" s="8" t="n">
        <x:f>K171-M171</x:f>
        <x:v>-30.638971058738264</x:v>
      </x:c>
      <x:c r="O171" s="8" t="n">
        <x:f>ABS(N171)</x:f>
        <x:v>30.638971058738264</x:v>
      </x:c>
      <x:c r="P171" s="8" t="n">
        <x:f>N171^2</x:f>
        <x:v>938.746547538201</x:v>
      </x:c>
      <x:c r="Q171" s="8" t="n">
        <x:f>K171-L171</x:f>
        <x:v>3</x:v>
      </x:c>
      <x:c r="R171" s="9" t="n">
        <x:f>IF(AND(INDEX('Сводка'!$T$3:$T$397,U171)=0,INDEX('Сводка'!$T$3:$T$397,V171)=0),1,0)</x:f>
        <x:v>0</x:v>
      </x:c>
      <x:c r="S171" s="9" t="n">
        <x:f>IF(AND(R171=1,O171&lt;=$G$13),1,0)</x:f>
        <x:v>0</x:v>
      </x:c>
      <x:c r="T171" s="10" t="n">
        <x:f>EOMONTH(J171-'Сводка'!$B$11,-1)</x:f>
        <x:v>45991</x:v>
      </x:c>
      <x:c r="U171" s="4" t="n">
        <x:f>MATCH(J171,'Сводка'!$R$3:$R$397,0)</x:f>
        <x:v>182</x:v>
      </x:c>
      <x:c r="V171" s="4" t="n">
        <x:f>MATCH(J171-'Сводка'!$B$11,'Сводка'!$R$3:$R$397,0)</x:f>
        <x:v>181</x:v>
      </x:c>
      <x:c r="W171" s="4" t="n">
        <x:f>MATCH(T171,$J$388:$J$400,0)</x:f>
        <x:v>6</x:v>
      </x:c>
      <x:c r="X171" s="3"/>
      <x:c r="Y171" s="3"/>
      <x:c r="Z171" s="3"/>
    </x:row>
    <x:row r="172" ht="15" customHeight="1">
      <x:c r="A172" s="3"/>
      <x:c r="B172" s="3"/>
      <x:c r="C172" s="3"/>
      <x:c r="D172" s="3"/>
      <x:c r="E172" s="3"/>
      <x:c r="F172" s="3"/>
      <x:c r="G172" s="3"/>
      <x:c r="H172" s="3"/>
      <x:c r="I172" s="3"/>
      <x:c r="J172" s="10" t="n">
        <x:v>46023</x:v>
      </x:c>
      <x:c r="K172" s="8" t="n">
        <x:f>INDEX('Сводка'!$S$3:$S$397,U172)</x:f>
        <x:v>3</x:v>
      </x:c>
      <x:c r="L172" s="8" t="n">
        <x:f>INDEX('Сводка'!$S$3:$S$397,V172)</x:f>
        <x:v>0</x:v>
      </x:c>
      <x:c r="M172" s="8" t="n">
        <x:f>INDEX($K$388:$N$400,W172,1)+INDEX($K$388:$N$400,W172,2)*LN(((J172-$T$405+1)/1000))+INDEX($O$388:$Z$400,W172,MONTH(J172))</x:f>
        <x:v>26.843650258448278</x:v>
      </x:c>
      <x:c r="N172" s="8" t="n">
        <x:f>K172-M172</x:f>
        <x:v>-23.843650258448278</x:v>
      </x:c>
      <x:c r="O172" s="8" t="n">
        <x:f>ABS(N172)</x:f>
        <x:v>23.843650258448278</x:v>
      </x:c>
      <x:c r="P172" s="8" t="n">
        <x:f>N172^2</x:f>
        <x:v>568.5196576472007</x:v>
      </x:c>
      <x:c r="Q172" s="8" t="n">
        <x:f>K172-L172</x:f>
        <x:v>3</x:v>
      </x:c>
      <x:c r="R172" s="9" t="n">
        <x:f>IF(AND(INDEX('Сводка'!$T$3:$T$397,U172)=0,INDEX('Сводка'!$T$3:$T$397,V172)=0),1,0)</x:f>
        <x:v>0</x:v>
      </x:c>
      <x:c r="S172" s="9" t="n">
        <x:f>IF(AND(R172=1,O172&lt;=$G$13),1,0)</x:f>
        <x:v>0</x:v>
      </x:c>
      <x:c r="T172" s="10" t="n">
        <x:f>EOMONTH(J172-'Сводка'!$B$11,-1)</x:f>
        <x:v>45991</x:v>
      </x:c>
      <x:c r="U172" s="4" t="n">
        <x:f>MATCH(J172,'Сводка'!$R$3:$R$397,0)</x:f>
        <x:v>183</x:v>
      </x:c>
      <x:c r="V172" s="4" t="n">
        <x:f>MATCH(J172-'Сводка'!$B$11,'Сводка'!$R$3:$R$397,0)</x:f>
        <x:v>182</x:v>
      </x:c>
      <x:c r="W172" s="4" t="n">
        <x:f>MATCH(T172,$J$388:$J$400,0)</x:f>
        <x:v>6</x:v>
      </x:c>
      <x:c r="X172" s="3"/>
      <x:c r="Y172" s="3"/>
      <x:c r="Z172" s="3"/>
    </x:row>
    <x:row r="173" ht="15" customHeight="1">
      <x:c r="A173" s="3"/>
      <x:c r="B173" s="3"/>
      <x:c r="C173" s="3"/>
      <x:c r="D173" s="3"/>
      <x:c r="E173" s="3"/>
      <x:c r="F173" s="3"/>
      <x:c r="G173" s="3"/>
      <x:c r="H173" s="3"/>
      <x:c r="I173" s="3"/>
      <x:c r="J173" s="10" t="n">
        <x:v>46024</x:v>
      </x:c>
      <x:c r="K173" s="8" t="n">
        <x:f>INDEX('Сводка'!$S$3:$S$397,U173)</x:f>
        <x:v>6</x:v>
      </x:c>
      <x:c r="L173" s="8" t="n">
        <x:f>INDEX('Сводка'!$S$3:$S$397,V173)</x:f>
        <x:v>3</x:v>
      </x:c>
      <x:c r="M173" s="8" t="n">
        <x:f>INDEX($K$388:$N$400,W173,1)+INDEX($K$388:$N$400,W173,2)*LN(((J173-$T$405+1)/1000))+INDEX($O$388:$Z$400,W173,MONTH(J173))</x:f>
        <x:v>26.626284994800656</x:v>
      </x:c>
      <x:c r="N173" s="8" t="n">
        <x:f>K173-M173</x:f>
        <x:v>-20.626284994800656</x:v>
      </x:c>
      <x:c r="O173" s="8" t="n">
        <x:f>ABS(N173)</x:f>
        <x:v>20.626284994800656</x:v>
      </x:c>
      <x:c r="P173" s="8" t="n">
        <x:f>N173^2</x:f>
        <x:v>425.4436326867387</x:v>
      </x:c>
      <x:c r="Q173" s="8" t="n">
        <x:f>K173-L173</x:f>
        <x:v>3</x:v>
      </x:c>
      <x:c r="R173" s="9" t="n">
        <x:f>IF(AND(INDEX('Сводка'!$T$3:$T$397,U173)=0,INDEX('Сводка'!$T$3:$T$397,V173)=0),1,0)</x:f>
        <x:v>1</x:v>
      </x:c>
      <x:c r="S173" s="9" t="n">
        <x:f>IF(AND(R173=1,O173&lt;=$G$13),1,0)</x:f>
        <x:v>0</x:v>
      </x:c>
      <x:c r="T173" s="10" t="n">
        <x:f>EOMONTH(J173-'Сводка'!$B$11,-1)</x:f>
        <x:v>46022</x:v>
      </x:c>
      <x:c r="U173" s="4" t="n">
        <x:f>MATCH(J173,'Сводка'!$R$3:$R$397,0)</x:f>
        <x:v>184</x:v>
      </x:c>
      <x:c r="V173" s="4" t="n">
        <x:f>MATCH(J173-'Сводка'!$B$11,'Сводка'!$R$3:$R$397,0)</x:f>
        <x:v>183</x:v>
      </x:c>
      <x:c r="W173" s="4" t="n">
        <x:f>MATCH(T173,$J$388:$J$400,0)</x:f>
        <x:v>7</x:v>
      </x:c>
      <x:c r="X173" s="3"/>
      <x:c r="Y173" s="3"/>
      <x:c r="Z173" s="3"/>
    </x:row>
    <x:row r="174" ht="15" customHeight="1">
      <x:c r="A174" s="3"/>
      <x:c r="B174" s="3"/>
      <x:c r="C174" s="3"/>
      <x:c r="D174" s="3"/>
      <x:c r="E174" s="3"/>
      <x:c r="F174" s="3"/>
      <x:c r="G174" s="3"/>
      <x:c r="H174" s="3"/>
      <x:c r="I174" s="3"/>
      <x:c r="J174" s="10" t="n">
        <x:v>46025</x:v>
      </x:c>
      <x:c r="K174" s="8" t="n">
        <x:f>INDEX('Сводка'!$S$3:$S$397,U174)</x:f>
        <x:v>6</x:v>
      </x:c>
      <x:c r="L174" s="8" t="n">
        <x:f>INDEX('Сводка'!$S$3:$S$397,V174)</x:f>
        <x:v>6</x:v>
      </x:c>
      <x:c r="M174" s="8" t="n">
        <x:f>INDEX($K$388:$N$400,W174,1)+INDEX($K$388:$N$400,W174,2)*LN(((J174-$T$405+1)/1000))+INDEX($O$388:$Z$400,W174,MONTH(J174))</x:f>
        <x:v>26.632089200901575</x:v>
      </x:c>
      <x:c r="N174" s="8" t="n">
        <x:f>K174-M174</x:f>
        <x:v>-20.632089200901575</x:v>
      </x:c>
      <x:c r="O174" s="8" t="n">
        <x:f>ABS(N174)</x:f>
        <x:v>20.632089200901575</x:v>
      </x:c>
      <x:c r="P174" s="8" t="n">
        <x:f>N174^2</x:f>
        <x:v>425.6831047939594</x:v>
      </x:c>
      <x:c r="Q174" s="8" t="n">
        <x:f>K174-L174</x:f>
        <x:v>0</x:v>
      </x:c>
      <x:c r="R174" s="9" t="n">
        <x:f>IF(AND(INDEX('Сводка'!$T$3:$T$397,U174)=0,INDEX('Сводка'!$T$3:$T$397,V174)=0),1,0)</x:f>
        <x:v>1</x:v>
      </x:c>
      <x:c r="S174" s="9" t="n">
        <x:f>IF(AND(R174=1,O174&lt;=$G$13),1,0)</x:f>
        <x:v>0</x:v>
      </x:c>
      <x:c r="T174" s="10" t="n">
        <x:f>EOMONTH(J174-'Сводка'!$B$11,-1)</x:f>
        <x:v>46022</x:v>
      </x:c>
      <x:c r="U174" s="4" t="n">
        <x:f>MATCH(J174,'Сводка'!$R$3:$R$397,0)</x:f>
        <x:v>185</x:v>
      </x:c>
      <x:c r="V174" s="4" t="n">
        <x:f>MATCH(J174-'Сводка'!$B$11,'Сводка'!$R$3:$R$397,0)</x:f>
        <x:v>184</x:v>
      </x:c>
      <x:c r="W174" s="4" t="n">
        <x:f>MATCH(T174,$J$388:$J$400,0)</x:f>
        <x:v>7</x:v>
      </x:c>
      <x:c r="X174" s="3"/>
      <x:c r="Y174" s="3"/>
      <x:c r="Z174" s="3"/>
    </x:row>
    <x:row r="175" ht="15" customHeight="1">
      <x:c r="A175" s="3"/>
      <x:c r="B175" s="3"/>
      <x:c r="C175" s="3"/>
      <x:c r="D175" s="3"/>
      <x:c r="E175" s="3"/>
      <x:c r="F175" s="3"/>
      <x:c r="G175" s="3"/>
      <x:c r="H175" s="3"/>
      <x:c r="I175" s="3"/>
      <x:c r="J175" s="10" t="n">
        <x:v>46026</x:v>
      </x:c>
      <x:c r="K175" s="8" t="n">
        <x:f>INDEX('Сводка'!$S$3:$S$397,U175)</x:f>
        <x:v>6</x:v>
      </x:c>
      <x:c r="L175" s="8" t="n">
        <x:f>INDEX('Сводка'!$S$3:$S$397,V175)</x:f>
        <x:v>6</x:v>
      </x:c>
      <x:c r="M175" s="8" t="n">
        <x:f>INDEX($K$388:$N$400,W175,1)+INDEX($K$388:$N$400,W175,2)*LN(((J175-$T$405+1)/1000))+INDEX($O$388:$Z$400,W175,MONTH(J175))</x:f>
        <x:v>26.637892745139666</x:v>
      </x:c>
      <x:c r="N175" s="8" t="n">
        <x:f>K175-M175</x:f>
        <x:v>-20.637892745139666</x:v>
      </x:c>
      <x:c r="O175" s="8" t="n">
        <x:f>ABS(N175)</x:f>
        <x:v>20.637892745139666</x:v>
      </x:c>
      <x:c r="P175" s="8" t="n">
        <x:f>N175^2</x:f>
        <x:v>425.92261695988844</x:v>
      </x:c>
      <x:c r="Q175" s="8" t="n">
        <x:f>K175-L175</x:f>
        <x:v>0</x:v>
      </x:c>
      <x:c r="R175" s="9" t="n">
        <x:f>IF(AND(INDEX('Сводка'!$T$3:$T$397,U175)=0,INDEX('Сводка'!$T$3:$T$397,V175)=0),1,0)</x:f>
        <x:v>1</x:v>
      </x:c>
      <x:c r="S175" s="9" t="n">
        <x:f>IF(AND(R175=1,O175&lt;=$G$13),1,0)</x:f>
        <x:v>0</x:v>
      </x:c>
      <x:c r="T175" s="10" t="n">
        <x:f>EOMONTH(J175-'Сводка'!$B$11,-1)</x:f>
        <x:v>46022</x:v>
      </x:c>
      <x:c r="U175" s="4" t="n">
        <x:f>MATCH(J175,'Сводка'!$R$3:$R$397,0)</x:f>
        <x:v>186</x:v>
      </x:c>
      <x:c r="V175" s="4" t="n">
        <x:f>MATCH(J175-'Сводка'!$B$11,'Сводка'!$R$3:$R$397,0)</x:f>
        <x:v>185</x:v>
      </x:c>
      <x:c r="W175" s="4" t="n">
        <x:f>MATCH(T175,$J$388:$J$400,0)</x:f>
        <x:v>7</x:v>
      </x:c>
      <x:c r="X175" s="3"/>
      <x:c r="Y175" s="3"/>
      <x:c r="Z175" s="3"/>
    </x:row>
    <x:row r="176" ht="15" customHeight="1">
      <x:c r="A176" s="3"/>
      <x:c r="B176" s="3"/>
      <x:c r="C176" s="3"/>
      <x:c r="D176" s="3"/>
      <x:c r="E176" s="3"/>
      <x:c r="F176" s="3"/>
      <x:c r="G176" s="3"/>
      <x:c r="H176" s="3"/>
      <x:c r="I176" s="3"/>
      <x:c r="J176" s="10" t="n">
        <x:v>46027</x:v>
      </x:c>
      <x:c r="K176" s="8" t="n">
        <x:f>INDEX('Сводка'!$S$3:$S$397,U176)</x:f>
        <x:v>6</x:v>
      </x:c>
      <x:c r="L176" s="8" t="n">
        <x:f>INDEX('Сводка'!$S$3:$S$397,V176)</x:f>
        <x:v>6</x:v>
      </x:c>
      <x:c r="M176" s="8" t="n">
        <x:f>INDEX($K$388:$N$400,W176,1)+INDEX($K$388:$N$400,W176,2)*LN(((J176-$T$405+1)/1000))+INDEX($O$388:$Z$400,W176,MONTH(J176))</x:f>
        <x:v>26.643695627665863</x:v>
      </x:c>
      <x:c r="N176" s="8" t="n">
        <x:f>K176-M176</x:f>
        <x:v>-20.643695627665863</x:v>
      </x:c>
      <x:c r="O176" s="8" t="n">
        <x:f>ABS(N176)</x:f>
        <x:v>20.643695627665863</x:v>
      </x:c>
      <x:c r="P176" s="8" t="n">
        <x:f>N176^2</x:f>
        <x:v>426.16216916771066</x:v>
      </x:c>
      <x:c r="Q176" s="8" t="n">
        <x:f>K176-L176</x:f>
        <x:v>0</x:v>
      </x:c>
      <x:c r="R176" s="9" t="n">
        <x:f>IF(AND(INDEX('Сводка'!$T$3:$T$397,U176)=0,INDEX('Сводка'!$T$3:$T$397,V176)=0),1,0)</x:f>
        <x:v>1</x:v>
      </x:c>
      <x:c r="S176" s="9" t="n">
        <x:f>IF(AND(R176=1,O176&lt;=$G$13),1,0)</x:f>
        <x:v>0</x:v>
      </x:c>
      <x:c r="T176" s="10" t="n">
        <x:f>EOMONTH(J176-'Сводка'!$B$11,-1)</x:f>
        <x:v>46022</x:v>
      </x:c>
      <x:c r="U176" s="4" t="n">
        <x:f>MATCH(J176,'Сводка'!$R$3:$R$397,0)</x:f>
        <x:v>187</x:v>
      </x:c>
      <x:c r="V176" s="4" t="n">
        <x:f>MATCH(J176-'Сводка'!$B$11,'Сводка'!$R$3:$R$397,0)</x:f>
        <x:v>186</x:v>
      </x:c>
      <x:c r="W176" s="4" t="n">
        <x:f>MATCH(T176,$J$388:$J$400,0)</x:f>
        <x:v>7</x:v>
      </x:c>
      <x:c r="X176" s="3"/>
      <x:c r="Y176" s="3"/>
      <x:c r="Z176" s="3"/>
    </x:row>
    <x:row r="177" ht="15" customHeight="1">
      <x:c r="A177" s="3"/>
      <x:c r="B177" s="3"/>
      <x:c r="C177" s="3"/>
      <x:c r="D177" s="3"/>
      <x:c r="E177" s="3"/>
      <x:c r="F177" s="3"/>
      <x:c r="G177" s="3"/>
      <x:c r="H177" s="3"/>
      <x:c r="I177" s="3"/>
      <x:c r="J177" s="10" t="n">
        <x:v>46028</x:v>
      </x:c>
      <x:c r="K177" s="8" t="n">
        <x:f>INDEX('Сводка'!$S$3:$S$397,U177)</x:f>
        <x:v>2</x:v>
      </x:c>
      <x:c r="L177" s="8" t="n">
        <x:f>INDEX('Сводка'!$S$3:$S$397,V177)</x:f>
        <x:v>6</x:v>
      </x:c>
      <x:c r="M177" s="8" t="n">
        <x:f>INDEX($K$388:$N$400,W177,1)+INDEX($K$388:$N$400,W177,2)*LN(((J177-$T$405+1)/1000))+INDEX($O$388:$Z$400,W177,MONTH(J177))</x:f>
        <x:v>26.649497848631015</x:v>
      </x:c>
      <x:c r="N177" s="8" t="n">
        <x:f>K177-M177</x:f>
        <x:v>-24.649497848631015</x:v>
      </x:c>
      <x:c r="O177" s="8" t="n">
        <x:f>ABS(N177)</x:f>
        <x:v>24.649497848631015</x:v>
      </x:c>
      <x:c r="P177" s="8" t="n">
        <x:f>N177^2</x:f>
        <x:v>607.597744189665</x:v>
      </x:c>
      <x:c r="Q177" s="8" t="n">
        <x:f>K177-L177</x:f>
        <x:v>-4</x:v>
      </x:c>
      <x:c r="R177" s="9" t="n">
        <x:f>IF(AND(INDEX('Сводка'!$T$3:$T$397,U177)=0,INDEX('Сводка'!$T$3:$T$397,V177)=0),1,0)</x:f>
        <x:v>1</x:v>
      </x:c>
      <x:c r="S177" s="9" t="n">
        <x:f>IF(AND(R177=1,O177&lt;=$G$13),1,0)</x:f>
        <x:v>0</x:v>
      </x:c>
      <x:c r="T177" s="10" t="n">
        <x:f>EOMONTH(J177-'Сводка'!$B$11,-1)</x:f>
        <x:v>46022</x:v>
      </x:c>
      <x:c r="U177" s="4" t="n">
        <x:f>MATCH(J177,'Сводка'!$R$3:$R$397,0)</x:f>
        <x:v>188</x:v>
      </x:c>
      <x:c r="V177" s="4" t="n">
        <x:f>MATCH(J177-'Сводка'!$B$11,'Сводка'!$R$3:$R$397,0)</x:f>
        <x:v>187</x:v>
      </x:c>
      <x:c r="W177" s="4" t="n">
        <x:f>MATCH(T177,$J$388:$J$400,0)</x:f>
        <x:v>7</x:v>
      </x:c>
      <x:c r="X177" s="3"/>
      <x:c r="Y177" s="3"/>
      <x:c r="Z177" s="3"/>
    </x:row>
    <x:row r="178" ht="15" customHeight="1">
      <x:c r="A178" s="3"/>
      <x:c r="B178" s="3"/>
      <x:c r="C178" s="3"/>
      <x:c r="D178" s="3"/>
      <x:c r="E178" s="3"/>
      <x:c r="F178" s="3"/>
      <x:c r="G178" s="3"/>
      <x:c r="H178" s="3"/>
      <x:c r="I178" s="3"/>
      <x:c r="J178" s="10" t="n">
        <x:v>46029</x:v>
      </x:c>
      <x:c r="K178" s="8" t="n">
        <x:f>INDEX('Сводка'!$S$3:$S$397,U178)</x:f>
        <x:v>-2</x:v>
      </x:c>
      <x:c r="L178" s="8" t="n">
        <x:f>INDEX('Сводка'!$S$3:$S$397,V178)</x:f>
        <x:v>2</x:v>
      </x:c>
      <x:c r="M178" s="8" t="n">
        <x:f>INDEX($K$388:$N$400,W178,1)+INDEX($K$388:$N$400,W178,2)*LN(((J178-$T$405+1)/1000))+INDEX($O$388:$Z$400,W178,MONTH(J178))</x:f>
        <x:v>26.655299408185982</x:v>
      </x:c>
      <x:c r="N178" s="8" t="n">
        <x:f>K178-M178</x:f>
        <x:v>-28.655299408185982</x:v>
      </x:c>
      <x:c r="O178" s="8" t="n">
        <x:f>ABS(N178)</x:f>
        <x:v>28.655299408185982</x:v>
      </x:c>
      <x:c r="P178" s="8" t="n">
        <x:f>N178^2</x:f>
        <x:v>821.126184172784</x:v>
      </x:c>
      <x:c r="Q178" s="8" t="n">
        <x:f>K178-L178</x:f>
        <x:v>-4</x:v>
      </x:c>
      <x:c r="R178" s="9" t="n">
        <x:f>IF(AND(INDEX('Сводка'!$T$3:$T$397,U178)=0,INDEX('Сводка'!$T$3:$T$397,V178)=0),1,0)</x:f>
        <x:v>1</x:v>
      </x:c>
      <x:c r="S178" s="9" t="n">
        <x:f>IF(AND(R178=1,O178&lt;=$G$13),1,0)</x:f>
        <x:v>0</x:v>
      </x:c>
      <x:c r="T178" s="10" t="n">
        <x:f>EOMONTH(J178-'Сводка'!$B$11,-1)</x:f>
        <x:v>46022</x:v>
      </x:c>
      <x:c r="U178" s="4" t="n">
        <x:f>MATCH(J178,'Сводка'!$R$3:$R$397,0)</x:f>
        <x:v>189</x:v>
      </x:c>
      <x:c r="V178" s="4" t="n">
        <x:f>MATCH(J178-'Сводка'!$B$11,'Сводка'!$R$3:$R$397,0)</x:f>
        <x:v>188</x:v>
      </x:c>
      <x:c r="W178" s="4" t="n">
        <x:f>MATCH(T178,$J$388:$J$400,0)</x:f>
        <x:v>7</x:v>
      </x:c>
      <x:c r="X178" s="3"/>
      <x:c r="Y178" s="3"/>
      <x:c r="Z178" s="3"/>
    </x:row>
    <x:row r="179" ht="15" customHeight="1">
      <x:c r="A179" s="3"/>
      <x:c r="B179" s="3"/>
      <x:c r="C179" s="3"/>
      <x:c r="D179" s="3"/>
      <x:c r="E179" s="3"/>
      <x:c r="F179" s="3"/>
      <x:c r="G179" s="3"/>
      <x:c r="H179" s="3"/>
      <x:c r="I179" s="3"/>
      <x:c r="J179" s="10" t="n">
        <x:v>46030</x:v>
      </x:c>
      <x:c r="K179" s="8" t="n">
        <x:f>INDEX('Сводка'!$S$3:$S$397,U179)</x:f>
        <x:v>-7</x:v>
      </x:c>
      <x:c r="L179" s="8" t="n">
        <x:f>INDEX('Сводка'!$S$3:$S$397,V179)</x:f>
        <x:v>-2</x:v>
      </x:c>
      <x:c r="M179" s="8" t="n">
        <x:f>INDEX($K$388:$N$400,W179,1)+INDEX($K$388:$N$400,W179,2)*LN(((J179-$T$405+1)/1000))+INDEX($O$388:$Z$400,W179,MONTH(J179))</x:f>
        <x:v>26.66110030648153</x:v>
      </x:c>
      <x:c r="N179" s="8" t="n">
        <x:f>K179-M179</x:f>
        <x:v>-33.66110030648153</x:v>
      </x:c>
      <x:c r="O179" s="8" t="n">
        <x:f>ABS(N179)</x:f>
        <x:v>33.66110030648153</x:v>
      </x:c>
      <x:c r="P179" s="8" t="n">
        <x:f>N179^2</x:f>
        <x:v>1133.0696738430108</x:v>
      </x:c>
      <x:c r="Q179" s="8" t="n">
        <x:f>K179-L179</x:f>
        <x:v>-5</x:v>
      </x:c>
      <x:c r="R179" s="9" t="n">
        <x:f>IF(AND(INDEX('Сводка'!$T$3:$T$397,U179)=0,INDEX('Сводка'!$T$3:$T$397,V179)=0),1,0)</x:f>
        <x:v>1</x:v>
      </x:c>
      <x:c r="S179" s="9" t="n">
        <x:f>IF(AND(R179=1,O179&lt;=$G$13),1,0)</x:f>
        <x:v>0</x:v>
      </x:c>
      <x:c r="T179" s="10" t="n">
        <x:f>EOMONTH(J179-'Сводка'!$B$11,-1)</x:f>
        <x:v>46022</x:v>
      </x:c>
      <x:c r="U179" s="4" t="n">
        <x:f>MATCH(J179,'Сводка'!$R$3:$R$397,0)</x:f>
        <x:v>190</x:v>
      </x:c>
      <x:c r="V179" s="4" t="n">
        <x:f>MATCH(J179-'Сводка'!$B$11,'Сводка'!$R$3:$R$397,0)</x:f>
        <x:v>189</x:v>
      </x:c>
      <x:c r="W179" s="4" t="n">
        <x:f>MATCH(T179,$J$388:$J$400,0)</x:f>
        <x:v>7</x:v>
      </x:c>
      <x:c r="X179" s="3"/>
      <x:c r="Y179" s="3"/>
      <x:c r="Z179" s="3"/>
    </x:row>
    <x:row r="180" ht="15" customHeight="1">
      <x:c r="A180" s="3"/>
      <x:c r="B180" s="3"/>
      <x:c r="C180" s="3"/>
      <x:c r="D180" s="3"/>
      <x:c r="E180" s="3"/>
      <x:c r="F180" s="3"/>
      <x:c r="G180" s="3"/>
      <x:c r="H180" s="3"/>
      <x:c r="I180" s="3"/>
      <x:c r="J180" s="10" t="n">
        <x:v>46031</x:v>
      </x:c>
      <x:c r="K180" s="8" t="n">
        <x:f>INDEX('Сводка'!$S$3:$S$397,U180)</x:f>
        <x:v>-10</x:v>
      </x:c>
      <x:c r="L180" s="8" t="n">
        <x:f>INDEX('Сводка'!$S$3:$S$397,V180)</x:f>
        <x:v>-7</x:v>
      </x:c>
      <x:c r="M180" s="8" t="n">
        <x:f>INDEX($K$388:$N$400,W180,1)+INDEX($K$388:$N$400,W180,2)*LN(((J180-$T$405+1)/1000))+INDEX($O$388:$Z$400,W180,MONTH(J180))</x:f>
        <x:v>26.666900543668362</x:v>
      </x:c>
      <x:c r="N180" s="8" t="n">
        <x:f>K180-M180</x:f>
        <x:v>-36.66690054366836</x:v>
      </x:c>
      <x:c r="O180" s="8" t="n">
        <x:f>ABS(N180)</x:f>
        <x:v>36.66690054366836</x:v>
      </x:c>
      <x:c r="P180" s="8" t="n">
        <x:f>N180^2</x:f>
        <x:v>1344.4615954792673</x:v>
      </x:c>
      <x:c r="Q180" s="8" t="n">
        <x:f>K180-L180</x:f>
        <x:v>-3</x:v>
      </x:c>
      <x:c r="R180" s="9" t="n">
        <x:f>IF(AND(INDEX('Сводка'!$T$3:$T$397,U180)=0,INDEX('Сводка'!$T$3:$T$397,V180)=0),1,0)</x:f>
        <x:v>1</x:v>
      </x:c>
      <x:c r="S180" s="9" t="n">
        <x:f>IF(AND(R180=1,O180&lt;=$G$13),1,0)</x:f>
        <x:v>0</x:v>
      </x:c>
      <x:c r="T180" s="10" t="n">
        <x:f>EOMONTH(J180-'Сводка'!$B$11,-1)</x:f>
        <x:v>46022</x:v>
      </x:c>
      <x:c r="U180" s="4" t="n">
        <x:f>MATCH(J180,'Сводка'!$R$3:$R$397,0)</x:f>
        <x:v>191</x:v>
      </x:c>
      <x:c r="V180" s="4" t="n">
        <x:f>MATCH(J180-'Сводка'!$B$11,'Сводка'!$R$3:$R$397,0)</x:f>
        <x:v>190</x:v>
      </x:c>
      <x:c r="W180" s="4" t="n">
        <x:f>MATCH(T180,$J$388:$J$400,0)</x:f>
        <x:v>7</x:v>
      </x:c>
      <x:c r="X180" s="3"/>
      <x:c r="Y180" s="3"/>
      <x:c r="Z180" s="3"/>
    </x:row>
    <x:row r="181" ht="15" customHeight="1">
      <x:c r="A181" s="3"/>
      <x:c r="B181" s="3"/>
      <x:c r="C181" s="3"/>
      <x:c r="D181" s="3"/>
      <x:c r="E181" s="3"/>
      <x:c r="F181" s="3"/>
      <x:c r="G181" s="3"/>
      <x:c r="H181" s="3"/>
      <x:c r="I181" s="3"/>
      <x:c r="J181" s="10" t="n">
        <x:v>46032</x:v>
      </x:c>
      <x:c r="K181" s="8" t="n">
        <x:f>INDEX('Сводка'!$S$3:$S$397,U181)</x:f>
        <x:v>-13</x:v>
      </x:c>
      <x:c r="L181" s="8" t="n">
        <x:f>INDEX('Сводка'!$S$3:$S$397,V181)</x:f>
        <x:v>-10</x:v>
      </x:c>
      <x:c r="M181" s="8" t="n">
        <x:f>INDEX($K$388:$N$400,W181,1)+INDEX($K$388:$N$400,W181,2)*LN(((J181-$T$405+1)/1000))+INDEX($O$388:$Z$400,W181,MONTH(J181))</x:f>
        <x:v>26.672700119897158</x:v>
      </x:c>
      <x:c r="N181" s="8" t="n">
        <x:f>K181-M181</x:f>
        <x:v>-39.67270011989716</x:v>
      </x:c>
      <x:c r="O181" s="8" t="n">
        <x:f>ABS(N181)</x:f>
        <x:v>39.67270011989716</x:v>
      </x:c>
      <x:c r="P181" s="8" t="n">
        <x:f>N181^2</x:f>
        <x:v>1573.923134803288</x:v>
      </x:c>
      <x:c r="Q181" s="8" t="n">
        <x:f>K181-L181</x:f>
        <x:v>-3</x:v>
      </x:c>
      <x:c r="R181" s="9" t="n">
        <x:f>IF(AND(INDEX('Сводка'!$T$3:$T$397,U181)=0,INDEX('Сводка'!$T$3:$T$397,V181)=0),1,0)</x:f>
        <x:v>1</x:v>
      </x:c>
      <x:c r="S181" s="9" t="n">
        <x:f>IF(AND(R181=1,O181&lt;=$G$13),1,0)</x:f>
        <x:v>0</x:v>
      </x:c>
      <x:c r="T181" s="10" t="n">
        <x:f>EOMONTH(J181-'Сводка'!$B$11,-1)</x:f>
        <x:v>46022</x:v>
      </x:c>
      <x:c r="U181" s="4" t="n">
        <x:f>MATCH(J181,'Сводка'!$R$3:$R$397,0)</x:f>
        <x:v>192</x:v>
      </x:c>
      <x:c r="V181" s="4" t="n">
        <x:f>MATCH(J181-'Сводка'!$B$11,'Сводка'!$R$3:$R$397,0)</x:f>
        <x:v>191</x:v>
      </x:c>
      <x:c r="W181" s="4" t="n">
        <x:f>MATCH(T181,$J$388:$J$400,0)</x:f>
        <x:v>7</x:v>
      </x:c>
      <x:c r="X181" s="3"/>
      <x:c r="Y181" s="3"/>
      <x:c r="Z181" s="3"/>
    </x:row>
    <x:row r="182" ht="15" customHeight="1">
      <x:c r="A182" s="3"/>
      <x:c r="B182" s="3"/>
      <x:c r="C182" s="3"/>
      <x:c r="D182" s="3"/>
      <x:c r="E182" s="3"/>
      <x:c r="F182" s="3"/>
      <x:c r="G182" s="3"/>
      <x:c r="H182" s="3"/>
      <x:c r="I182" s="3"/>
      <x:c r="J182" s="10" t="n">
        <x:v>46033</x:v>
      </x:c>
      <x:c r="K182" s="8" t="n">
        <x:f>INDEX('Сводка'!$S$3:$S$397,U182)</x:f>
        <x:v>-17</x:v>
      </x:c>
      <x:c r="L182" s="8" t="n">
        <x:f>INDEX('Сводка'!$S$3:$S$397,V182)</x:f>
        <x:v>-13</x:v>
      </x:c>
      <x:c r="M182" s="8" t="n">
        <x:f>INDEX($K$388:$N$400,W182,1)+INDEX($K$388:$N$400,W182,2)*LN(((J182-$T$405+1)/1000))+INDEX($O$388:$Z$400,W182,MONTH(J182))</x:f>
        <x:v>26.678499035318552</x:v>
      </x:c>
      <x:c r="N182" s="8" t="n">
        <x:f>K182-M182</x:f>
        <x:v>-43.67849903531855</x:v>
      </x:c>
      <x:c r="O182" s="8" t="n">
        <x:f>ABS(N182)</x:f>
        <x:v>43.67849903531855</x:v>
      </x:c>
      <x:c r="P182" s="8" t="n">
        <x:f>N182^2</x:f>
        <x:v>1907.8112779783237</x:v>
      </x:c>
      <x:c r="Q182" s="8" t="n">
        <x:f>K182-L182</x:f>
        <x:v>-4</x:v>
      </x:c>
      <x:c r="R182" s="9" t="n">
        <x:f>IF(AND(INDEX('Сводка'!$T$3:$T$397,U182)=0,INDEX('Сводка'!$T$3:$T$397,V182)=0),1,0)</x:f>
        <x:v>1</x:v>
      </x:c>
      <x:c r="S182" s="9" t="n">
        <x:f>IF(AND(R182=1,O182&lt;=$G$13),1,0)</x:f>
        <x:v>0</x:v>
      </x:c>
      <x:c r="T182" s="10" t="n">
        <x:f>EOMONTH(J182-'Сводка'!$B$11,-1)</x:f>
        <x:v>46022</x:v>
      </x:c>
      <x:c r="U182" s="4" t="n">
        <x:f>MATCH(J182,'Сводка'!$R$3:$R$397,0)</x:f>
        <x:v>193</x:v>
      </x:c>
      <x:c r="V182" s="4" t="n">
        <x:f>MATCH(J182-'Сводка'!$B$11,'Сводка'!$R$3:$R$397,0)</x:f>
        <x:v>192</x:v>
      </x:c>
      <x:c r="W182" s="4" t="n">
        <x:f>MATCH(T182,$J$388:$J$400,0)</x:f>
        <x:v>7</x:v>
      </x:c>
      <x:c r="X182" s="3"/>
      <x:c r="Y182" s="3"/>
      <x:c r="Z182" s="3"/>
    </x:row>
    <x:row r="183" ht="15" customHeight="1">
      <x:c r="A183" s="3"/>
      <x:c r="B183" s="3"/>
      <x:c r="C183" s="3"/>
      <x:c r="D183" s="3"/>
      <x:c r="E183" s="3"/>
      <x:c r="F183" s="3"/>
      <x:c r="G183" s="3"/>
      <x:c r="H183" s="3"/>
      <x:c r="I183" s="3"/>
      <x:c r="J183" s="10" t="n">
        <x:v>46034</x:v>
      </x:c>
      <x:c r="K183" s="8" t="n">
        <x:f>INDEX('Сводка'!$S$3:$S$397,U183)</x:f>
        <x:v>-19</x:v>
      </x:c>
      <x:c r="L183" s="8" t="n">
        <x:f>INDEX('Сводка'!$S$3:$S$397,V183)</x:f>
        <x:v>-17</x:v>
      </x:c>
      <x:c r="M183" s="8" t="n">
        <x:f>INDEX($K$388:$N$400,W183,1)+INDEX($K$388:$N$400,W183,2)*LN(((J183-$T$405+1)/1000))+INDEX($O$388:$Z$400,W183,MONTH(J183))</x:f>
        <x:v>26.684297290083094</x:v>
      </x:c>
      <x:c r="N183" s="8" t="n">
        <x:f>K183-M183</x:f>
        <x:v>-45.684297290083094</x:v>
      </x:c>
      <x:c r="O183" s="8" t="n">
        <x:f>ABS(N183)</x:f>
        <x:v>45.684297290083094</x:v>
      </x:c>
      <x:c r="P183" s="8" t="n">
        <x:f>N183^2</x:f>
        <x:v>2087.0550188886937</x:v>
      </x:c>
      <x:c r="Q183" s="8" t="n">
        <x:f>K183-L183</x:f>
        <x:v>-2</x:v>
      </x:c>
      <x:c r="R183" s="9" t="n">
        <x:f>IF(AND(INDEX('Сводка'!$T$3:$T$397,U183)=0,INDEX('Сводка'!$T$3:$T$397,V183)=0),1,0)</x:f>
        <x:v>1</x:v>
      </x:c>
      <x:c r="S183" s="9" t="n">
        <x:f>IF(AND(R183=1,O183&lt;=$G$13),1,0)</x:f>
        <x:v>0</x:v>
      </x:c>
      <x:c r="T183" s="10" t="n">
        <x:f>EOMONTH(J183-'Сводка'!$B$11,-1)</x:f>
        <x:v>46022</x:v>
      </x:c>
      <x:c r="U183" s="4" t="n">
        <x:f>MATCH(J183,'Сводка'!$R$3:$R$397,0)</x:f>
        <x:v>194</x:v>
      </x:c>
      <x:c r="V183" s="4" t="n">
        <x:f>MATCH(J183-'Сводка'!$B$11,'Сводка'!$R$3:$R$397,0)</x:f>
        <x:v>193</x:v>
      </x:c>
      <x:c r="W183" s="4" t="n">
        <x:f>MATCH(T183,$J$388:$J$400,0)</x:f>
        <x:v>7</x:v>
      </x:c>
      <x:c r="X183" s="3"/>
      <x:c r="Y183" s="3"/>
      <x:c r="Z183" s="3"/>
    </x:row>
    <x:row r="184" ht="15" customHeight="1">
      <x:c r="A184" s="3"/>
      <x:c r="B184" s="3"/>
      <x:c r="C184" s="3"/>
      <x:c r="D184" s="3"/>
      <x:c r="E184" s="3"/>
      <x:c r="F184" s="3"/>
      <x:c r="G184" s="3"/>
      <x:c r="H184" s="3"/>
      <x:c r="I184" s="3"/>
      <x:c r="J184" s="10" t="n">
        <x:v>46035</x:v>
      </x:c>
      <x:c r="K184" s="8" t="n">
        <x:f>INDEX('Сводка'!$S$3:$S$397,U184)</x:f>
        <x:v>-22</x:v>
      </x:c>
      <x:c r="L184" s="8" t="n">
        <x:f>INDEX('Сводка'!$S$3:$S$397,V184)</x:f>
        <x:v>-19</x:v>
      </x:c>
      <x:c r="M184" s="8" t="n">
        <x:f>INDEX($K$388:$N$400,W184,1)+INDEX($K$388:$N$400,W184,2)*LN(((J184-$T$405+1)/1000))+INDEX($O$388:$Z$400,W184,MONTH(J184))</x:f>
        <x:v>26.690094884341335</x:v>
      </x:c>
      <x:c r="N184" s="8" t="n">
        <x:f>K184-M184</x:f>
        <x:v>-48.690094884341335</x:v>
      </x:c>
      <x:c r="O184" s="8" t="n">
        <x:f>ABS(N184)</x:f>
        <x:v>48.690094884341335</x:v>
      </x:c>
      <x:c r="P184" s="8" t="n">
        <x:f>N184^2</x:f>
        <x:v>2370.725339846162</x:v>
      </x:c>
      <x:c r="Q184" s="8" t="n">
        <x:f>K184-L184</x:f>
        <x:v>-3</x:v>
      </x:c>
      <x:c r="R184" s="9" t="n">
        <x:f>IF(AND(INDEX('Сводка'!$T$3:$T$397,U184)=0,INDEX('Сводка'!$T$3:$T$397,V184)=0),1,0)</x:f>
        <x:v>1</x:v>
      </x:c>
      <x:c r="S184" s="9" t="n">
        <x:f>IF(AND(R184=1,O184&lt;=$G$13),1,0)</x:f>
        <x:v>0</x:v>
      </x:c>
      <x:c r="T184" s="10" t="n">
        <x:f>EOMONTH(J184-'Сводка'!$B$11,-1)</x:f>
        <x:v>46022</x:v>
      </x:c>
      <x:c r="U184" s="4" t="n">
        <x:f>MATCH(J184,'Сводка'!$R$3:$R$397,0)</x:f>
        <x:v>195</x:v>
      </x:c>
      <x:c r="V184" s="4" t="n">
        <x:f>MATCH(J184-'Сводка'!$B$11,'Сводка'!$R$3:$R$397,0)</x:f>
        <x:v>194</x:v>
      </x:c>
      <x:c r="W184" s="4" t="n">
        <x:f>MATCH(T184,$J$388:$J$400,0)</x:f>
        <x:v>7</x:v>
      </x:c>
      <x:c r="X184" s="3"/>
      <x:c r="Y184" s="3"/>
      <x:c r="Z184" s="3"/>
    </x:row>
    <x:row r="185" ht="15" customHeight="1">
      <x:c r="A185" s="3"/>
      <x:c r="B185" s="3"/>
      <x:c r="C185" s="3"/>
      <x:c r="D185" s="3"/>
      <x:c r="E185" s="3"/>
      <x:c r="F185" s="3"/>
      <x:c r="G185" s="3"/>
      <x:c r="H185" s="3"/>
      <x:c r="I185" s="3"/>
      <x:c r="J185" s="10" t="n">
        <x:v>46036</x:v>
      </x:c>
      <x:c r="K185" s="8" t="n">
        <x:f>INDEX('Сводка'!$S$3:$S$397,U185)</x:f>
        <x:v>-25</x:v>
      </x:c>
      <x:c r="L185" s="8" t="n">
        <x:f>INDEX('Сводка'!$S$3:$S$397,V185)</x:f>
        <x:v>-22</x:v>
      </x:c>
      <x:c r="M185" s="8" t="n">
        <x:f>INDEX($K$388:$N$400,W185,1)+INDEX($K$388:$N$400,W185,2)*LN(((J185-$T$405+1)/1000))+INDEX($O$388:$Z$400,W185,MONTH(J185))</x:f>
        <x:v>26.695891818243695</x:v>
      </x:c>
      <x:c r="N185" s="8" t="n">
        <x:f>K185-M185</x:f>
        <x:v>-51.695891818243695</x:v>
      </x:c>
      <x:c r="O185" s="8" t="n">
        <x:f>ABS(N185)</x:f>
        <x:v>51.695891818243695</x:v>
      </x:c>
      <x:c r="P185" s="8" t="n">
        <x:f>N185^2</x:f>
        <x:v>2672.4652308835553</x:v>
      </x:c>
      <x:c r="Q185" s="8" t="n">
        <x:f>K185-L185</x:f>
        <x:v>-3</x:v>
      </x:c>
      <x:c r="R185" s="9" t="n">
        <x:f>IF(AND(INDEX('Сводка'!$T$3:$T$397,U185)=0,INDEX('Сводка'!$T$3:$T$397,V185)=0),1,0)</x:f>
        <x:v>1</x:v>
      </x:c>
      <x:c r="S185" s="9" t="n">
        <x:f>IF(AND(R185=1,O185&lt;=$G$13),1,0)</x:f>
        <x:v>0</x:v>
      </x:c>
      <x:c r="T185" s="10" t="n">
        <x:f>EOMONTH(J185-'Сводка'!$B$11,-1)</x:f>
        <x:v>46022</x:v>
      </x:c>
      <x:c r="U185" s="4" t="n">
        <x:f>MATCH(J185,'Сводка'!$R$3:$R$397,0)</x:f>
        <x:v>196</x:v>
      </x:c>
      <x:c r="V185" s="4" t="n">
        <x:f>MATCH(J185-'Сводка'!$B$11,'Сводка'!$R$3:$R$397,0)</x:f>
        <x:v>195</x:v>
      </x:c>
      <x:c r="W185" s="4" t="n">
        <x:f>MATCH(T185,$J$388:$J$400,0)</x:f>
        <x:v>7</x:v>
      </x:c>
      <x:c r="X185" s="3"/>
      <x:c r="Y185" s="3"/>
      <x:c r="Z185" s="3"/>
    </x:row>
    <x:row r="186" ht="15" customHeight="1">
      <x:c r="A186" s="3"/>
      <x:c r="B186" s="3"/>
      <x:c r="C186" s="3"/>
      <x:c r="D186" s="3"/>
      <x:c r="E186" s="3"/>
      <x:c r="F186" s="3"/>
      <x:c r="G186" s="3"/>
      <x:c r="H186" s="3"/>
      <x:c r="I186" s="3"/>
      <x:c r="J186" s="10" t="n">
        <x:v>46037</x:v>
      </x:c>
      <x:c r="K186" s="8" t="n">
        <x:f>INDEX('Сводка'!$S$3:$S$397,U186)</x:f>
        <x:v>-26</x:v>
      </x:c>
      <x:c r="L186" s="8" t="n">
        <x:f>INDEX('Сводка'!$S$3:$S$397,V186)</x:f>
        <x:v>-25</x:v>
      </x:c>
      <x:c r="M186" s="8" t="n">
        <x:f>INDEX($K$388:$N$400,W186,1)+INDEX($K$388:$N$400,W186,2)*LN(((J186-$T$405+1)/1000))+INDEX($O$388:$Z$400,W186,MONTH(J186))</x:f>
        <x:v>26.70168809194064</x:v>
      </x:c>
      <x:c r="N186" s="8" t="n">
        <x:f>K186-M186</x:f>
        <x:v>-52.70168809194064</x:v>
      </x:c>
      <x:c r="O186" s="8" t="n">
        <x:f>ABS(N186)</x:f>
        <x:v>52.70168809194064</x:v>
      </x:c>
      <x:c r="P186" s="8" t="n">
        <x:f>N186^2</x:f>
        <x:v>2777.467927740198</x:v>
      </x:c>
      <x:c r="Q186" s="8" t="n">
        <x:f>K186-L186</x:f>
        <x:v>-1</x:v>
      </x:c>
      <x:c r="R186" s="9" t="n">
        <x:f>IF(AND(INDEX('Сводка'!$T$3:$T$397,U186)=0,INDEX('Сводка'!$T$3:$T$397,V186)=0),1,0)</x:f>
        <x:v>1</x:v>
      </x:c>
      <x:c r="S186" s="9" t="n">
        <x:f>IF(AND(R186=1,O186&lt;=$G$13),1,0)</x:f>
        <x:v>0</x:v>
      </x:c>
      <x:c r="T186" s="10" t="n">
        <x:f>EOMONTH(J186-'Сводка'!$B$11,-1)</x:f>
        <x:v>46022</x:v>
      </x:c>
      <x:c r="U186" s="4" t="n">
        <x:f>MATCH(J186,'Сводка'!$R$3:$R$397,0)</x:f>
        <x:v>197</x:v>
      </x:c>
      <x:c r="V186" s="4" t="n">
        <x:f>MATCH(J186-'Сводка'!$B$11,'Сводка'!$R$3:$R$397,0)</x:f>
        <x:v>196</x:v>
      </x:c>
      <x:c r="W186" s="4" t="n">
        <x:f>MATCH(T186,$J$388:$J$400,0)</x:f>
        <x:v>7</x:v>
      </x:c>
      <x:c r="X186" s="3"/>
      <x:c r="Y186" s="3"/>
      <x:c r="Z186" s="3"/>
    </x:row>
    <x:row r="187" ht="15" customHeight="1">
      <x:c r="A187" s="3"/>
      <x:c r="B187" s="3"/>
      <x:c r="C187" s="3"/>
      <x:c r="D187" s="3"/>
      <x:c r="E187" s="3"/>
      <x:c r="F187" s="3"/>
      <x:c r="G187" s="3"/>
      <x:c r="H187" s="3"/>
      <x:c r="I187" s="3"/>
      <x:c r="J187" s="10" t="n">
        <x:v>46038</x:v>
      </x:c>
      <x:c r="K187" s="8" t="n">
        <x:f>INDEX('Сводка'!$S$3:$S$397,U187)</x:f>
        <x:v>-28</x:v>
      </x:c>
      <x:c r="L187" s="8" t="n">
        <x:f>INDEX('Сводка'!$S$3:$S$397,V187)</x:f>
        <x:v>-26</x:v>
      </x:c>
      <x:c r="M187" s="8" t="n">
        <x:f>INDEX($K$388:$N$400,W187,1)+INDEX($K$388:$N$400,W187,2)*LN(((J187-$T$405+1)/1000))+INDEX($O$388:$Z$400,W187,MONTH(J187))</x:f>
        <x:v>26.70748370558246</x:v>
      </x:c>
      <x:c r="N187" s="8" t="n">
        <x:f>K187-M187</x:f>
        <x:v>-54.70748370558246</x:v>
      </x:c>
      <x:c r="O187" s="8" t="n">
        <x:f>ABS(N187)</x:f>
        <x:v>54.70748370558246</x:v>
      </x:c>
      <x:c r="P187" s="8" t="n">
        <x:f>N187^2</x:f>
        <x:v>2992.9087733965707</x:v>
      </x:c>
      <x:c r="Q187" s="8" t="n">
        <x:f>K187-L187</x:f>
        <x:v>-2</x:v>
      </x:c>
      <x:c r="R187" s="9" t="n">
        <x:f>IF(AND(INDEX('Сводка'!$T$3:$T$397,U187)=0,INDEX('Сводка'!$T$3:$T$397,V187)=0),1,0)</x:f>
        <x:v>1</x:v>
      </x:c>
      <x:c r="S187" s="9" t="n">
        <x:f>IF(AND(R187=1,O187&lt;=$G$13),1,0)</x:f>
        <x:v>0</x:v>
      </x:c>
      <x:c r="T187" s="10" t="n">
        <x:f>EOMONTH(J187-'Сводка'!$B$11,-1)</x:f>
        <x:v>46022</x:v>
      </x:c>
      <x:c r="U187" s="4" t="n">
        <x:f>MATCH(J187,'Сводка'!$R$3:$R$397,0)</x:f>
        <x:v>198</x:v>
      </x:c>
      <x:c r="V187" s="4" t="n">
        <x:f>MATCH(J187-'Сводка'!$B$11,'Сводка'!$R$3:$R$397,0)</x:f>
        <x:v>197</x:v>
      </x:c>
      <x:c r="W187" s="4" t="n">
        <x:f>MATCH(T187,$J$388:$J$400,0)</x:f>
        <x:v>7</x:v>
      </x:c>
      <x:c r="X187" s="3"/>
      <x:c r="Y187" s="3"/>
      <x:c r="Z187" s="3"/>
    </x:row>
    <x:row r="188" ht="15" customHeight="1">
      <x:c r="A188" s="3"/>
      <x:c r="B188" s="3"/>
      <x:c r="C188" s="3"/>
      <x:c r="D188" s="3"/>
      <x:c r="E188" s="3"/>
      <x:c r="F188" s="3"/>
      <x:c r="G188" s="3"/>
      <x:c r="H188" s="3"/>
      <x:c r="I188" s="3"/>
      <x:c r="J188" s="10" t="n">
        <x:v>46039</x:v>
      </x:c>
      <x:c r="K188" s="8" t="n">
        <x:f>INDEX('Сводка'!$S$3:$S$397,U188)</x:f>
        <x:v>-29</x:v>
      </x:c>
      <x:c r="L188" s="8" t="n">
        <x:f>INDEX('Сводка'!$S$3:$S$397,V188)</x:f>
        <x:v>-28</x:v>
      </x:c>
      <x:c r="M188" s="8" t="n">
        <x:f>INDEX($K$388:$N$400,W188,1)+INDEX($K$388:$N$400,W188,2)*LN(((J188-$T$405+1)/1000))+INDEX($O$388:$Z$400,W188,MONTH(J188))</x:f>
        <x:v>26.713278659319514</x:v>
      </x:c>
      <x:c r="N188" s="8" t="n">
        <x:f>K188-M188</x:f>
        <x:v>-55.71327865931951</x:v>
      </x:c>
      <x:c r="O188" s="8" t="n">
        <x:f>ABS(N188)</x:f>
        <x:v>55.71327865931951</x:v>
      </x:c>
      <x:c r="P188" s="8" t="n">
        <x:f>N188^2</x:f>
        <x:v>3103.969418970987</x:v>
      </x:c>
      <x:c r="Q188" s="8" t="n">
        <x:f>K188-L188</x:f>
        <x:v>-1</x:v>
      </x:c>
      <x:c r="R188" s="9" t="n">
        <x:f>IF(AND(INDEX('Сводка'!$T$3:$T$397,U188)=0,INDEX('Сводка'!$T$3:$T$397,V188)=0),1,0)</x:f>
        <x:v>1</x:v>
      </x:c>
      <x:c r="S188" s="9" t="n">
        <x:f>IF(AND(R188=1,O188&lt;=$G$13),1,0)</x:f>
        <x:v>0</x:v>
      </x:c>
      <x:c r="T188" s="10" t="n">
        <x:f>EOMONTH(J188-'Сводка'!$B$11,-1)</x:f>
        <x:v>46022</x:v>
      </x:c>
      <x:c r="U188" s="4" t="n">
        <x:f>MATCH(J188,'Сводка'!$R$3:$R$397,0)</x:f>
        <x:v>199</x:v>
      </x:c>
      <x:c r="V188" s="4" t="n">
        <x:f>MATCH(J188-'Сводка'!$B$11,'Сводка'!$R$3:$R$397,0)</x:f>
        <x:v>198</x:v>
      </x:c>
      <x:c r="W188" s="4" t="n">
        <x:f>MATCH(T188,$J$388:$J$400,0)</x:f>
        <x:v>7</x:v>
      </x:c>
      <x:c r="X188" s="3"/>
      <x:c r="Y188" s="3"/>
      <x:c r="Z188" s="3"/>
    </x:row>
    <x:row r="189" ht="15" customHeight="1">
      <x:c r="A189" s="3"/>
      <x:c r="B189" s="3"/>
      <x:c r="C189" s="3"/>
      <x:c r="D189" s="3"/>
      <x:c r="E189" s="3"/>
      <x:c r="F189" s="3"/>
      <x:c r="G189" s="3"/>
      <x:c r="H189" s="3"/>
      <x:c r="I189" s="3"/>
      <x:c r="J189" s="10" t="n">
        <x:v>46040</x:v>
      </x:c>
      <x:c r="K189" s="8" t="n">
        <x:f>INDEX('Сводка'!$S$3:$S$397,U189)</x:f>
        <x:v>-34</x:v>
      </x:c>
      <x:c r="L189" s="8" t="n">
        <x:f>INDEX('Сводка'!$S$3:$S$397,V189)</x:f>
        <x:v>-29</x:v>
      </x:c>
      <x:c r="M189" s="8" t="n">
        <x:f>INDEX($K$388:$N$400,W189,1)+INDEX($K$388:$N$400,W189,2)*LN(((J189-$T$405+1)/1000))+INDEX($O$388:$Z$400,W189,MONTH(J189))</x:f>
        <x:v>26.71907295330209</x:v>
      </x:c>
      <x:c r="N189" s="8" t="n">
        <x:f>K189-M189</x:f>
        <x:v>-60.71907295330209</x:v>
      </x:c>
      <x:c r="O189" s="8" t="n">
        <x:f>ABS(N189)</x:f>
        <x:v>60.71907295330209</x:v>
      </x:c>
      <x:c r="P189" s="8" t="n">
        <x:f>N189^2</x:f>
        <x:v>3686.805820308421</x:v>
      </x:c>
      <x:c r="Q189" s="8" t="n">
        <x:f>K189-L189</x:f>
        <x:v>-5</x:v>
      </x:c>
      <x:c r="R189" s="9" t="n">
        <x:f>IF(AND(INDEX('Сводка'!$T$3:$T$397,U189)=0,INDEX('Сводка'!$T$3:$T$397,V189)=0),1,0)</x:f>
        <x:v>1</x:v>
      </x:c>
      <x:c r="S189" s="9" t="n">
        <x:f>IF(AND(R189=1,O189&lt;=$G$13),1,0)</x:f>
        <x:v>0</x:v>
      </x:c>
      <x:c r="T189" s="10" t="n">
        <x:f>EOMONTH(J189-'Сводка'!$B$11,-1)</x:f>
        <x:v>46022</x:v>
      </x:c>
      <x:c r="U189" s="4" t="n">
        <x:f>MATCH(J189,'Сводка'!$R$3:$R$397,0)</x:f>
        <x:v>200</x:v>
      </x:c>
      <x:c r="V189" s="4" t="n">
        <x:f>MATCH(J189-'Сводка'!$B$11,'Сводка'!$R$3:$R$397,0)</x:f>
        <x:v>199</x:v>
      </x:c>
      <x:c r="W189" s="4" t="n">
        <x:f>MATCH(T189,$J$388:$J$400,0)</x:f>
        <x:v>7</x:v>
      </x:c>
      <x:c r="X189" s="3"/>
      <x:c r="Y189" s="3"/>
      <x:c r="Z189" s="3"/>
    </x:row>
    <x:row r="190" ht="15" customHeight="1">
      <x:c r="A190" s="3"/>
      <x:c r="B190" s="3"/>
      <x:c r="C190" s="3"/>
      <x:c r="D190" s="3"/>
      <x:c r="E190" s="3"/>
      <x:c r="F190" s="3"/>
      <x:c r="G190" s="3"/>
      <x:c r="H190" s="3"/>
      <x:c r="I190" s="3"/>
      <x:c r="J190" s="10" t="n">
        <x:v>46041</x:v>
      </x:c>
      <x:c r="K190" s="8" t="n">
        <x:f>INDEX('Сводка'!$S$3:$S$397,U190)</x:f>
        <x:v>-34</x:v>
      </x:c>
      <x:c r="L190" s="8" t="n">
        <x:f>INDEX('Сводка'!$S$3:$S$397,V190)</x:f>
        <x:v>-34</x:v>
      </x:c>
      <x:c r="M190" s="8" t="n">
        <x:f>INDEX($K$388:$N$400,W190,1)+INDEX($K$388:$N$400,W190,2)*LN(((J190-$T$405+1)/1000))+INDEX($O$388:$Z$400,W190,MONTH(J190))</x:f>
        <x:v>26.72486658768034</x:v>
      </x:c>
      <x:c r="N190" s="8" t="n">
        <x:f>K190-M190</x:f>
        <x:v>-60.72486658768034</x:v>
      </x:c>
      <x:c r="O190" s="8" t="n">
        <x:f>ABS(N190)</x:f>
        <x:v>60.72486658768034</x:v>
      </x:c>
      <x:c r="P190" s="8" t="n">
        <x:f>N190^2</x:f>
        <x:v>3687.509422091576</x:v>
      </x:c>
      <x:c r="Q190" s="8" t="n">
        <x:f>K190-L190</x:f>
        <x:v>0</x:v>
      </x:c>
      <x:c r="R190" s="9" t="n">
        <x:f>IF(AND(INDEX('Сводка'!$T$3:$T$397,U190)=0,INDEX('Сводка'!$T$3:$T$397,V190)=0),1,0)</x:f>
        <x:v>1</x:v>
      </x:c>
      <x:c r="S190" s="9" t="n">
        <x:f>IF(AND(R190=1,O190&lt;=$G$13),1,0)</x:f>
        <x:v>0</x:v>
      </x:c>
      <x:c r="T190" s="10" t="n">
        <x:f>EOMONTH(J190-'Сводка'!$B$11,-1)</x:f>
        <x:v>46022</x:v>
      </x:c>
      <x:c r="U190" s="4" t="n">
        <x:f>MATCH(J190,'Сводка'!$R$3:$R$397,0)</x:f>
        <x:v>201</x:v>
      </x:c>
      <x:c r="V190" s="4" t="n">
        <x:f>MATCH(J190-'Сводка'!$B$11,'Сводка'!$R$3:$R$397,0)</x:f>
        <x:v>200</x:v>
      </x:c>
      <x:c r="W190" s="4" t="n">
        <x:f>MATCH(T190,$J$388:$J$400,0)</x:f>
        <x:v>7</x:v>
      </x:c>
      <x:c r="X190" s="3"/>
      <x:c r="Y190" s="3"/>
      <x:c r="Z190" s="3"/>
    </x:row>
    <x:row r="191" ht="15" customHeight="1">
      <x:c r="A191" s="3"/>
      <x:c r="B191" s="3"/>
      <x:c r="C191" s="3"/>
      <x:c r="D191" s="3"/>
      <x:c r="E191" s="3"/>
      <x:c r="F191" s="3"/>
      <x:c r="G191" s="3"/>
      <x:c r="H191" s="3"/>
      <x:c r="I191" s="3"/>
      <x:c r="J191" s="10" t="n">
        <x:v>46042</x:v>
      </x:c>
      <x:c r="K191" s="8" t="n">
        <x:f>INDEX('Сводка'!$S$3:$S$397,U191)</x:f>
        <x:v>-39</x:v>
      </x:c>
      <x:c r="L191" s="8" t="n">
        <x:f>INDEX('Сводка'!$S$3:$S$397,V191)</x:f>
        <x:v>-34</x:v>
      </x:c>
      <x:c r="M191" s="8" t="n">
        <x:f>INDEX($K$388:$N$400,W191,1)+INDEX($K$388:$N$400,W191,2)*LN(((J191-$T$405+1)/1000))+INDEX($O$388:$Z$400,W191,MONTH(J191))</x:f>
        <x:v>26.730659562604444</x:v>
      </x:c>
      <x:c r="N191" s="8" t="n">
        <x:f>K191-M191</x:f>
        <x:v>-65.73065956260444</x:v>
      </x:c>
      <x:c r="O191" s="8" t="n">
        <x:f>ABS(N191)</x:f>
        <x:v>65.73065956260444</x:v>
      </x:c>
      <x:c r="P191" s="8" t="n">
        <x:f>N191^2</x:f>
        <x:v>4320.519606535003</x:v>
      </x:c>
      <x:c r="Q191" s="8" t="n">
        <x:f>K191-L191</x:f>
        <x:v>-5</x:v>
      </x:c>
      <x:c r="R191" s="9" t="n">
        <x:f>IF(AND(INDEX('Сводка'!$T$3:$T$397,U191)=0,INDEX('Сводка'!$T$3:$T$397,V191)=0),1,0)</x:f>
        <x:v>1</x:v>
      </x:c>
      <x:c r="S191" s="9" t="n">
        <x:f>IF(AND(R191=1,O191&lt;=$G$13),1,0)</x:f>
        <x:v>0</x:v>
      </x:c>
      <x:c r="T191" s="10" t="n">
        <x:f>EOMONTH(J191-'Сводка'!$B$11,-1)</x:f>
        <x:v>46022</x:v>
      </x:c>
      <x:c r="U191" s="4" t="n">
        <x:f>MATCH(J191,'Сводка'!$R$3:$R$397,0)</x:f>
        <x:v>202</x:v>
      </x:c>
      <x:c r="V191" s="4" t="n">
        <x:f>MATCH(J191-'Сводка'!$B$11,'Сводка'!$R$3:$R$397,0)</x:f>
        <x:v>201</x:v>
      </x:c>
      <x:c r="W191" s="4" t="n">
        <x:f>MATCH(T191,$J$388:$J$400,0)</x:f>
        <x:v>7</x:v>
      </x:c>
      <x:c r="X191" s="3"/>
      <x:c r="Y191" s="3"/>
      <x:c r="Z191" s="3"/>
    </x:row>
    <x:row r="192" ht="15" customHeight="1">
      <x:c r="A192" s="3"/>
      <x:c r="B192" s="3"/>
      <x:c r="C192" s="3"/>
      <x:c r="D192" s="3"/>
      <x:c r="E192" s="3"/>
      <x:c r="F192" s="3"/>
      <x:c r="G192" s="3"/>
      <x:c r="H192" s="3"/>
      <x:c r="I192" s="3"/>
      <x:c r="J192" s="10" t="n">
        <x:v>46043</x:v>
      </x:c>
      <x:c r="K192" s="8" t="n">
        <x:f>INDEX('Сводка'!$S$3:$S$397,U192)</x:f>
        <x:v>-41</x:v>
      </x:c>
      <x:c r="L192" s="8" t="n">
        <x:f>INDEX('Сводка'!$S$3:$S$397,V192)</x:f>
        <x:v>-39</x:v>
      </x:c>
      <x:c r="M192" s="8" t="n">
        <x:f>INDEX($K$388:$N$400,W192,1)+INDEX($K$388:$N$400,W192,2)*LN(((J192-$T$405+1)/1000))+INDEX($O$388:$Z$400,W192,MONTH(J192))</x:f>
        <x:v>26.736451878224514</x:v>
      </x:c>
      <x:c r="N192" s="8" t="n">
        <x:f>K192-M192</x:f>
        <x:v>-67.73645187822451</x:v>
      </x:c>
      <x:c r="O192" s="8" t="n">
        <x:f>ABS(N192)</x:f>
        <x:v>67.73645187822451</x:v>
      </x:c>
      <x:c r="P192" s="8" t="n">
        <x:f>N192^2</x:f>
        <x:v>4588.226913051025</x:v>
      </x:c>
      <x:c r="Q192" s="8" t="n">
        <x:f>K192-L192</x:f>
        <x:v>-2</x:v>
      </x:c>
      <x:c r="R192" s="9" t="n">
        <x:f>IF(AND(INDEX('Сводка'!$T$3:$T$397,U192)=0,INDEX('Сводка'!$T$3:$T$397,V192)=0),1,0)</x:f>
        <x:v>1</x:v>
      </x:c>
      <x:c r="S192" s="9" t="n">
        <x:f>IF(AND(R192=1,O192&lt;=$G$13),1,0)</x:f>
        <x:v>0</x:v>
      </x:c>
      <x:c r="T192" s="10" t="n">
        <x:f>EOMONTH(J192-'Сводка'!$B$11,-1)</x:f>
        <x:v>46022</x:v>
      </x:c>
      <x:c r="U192" s="4" t="n">
        <x:f>MATCH(J192,'Сводка'!$R$3:$R$397,0)</x:f>
        <x:v>203</x:v>
      </x:c>
      <x:c r="V192" s="4" t="n">
        <x:f>MATCH(J192-'Сводка'!$B$11,'Сводка'!$R$3:$R$397,0)</x:f>
        <x:v>202</x:v>
      </x:c>
      <x:c r="W192" s="4" t="n">
        <x:f>MATCH(T192,$J$388:$J$400,0)</x:f>
        <x:v>7</x:v>
      </x:c>
      <x:c r="X192" s="3"/>
      <x:c r="Y192" s="3"/>
      <x:c r="Z192" s="3"/>
    </x:row>
    <x:row r="193" ht="15" customHeight="1">
      <x:c r="A193" s="3"/>
      <x:c r="B193" s="3"/>
      <x:c r="C193" s="3"/>
      <x:c r="D193" s="3"/>
      <x:c r="E193" s="3"/>
      <x:c r="F193" s="3"/>
      <x:c r="G193" s="3"/>
      <x:c r="H193" s="3"/>
      <x:c r="I193" s="3"/>
      <x:c r="J193" s="10" t="n">
        <x:v>46044</x:v>
      </x:c>
      <x:c r="K193" s="8" t="n">
        <x:f>INDEX('Сводка'!$S$3:$S$397,U193)</x:f>
        <x:v>-41</x:v>
      </x:c>
      <x:c r="L193" s="8" t="n">
        <x:f>INDEX('Сводка'!$S$3:$S$397,V193)</x:f>
        <x:v>-41</x:v>
      </x:c>
      <x:c r="M193" s="8" t="n">
        <x:f>INDEX($K$388:$N$400,W193,1)+INDEX($K$388:$N$400,W193,2)*LN(((J193-$T$405+1)/1000))+INDEX($O$388:$Z$400,W193,MONTH(J193))</x:f>
        <x:v>26.7422435346906</x:v>
      </x:c>
      <x:c r="N193" s="8" t="n">
        <x:f>K193-M193</x:f>
        <x:v>-67.7422435346906</x:v>
      </x:c>
      <x:c r="O193" s="8" t="n">
        <x:f>ABS(N193)</x:f>
        <x:v>67.7422435346906</x:v>
      </x:c>
      <x:c r="P193" s="8" t="n">
        <x:f>N193^2</x:f>
        <x:v>4589.011559113331</x:v>
      </x:c>
      <x:c r="Q193" s="8" t="n">
        <x:f>K193-L193</x:f>
        <x:v>0</x:v>
      </x:c>
      <x:c r="R193" s="9" t="n">
        <x:f>IF(AND(INDEX('Сводка'!$T$3:$T$397,U193)=0,INDEX('Сводка'!$T$3:$T$397,V193)=0),1,0)</x:f>
        <x:v>1</x:v>
      </x:c>
      <x:c r="S193" s="9" t="n">
        <x:f>IF(AND(R193=1,O193&lt;=$G$13),1,0)</x:f>
        <x:v>0</x:v>
      </x:c>
      <x:c r="T193" s="10" t="n">
        <x:f>EOMONTH(J193-'Сводка'!$B$11,-1)</x:f>
        <x:v>46022</x:v>
      </x:c>
      <x:c r="U193" s="4" t="n">
        <x:f>MATCH(J193,'Сводка'!$R$3:$R$397,0)</x:f>
        <x:v>204</x:v>
      </x:c>
      <x:c r="V193" s="4" t="n">
        <x:f>MATCH(J193-'Сводка'!$B$11,'Сводка'!$R$3:$R$397,0)</x:f>
        <x:v>203</x:v>
      </x:c>
      <x:c r="W193" s="4" t="n">
        <x:f>MATCH(T193,$J$388:$J$400,0)</x:f>
        <x:v>7</x:v>
      </x:c>
      <x:c r="X193" s="3"/>
      <x:c r="Y193" s="3"/>
      <x:c r="Z193" s="3"/>
    </x:row>
    <x:row r="194" ht="15" customHeight="1">
      <x:c r="A194" s="3"/>
      <x:c r="B194" s="3"/>
      <x:c r="C194" s="3"/>
      <x:c r="D194" s="3"/>
      <x:c r="E194" s="3"/>
      <x:c r="F194" s="3"/>
      <x:c r="G194" s="3"/>
      <x:c r="H194" s="3"/>
      <x:c r="I194" s="3"/>
      <x:c r="J194" s="10" t="n">
        <x:v>46045</x:v>
      </x:c>
      <x:c r="K194" s="8" t="n">
        <x:f>INDEX('Сводка'!$S$3:$S$397,U194)</x:f>
        <x:v>-37</x:v>
      </x:c>
      <x:c r="L194" s="8" t="n">
        <x:f>INDEX('Сводка'!$S$3:$S$397,V194)</x:f>
        <x:v>-41</x:v>
      </x:c>
      <x:c r="M194" s="8" t="n">
        <x:f>INDEX($K$388:$N$400,W194,1)+INDEX($K$388:$N$400,W194,2)*LN(((J194-$T$405+1)/1000))+INDEX($O$388:$Z$400,W194,MONTH(J194))</x:f>
        <x:v>26.7480345321527</x:v>
      </x:c>
      <x:c r="N194" s="8" t="n">
        <x:f>K194-M194</x:f>
        <x:v>-63.7480345321527</x:v>
      </x:c>
      <x:c r="O194" s="8" t="n">
        <x:f>ABS(N194)</x:f>
        <x:v>63.7480345321527</x:v>
      </x:c>
      <x:c r="P194" s="8" t="n">
        <x:f>N194^2</x:f>
        <x:v>4063.811906712533</x:v>
      </x:c>
      <x:c r="Q194" s="8" t="n">
        <x:f>K194-L194</x:f>
        <x:v>4</x:v>
      </x:c>
      <x:c r="R194" s="9" t="n">
        <x:f>IF(AND(INDEX('Сводка'!$T$3:$T$397,U194)=0,INDEX('Сводка'!$T$3:$T$397,V194)=0),1,0)</x:f>
        <x:v>1</x:v>
      </x:c>
      <x:c r="S194" s="9" t="n">
        <x:f>IF(AND(R194=1,O194&lt;=$G$13),1,0)</x:f>
        <x:v>0</x:v>
      </x:c>
      <x:c r="T194" s="10" t="n">
        <x:f>EOMONTH(J194-'Сводка'!$B$11,-1)</x:f>
        <x:v>46022</x:v>
      </x:c>
      <x:c r="U194" s="4" t="n">
        <x:f>MATCH(J194,'Сводка'!$R$3:$R$397,0)</x:f>
        <x:v>205</x:v>
      </x:c>
      <x:c r="V194" s="4" t="n">
        <x:f>MATCH(J194-'Сводка'!$B$11,'Сводка'!$R$3:$R$397,0)</x:f>
        <x:v>204</x:v>
      </x:c>
      <x:c r="W194" s="4" t="n">
        <x:f>MATCH(T194,$J$388:$J$400,0)</x:f>
        <x:v>7</x:v>
      </x:c>
      <x:c r="X194" s="3"/>
      <x:c r="Y194" s="3"/>
      <x:c r="Z194" s="3"/>
    </x:row>
    <x:row r="195" ht="15" customHeight="1">
      <x:c r="A195" s="3"/>
      <x:c r="B195" s="3"/>
      <x:c r="C195" s="3"/>
      <x:c r="D195" s="3"/>
      <x:c r="E195" s="3"/>
      <x:c r="F195" s="3"/>
      <x:c r="G195" s="3"/>
      <x:c r="H195" s="3"/>
      <x:c r="I195" s="3"/>
      <x:c r="J195" s="10" t="n">
        <x:v>46046</x:v>
      </x:c>
      <x:c r="K195" s="8" t="n">
        <x:f>INDEX('Сводка'!$S$3:$S$397,U195)</x:f>
        <x:v>-39</x:v>
      </x:c>
      <x:c r="L195" s="8" t="n">
        <x:f>INDEX('Сводка'!$S$3:$S$397,V195)</x:f>
        <x:v>-37</x:v>
      </x:c>
      <x:c r="M195" s="8" t="n">
        <x:f>INDEX($K$388:$N$400,W195,1)+INDEX($K$388:$N$400,W195,2)*LN(((J195-$T$405+1)/1000))+INDEX($O$388:$Z$400,W195,MONTH(J195))</x:f>
        <x:v>26.75382487076078</x:v>
      </x:c>
      <x:c r="N195" s="8" t="n">
        <x:f>K195-M195</x:f>
        <x:v>-65.75382487076078</x:v>
      </x:c>
      <x:c r="O195" s="8" t="n">
        <x:f>ABS(N195)</x:f>
        <x:v>65.75382487076078</x:v>
      </x:c>
      <x:c r="P195" s="8" t="n">
        <x:f>N195^2</x:f>
        <x:v>4323.565485134679</x:v>
      </x:c>
      <x:c r="Q195" s="8" t="n">
        <x:f>K195-L195</x:f>
        <x:v>-2</x:v>
      </x:c>
      <x:c r="R195" s="9" t="n">
        <x:f>IF(AND(INDEX('Сводка'!$T$3:$T$397,U195)=0,INDEX('Сводка'!$T$3:$T$397,V195)=0),1,0)</x:f>
        <x:v>1</x:v>
      </x:c>
      <x:c r="S195" s="9" t="n">
        <x:f>IF(AND(R195=1,O195&lt;=$G$13),1,0)</x:f>
        <x:v>0</x:v>
      </x:c>
      <x:c r="T195" s="10" t="n">
        <x:f>EOMONTH(J195-'Сводка'!$B$11,-1)</x:f>
        <x:v>46022</x:v>
      </x:c>
      <x:c r="U195" s="4" t="n">
        <x:f>MATCH(J195,'Сводка'!$R$3:$R$397,0)</x:f>
        <x:v>206</x:v>
      </x:c>
      <x:c r="V195" s="4" t="n">
        <x:f>MATCH(J195-'Сводка'!$B$11,'Сводка'!$R$3:$R$397,0)</x:f>
        <x:v>205</x:v>
      </x:c>
      <x:c r="W195" s="4" t="n">
        <x:f>MATCH(T195,$J$388:$J$400,0)</x:f>
        <x:v>7</x:v>
      </x:c>
      <x:c r="X195" s="3"/>
      <x:c r="Y195" s="3"/>
      <x:c r="Z195" s="3"/>
    </x:row>
    <x:row r="196" ht="15" customHeight="1">
      <x:c r="A196" s="3"/>
      <x:c r="B196" s="3"/>
      <x:c r="C196" s="3"/>
      <x:c r="D196" s="3"/>
      <x:c r="E196" s="3"/>
      <x:c r="F196" s="3"/>
      <x:c r="G196" s="3"/>
      <x:c r="H196" s="3"/>
      <x:c r="I196" s="3"/>
      <x:c r="J196" s="10" t="n">
        <x:v>46047</x:v>
      </x:c>
      <x:c r="K196" s="8" t="n">
        <x:f>INDEX('Сводка'!$S$3:$S$397,U196)</x:f>
        <x:v>-36</x:v>
      </x:c>
      <x:c r="L196" s="8" t="n">
        <x:f>INDEX('Сводка'!$S$3:$S$397,V196)</x:f>
        <x:v>-39</x:v>
      </x:c>
      <x:c r="M196" s="8" t="n">
        <x:f>INDEX($K$388:$N$400,W196,1)+INDEX($K$388:$N$400,W196,2)*LN(((J196-$T$405+1)/1000))+INDEX($O$388:$Z$400,W196,MONTH(J196))</x:f>
        <x:v>26.759614550664736</x:v>
      </x:c>
      <x:c r="N196" s="8" t="n">
        <x:f>K196-M196</x:f>
        <x:v>-62.759614550664736</x:v>
      </x:c>
      <x:c r="O196" s="8" t="n">
        <x:f>ABS(N196)</x:f>
        <x:v>62.759614550664736</x:v>
      </x:c>
      <x:c r="P196" s="8" t="n">
        <x:f>N196^2</x:f>
        <x:v>3938.7692185480087</x:v>
      </x:c>
      <x:c r="Q196" s="8" t="n">
        <x:f>K196-L196</x:f>
        <x:v>3</x:v>
      </x:c>
      <x:c r="R196" s="9" t="n">
        <x:f>IF(AND(INDEX('Сводка'!$T$3:$T$397,U196)=0,INDEX('Сводка'!$T$3:$T$397,V196)=0),1,0)</x:f>
        <x:v>1</x:v>
      </x:c>
      <x:c r="S196" s="9" t="n">
        <x:f>IF(AND(R196=1,O196&lt;=$G$13),1,0)</x:f>
        <x:v>0</x:v>
      </x:c>
      <x:c r="T196" s="10" t="n">
        <x:f>EOMONTH(J196-'Сводка'!$B$11,-1)</x:f>
        <x:v>46022</x:v>
      </x:c>
      <x:c r="U196" s="4" t="n">
        <x:f>MATCH(J196,'Сводка'!$R$3:$R$397,0)</x:f>
        <x:v>207</x:v>
      </x:c>
      <x:c r="V196" s="4" t="n">
        <x:f>MATCH(J196-'Сводка'!$B$11,'Сводка'!$R$3:$R$397,0)</x:f>
        <x:v>206</x:v>
      </x:c>
      <x:c r="W196" s="4" t="n">
        <x:f>MATCH(T196,$J$388:$J$400,0)</x:f>
        <x:v>7</x:v>
      </x:c>
      <x:c r="X196" s="3"/>
      <x:c r="Y196" s="3"/>
      <x:c r="Z196" s="3"/>
    </x:row>
    <x:row r="197" ht="15" customHeight="1">
      <x:c r="A197" s="3"/>
      <x:c r="B197" s="3"/>
      <x:c r="C197" s="3"/>
      <x:c r="D197" s="3"/>
      <x:c r="E197" s="3"/>
      <x:c r="F197" s="3"/>
      <x:c r="G197" s="3"/>
      <x:c r="H197" s="3"/>
      <x:c r="I197" s="3"/>
      <x:c r="J197" s="10" t="n">
        <x:v>46048</x:v>
      </x:c>
      <x:c r="K197" s="8" t="n">
        <x:f>INDEX('Сводка'!$S$3:$S$397,U197)</x:f>
        <x:v>-36</x:v>
      </x:c>
      <x:c r="L197" s="8" t="n">
        <x:f>INDEX('Сводка'!$S$3:$S$397,V197)</x:f>
        <x:v>-36</x:v>
      </x:c>
      <x:c r="M197" s="8" t="n">
        <x:f>INDEX($K$388:$N$400,W197,1)+INDEX($K$388:$N$400,W197,2)*LN(((J197-$T$405+1)/1000))+INDEX($O$388:$Z$400,W197,MONTH(J197))</x:f>
        <x:v>26.765403572014407</x:v>
      </x:c>
      <x:c r="N197" s="8" t="n">
        <x:f>K197-M197</x:f>
        <x:v>-62.76540357201441</x:v>
      </x:c>
      <x:c r="O197" s="8" t="n">
        <x:f>ABS(N197)</x:f>
        <x:v>62.76540357201441</x:v>
      </x:c>
      <x:c r="P197" s="8" t="n">
        <x:f>N197^2</x:f>
        <x:v>3939.495885557839</x:v>
      </x:c>
      <x:c r="Q197" s="8" t="n">
        <x:f>K197-L197</x:f>
        <x:v>0</x:v>
      </x:c>
      <x:c r="R197" s="9" t="n">
        <x:f>IF(AND(INDEX('Сводка'!$T$3:$T$397,U197)=0,INDEX('Сводка'!$T$3:$T$397,V197)=0),1,0)</x:f>
        <x:v>1</x:v>
      </x:c>
      <x:c r="S197" s="9" t="n">
        <x:f>IF(AND(R197=1,O197&lt;=$G$13),1,0)</x:f>
        <x:v>0</x:v>
      </x:c>
      <x:c r="T197" s="10" t="n">
        <x:f>EOMONTH(J197-'Сводка'!$B$11,-1)</x:f>
        <x:v>46022</x:v>
      </x:c>
      <x:c r="U197" s="4" t="n">
        <x:f>MATCH(J197,'Сводка'!$R$3:$R$397,0)</x:f>
        <x:v>208</x:v>
      </x:c>
      <x:c r="V197" s="4" t="n">
        <x:f>MATCH(J197-'Сводка'!$B$11,'Сводка'!$R$3:$R$397,0)</x:f>
        <x:v>207</x:v>
      </x:c>
      <x:c r="W197" s="4" t="n">
        <x:f>MATCH(T197,$J$388:$J$400,0)</x:f>
        <x:v>7</x:v>
      </x:c>
      <x:c r="X197" s="3"/>
      <x:c r="Y197" s="3"/>
      <x:c r="Z197" s="3"/>
    </x:row>
    <x:row r="198" ht="15" customHeight="1">
      <x:c r="A198" s="3"/>
      <x:c r="B198" s="3"/>
      <x:c r="C198" s="3"/>
      <x:c r="D198" s="3"/>
      <x:c r="E198" s="3"/>
      <x:c r="F198" s="3"/>
      <x:c r="G198" s="3"/>
      <x:c r="H198" s="3"/>
      <x:c r="I198" s="3"/>
      <x:c r="J198" s="10" t="n">
        <x:v>46049</x:v>
      </x:c>
      <x:c r="K198" s="8" t="n">
        <x:f>INDEX('Сводка'!$S$3:$S$397,U198)</x:f>
        <x:v>-38</x:v>
      </x:c>
      <x:c r="L198" s="8" t="n">
        <x:f>INDEX('Сводка'!$S$3:$S$397,V198)</x:f>
        <x:v>-36</x:v>
      </x:c>
      <x:c r="M198" s="8" t="n">
        <x:f>INDEX($K$388:$N$400,W198,1)+INDEX($K$388:$N$400,W198,2)*LN(((J198-$T$405+1)/1000))+INDEX($O$388:$Z$400,W198,MONTH(J198))</x:f>
        <x:v>26.771191934959617</x:v>
      </x:c>
      <x:c r="N198" s="8" t="n">
        <x:f>K198-M198</x:f>
        <x:v>-64.77119193495962</x:v>
      </x:c>
      <x:c r="O198" s="8" t="n">
        <x:f>ABS(N198)</x:f>
        <x:v>64.77119193495962</x:v>
      </x:c>
      <x:c r="P198" s="8" t="n">
        <x:f>N198^2</x:f>
        <x:v>4195.307304675378</x:v>
      </x:c>
      <x:c r="Q198" s="8" t="n">
        <x:f>K198-L198</x:f>
        <x:v>-2</x:v>
      </x:c>
      <x:c r="R198" s="9" t="n">
        <x:f>IF(AND(INDEX('Сводка'!$T$3:$T$397,U198)=0,INDEX('Сводка'!$T$3:$T$397,V198)=0),1,0)</x:f>
        <x:v>1</x:v>
      </x:c>
      <x:c r="S198" s="9" t="n">
        <x:f>IF(AND(R198=1,O198&lt;=$G$13),1,0)</x:f>
        <x:v>0</x:v>
      </x:c>
      <x:c r="T198" s="10" t="n">
        <x:f>EOMONTH(J198-'Сводка'!$B$11,-1)</x:f>
        <x:v>46022</x:v>
      </x:c>
      <x:c r="U198" s="4" t="n">
        <x:f>MATCH(J198,'Сводка'!$R$3:$R$397,0)</x:f>
        <x:v>209</x:v>
      </x:c>
      <x:c r="V198" s="4" t="n">
        <x:f>MATCH(J198-'Сводка'!$B$11,'Сводка'!$R$3:$R$397,0)</x:f>
        <x:v>208</x:v>
      </x:c>
      <x:c r="W198" s="4" t="n">
        <x:f>MATCH(T198,$J$388:$J$400,0)</x:f>
        <x:v>7</x:v>
      </x:c>
      <x:c r="X198" s="3"/>
      <x:c r="Y198" s="3"/>
      <x:c r="Z198" s="3"/>
    </x:row>
    <x:row r="199" ht="15" customHeight="1">
      <x:c r="A199" s="3"/>
      <x:c r="B199" s="3"/>
      <x:c r="C199" s="3"/>
      <x:c r="D199" s="3"/>
      <x:c r="E199" s="3"/>
      <x:c r="F199" s="3"/>
      <x:c r="G199" s="3"/>
      <x:c r="H199" s="3"/>
      <x:c r="I199" s="3"/>
      <x:c r="J199" s="10" t="n">
        <x:v>46050</x:v>
      </x:c>
      <x:c r="K199" s="8" t="n">
        <x:f>INDEX('Сводка'!$S$3:$S$397,U199)</x:f>
        <x:v>-33</x:v>
      </x:c>
      <x:c r="L199" s="8" t="n">
        <x:f>INDEX('Сводка'!$S$3:$S$397,V199)</x:f>
        <x:v>-38</x:v>
      </x:c>
      <x:c r="M199" s="8" t="n">
        <x:f>INDEX($K$388:$N$400,W199,1)+INDEX($K$388:$N$400,W199,2)*LN(((J199-$T$405+1)/1000))+INDEX($O$388:$Z$400,W199,MONTH(J199))</x:f>
        <x:v>26.77697963965008</x:v>
      </x:c>
      <x:c r="N199" s="8" t="n">
        <x:f>K199-M199</x:f>
        <x:v>-59.77697963965008</x:v>
      </x:c>
      <x:c r="O199" s="8" t="n">
        <x:f>ABS(N199)</x:f>
        <x:v>59.77697963965008</x:v>
      </x:c>
      <x:c r="P199" s="8" t="n">
        <x:f>N199^2</x:f>
        <x:v>3573.28729483914</x:v>
      </x:c>
      <x:c r="Q199" s="8" t="n">
        <x:f>K199-L199</x:f>
        <x:v>5</x:v>
      </x:c>
      <x:c r="R199" s="9" t="n">
        <x:f>IF(AND(INDEX('Сводка'!$T$3:$T$397,U199)=0,INDEX('Сводка'!$T$3:$T$397,V199)=0),1,0)</x:f>
        <x:v>1</x:v>
      </x:c>
      <x:c r="S199" s="9" t="n">
        <x:f>IF(AND(R199=1,O199&lt;=$G$13),1,0)</x:f>
        <x:v>0</x:v>
      </x:c>
      <x:c r="T199" s="10" t="n">
        <x:f>EOMONTH(J199-'Сводка'!$B$11,-1)</x:f>
        <x:v>46022</x:v>
      </x:c>
      <x:c r="U199" s="4" t="n">
        <x:f>MATCH(J199,'Сводка'!$R$3:$R$397,0)</x:f>
        <x:v>210</x:v>
      </x:c>
      <x:c r="V199" s="4" t="n">
        <x:f>MATCH(J199-'Сводка'!$B$11,'Сводка'!$R$3:$R$397,0)</x:f>
        <x:v>209</x:v>
      </x:c>
      <x:c r="W199" s="4" t="n">
        <x:f>MATCH(T199,$J$388:$J$400,0)</x:f>
        <x:v>7</x:v>
      </x:c>
      <x:c r="X199" s="3"/>
      <x:c r="Y199" s="3"/>
      <x:c r="Z199" s="3"/>
    </x:row>
    <x:row r="200" ht="15" customHeight="1">
      <x:c r="A200" s="3"/>
      <x:c r="B200" s="3"/>
      <x:c r="C200" s="3"/>
      <x:c r="D200" s="3"/>
      <x:c r="E200" s="3"/>
      <x:c r="F200" s="3"/>
      <x:c r="G200" s="3"/>
      <x:c r="H200" s="3"/>
      <x:c r="I200" s="3"/>
      <x:c r="J200" s="10" t="n">
        <x:v>46051</x:v>
      </x:c>
      <x:c r="K200" s="8" t="n">
        <x:f>INDEX('Сводка'!$S$3:$S$397,U200)</x:f>
        <x:v>-33</x:v>
      </x:c>
      <x:c r="L200" s="8" t="n">
        <x:f>INDEX('Сводка'!$S$3:$S$397,V200)</x:f>
        <x:v>-33</x:v>
      </x:c>
      <x:c r="M200" s="8" t="n">
        <x:f>INDEX($K$388:$N$400,W200,1)+INDEX($K$388:$N$400,W200,2)*LN(((J200-$T$405+1)/1000))+INDEX($O$388:$Z$400,W200,MONTH(J200))</x:f>
        <x:v>26.782766686235533</x:v>
      </x:c>
      <x:c r="N200" s="8" t="n">
        <x:f>K200-M200</x:f>
        <x:v>-59.78276668623553</x:v>
      </x:c>
      <x:c r="O200" s="8" t="n">
        <x:f>ABS(N200)</x:f>
        <x:v>59.78276668623553</x:v>
      </x:c>
      <x:c r="P200" s="8" t="n">
        <x:f>N200^2</x:f>
        <x:v>3573.979192660873</x:v>
      </x:c>
      <x:c r="Q200" s="8" t="n">
        <x:f>K200-L200</x:f>
        <x:v>0</x:v>
      </x:c>
      <x:c r="R200" s="9" t="n">
        <x:f>IF(AND(INDEX('Сводка'!$T$3:$T$397,U200)=0,INDEX('Сводка'!$T$3:$T$397,V200)=0),1,0)</x:f>
        <x:v>1</x:v>
      </x:c>
      <x:c r="S200" s="9" t="n">
        <x:f>IF(AND(R200=1,O200&lt;=$G$13),1,0)</x:f>
        <x:v>0</x:v>
      </x:c>
      <x:c r="T200" s="10" t="n">
        <x:f>EOMONTH(J200-'Сводка'!$B$11,-1)</x:f>
        <x:v>46022</x:v>
      </x:c>
      <x:c r="U200" s="4" t="n">
        <x:f>MATCH(J200,'Сводка'!$R$3:$R$397,0)</x:f>
        <x:v>211</x:v>
      </x:c>
      <x:c r="V200" s="4" t="n">
        <x:f>MATCH(J200-'Сводка'!$B$11,'Сводка'!$R$3:$R$397,0)</x:f>
        <x:v>210</x:v>
      </x:c>
      <x:c r="W200" s="4" t="n">
        <x:f>MATCH(T200,$J$388:$J$400,0)</x:f>
        <x:v>7</x:v>
      </x:c>
      <x:c r="X200" s="3"/>
      <x:c r="Y200" s="3"/>
      <x:c r="Z200" s="3"/>
    </x:row>
    <x:row r="201" ht="15" customHeight="1">
      <x:c r="A201" s="3"/>
      <x:c r="B201" s="3"/>
      <x:c r="C201" s="3"/>
      <x:c r="D201" s="3"/>
      <x:c r="E201" s="3"/>
      <x:c r="F201" s="3"/>
      <x:c r="G201" s="3"/>
      <x:c r="H201" s="3"/>
      <x:c r="I201" s="3"/>
      <x:c r="J201" s="10" t="n">
        <x:v>46052</x:v>
      </x:c>
      <x:c r="K201" s="8" t="n">
        <x:f>INDEX('Сводка'!$S$3:$S$397,U201)</x:f>
        <x:v>-36</x:v>
      </x:c>
      <x:c r="L201" s="8" t="n">
        <x:f>INDEX('Сводка'!$S$3:$S$397,V201)</x:f>
        <x:v>-33</x:v>
      </x:c>
      <x:c r="M201" s="8" t="n">
        <x:f>INDEX($K$388:$N$400,W201,1)+INDEX($K$388:$N$400,W201,2)*LN(((J201-$T$405+1)/1000))+INDEX($O$388:$Z$400,W201,MONTH(J201))</x:f>
        <x:v>26.788553074865575</x:v>
      </x:c>
      <x:c r="N201" s="8" t="n">
        <x:f>K201-M201</x:f>
        <x:v>-62.788553074865575</x:v>
      </x:c>
      <x:c r="O201" s="8" t="n">
        <x:f>ABS(N201)</x:f>
        <x:v>62.788553074865575</x:v>
      </x:c>
      <x:c r="P201" s="8" t="n">
        <x:f>N201^2</x:f>
        <x:v>3942.402397235211</x:v>
      </x:c>
      <x:c r="Q201" s="8" t="n">
        <x:f>K201-L201</x:f>
        <x:v>-3</x:v>
      </x:c>
      <x:c r="R201" s="9" t="n">
        <x:f>IF(AND(INDEX('Сводка'!$T$3:$T$397,U201)=0,INDEX('Сводка'!$T$3:$T$397,V201)=0),1,0)</x:f>
        <x:v>1</x:v>
      </x:c>
      <x:c r="S201" s="9" t="n">
        <x:f>IF(AND(R201=1,O201&lt;=$G$13),1,0)</x:f>
        <x:v>0</x:v>
      </x:c>
      <x:c r="T201" s="10" t="n">
        <x:f>EOMONTH(J201-'Сводка'!$B$11,-1)</x:f>
        <x:v>46022</x:v>
      </x:c>
      <x:c r="U201" s="4" t="n">
        <x:f>MATCH(J201,'Сводка'!$R$3:$R$397,0)</x:f>
        <x:v>212</x:v>
      </x:c>
      <x:c r="V201" s="4" t="n">
        <x:f>MATCH(J201-'Сводка'!$B$11,'Сводка'!$R$3:$R$397,0)</x:f>
        <x:v>211</x:v>
      </x:c>
      <x:c r="W201" s="4" t="n">
        <x:f>MATCH(T201,$J$388:$J$400,0)</x:f>
        <x:v>7</x:v>
      </x:c>
      <x:c r="X201" s="3"/>
      <x:c r="Y201" s="3"/>
      <x:c r="Z201" s="3"/>
    </x:row>
    <x:row r="202" ht="15" customHeight="1">
      <x:c r="A202" s="3"/>
      <x:c r="B202" s="3"/>
      <x:c r="C202" s="3"/>
      <x:c r="D202" s="3"/>
      <x:c r="E202" s="3"/>
      <x:c r="F202" s="3"/>
      <x:c r="G202" s="3"/>
      <x:c r="H202" s="3"/>
      <x:c r="I202" s="3"/>
      <x:c r="J202" s="10" t="n">
        <x:v>46053</x:v>
      </x:c>
      <x:c r="K202" s="8" t="n">
        <x:f>INDEX('Сводка'!$S$3:$S$397,U202)</x:f>
        <x:v>-32</x:v>
      </x:c>
      <x:c r="L202" s="8" t="n">
        <x:f>INDEX('Сводка'!$S$3:$S$397,V202)</x:f>
        <x:v>-36</x:v>
      </x:c>
      <x:c r="M202" s="8" t="n">
        <x:f>INDEX($K$388:$N$400,W202,1)+INDEX($K$388:$N$400,W202,2)*LN(((J202-$T$405+1)/1000))+INDEX($O$388:$Z$400,W202,MONTH(J202))</x:f>
        <x:v>26.794338805689833</x:v>
      </x:c>
      <x:c r="N202" s="8" t="n">
        <x:f>K202-M202</x:f>
        <x:v>-58.79433880568983</x:v>
      </x:c>
      <x:c r="O202" s="8" t="n">
        <x:f>ABS(N202)</x:f>
        <x:v>58.79433880568983</x:v>
      </x:c>
      <x:c r="P202" s="8" t="n">
        <x:f>N202^2</x:f>
        <x:v>3456.7742755982454</x:v>
      </x:c>
      <x:c r="Q202" s="8" t="n">
        <x:f>K202-L202</x:f>
        <x:v>4</x:v>
      </x:c>
      <x:c r="R202" s="9" t="n">
        <x:f>IF(AND(INDEX('Сводка'!$T$3:$T$397,U202)=0,INDEX('Сводка'!$T$3:$T$397,V202)=0),1,0)</x:f>
        <x:v>1</x:v>
      </x:c>
      <x:c r="S202" s="9" t="n">
        <x:f>IF(AND(R202=1,O202&lt;=$G$13),1,0)</x:f>
        <x:v>0</x:v>
      </x:c>
      <x:c r="T202" s="10" t="n">
        <x:f>EOMONTH(J202-'Сводка'!$B$11,-1)</x:f>
        <x:v>46022</x:v>
      </x:c>
      <x:c r="U202" s="4" t="n">
        <x:f>MATCH(J202,'Сводка'!$R$3:$R$397,0)</x:f>
        <x:v>213</x:v>
      </x:c>
      <x:c r="V202" s="4" t="n">
        <x:f>MATCH(J202-'Сводка'!$B$11,'Сводка'!$R$3:$R$397,0)</x:f>
        <x:v>212</x:v>
      </x:c>
      <x:c r="W202" s="4" t="n">
        <x:f>MATCH(T202,$J$388:$J$400,0)</x:f>
        <x:v>7</x:v>
      </x:c>
      <x:c r="X202" s="3"/>
      <x:c r="Y202" s="3"/>
      <x:c r="Z202" s="3"/>
    </x:row>
    <x:row r="203" ht="15" customHeight="1">
      <x:c r="A203" s="3"/>
      <x:c r="B203" s="3"/>
      <x:c r="C203" s="3"/>
      <x:c r="D203" s="3"/>
      <x:c r="E203" s="3"/>
      <x:c r="F203" s="3"/>
      <x:c r="G203" s="3"/>
      <x:c r="H203" s="3"/>
      <x:c r="I203" s="3"/>
      <x:c r="J203" s="10" t="n">
        <x:v>46054</x:v>
      </x:c>
      <x:c r="K203" s="8" t="n">
        <x:f>INDEX('Сводка'!$S$3:$S$397,U203)</x:f>
        <x:v>-34</x:v>
      </x:c>
      <x:c r="L203" s="8" t="n">
        <x:f>INDEX('Сводка'!$S$3:$S$397,V203)</x:f>
        <x:v>-32</x:v>
      </x:c>
      <x:c r="M203" s="8" t="n">
        <x:f>INDEX($K$388:$N$400,W203,1)+INDEX($K$388:$N$400,W203,2)*LN(((J203-$T$405+1)/1000))+INDEX($O$388:$Z$400,W203,MONTH(J203))</x:f>
        <x:v>-27.650194363695405</x:v>
      </x:c>
      <x:c r="N203" s="8" t="n">
        <x:f>K203-M203</x:f>
        <x:v>-6.349805636304595</x:v>
      </x:c>
      <x:c r="O203" s="8" t="n">
        <x:f>ABS(N203)</x:f>
        <x:v>6.349805636304595</x:v>
      </x:c>
      <x:c r="P203" s="8" t="n">
        <x:f>N203^2</x:f>
        <x:v>40.3200316188456</x:v>
      </x:c>
      <x:c r="Q203" s="8" t="n">
        <x:f>K203-L203</x:f>
        <x:v>-2</x:v>
      </x:c>
      <x:c r="R203" s="9" t="n">
        <x:f>IF(AND(INDEX('Сводка'!$T$3:$T$397,U203)=0,INDEX('Сводка'!$T$3:$T$397,V203)=0),1,0)</x:f>
        <x:v>1</x:v>
      </x:c>
      <x:c r="S203" s="9" t="n">
        <x:f>IF(AND(R203=1,O203&lt;=$G$13),1,0)</x:f>
        <x:v>1</x:v>
      </x:c>
      <x:c r="T203" s="10" t="n">
        <x:f>EOMONTH(J203-'Сводка'!$B$11,-1)</x:f>
        <x:v>46022</x:v>
      </x:c>
      <x:c r="U203" s="4" t="n">
        <x:f>MATCH(J203,'Сводка'!$R$3:$R$397,0)</x:f>
        <x:v>214</x:v>
      </x:c>
      <x:c r="V203" s="4" t="n">
        <x:f>MATCH(J203-'Сводка'!$B$11,'Сводка'!$R$3:$R$397,0)</x:f>
        <x:v>213</x:v>
      </x:c>
      <x:c r="W203" s="4" t="n">
        <x:f>MATCH(T203,$J$388:$J$400,0)</x:f>
        <x:v>7</x:v>
      </x:c>
      <x:c r="X203" s="3"/>
      <x:c r="Y203" s="3"/>
      <x:c r="Z203" s="3"/>
    </x:row>
    <x:row r="204" ht="15" customHeight="1">
      <x:c r="A204" s="3"/>
      <x:c r="B204" s="3"/>
      <x:c r="C204" s="3"/>
      <x:c r="D204" s="3"/>
      <x:c r="E204" s="3"/>
      <x:c r="F204" s="3"/>
      <x:c r="G204" s="3"/>
      <x:c r="H204" s="3"/>
      <x:c r="I204" s="3"/>
      <x:c r="J204" s="10" t="n">
        <x:v>46055</x:v>
      </x:c>
      <x:c r="K204" s="8" t="n">
        <x:f>INDEX('Сводка'!$S$3:$S$397,U204)</x:f>
        <x:v>-33</x:v>
      </x:c>
      <x:c r="L204" s="8" t="n">
        <x:f>INDEX('Сводка'!$S$3:$S$397,V204)</x:f>
        <x:v>-34</x:v>
      </x:c>
      <x:c r="M204" s="8" t="n">
        <x:f>INDEX($K$388:$N$400,W204,1)+INDEX($K$388:$N$400,W204,2)*LN(((J204-$T$405+1)/1000))+INDEX($O$388:$Z$400,W204,MONTH(J204))</x:f>
        <x:v>-27.91922819688395</x:v>
      </x:c>
      <x:c r="N204" s="8" t="n">
        <x:f>K204-M204</x:f>
        <x:v>-5.0807718031160505</x:v>
      </x:c>
      <x:c r="O204" s="8" t="n">
        <x:f>ABS(N204)</x:f>
        <x:v>5.0807718031160505</x:v>
      </x:c>
      <x:c r="P204" s="8" t="n">
        <x:f>N204^2</x:f>
        <x:v>25.814242115339123</x:v>
      </x:c>
      <x:c r="Q204" s="8" t="n">
        <x:f>K204-L204</x:f>
        <x:v>1</x:v>
      </x:c>
      <x:c r="R204" s="9" t="n">
        <x:f>IF(AND(INDEX('Сводка'!$T$3:$T$397,U204)=0,INDEX('Сводка'!$T$3:$T$397,V204)=0),1,0)</x:f>
        <x:v>1</x:v>
      </x:c>
      <x:c r="S204" s="9" t="n">
        <x:f>IF(AND(R204=1,O204&lt;=$G$13),1,0)</x:f>
        <x:v>1</x:v>
      </x:c>
      <x:c r="T204" s="10" t="n">
        <x:f>EOMONTH(J204-'Сводка'!$B$11,-1)</x:f>
        <x:v>46053</x:v>
      </x:c>
      <x:c r="U204" s="4" t="n">
        <x:f>MATCH(J204,'Сводка'!$R$3:$R$397,0)</x:f>
        <x:v>215</x:v>
      </x:c>
      <x:c r="V204" s="4" t="n">
        <x:f>MATCH(J204-'Сводка'!$B$11,'Сводка'!$R$3:$R$397,0)</x:f>
        <x:v>214</x:v>
      </x:c>
      <x:c r="W204" s="4" t="n">
        <x:f>MATCH(T204,$J$388:$J$400,0)</x:f>
        <x:v>8</x:v>
      </x:c>
      <x:c r="X204" s="3"/>
      <x:c r="Y204" s="3"/>
      <x:c r="Z204" s="3"/>
    </x:row>
    <x:row r="205" ht="15" customHeight="1">
      <x:c r="A205" s="3"/>
      <x:c r="B205" s="3"/>
      <x:c r="C205" s="3"/>
      <x:c r="D205" s="3"/>
      <x:c r="E205" s="3"/>
      <x:c r="F205" s="3"/>
      <x:c r="G205" s="3"/>
      <x:c r="H205" s="3"/>
      <x:c r="I205" s="3"/>
      <x:c r="J205" s="10" t="n">
        <x:v>46056</x:v>
      </x:c>
      <x:c r="K205" s="8" t="n">
        <x:f>INDEX('Сводка'!$S$3:$S$397,U205)</x:f>
        <x:v>-36</x:v>
      </x:c>
      <x:c r="L205" s="8" t="n">
        <x:f>INDEX('Сводка'!$S$3:$S$397,V205)</x:f>
        <x:v>-33</x:v>
      </x:c>
      <x:c r="M205" s="8" t="n">
        <x:f>INDEX($K$388:$N$400,W205,1)+INDEX($K$388:$N$400,W205,2)*LN(((J205-$T$405+1)/1000))+INDEX($O$388:$Z$400,W205,MONTH(J205))</x:f>
        <x:v>-27.913470063900434</x:v>
      </x:c>
      <x:c r="N205" s="8" t="n">
        <x:f>K205-M205</x:f>
        <x:v>-8.086529936099566</x:v>
      </x:c>
      <x:c r="O205" s="8" t="n">
        <x:f>ABS(N205)</x:f>
        <x:v>8.086529936099566</x:v>
      </x:c>
      <x:c r="P205" s="8" t="n">
        <x:f>N205^2</x:f>
        <x:v>65.39196640743445</x:v>
      </x:c>
      <x:c r="Q205" s="8" t="n">
        <x:f>K205-L205</x:f>
        <x:v>-3</x:v>
      </x:c>
      <x:c r="R205" s="9" t="n">
        <x:f>IF(AND(INDEX('Сводка'!$T$3:$T$397,U205)=0,INDEX('Сводка'!$T$3:$T$397,V205)=0),1,0)</x:f>
        <x:v>1</x:v>
      </x:c>
      <x:c r="S205" s="9" t="n">
        <x:f>IF(AND(R205=1,O205&lt;=$G$13),1,0)</x:f>
        <x:v>0</x:v>
      </x:c>
      <x:c r="T205" s="10" t="n">
        <x:f>EOMONTH(J205-'Сводка'!$B$11,-1)</x:f>
        <x:v>46053</x:v>
      </x:c>
      <x:c r="U205" s="4" t="n">
        <x:f>MATCH(J205,'Сводка'!$R$3:$R$397,0)</x:f>
        <x:v>216</x:v>
      </x:c>
      <x:c r="V205" s="4" t="n">
        <x:f>MATCH(J205-'Сводка'!$B$11,'Сводка'!$R$3:$R$397,0)</x:f>
        <x:v>215</x:v>
      </x:c>
      <x:c r="W205" s="4" t="n">
        <x:f>MATCH(T205,$J$388:$J$400,0)</x:f>
        <x:v>8</x:v>
      </x:c>
      <x:c r="X205" s="3"/>
      <x:c r="Y205" s="3"/>
      <x:c r="Z205" s="3"/>
    </x:row>
    <x:row r="206" ht="15" customHeight="1">
      <x:c r="A206" s="3"/>
      <x:c r="B206" s="3"/>
      <x:c r="C206" s="3"/>
      <x:c r="D206" s="3"/>
      <x:c r="E206" s="3"/>
      <x:c r="F206" s="3"/>
      <x:c r="G206" s="3"/>
      <x:c r="H206" s="3"/>
      <x:c r="I206" s="3"/>
      <x:c r="J206" s="10" t="n">
        <x:v>46057</x:v>
      </x:c>
      <x:c r="K206" s="8" t="n">
        <x:f>INDEX('Сводка'!$S$3:$S$397,U206)</x:f>
        <x:v>-34</x:v>
      </x:c>
      <x:c r="L206" s="8" t="n">
        <x:f>INDEX('Сводка'!$S$3:$S$397,V206)</x:f>
        <x:v>-36</x:v>
      </x:c>
      <x:c r="M206" s="8" t="n">
        <x:f>INDEX($K$388:$N$400,W206,1)+INDEX($K$388:$N$400,W206,2)*LN(((J206-$T$405+1)/1000))+INDEX($O$388:$Z$400,W206,MONTH(J206))</x:f>
        <x:v>-27.907712585213062</x:v>
      </x:c>
      <x:c r="N206" s="8" t="n">
        <x:f>K206-M206</x:f>
        <x:v>-6.092287414786938</x:v>
      </x:c>
      <x:c r="O206" s="8" t="n">
        <x:f>ABS(N206)</x:f>
        <x:v>6.092287414786938</x:v>
      </x:c>
      <x:c r="P206" s="8" t="n">
        <x:f>N206^2</x:f>
        <x:v>37.11596594437131</x:v>
      </x:c>
      <x:c r="Q206" s="8" t="n">
        <x:f>K206-L206</x:f>
        <x:v>2</x:v>
      </x:c>
      <x:c r="R206" s="9" t="n">
        <x:f>IF(AND(INDEX('Сводка'!$T$3:$T$397,U206)=0,INDEX('Сводка'!$T$3:$T$397,V206)=0),1,0)</x:f>
        <x:v>1</x:v>
      </x:c>
      <x:c r="S206" s="9" t="n">
        <x:f>IF(AND(R206=1,O206&lt;=$G$13),1,0)</x:f>
        <x:v>1</x:v>
      </x:c>
      <x:c r="T206" s="10" t="n">
        <x:f>EOMONTH(J206-'Сводка'!$B$11,-1)</x:f>
        <x:v>46053</x:v>
      </x:c>
      <x:c r="U206" s="4" t="n">
        <x:f>MATCH(J206,'Сводка'!$R$3:$R$397,0)</x:f>
        <x:v>217</x:v>
      </x:c>
      <x:c r="V206" s="4" t="n">
        <x:f>MATCH(J206-'Сводка'!$B$11,'Сводка'!$R$3:$R$397,0)</x:f>
        <x:v>216</x:v>
      </x:c>
      <x:c r="W206" s="4" t="n">
        <x:f>MATCH(T206,$J$388:$J$400,0)</x:f>
        <x:v>8</x:v>
      </x:c>
      <x:c r="X206" s="3"/>
      <x:c r="Y206" s="3"/>
      <x:c r="Z206" s="3"/>
    </x:row>
    <x:row r="207" ht="15" customHeight="1">
      <x:c r="A207" s="3"/>
      <x:c r="B207" s="3"/>
      <x:c r="C207" s="3"/>
      <x:c r="D207" s="3"/>
      <x:c r="E207" s="3"/>
      <x:c r="F207" s="3"/>
      <x:c r="G207" s="3"/>
      <x:c r="H207" s="3"/>
      <x:c r="I207" s="3"/>
      <x:c r="J207" s="10" t="n">
        <x:v>46058</x:v>
      </x:c>
      <x:c r="K207" s="8" t="n">
        <x:f>INDEX('Сводка'!$S$3:$S$397,U207)</x:f>
        <x:v>-35</x:v>
      </x:c>
      <x:c r="L207" s="8" t="n">
        <x:f>INDEX('Сводка'!$S$3:$S$397,V207)</x:f>
        <x:v>-34</x:v>
      </x:c>
      <x:c r="M207" s="8" t="n">
        <x:f>INDEX($K$388:$N$400,W207,1)+INDEX($K$388:$N$400,W207,2)*LN(((J207-$T$405+1)/1000))+INDEX($O$388:$Z$400,W207,MONTH(J207))</x:f>
        <x:v>-27.901955760673104</x:v>
      </x:c>
      <x:c r="N207" s="8" t="n">
        <x:f>K207-M207</x:f>
        <x:v>-7.098044239326896</x:v>
      </x:c>
      <x:c r="O207" s="8" t="n">
        <x:f>ABS(N207)</x:f>
        <x:v>7.098044239326896</x:v>
      </x:c>
      <x:c r="P207" s="8" t="n">
        <x:f>N207^2</x:f>
        <x:v>50.38223202344173</x:v>
      </x:c>
      <x:c r="Q207" s="8" t="n">
        <x:f>K207-L207</x:f>
        <x:v>-1</x:v>
      </x:c>
      <x:c r="R207" s="9" t="n">
        <x:f>IF(AND(INDEX('Сводка'!$T$3:$T$397,U207)=0,INDEX('Сводка'!$T$3:$T$397,V207)=0),1,0)</x:f>
        <x:v>1</x:v>
      </x:c>
      <x:c r="S207" s="9" t="n">
        <x:f>IF(AND(R207=1,O207&lt;=$G$13),1,0)</x:f>
        <x:v>1</x:v>
      </x:c>
      <x:c r="T207" s="10" t="n">
        <x:f>EOMONTH(J207-'Сводка'!$B$11,-1)</x:f>
        <x:v>46053</x:v>
      </x:c>
      <x:c r="U207" s="4" t="n">
        <x:f>MATCH(J207,'Сводка'!$R$3:$R$397,0)</x:f>
        <x:v>218</x:v>
      </x:c>
      <x:c r="V207" s="4" t="n">
        <x:f>MATCH(J207-'Сводка'!$B$11,'Сводка'!$R$3:$R$397,0)</x:f>
        <x:v>217</x:v>
      </x:c>
      <x:c r="W207" s="4" t="n">
        <x:f>MATCH(T207,$J$388:$J$400,0)</x:f>
        <x:v>8</x:v>
      </x:c>
      <x:c r="X207" s="3"/>
      <x:c r="Y207" s="3"/>
      <x:c r="Z207" s="3"/>
    </x:row>
    <x:row r="208" ht="15" customHeight="1">
      <x:c r="A208" s="3"/>
      <x:c r="B208" s="3"/>
      <x:c r="C208" s="3"/>
      <x:c r="D208" s="3"/>
      <x:c r="E208" s="3"/>
      <x:c r="F208" s="3"/>
      <x:c r="G208" s="3"/>
      <x:c r="H208" s="3"/>
      <x:c r="I208" s="3"/>
      <x:c r="J208" s="10" t="n">
        <x:v>46059</x:v>
      </x:c>
      <x:c r="K208" s="8" t="n">
        <x:f>INDEX('Сводка'!$S$3:$S$397,U208)</x:f>
        <x:v>-38</x:v>
      </x:c>
      <x:c r="L208" s="8" t="n">
        <x:f>INDEX('Сводка'!$S$3:$S$397,V208)</x:f>
        <x:v>-35</x:v>
      </x:c>
      <x:c r="M208" s="8" t="n">
        <x:f>INDEX($K$388:$N$400,W208,1)+INDEX($K$388:$N$400,W208,2)*LN(((J208-$T$405+1)/1000))+INDEX($O$388:$Z$400,W208,MONTH(J208))</x:f>
        <x:v>-27.89619959013197</x:v>
      </x:c>
      <x:c r="N208" s="8" t="n">
        <x:f>K208-M208</x:f>
        <x:v>-10.103800409868029</x:v>
      </x:c>
      <x:c r="O208" s="8" t="n">
        <x:f>ABS(N208)</x:f>
        <x:v>10.103800409868029</x:v>
      </x:c>
      <x:c r="P208" s="8" t="n">
        <x:f>N208^2</x:f>
        <x:v>102.08678272244936</x:v>
      </x:c>
      <x:c r="Q208" s="8" t="n">
        <x:f>K208-L208</x:f>
        <x:v>-3</x:v>
      </x:c>
      <x:c r="R208" s="9" t="n">
        <x:f>IF(AND(INDEX('Сводка'!$T$3:$T$397,U208)=0,INDEX('Сводка'!$T$3:$T$397,V208)=0),1,0)</x:f>
        <x:v>1</x:v>
      </x:c>
      <x:c r="S208" s="9" t="n">
        <x:f>IF(AND(R208=1,O208&lt;=$G$13),1,0)</x:f>
        <x:v>0</x:v>
      </x:c>
      <x:c r="T208" s="10" t="n">
        <x:f>EOMONTH(J208-'Сводка'!$B$11,-1)</x:f>
        <x:v>46053</x:v>
      </x:c>
      <x:c r="U208" s="4" t="n">
        <x:f>MATCH(J208,'Сводка'!$R$3:$R$397,0)</x:f>
        <x:v>219</x:v>
      </x:c>
      <x:c r="V208" s="4" t="n">
        <x:f>MATCH(J208-'Сводка'!$B$11,'Сводка'!$R$3:$R$397,0)</x:f>
        <x:v>218</x:v>
      </x:c>
      <x:c r="W208" s="4" t="n">
        <x:f>MATCH(T208,$J$388:$J$400,0)</x:f>
        <x:v>8</x:v>
      </x:c>
      <x:c r="X208" s="3"/>
      <x:c r="Y208" s="3"/>
      <x:c r="Z208" s="3"/>
    </x:row>
    <x:row r="209" ht="15" customHeight="1">
      <x:c r="A209" s="3"/>
      <x:c r="B209" s="3"/>
      <x:c r="C209" s="3"/>
      <x:c r="D209" s="3"/>
      <x:c r="E209" s="3"/>
      <x:c r="F209" s="3"/>
      <x:c r="G209" s="3"/>
      <x:c r="H209" s="3"/>
      <x:c r="I209" s="3"/>
      <x:c r="J209" s="10" t="n">
        <x:v>46060</x:v>
      </x:c>
      <x:c r="K209" s="8" t="n">
        <x:f>INDEX('Сводка'!$S$3:$S$397,U209)</x:f>
        <x:v>-41</x:v>
      </x:c>
      <x:c r="L209" s="8" t="n">
        <x:f>INDEX('Сводка'!$S$3:$S$397,V209)</x:f>
        <x:v>-38</x:v>
      </x:c>
      <x:c r="M209" s="8" t="n">
        <x:f>INDEX($K$388:$N$400,W209,1)+INDEX($K$388:$N$400,W209,2)*LN(((J209-$T$405+1)/1000))+INDEX($O$388:$Z$400,W209,MONTH(J209))</x:f>
        <x:v>-27.890444073441074</x:v>
      </x:c>
      <x:c r="N209" s="8" t="n">
        <x:f>K209-M209</x:f>
        <x:v>-13.109555926558926</x:v>
      </x:c>
      <x:c r="O209" s="8" t="n">
        <x:f>ABS(N209)</x:f>
        <x:v>13.109555926558926</x:v>
      </x:c>
      <x:c r="P209" s="8" t="n">
        <x:f>N209^2</x:f>
        <x:v>171.86045659157625</x:v>
      </x:c>
      <x:c r="Q209" s="8" t="n">
        <x:f>K209-L209</x:f>
        <x:v>-3</x:v>
      </x:c>
      <x:c r="R209" s="9" t="n">
        <x:f>IF(AND(INDEX('Сводка'!$T$3:$T$397,U209)=0,INDEX('Сводка'!$T$3:$T$397,V209)=0),1,0)</x:f>
        <x:v>1</x:v>
      </x:c>
      <x:c r="S209" s="9" t="n">
        <x:f>IF(AND(R209=1,O209&lt;=$G$13),1,0)</x:f>
        <x:v>0</x:v>
      </x:c>
      <x:c r="T209" s="10" t="n">
        <x:f>EOMONTH(J209-'Сводка'!$B$11,-1)</x:f>
        <x:v>46053</x:v>
      </x:c>
      <x:c r="U209" s="4" t="n">
        <x:f>MATCH(J209,'Сводка'!$R$3:$R$397,0)</x:f>
        <x:v>220</x:v>
      </x:c>
      <x:c r="V209" s="4" t="n">
        <x:f>MATCH(J209-'Сводка'!$B$11,'Сводка'!$R$3:$R$397,0)</x:f>
        <x:v>219</x:v>
      </x:c>
      <x:c r="W209" s="4" t="n">
        <x:f>MATCH(T209,$J$388:$J$400,0)</x:f>
        <x:v>8</x:v>
      </x:c>
      <x:c r="X209" s="3"/>
      <x:c r="Y209" s="3"/>
      <x:c r="Z209" s="3"/>
    </x:row>
    <x:row r="210" ht="15" customHeight="1">
      <x:c r="A210" s="3"/>
      <x:c r="B210" s="3"/>
      <x:c r="C210" s="3"/>
      <x:c r="D210" s="3"/>
      <x:c r="E210" s="3"/>
      <x:c r="F210" s="3"/>
      <x:c r="G210" s="3"/>
      <x:c r="H210" s="3"/>
      <x:c r="I210" s="3"/>
      <x:c r="J210" s="10" t="n">
        <x:v>46061</x:v>
      </x:c>
      <x:c r="K210" s="8" t="n">
        <x:f>INDEX('Сводка'!$S$3:$S$397,U210)</x:f>
        <x:v>-43</x:v>
      </x:c>
      <x:c r="L210" s="8" t="n">
        <x:f>INDEX('Сводка'!$S$3:$S$397,V210)</x:f>
        <x:v>-41</x:v>
      </x:c>
      <x:c r="M210" s="8" t="n">
        <x:f>INDEX($K$388:$N$400,W210,1)+INDEX($K$388:$N$400,W210,2)*LN(((J210-$T$405+1)/1000))+INDEX($O$388:$Z$400,W210,MONTH(J210))</x:f>
        <x:v>-27.88468921045188</x:v>
      </x:c>
      <x:c r="N210" s="8" t="n">
        <x:f>K210-M210</x:f>
        <x:v>-15.115310789548118</x:v>
      </x:c>
      <x:c r="O210" s="8" t="n">
        <x:f>ABS(N210)</x:f>
        <x:v>15.115310789548118</x:v>
      </x:c>
      <x:c r="P210" s="8" t="n">
        <x:f>N210^2</x:f>
        <x:v>228.47262026462977</x:v>
      </x:c>
      <x:c r="Q210" s="8" t="n">
        <x:f>K210-L210</x:f>
        <x:v>-2</x:v>
      </x:c>
      <x:c r="R210" s="9" t="n">
        <x:f>IF(AND(INDEX('Сводка'!$T$3:$T$397,U210)=0,INDEX('Сводка'!$T$3:$T$397,V210)=0),1,0)</x:f>
        <x:v>1</x:v>
      </x:c>
      <x:c r="S210" s="9" t="n">
        <x:f>IF(AND(R210=1,O210&lt;=$G$13),1,0)</x:f>
        <x:v>0</x:v>
      </x:c>
      <x:c r="T210" s="10" t="n">
        <x:f>EOMONTH(J210-'Сводка'!$B$11,-1)</x:f>
        <x:v>46053</x:v>
      </x:c>
      <x:c r="U210" s="4" t="n">
        <x:f>MATCH(J210,'Сводка'!$R$3:$R$397,0)</x:f>
        <x:v>221</x:v>
      </x:c>
      <x:c r="V210" s="4" t="n">
        <x:f>MATCH(J210-'Сводка'!$B$11,'Сводка'!$R$3:$R$397,0)</x:f>
        <x:v>220</x:v>
      </x:c>
      <x:c r="W210" s="4" t="n">
        <x:f>MATCH(T210,$J$388:$J$400,0)</x:f>
        <x:v>8</x:v>
      </x:c>
      <x:c r="X210" s="3"/>
      <x:c r="Y210" s="3"/>
      <x:c r="Z210" s="3"/>
    </x:row>
    <x:row r="211" ht="15" customHeight="1">
      <x:c r="A211" s="3"/>
      <x:c r="B211" s="3"/>
      <x:c r="C211" s="3"/>
      <x:c r="D211" s="3"/>
      <x:c r="E211" s="3"/>
      <x:c r="F211" s="3"/>
      <x:c r="G211" s="3"/>
      <x:c r="H211" s="3"/>
      <x:c r="I211" s="3"/>
      <x:c r="J211" s="10" t="n">
        <x:v>46062</x:v>
      </x:c>
      <x:c r="K211" s="8" t="n">
        <x:f>INDEX('Сводка'!$S$3:$S$397,U211)</x:f>
        <x:v>-43</x:v>
      </x:c>
      <x:c r="L211" s="8" t="n">
        <x:f>INDEX('Сводка'!$S$3:$S$397,V211)</x:f>
        <x:v>-43</x:v>
      </x:c>
      <x:c r="M211" s="8" t="n">
        <x:f>INDEX($K$388:$N$400,W211,1)+INDEX($K$388:$N$400,W211,2)*LN(((J211-$T$405+1)/1000))+INDEX($O$388:$Z$400,W211,MONTH(J211))</x:f>
        <x:v>-27.878935001015932</x:v>
      </x:c>
      <x:c r="N211" s="8" t="n">
        <x:f>K211-M211</x:f>
        <x:v>-15.121064998984068</x:v>
      </x:c>
      <x:c r="O211" s="8" t="n">
        <x:f>ABS(N211)</x:f>
        <x:v>15.121064998984068</x:v>
      </x:c>
      <x:c r="P211" s="8" t="n">
        <x:f>N211^2</x:f>
        <x:v>228.64660670350105</x:v>
      </x:c>
      <x:c r="Q211" s="8" t="n">
        <x:f>K211-L211</x:f>
        <x:v>0</x:v>
      </x:c>
      <x:c r="R211" s="9" t="n">
        <x:f>IF(AND(INDEX('Сводка'!$T$3:$T$397,U211)=0,INDEX('Сводка'!$T$3:$T$397,V211)=0),1,0)</x:f>
        <x:v>1</x:v>
      </x:c>
      <x:c r="S211" s="9" t="n">
        <x:f>IF(AND(R211=1,O211&lt;=$G$13),1,0)</x:f>
        <x:v>0</x:v>
      </x:c>
      <x:c r="T211" s="10" t="n">
        <x:f>EOMONTH(J211-'Сводка'!$B$11,-1)</x:f>
        <x:v>46053</x:v>
      </x:c>
      <x:c r="U211" s="4" t="n">
        <x:f>MATCH(J211,'Сводка'!$R$3:$R$397,0)</x:f>
        <x:v>222</x:v>
      </x:c>
      <x:c r="V211" s="4" t="n">
        <x:f>MATCH(J211-'Сводка'!$B$11,'Сводка'!$R$3:$R$397,0)</x:f>
        <x:v>221</x:v>
      </x:c>
      <x:c r="W211" s="4" t="n">
        <x:f>MATCH(T211,$J$388:$J$400,0)</x:f>
        <x:v>8</x:v>
      </x:c>
      <x:c r="X211" s="3"/>
      <x:c r="Y211" s="3"/>
      <x:c r="Z211" s="3"/>
    </x:row>
    <x:row r="212" ht="15" customHeight="1">
      <x:c r="A212" s="3"/>
      <x:c r="B212" s="3"/>
      <x:c r="C212" s="3"/>
      <x:c r="D212" s="3"/>
      <x:c r="E212" s="3"/>
      <x:c r="F212" s="3"/>
      <x:c r="G212" s="3"/>
      <x:c r="H212" s="3"/>
      <x:c r="I212" s="3"/>
      <x:c r="J212" s="10" t="n">
        <x:v>46063</x:v>
      </x:c>
      <x:c r="K212" s="8" t="n">
        <x:f>INDEX('Сводка'!$S$3:$S$397,U212)</x:f>
        <x:v>-44</x:v>
      </x:c>
      <x:c r="L212" s="8" t="n">
        <x:f>INDEX('Сводка'!$S$3:$S$397,V212)</x:f>
        <x:v>-43</x:v>
      </x:c>
      <x:c r="M212" s="8" t="n">
        <x:f>INDEX($K$388:$N$400,W212,1)+INDEX($K$388:$N$400,W212,2)*LN(((J212-$T$405+1)/1000))+INDEX($O$388:$Z$400,W212,MONTH(J212))</x:f>
        <x:v>-27.87318144498478</x:v>
      </x:c>
      <x:c r="N212" s="8" t="n">
        <x:f>K212-M212</x:f>
        <x:v>-16.12681855501522</x:v>
      </x:c>
      <x:c r="O212" s="8" t="n">
        <x:f>ABS(N212)</x:f>
        <x:v>16.12681855501522</x:v>
      </x:c>
      <x:c r="P212" s="8" t="n">
        <x:f>N212^2</x:f>
        <x:v>260.07427670638316</x:v>
      </x:c>
      <x:c r="Q212" s="8" t="n">
        <x:f>K212-L212</x:f>
        <x:v>-1</x:v>
      </x:c>
      <x:c r="R212" s="9" t="n">
        <x:f>IF(AND(INDEX('Сводка'!$T$3:$T$397,U212)=0,INDEX('Сводка'!$T$3:$T$397,V212)=0),1,0)</x:f>
        <x:v>1</x:v>
      </x:c>
      <x:c r="S212" s="9" t="n">
        <x:f>IF(AND(R212=1,O212&lt;=$G$13),1,0)</x:f>
        <x:v>0</x:v>
      </x:c>
      <x:c r="T212" s="10" t="n">
        <x:f>EOMONTH(J212-'Сводка'!$B$11,-1)</x:f>
        <x:v>46053</x:v>
      </x:c>
      <x:c r="U212" s="4" t="n">
        <x:f>MATCH(J212,'Сводка'!$R$3:$R$397,0)</x:f>
        <x:v>223</x:v>
      </x:c>
      <x:c r="V212" s="4" t="n">
        <x:f>MATCH(J212-'Сводка'!$B$11,'Сводка'!$R$3:$R$397,0)</x:f>
        <x:v>222</x:v>
      </x:c>
      <x:c r="W212" s="4" t="n">
        <x:f>MATCH(T212,$J$388:$J$400,0)</x:f>
        <x:v>8</x:v>
      </x:c>
      <x:c r="X212" s="3"/>
      <x:c r="Y212" s="3"/>
      <x:c r="Z212" s="3"/>
    </x:row>
    <x:row r="213" ht="15" customHeight="1">
      <x:c r="A213" s="3"/>
      <x:c r="B213" s="3"/>
      <x:c r="C213" s="3"/>
      <x:c r="D213" s="3"/>
      <x:c r="E213" s="3"/>
      <x:c r="F213" s="3"/>
      <x:c r="G213" s="3"/>
      <x:c r="H213" s="3"/>
      <x:c r="I213" s="3"/>
      <x:c r="J213" s="10" t="n">
        <x:v>46064</x:v>
      </x:c>
      <x:c r="K213" s="8" t="n">
        <x:f>INDEX('Сводка'!$S$3:$S$397,U213)</x:f>
        <x:v>-44</x:v>
      </x:c>
      <x:c r="L213" s="8" t="n">
        <x:f>INDEX('Сводка'!$S$3:$S$397,V213)</x:f>
        <x:v>-44</x:v>
      </x:c>
      <x:c r="M213" s="8" t="n">
        <x:f>INDEX($K$388:$N$400,W213,1)+INDEX($K$388:$N$400,W213,2)*LN(((J213-$T$405+1)/1000))+INDEX($O$388:$Z$400,W213,MONTH(J213))</x:f>
        <x:v>-27.867428542210078</x:v>
      </x:c>
      <x:c r="N213" s="8" t="n">
        <x:f>K213-M213</x:f>
        <x:v>-16.132571457789922</x:v>
      </x:c>
      <x:c r="O213" s="8" t="n">
        <x:f>ABS(N213)</x:f>
        <x:v>16.132571457789922</x:v>
      </x:c>
      <x:c r="P213" s="8" t="n">
        <x:f>N213^2</x:f>
        <x:v>260.259861840698</x:v>
      </x:c>
      <x:c r="Q213" s="8" t="n">
        <x:f>K213-L213</x:f>
        <x:v>0</x:v>
      </x:c>
      <x:c r="R213" s="9" t="n">
        <x:f>IF(AND(INDEX('Сводка'!$T$3:$T$397,U213)=0,INDEX('Сводка'!$T$3:$T$397,V213)=0),1,0)</x:f>
        <x:v>1</x:v>
      </x:c>
      <x:c r="S213" s="9" t="n">
        <x:f>IF(AND(R213=1,O213&lt;=$G$13),1,0)</x:f>
        <x:v>0</x:v>
      </x:c>
      <x:c r="T213" s="10" t="n">
        <x:f>EOMONTH(J213-'Сводка'!$B$11,-1)</x:f>
        <x:v>46053</x:v>
      </x:c>
      <x:c r="U213" s="4" t="n">
        <x:f>MATCH(J213,'Сводка'!$R$3:$R$397,0)</x:f>
        <x:v>224</x:v>
      </x:c>
      <x:c r="V213" s="4" t="n">
        <x:f>MATCH(J213-'Сводка'!$B$11,'Сводка'!$R$3:$R$397,0)</x:f>
        <x:v>223</x:v>
      </x:c>
      <x:c r="W213" s="4" t="n">
        <x:f>MATCH(T213,$J$388:$J$400,0)</x:f>
        <x:v>8</x:v>
      </x:c>
      <x:c r="X213" s="3"/>
      <x:c r="Y213" s="3"/>
      <x:c r="Z213" s="3"/>
    </x:row>
    <x:row r="214" ht="15" customHeight="1">
      <x:c r="A214" s="3"/>
      <x:c r="B214" s="3"/>
      <x:c r="C214" s="3"/>
      <x:c r="D214" s="3"/>
      <x:c r="E214" s="3"/>
      <x:c r="F214" s="3"/>
      <x:c r="G214" s="3"/>
      <x:c r="H214" s="3"/>
      <x:c r="I214" s="3"/>
      <x:c r="J214" s="10" t="n">
        <x:v>46065</x:v>
      </x:c>
      <x:c r="K214" s="8" t="n">
        <x:f>INDEX('Сводка'!$S$3:$S$397,U214)</x:f>
        <x:v>-44</x:v>
      </x:c>
      <x:c r="L214" s="8" t="n">
        <x:f>INDEX('Сводка'!$S$3:$S$397,V214)</x:f>
        <x:v>-44</x:v>
      </x:c>
      <x:c r="M214" s="8" t="n">
        <x:f>INDEX($K$388:$N$400,W214,1)+INDEX($K$388:$N$400,W214,2)*LN(((J214-$T$405+1)/1000))+INDEX($O$388:$Z$400,W214,MONTH(J214))</x:f>
        <x:v>-27.86167629254348</x:v>
      </x:c>
      <x:c r="N214" s="8" t="n">
        <x:f>K214-M214</x:f>
        <x:v>-16.13832370745652</x:v>
      </x:c>
      <x:c r="O214" s="8" t="n">
        <x:f>ABS(N214)</x:f>
        <x:v>16.13832370745652</x:v>
      </x:c>
      <x:c r="P214" s="8" t="n">
        <x:f>N214^2</x:f>
        <x:v>260.4454920866532</x:v>
      </x:c>
      <x:c r="Q214" s="8" t="n">
        <x:f>K214-L214</x:f>
        <x:v>0</x:v>
      </x:c>
      <x:c r="R214" s="9" t="n">
        <x:f>IF(AND(INDEX('Сводка'!$T$3:$T$397,U214)=0,INDEX('Сводка'!$T$3:$T$397,V214)=0),1,0)</x:f>
        <x:v>1</x:v>
      </x:c>
      <x:c r="S214" s="9" t="n">
        <x:f>IF(AND(R214=1,O214&lt;=$G$13),1,0)</x:f>
        <x:v>0</x:v>
      </x:c>
      <x:c r="T214" s="10" t="n">
        <x:f>EOMONTH(J214-'Сводка'!$B$11,-1)</x:f>
        <x:v>46053</x:v>
      </x:c>
      <x:c r="U214" s="4" t="n">
        <x:f>MATCH(J214,'Сводка'!$R$3:$R$397,0)</x:f>
        <x:v>225</x:v>
      </x:c>
      <x:c r="V214" s="4" t="n">
        <x:f>MATCH(J214-'Сводка'!$B$11,'Сводка'!$R$3:$R$397,0)</x:f>
        <x:v>224</x:v>
      </x:c>
      <x:c r="W214" s="4" t="n">
        <x:f>MATCH(T214,$J$388:$J$400,0)</x:f>
        <x:v>8</x:v>
      </x:c>
      <x:c r="X214" s="3"/>
      <x:c r="Y214" s="3"/>
      <x:c r="Z214" s="3"/>
    </x:row>
    <x:row r="215" ht="15" customHeight="1">
      <x:c r="A215" s="3"/>
      <x:c r="B215" s="3"/>
      <x:c r="C215" s="3"/>
      <x:c r="D215" s="3"/>
      <x:c r="E215" s="3"/>
      <x:c r="F215" s="3"/>
      <x:c r="G215" s="3"/>
      <x:c r="H215" s="3"/>
      <x:c r="I215" s="3"/>
      <x:c r="J215" s="10" t="n">
        <x:v>46066</x:v>
      </x:c>
      <x:c r="K215" s="8" t="n">
        <x:f>INDEX('Сводка'!$S$3:$S$397,U215)</x:f>
        <x:v>-41</x:v>
      </x:c>
      <x:c r="L215" s="8" t="n">
        <x:f>INDEX('Сводка'!$S$3:$S$397,V215)</x:f>
        <x:v>-44</x:v>
      </x:c>
      <x:c r="M215" s="8" t="n">
        <x:f>INDEX($K$388:$N$400,W215,1)+INDEX($K$388:$N$400,W215,2)*LN(((J215-$T$405+1)/1000))+INDEX($O$388:$Z$400,W215,MONTH(J215))</x:f>
        <x:v>-27.85592469583672</x:v>
      </x:c>
      <x:c r="N215" s="8" t="n">
        <x:f>K215-M215</x:f>
        <x:v>-13.14407530416328</x:v>
      </x:c>
      <x:c r="O215" s="8" t="n">
        <x:f>ABS(N215)</x:f>
        <x:v>13.14407530416328</x:v>
      </x:c>
      <x:c r="P215" s="8" t="n">
        <x:f>N215^2</x:f>
        <x:v>172.76671560151502</x:v>
      </x:c>
      <x:c r="Q215" s="8" t="n">
        <x:f>K215-L215</x:f>
        <x:v>3</x:v>
      </x:c>
      <x:c r="R215" s="9" t="n">
        <x:f>IF(AND(INDEX('Сводка'!$T$3:$T$397,U215)=0,INDEX('Сводка'!$T$3:$T$397,V215)=0),1,0)</x:f>
        <x:v>1</x:v>
      </x:c>
      <x:c r="S215" s="9" t="n">
        <x:f>IF(AND(R215=1,O215&lt;=$G$13),1,0)</x:f>
        <x:v>0</x:v>
      </x:c>
      <x:c r="T215" s="10" t="n">
        <x:f>EOMONTH(J215-'Сводка'!$B$11,-1)</x:f>
        <x:v>46053</x:v>
      </x:c>
      <x:c r="U215" s="4" t="n">
        <x:f>MATCH(J215,'Сводка'!$R$3:$R$397,0)</x:f>
        <x:v>226</x:v>
      </x:c>
      <x:c r="V215" s="4" t="n">
        <x:f>MATCH(J215-'Сводка'!$B$11,'Сводка'!$R$3:$R$397,0)</x:f>
        <x:v>225</x:v>
      </x:c>
      <x:c r="W215" s="4" t="n">
        <x:f>MATCH(T215,$J$388:$J$400,0)</x:f>
        <x:v>8</x:v>
      </x:c>
      <x:c r="X215" s="3"/>
      <x:c r="Y215" s="3"/>
      <x:c r="Z215" s="3"/>
    </x:row>
    <x:row r="216" ht="15" customHeight="1">
      <x:c r="A216" s="3"/>
      <x:c r="B216" s="3"/>
      <x:c r="C216" s="3"/>
      <x:c r="D216" s="3"/>
      <x:c r="E216" s="3"/>
      <x:c r="F216" s="3"/>
      <x:c r="G216" s="3"/>
      <x:c r="H216" s="3"/>
      <x:c r="I216" s="3"/>
      <x:c r="J216" s="10" t="n">
        <x:v>46067</x:v>
      </x:c>
      <x:c r="K216" s="8" t="n">
        <x:f>INDEX('Сводка'!$S$3:$S$397,U216)</x:f>
        <x:v>-39</x:v>
      </x:c>
      <x:c r="L216" s="8" t="n">
        <x:f>INDEX('Сводка'!$S$3:$S$397,V216)</x:f>
        <x:v>-41</x:v>
      </x:c>
      <x:c r="M216" s="8" t="n">
        <x:f>INDEX($K$388:$N$400,W216,1)+INDEX($K$388:$N$400,W216,2)*LN(((J216-$T$405+1)/1000))+INDEX($O$388:$Z$400,W216,MONTH(J216))</x:f>
        <x:v>-27.85017375194157</x:v>
      </x:c>
      <x:c r="N216" s="8" t="n">
        <x:f>K216-M216</x:f>
        <x:v>-11.149826248058432</x:v>
      </x:c>
      <x:c r="O216" s="8" t="n">
        <x:f>ABS(N216)</x:f>
        <x:v>11.149826248058432</x:v>
      </x:c>
      <x:c r="P216" s="8" t="n">
        <x:f>N216^2</x:f>
        <x:v>124.31862536189276</x:v>
      </x:c>
      <x:c r="Q216" s="8" t="n">
        <x:f>K216-L216</x:f>
        <x:v>2</x:v>
      </x:c>
      <x:c r="R216" s="9" t="n">
        <x:f>IF(AND(INDEX('Сводка'!$T$3:$T$397,U216)=0,INDEX('Сводка'!$T$3:$T$397,V216)=0),1,0)</x:f>
        <x:v>1</x:v>
      </x:c>
      <x:c r="S216" s="9" t="n">
        <x:f>IF(AND(R216=1,O216&lt;=$G$13),1,0)</x:f>
        <x:v>0</x:v>
      </x:c>
      <x:c r="T216" s="10" t="n">
        <x:f>EOMONTH(J216-'Сводка'!$B$11,-1)</x:f>
        <x:v>46053</x:v>
      </x:c>
      <x:c r="U216" s="4" t="n">
        <x:f>MATCH(J216,'Сводка'!$R$3:$R$397,0)</x:f>
        <x:v>227</x:v>
      </x:c>
      <x:c r="V216" s="4" t="n">
        <x:f>MATCH(J216-'Сводка'!$B$11,'Сводка'!$R$3:$R$397,0)</x:f>
        <x:v>226</x:v>
      </x:c>
      <x:c r="W216" s="4" t="n">
        <x:f>MATCH(T216,$J$388:$J$400,0)</x:f>
        <x:v>8</x:v>
      </x:c>
      <x:c r="X216" s="3"/>
      <x:c r="Y216" s="3"/>
      <x:c r="Z216" s="3"/>
    </x:row>
    <x:row r="217" ht="15" customHeight="1">
      <x:c r="A217" s="3"/>
      <x:c r="B217" s="3"/>
      <x:c r="C217" s="3"/>
      <x:c r="D217" s="3"/>
      <x:c r="E217" s="3"/>
      <x:c r="F217" s="3"/>
      <x:c r="G217" s="3"/>
      <x:c r="H217" s="3"/>
      <x:c r="I217" s="3"/>
      <x:c r="J217" s="10" t="n">
        <x:v>46068</x:v>
      </x:c>
      <x:c r="K217" s="8" t="n">
        <x:f>INDEX('Сводка'!$S$3:$S$397,U217)</x:f>
        <x:v>-38</x:v>
      </x:c>
      <x:c r="L217" s="8" t="n">
        <x:f>INDEX('Сводка'!$S$3:$S$397,V217)</x:f>
        <x:v>-39</x:v>
      </x:c>
      <x:c r="M217" s="8" t="n">
        <x:f>INDEX($K$388:$N$400,W217,1)+INDEX($K$388:$N$400,W217,2)*LN(((J217-$T$405+1)/1000))+INDEX($O$388:$Z$400,W217,MONTH(J217))</x:f>
        <x:v>-27.844423460709862</x:v>
      </x:c>
      <x:c r="N217" s="8" t="n">
        <x:f>K217-M217</x:f>
        <x:v>-10.155576539290138</x:v>
      </x:c>
      <x:c r="O217" s="8" t="n">
        <x:f>ABS(N217)</x:f>
        <x:v>10.155576539290138</x:v>
      </x:c>
      <x:c r="P217" s="8" t="n">
        <x:f>N217^2</x:f>
        <x:v>103.13573484538026</x:v>
      </x:c>
      <x:c r="Q217" s="8" t="n">
        <x:f>K217-L217</x:f>
        <x:v>1</x:v>
      </x:c>
      <x:c r="R217" s="9" t="n">
        <x:f>IF(AND(INDEX('Сводка'!$T$3:$T$397,U217)=0,INDEX('Сводка'!$T$3:$T$397,V217)=0),1,0)</x:f>
        <x:v>1</x:v>
      </x:c>
      <x:c r="S217" s="9" t="n">
        <x:f>IF(AND(R217=1,O217&lt;=$G$13),1,0)</x:f>
        <x:v>0</x:v>
      </x:c>
      <x:c r="T217" s="10" t="n">
        <x:f>EOMONTH(J217-'Сводка'!$B$11,-1)</x:f>
        <x:v>46053</x:v>
      </x:c>
      <x:c r="U217" s="4" t="n">
        <x:f>MATCH(J217,'Сводка'!$R$3:$R$397,0)</x:f>
        <x:v>228</x:v>
      </x:c>
      <x:c r="V217" s="4" t="n">
        <x:f>MATCH(J217-'Сводка'!$B$11,'Сводка'!$R$3:$R$397,0)</x:f>
        <x:v>227</x:v>
      </x:c>
      <x:c r="W217" s="4" t="n">
        <x:f>MATCH(T217,$J$388:$J$400,0)</x:f>
        <x:v>8</x:v>
      </x:c>
      <x:c r="X217" s="3"/>
      <x:c r="Y217" s="3"/>
      <x:c r="Z217" s="3"/>
    </x:row>
    <x:row r="218" ht="15" customHeight="1">
      <x:c r="A218" s="3"/>
      <x:c r="B218" s="3"/>
      <x:c r="C218" s="3"/>
      <x:c r="D218" s="3"/>
      <x:c r="E218" s="3"/>
      <x:c r="F218" s="3"/>
      <x:c r="G218" s="3"/>
      <x:c r="H218" s="3"/>
      <x:c r="I218" s="3"/>
      <x:c r="J218" s="10" t="n">
        <x:v>46069</x:v>
      </x:c>
      <x:c r="K218" s="8" t="n">
        <x:f>INDEX('Сводка'!$S$3:$S$397,U218)</x:f>
        <x:v>-38</x:v>
      </x:c>
      <x:c r="L218" s="8" t="n">
        <x:f>INDEX('Сводка'!$S$3:$S$397,V218)</x:f>
        <x:v>-38</x:v>
      </x:c>
      <x:c r="M218" s="8" t="n">
        <x:f>INDEX($K$388:$N$400,W218,1)+INDEX($K$388:$N$400,W218,2)*LN(((J218-$T$405+1)/1000))+INDEX($O$388:$Z$400,W218,MONTH(J218))</x:f>
        <x:v>-27.838673821993453</x:v>
      </x:c>
      <x:c r="N218" s="8" t="n">
        <x:f>K218-M218</x:f>
        <x:v>-10.161326178006547</x:v>
      </x:c>
      <x:c r="O218" s="8" t="n">
        <x:f>ABS(N218)</x:f>
        <x:v>10.161326178006547</x:v>
      </x:c>
      <x:c r="P218" s="8" t="n">
        <x:f>N218^2</x:f>
        <x:v>103.25254969584114</x:v>
      </x:c>
      <x:c r="Q218" s="8" t="n">
        <x:f>K218-L218</x:f>
        <x:v>0</x:v>
      </x:c>
      <x:c r="R218" s="9" t="n">
        <x:f>IF(AND(INDEX('Сводка'!$T$3:$T$397,U218)=0,INDEX('Сводка'!$T$3:$T$397,V218)=0),1,0)</x:f>
        <x:v>1</x:v>
      </x:c>
      <x:c r="S218" s="9" t="n">
        <x:f>IF(AND(R218=1,O218&lt;=$G$13),1,0)</x:f>
        <x:v>0</x:v>
      </x:c>
      <x:c r="T218" s="10" t="n">
        <x:f>EOMONTH(J218-'Сводка'!$B$11,-1)</x:f>
        <x:v>46053</x:v>
      </x:c>
      <x:c r="U218" s="4" t="n">
        <x:f>MATCH(J218,'Сводка'!$R$3:$R$397,0)</x:f>
        <x:v>229</x:v>
      </x:c>
      <x:c r="V218" s="4" t="n">
        <x:f>MATCH(J218-'Сводка'!$B$11,'Сводка'!$R$3:$R$397,0)</x:f>
        <x:v>228</x:v>
      </x:c>
      <x:c r="W218" s="4" t="n">
        <x:f>MATCH(T218,$J$388:$J$400,0)</x:f>
        <x:v>8</x:v>
      </x:c>
      <x:c r="X218" s="3"/>
      <x:c r="Y218" s="3"/>
      <x:c r="Z218" s="3"/>
    </x:row>
    <x:row r="219" ht="15" customHeight="1">
      <x:c r="A219" s="3"/>
      <x:c r="B219" s="3"/>
      <x:c r="C219" s="3"/>
      <x:c r="D219" s="3"/>
      <x:c r="E219" s="3"/>
      <x:c r="F219" s="3"/>
      <x:c r="G219" s="3"/>
      <x:c r="H219" s="3"/>
      <x:c r="I219" s="3"/>
      <x:c r="J219" s="10" t="n">
        <x:v>46070</x:v>
      </x:c>
      <x:c r="K219" s="8" t="n">
        <x:f>INDEX('Сводка'!$S$3:$S$397,U219)</x:f>
        <x:v>-40</x:v>
      </x:c>
      <x:c r="L219" s="8" t="n">
        <x:f>INDEX('Сводка'!$S$3:$S$397,V219)</x:f>
        <x:v>-38</x:v>
      </x:c>
      <x:c r="M219" s="8" t="n">
        <x:f>INDEX($K$388:$N$400,W219,1)+INDEX($K$388:$N$400,W219,2)*LN(((J219-$T$405+1)/1000))+INDEX($O$388:$Z$400,W219,MONTH(J219))</x:f>
        <x:v>-27.832924835644306</x:v>
      </x:c>
      <x:c r="N219" s="8" t="n">
        <x:f>K219-M219</x:f>
        <x:v>-12.167075164355694</x:v>
      </x:c>
      <x:c r="O219" s="8" t="n">
        <x:f>ABS(N219)</x:f>
        <x:v>12.167075164355694</x:v>
      </x:c>
      <x:c r="P219" s="8" t="n">
        <x:f>N219^2</x:f>
        <x:v>148.03771805508114</x:v>
      </x:c>
      <x:c r="Q219" s="8" t="n">
        <x:f>K219-L219</x:f>
        <x:v>-2</x:v>
      </x:c>
      <x:c r="R219" s="9" t="n">
        <x:f>IF(AND(INDEX('Сводка'!$T$3:$T$397,U219)=0,INDEX('Сводка'!$T$3:$T$397,V219)=0),1,0)</x:f>
        <x:v>1</x:v>
      </x:c>
      <x:c r="S219" s="9" t="n">
        <x:f>IF(AND(R219=1,O219&lt;=$G$13),1,0)</x:f>
        <x:v>0</x:v>
      </x:c>
      <x:c r="T219" s="10" t="n">
        <x:f>EOMONTH(J219-'Сводка'!$B$11,-1)</x:f>
        <x:v>46053</x:v>
      </x:c>
      <x:c r="U219" s="4" t="n">
        <x:f>MATCH(J219,'Сводка'!$R$3:$R$397,0)</x:f>
        <x:v>230</x:v>
      </x:c>
      <x:c r="V219" s="4" t="n">
        <x:f>MATCH(J219-'Сводка'!$B$11,'Сводка'!$R$3:$R$397,0)</x:f>
        <x:v>229</x:v>
      </x:c>
      <x:c r="W219" s="4" t="n">
        <x:f>MATCH(T219,$J$388:$J$400,0)</x:f>
        <x:v>8</x:v>
      </x:c>
      <x:c r="X219" s="3"/>
      <x:c r="Y219" s="3"/>
      <x:c r="Z219" s="3"/>
    </x:row>
    <x:row r="220" ht="15" customHeight="1">
      <x:c r="A220" s="3"/>
      <x:c r="B220" s="3"/>
      <x:c r="C220" s="3"/>
      <x:c r="D220" s="3"/>
      <x:c r="E220" s="3"/>
      <x:c r="F220" s="3"/>
      <x:c r="G220" s="3"/>
      <x:c r="H220" s="3"/>
      <x:c r="I220" s="3"/>
      <x:c r="J220" s="10" t="n">
        <x:v>46071</x:v>
      </x:c>
      <x:c r="K220" s="8" t="n">
        <x:f>INDEX('Сводка'!$S$3:$S$397,U220)</x:f>
        <x:v>-40</x:v>
      </x:c>
      <x:c r="L220" s="8" t="n">
        <x:f>INDEX('Сводка'!$S$3:$S$397,V220)</x:f>
        <x:v>-40</x:v>
      </x:c>
      <x:c r="M220" s="8" t="n">
        <x:f>INDEX($K$388:$N$400,W220,1)+INDEX($K$388:$N$400,W220,2)*LN(((J220-$T$405+1)/1000))+INDEX($O$388:$Z$400,W220,MONTH(J220))</x:f>
        <x:v>-27.827176501514387</x:v>
      </x:c>
      <x:c r="N220" s="8" t="n">
        <x:f>K220-M220</x:f>
        <x:v>-12.172823498485613</x:v>
      </x:c>
      <x:c r="O220" s="8" t="n">
        <x:f>ABS(N220)</x:f>
        <x:v>12.172823498485613</x:v>
      </x:c>
      <x:c r="P220" s="8" t="n">
        <x:f>N220^2</x:f>
        <x:v>148.17763192528352</x:v>
      </x:c>
      <x:c r="Q220" s="8" t="n">
        <x:f>K220-L220</x:f>
        <x:v>0</x:v>
      </x:c>
      <x:c r="R220" s="9" t="n">
        <x:f>IF(AND(INDEX('Сводка'!$T$3:$T$397,U220)=0,INDEX('Сводка'!$T$3:$T$397,V220)=0),1,0)</x:f>
        <x:v>1</x:v>
      </x:c>
      <x:c r="S220" s="9" t="n">
        <x:f>IF(AND(R220=1,O220&lt;=$G$13),1,0)</x:f>
        <x:v>0</x:v>
      </x:c>
      <x:c r="T220" s="10" t="n">
        <x:f>EOMONTH(J220-'Сводка'!$B$11,-1)</x:f>
        <x:v>46053</x:v>
      </x:c>
      <x:c r="U220" s="4" t="n">
        <x:f>MATCH(J220,'Сводка'!$R$3:$R$397,0)</x:f>
        <x:v>231</x:v>
      </x:c>
      <x:c r="V220" s="4" t="n">
        <x:f>MATCH(J220-'Сводка'!$B$11,'Сводка'!$R$3:$R$397,0)</x:f>
        <x:v>230</x:v>
      </x:c>
      <x:c r="W220" s="4" t="n">
        <x:f>MATCH(T220,$J$388:$J$400,0)</x:f>
        <x:v>8</x:v>
      </x:c>
      <x:c r="X220" s="3"/>
      <x:c r="Y220" s="3"/>
      <x:c r="Z220" s="3"/>
    </x:row>
    <x:row r="221" ht="15" customHeight="1">
      <x:c r="A221" s="3"/>
      <x:c r="B221" s="3"/>
      <x:c r="C221" s="3"/>
      <x:c r="D221" s="3"/>
      <x:c r="E221" s="3"/>
      <x:c r="F221" s="3"/>
      <x:c r="G221" s="3"/>
      <x:c r="H221" s="3"/>
      <x:c r="I221" s="3"/>
      <x:c r="J221" s="10" t="n">
        <x:v>46072</x:v>
      </x:c>
      <x:c r="K221" s="8" t="n">
        <x:f>INDEX('Сводка'!$S$3:$S$397,U221)</x:f>
        <x:v>-42</x:v>
      </x:c>
      <x:c r="L221" s="8" t="n">
        <x:f>INDEX('Сводка'!$S$3:$S$397,V221)</x:f>
        <x:v>-40</x:v>
      </x:c>
      <x:c r="M221" s="8" t="n">
        <x:f>INDEX($K$388:$N$400,W221,1)+INDEX($K$388:$N$400,W221,2)*LN(((J221-$T$405+1)/1000))+INDEX($O$388:$Z$400,W221,MONTH(J221))</x:f>
        <x:v>-27.82142881945572</x:v>
      </x:c>
      <x:c r="N221" s="8" t="n">
        <x:f>K221-M221</x:f>
        <x:v>-14.178571180544282</x:v>
      </x:c>
      <x:c r="O221" s="8" t="n">
        <x:f>ABS(N221)</x:f>
        <x:v>14.178571180544282</x:v>
      </x:c>
      <x:c r="P221" s="8" t="n">
        <x:f>N221^2</x:f>
        <x:v>201.03188072176087</x:v>
      </x:c>
      <x:c r="Q221" s="8" t="n">
        <x:f>K221-L221</x:f>
        <x:v>-2</x:v>
      </x:c>
      <x:c r="R221" s="9" t="n">
        <x:f>IF(AND(INDEX('Сводка'!$T$3:$T$397,U221)=0,INDEX('Сводка'!$T$3:$T$397,V221)=0),1,0)</x:f>
        <x:v>1</x:v>
      </x:c>
      <x:c r="S221" s="9" t="n">
        <x:f>IF(AND(R221=1,O221&lt;=$G$13),1,0)</x:f>
        <x:v>0</x:v>
      </x:c>
      <x:c r="T221" s="10" t="n">
        <x:f>EOMONTH(J221-'Сводка'!$B$11,-1)</x:f>
        <x:v>46053</x:v>
      </x:c>
      <x:c r="U221" s="4" t="n">
        <x:f>MATCH(J221,'Сводка'!$R$3:$R$397,0)</x:f>
        <x:v>232</x:v>
      </x:c>
      <x:c r="V221" s="4" t="n">
        <x:f>MATCH(J221-'Сводка'!$B$11,'Сводка'!$R$3:$R$397,0)</x:f>
        <x:v>231</x:v>
      </x:c>
      <x:c r="W221" s="4" t="n">
        <x:f>MATCH(T221,$J$388:$J$400,0)</x:f>
        <x:v>8</x:v>
      </x:c>
      <x:c r="X221" s="3"/>
      <x:c r="Y221" s="3"/>
      <x:c r="Z221" s="3"/>
    </x:row>
    <x:row r="222" ht="15" customHeight="1">
      <x:c r="A222" s="3"/>
      <x:c r="B222" s="3"/>
      <x:c r="C222" s="3"/>
      <x:c r="D222" s="3"/>
      <x:c r="E222" s="3"/>
      <x:c r="F222" s="3"/>
      <x:c r="G222" s="3"/>
      <x:c r="H222" s="3"/>
      <x:c r="I222" s="3"/>
      <x:c r="J222" s="10" t="n">
        <x:v>46073</x:v>
      </x:c>
      <x:c r="K222" s="8" t="n">
        <x:f>INDEX('Сводка'!$S$3:$S$397,U222)</x:f>
        <x:v>-43</x:v>
      </x:c>
      <x:c r="L222" s="8" t="n">
        <x:f>INDEX('Сводка'!$S$3:$S$397,V222)</x:f>
        <x:v>-42</x:v>
      </x:c>
      <x:c r="M222" s="8" t="n">
        <x:f>INDEX($K$388:$N$400,W222,1)+INDEX($K$388:$N$400,W222,2)*LN(((J222-$T$405+1)/1000))+INDEX($O$388:$Z$400,W222,MONTH(J222))</x:f>
        <x:v>-27.815681789320394</x:v>
      </x:c>
      <x:c r="N222" s="8" t="n">
        <x:f>K222-M222</x:f>
        <x:v>-15.184318210679606</x:v>
      </x:c>
      <x:c r="O222" s="8" t="n">
        <x:f>ABS(N222)</x:f>
        <x:v>15.184318210679606</x:v>
      </x:c>
      <x:c r="P222" s="8" t="n">
        <x:f>N222^2</x:f>
        <x:v>230.56351952317632</x:v>
      </x:c>
      <x:c r="Q222" s="8" t="n">
        <x:f>K222-L222</x:f>
        <x:v>-1</x:v>
      </x:c>
      <x:c r="R222" s="9" t="n">
        <x:f>IF(AND(INDEX('Сводка'!$T$3:$T$397,U222)=0,INDEX('Сводка'!$T$3:$T$397,V222)=0),1,0)</x:f>
        <x:v>1</x:v>
      </x:c>
      <x:c r="S222" s="9" t="n">
        <x:f>IF(AND(R222=1,O222&lt;=$G$13),1,0)</x:f>
        <x:v>0</x:v>
      </x:c>
      <x:c r="T222" s="10" t="n">
        <x:f>EOMONTH(J222-'Сводка'!$B$11,-1)</x:f>
        <x:v>46053</x:v>
      </x:c>
      <x:c r="U222" s="4" t="n">
        <x:f>MATCH(J222,'Сводка'!$R$3:$R$397,0)</x:f>
        <x:v>233</x:v>
      </x:c>
      <x:c r="V222" s="4" t="n">
        <x:f>MATCH(J222-'Сводка'!$B$11,'Сводка'!$R$3:$R$397,0)</x:f>
        <x:v>232</x:v>
      </x:c>
      <x:c r="W222" s="4" t="n">
        <x:f>MATCH(T222,$J$388:$J$400,0)</x:f>
        <x:v>8</x:v>
      </x:c>
      <x:c r="X222" s="3"/>
      <x:c r="Y222" s="3"/>
      <x:c r="Z222" s="3"/>
    </x:row>
    <x:row r="223" ht="15" customHeight="1">
      <x:c r="A223" s="3"/>
      <x:c r="B223" s="3"/>
      <x:c r="C223" s="3"/>
      <x:c r="D223" s="3"/>
      <x:c r="E223" s="3"/>
      <x:c r="F223" s="3"/>
      <x:c r="G223" s="3"/>
      <x:c r="H223" s="3"/>
      <x:c r="I223" s="3"/>
      <x:c r="J223" s="10" t="n">
        <x:v>46074</x:v>
      </x:c>
      <x:c r="K223" s="8" t="n">
        <x:f>INDEX('Сводка'!$S$3:$S$397,U223)</x:f>
        <x:v>-43</x:v>
      </x:c>
      <x:c r="L223" s="8" t="n">
        <x:f>INDEX('Сводка'!$S$3:$S$397,V223)</x:f>
        <x:v>-43</x:v>
      </x:c>
      <x:c r="M223" s="8" t="n">
        <x:f>INDEX($K$388:$N$400,W223,1)+INDEX($K$388:$N$400,W223,2)*LN(((J223-$T$405+1)/1000))+INDEX($O$388:$Z$400,W223,MONTH(J223))</x:f>
        <x:v>-27.80993541096052</x:v>
      </x:c>
      <x:c r="N223" s="8" t="n">
        <x:f>K223-M223</x:f>
        <x:v>-15.19006458903948</x:v>
      </x:c>
      <x:c r="O223" s="8" t="n">
        <x:f>ABS(N223)</x:f>
        <x:v>15.19006458903948</x:v>
      </x:c>
      <x:c r="P223" s="8" t="n">
        <x:f>N223^2</x:f>
        <x:v>230.73806221919114</x:v>
      </x:c>
      <x:c r="Q223" s="8" t="n">
        <x:f>K223-L223</x:f>
        <x:v>0</x:v>
      </x:c>
      <x:c r="R223" s="9" t="n">
        <x:f>IF(AND(INDEX('Сводка'!$T$3:$T$397,U223)=0,INDEX('Сводка'!$T$3:$T$397,V223)=0),1,0)</x:f>
        <x:v>1</x:v>
      </x:c>
      <x:c r="S223" s="9" t="n">
        <x:f>IF(AND(R223=1,O223&lt;=$G$13),1,0)</x:f>
        <x:v>0</x:v>
      </x:c>
      <x:c r="T223" s="10" t="n">
        <x:f>EOMONTH(J223-'Сводка'!$B$11,-1)</x:f>
        <x:v>46053</x:v>
      </x:c>
      <x:c r="U223" s="4" t="n">
        <x:f>MATCH(J223,'Сводка'!$R$3:$R$397,0)</x:f>
        <x:v>234</x:v>
      </x:c>
      <x:c r="V223" s="4" t="n">
        <x:f>MATCH(J223-'Сводка'!$B$11,'Сводка'!$R$3:$R$397,0)</x:f>
        <x:v>233</x:v>
      </x:c>
      <x:c r="W223" s="4" t="n">
        <x:f>MATCH(T223,$J$388:$J$400,0)</x:f>
        <x:v>8</x:v>
      </x:c>
      <x:c r="X223" s="3"/>
      <x:c r="Y223" s="3"/>
      <x:c r="Z223" s="3"/>
    </x:row>
    <x:row r="224" ht="15" customHeight="1">
      <x:c r="A224" s="3"/>
      <x:c r="B224" s="3"/>
      <x:c r="C224" s="3"/>
      <x:c r="D224" s="3"/>
      <x:c r="E224" s="3"/>
      <x:c r="F224" s="3"/>
      <x:c r="G224" s="3"/>
      <x:c r="H224" s="3"/>
      <x:c r="I224" s="3"/>
      <x:c r="J224" s="10" t="n">
        <x:v>46075</x:v>
      </x:c>
      <x:c r="K224" s="8" t="n">
        <x:f>INDEX('Сводка'!$S$3:$S$397,U224)</x:f>
        <x:v>-43</x:v>
      </x:c>
      <x:c r="L224" s="8" t="n">
        <x:f>INDEX('Сводка'!$S$3:$S$397,V224)</x:f>
        <x:v>-43</x:v>
      </x:c>
      <x:c r="M224" s="8" t="n">
        <x:f>INDEX($K$388:$N$400,W224,1)+INDEX($K$388:$N$400,W224,2)*LN(((J224-$T$405+1)/1000))+INDEX($O$388:$Z$400,W224,MONTH(J224))</x:f>
        <x:v>-27.80418968422829</x:v>
      </x:c>
      <x:c r="N224" s="8" t="n">
        <x:f>K224-M224</x:f>
        <x:v>-15.195810315771709</x:v>
      </x:c>
      <x:c r="O224" s="8" t="n">
        <x:f>ABS(N224)</x:f>
        <x:v>15.195810315771709</x:v>
      </x:c>
      <x:c r="P224" s="8" t="n">
        <x:f>N224^2</x:f>
        <x:v>230.9126511529139</x:v>
      </x:c>
      <x:c r="Q224" s="8" t="n">
        <x:f>K224-L224</x:f>
        <x:v>0</x:v>
      </x:c>
      <x:c r="R224" s="9" t="n">
        <x:f>IF(AND(INDEX('Сводка'!$T$3:$T$397,U224)=0,INDEX('Сводка'!$T$3:$T$397,V224)=0),1,0)</x:f>
        <x:v>1</x:v>
      </x:c>
      <x:c r="S224" s="9" t="n">
        <x:f>IF(AND(R224=1,O224&lt;=$G$13),1,0)</x:f>
        <x:v>0</x:v>
      </x:c>
      <x:c r="T224" s="10" t="n">
        <x:f>EOMONTH(J224-'Сводка'!$B$11,-1)</x:f>
        <x:v>46053</x:v>
      </x:c>
      <x:c r="U224" s="4" t="n">
        <x:f>MATCH(J224,'Сводка'!$R$3:$R$397,0)</x:f>
        <x:v>235</x:v>
      </x:c>
      <x:c r="V224" s="4" t="n">
        <x:f>MATCH(J224-'Сводка'!$B$11,'Сводка'!$R$3:$R$397,0)</x:f>
        <x:v>234</x:v>
      </x:c>
      <x:c r="W224" s="4" t="n">
        <x:f>MATCH(T224,$J$388:$J$400,0)</x:f>
        <x:v>8</x:v>
      </x:c>
      <x:c r="X224" s="3"/>
      <x:c r="Y224" s="3"/>
      <x:c r="Z224" s="3"/>
    </x:row>
    <x:row r="225" ht="15" customHeight="1">
      <x:c r="A225" s="3"/>
      <x:c r="B225" s="3"/>
      <x:c r="C225" s="3"/>
      <x:c r="D225" s="3"/>
      <x:c r="E225" s="3"/>
      <x:c r="F225" s="3"/>
      <x:c r="G225" s="3"/>
      <x:c r="H225" s="3"/>
      <x:c r="I225" s="3"/>
      <x:c r="J225" s="10" t="n">
        <x:v>46076</x:v>
      </x:c>
      <x:c r="K225" s="8" t="n">
        <x:f>INDEX('Сводка'!$S$3:$S$397,U225)</x:f>
        <x:v>-44</x:v>
      </x:c>
      <x:c r="L225" s="8" t="n">
        <x:f>INDEX('Сводка'!$S$3:$S$397,V225)</x:f>
        <x:v>-43</x:v>
      </x:c>
      <x:c r="M225" s="8" t="n">
        <x:f>INDEX($K$388:$N$400,W225,1)+INDEX($K$388:$N$400,W225,2)*LN(((J225-$T$405+1)/1000))+INDEX($O$388:$Z$400,W225,MONTH(J225))</x:f>
        <x:v>-27.79844460897594</x:v>
      </x:c>
      <x:c r="N225" s="8" t="n">
        <x:f>K225-M225</x:f>
        <x:v>-16.20155539102406</x:v>
      </x:c>
      <x:c r="O225" s="8" t="n">
        <x:f>ABS(N225)</x:f>
        <x:v>16.20155539102406</x:v>
      </x:c>
      <x:c r="P225" s="8" t="n">
        <x:f>N225^2</x:f>
        <x:v>262.4903970884207</x:v>
      </x:c>
      <x:c r="Q225" s="8" t="n">
        <x:f>K225-L225</x:f>
        <x:v>-1</x:v>
      </x:c>
      <x:c r="R225" s="9" t="n">
        <x:f>IF(AND(INDEX('Сводка'!$T$3:$T$397,U225)=0,INDEX('Сводка'!$T$3:$T$397,V225)=0),1,0)</x:f>
        <x:v>1</x:v>
      </x:c>
      <x:c r="S225" s="9" t="n">
        <x:f>IF(AND(R225=1,O225&lt;=$G$13),1,0)</x:f>
        <x:v>0</x:v>
      </x:c>
      <x:c r="T225" s="10" t="n">
        <x:f>EOMONTH(J225-'Сводка'!$B$11,-1)</x:f>
        <x:v>46053</x:v>
      </x:c>
      <x:c r="U225" s="4" t="n">
        <x:f>MATCH(J225,'Сводка'!$R$3:$R$397,0)</x:f>
        <x:v>236</x:v>
      </x:c>
      <x:c r="V225" s="4" t="n">
        <x:f>MATCH(J225-'Сводка'!$B$11,'Сводка'!$R$3:$R$397,0)</x:f>
        <x:v>235</x:v>
      </x:c>
      <x:c r="W225" s="4" t="n">
        <x:f>MATCH(T225,$J$388:$J$400,0)</x:f>
        <x:v>8</x:v>
      </x:c>
      <x:c r="X225" s="3"/>
      <x:c r="Y225" s="3"/>
      <x:c r="Z225" s="3"/>
    </x:row>
    <x:row r="226" ht="15" customHeight="1">
      <x:c r="A226" s="3"/>
      <x:c r="B226" s="3"/>
      <x:c r="C226" s="3"/>
      <x:c r="D226" s="3"/>
      <x:c r="E226" s="3"/>
      <x:c r="F226" s="3"/>
      <x:c r="G226" s="3"/>
      <x:c r="H226" s="3"/>
      <x:c r="I226" s="3"/>
      <x:c r="J226" s="10" t="n">
        <x:v>46077</x:v>
      </x:c>
      <x:c r="K226" s="8" t="n">
        <x:f>INDEX('Сводка'!$S$3:$S$397,U226)</x:f>
        <x:v>-46</x:v>
      </x:c>
      <x:c r="L226" s="8" t="n">
        <x:f>INDEX('Сводка'!$S$3:$S$397,V226)</x:f>
        <x:v>-44</x:v>
      </x:c>
      <x:c r="M226" s="8" t="n">
        <x:f>INDEX($K$388:$N$400,W226,1)+INDEX($K$388:$N$400,W226,2)*LN(((J226-$T$405+1)/1000))+INDEX($O$388:$Z$400,W226,MONTH(J226))</x:f>
        <x:v>-27.792700185055764</x:v>
      </x:c>
      <x:c r="N226" s="8" t="n">
        <x:f>K226-M226</x:f>
        <x:v>-18.207299814944236</x:v>
      </x:c>
      <x:c r="O226" s="8" t="n">
        <x:f>ABS(N226)</x:f>
        <x:v>18.207299814944236</x:v>
      </x:c>
      <x:c r="P226" s="8" t="n">
        <x:f>N226^2</x:f>
        <x:v>331.5057665512684</x:v>
      </x:c>
      <x:c r="Q226" s="8" t="n">
        <x:f>K226-L226</x:f>
        <x:v>-2</x:v>
      </x:c>
      <x:c r="R226" s="9" t="n">
        <x:f>IF(AND(INDEX('Сводка'!$T$3:$T$397,U226)=0,INDEX('Сводка'!$T$3:$T$397,V226)=0),1,0)</x:f>
        <x:v>1</x:v>
      </x:c>
      <x:c r="S226" s="9" t="n">
        <x:f>IF(AND(R226=1,O226&lt;=$G$13),1,0)</x:f>
        <x:v>0</x:v>
      </x:c>
      <x:c r="T226" s="10" t="n">
        <x:f>EOMONTH(J226-'Сводка'!$B$11,-1)</x:f>
        <x:v>46053</x:v>
      </x:c>
      <x:c r="U226" s="4" t="n">
        <x:f>MATCH(J226,'Сводка'!$R$3:$R$397,0)</x:f>
        <x:v>237</x:v>
      </x:c>
      <x:c r="V226" s="4" t="n">
        <x:f>MATCH(J226-'Сводка'!$B$11,'Сводка'!$R$3:$R$397,0)</x:f>
        <x:v>236</x:v>
      </x:c>
      <x:c r="W226" s="4" t="n">
        <x:f>MATCH(T226,$J$388:$J$400,0)</x:f>
        <x:v>8</x:v>
      </x:c>
      <x:c r="X226" s="3"/>
      <x:c r="Y226" s="3"/>
      <x:c r="Z226" s="3"/>
    </x:row>
    <x:row r="227" ht="15" customHeight="1">
      <x:c r="A227" s="3"/>
      <x:c r="B227" s="3"/>
      <x:c r="C227" s="3"/>
      <x:c r="D227" s="3"/>
      <x:c r="E227" s="3"/>
      <x:c r="F227" s="3"/>
      <x:c r="G227" s="3"/>
      <x:c r="H227" s="3"/>
      <x:c r="I227" s="3"/>
      <x:c r="J227" s="10" t="n">
        <x:v>46078</x:v>
      </x:c>
      <x:c r="K227" s="8" t="n">
        <x:f>INDEX('Сводка'!$S$3:$S$397,U227)</x:f>
        <x:v>-46</x:v>
      </x:c>
      <x:c r="L227" s="8" t="n">
        <x:f>INDEX('Сводка'!$S$3:$S$397,V227)</x:f>
        <x:v>-46</x:v>
      </x:c>
      <x:c r="M227" s="8" t="n">
        <x:f>INDEX($K$388:$N$400,W227,1)+INDEX($K$388:$N$400,W227,2)*LN(((J227-$T$405+1)/1000))+INDEX($O$388:$Z$400,W227,MONTH(J227))</x:f>
        <x:v>-27.786956412320052</x:v>
      </x:c>
      <x:c r="N227" s="8" t="n">
        <x:f>K227-M227</x:f>
        <x:v>-18.213043587679948</x:v>
      </x:c>
      <x:c r="O227" s="8" t="n">
        <x:f>ABS(N227)</x:f>
        <x:v>18.213043587679948</x:v>
      </x:c>
      <x:c r="P227" s="8" t="n">
        <x:f>N227^2</x:f>
        <x:v>331.71495672672967</x:v>
      </x:c>
      <x:c r="Q227" s="8" t="n">
        <x:f>K227-L227</x:f>
        <x:v>0</x:v>
      </x:c>
      <x:c r="R227" s="9" t="n">
        <x:f>IF(AND(INDEX('Сводка'!$T$3:$T$397,U227)=0,INDEX('Сводка'!$T$3:$T$397,V227)=0),1,0)</x:f>
        <x:v>1</x:v>
      </x:c>
      <x:c r="S227" s="9" t="n">
        <x:f>IF(AND(R227=1,O227&lt;=$G$13),1,0)</x:f>
        <x:v>0</x:v>
      </x:c>
      <x:c r="T227" s="10" t="n">
        <x:f>EOMONTH(J227-'Сводка'!$B$11,-1)</x:f>
        <x:v>46053</x:v>
      </x:c>
      <x:c r="U227" s="4" t="n">
        <x:f>MATCH(J227,'Сводка'!$R$3:$R$397,0)</x:f>
        <x:v>238</x:v>
      </x:c>
      <x:c r="V227" s="4" t="n">
        <x:f>MATCH(J227-'Сводка'!$B$11,'Сводка'!$R$3:$R$397,0)</x:f>
        <x:v>237</x:v>
      </x:c>
      <x:c r="W227" s="4" t="n">
        <x:f>MATCH(T227,$J$388:$J$400,0)</x:f>
        <x:v>8</x:v>
      </x:c>
      <x:c r="X227" s="3"/>
      <x:c r="Y227" s="3"/>
      <x:c r="Z227" s="3"/>
    </x:row>
    <x:row r="228" ht="15" customHeight="1">
      <x:c r="A228" s="3"/>
      <x:c r="B228" s="3"/>
      <x:c r="C228" s="3"/>
      <x:c r="D228" s="3"/>
      <x:c r="E228" s="3"/>
      <x:c r="F228" s="3"/>
      <x:c r="G228" s="3"/>
      <x:c r="H228" s="3"/>
      <x:c r="I228" s="3"/>
      <x:c r="J228" s="10" t="n">
        <x:v>46079</x:v>
      </x:c>
      <x:c r="K228" s="8" t="n">
        <x:f>INDEX('Сводка'!$S$3:$S$397,U228)</x:f>
        <x:v>-48</x:v>
      </x:c>
      <x:c r="L228" s="8" t="n">
        <x:f>INDEX('Сводка'!$S$3:$S$397,V228)</x:f>
        <x:v>-46</x:v>
      </x:c>
      <x:c r="M228" s="8" t="n">
        <x:f>INDEX($K$388:$N$400,W228,1)+INDEX($K$388:$N$400,W228,2)*LN(((J228-$T$405+1)/1000))+INDEX($O$388:$Z$400,W228,MONTH(J228))</x:f>
        <x:v>-27.78121329062118</x:v>
      </x:c>
      <x:c r="N228" s="8" t="n">
        <x:f>K228-M228</x:f>
        <x:v>-20.21878670937882</x:v>
      </x:c>
      <x:c r="O228" s="8" t="n">
        <x:f>ABS(N228)</x:f>
        <x:v>20.21878670937882</x:v>
      </x:c>
      <x:c r="P228" s="8" t="n">
        <x:f>N228^2</x:f>
        <x:v>408.79933599935356</x:v>
      </x:c>
      <x:c r="Q228" s="8" t="n">
        <x:f>K228-L228</x:f>
        <x:v>-2</x:v>
      </x:c>
      <x:c r="R228" s="9" t="n">
        <x:f>IF(AND(INDEX('Сводка'!$T$3:$T$397,U228)=0,INDEX('Сводка'!$T$3:$T$397,V228)=0),1,0)</x:f>
        <x:v>1</x:v>
      </x:c>
      <x:c r="S228" s="9" t="n">
        <x:f>IF(AND(R228=1,O228&lt;=$G$13),1,0)</x:f>
        <x:v>0</x:v>
      </x:c>
      <x:c r="T228" s="10" t="n">
        <x:f>EOMONTH(J228-'Сводка'!$B$11,-1)</x:f>
        <x:v>46053</x:v>
      </x:c>
      <x:c r="U228" s="4" t="n">
        <x:f>MATCH(J228,'Сводка'!$R$3:$R$397,0)</x:f>
        <x:v>239</x:v>
      </x:c>
      <x:c r="V228" s="4" t="n">
        <x:f>MATCH(J228-'Сводка'!$B$11,'Сводка'!$R$3:$R$397,0)</x:f>
        <x:v>238</x:v>
      </x:c>
      <x:c r="W228" s="4" t="n">
        <x:f>MATCH(T228,$J$388:$J$400,0)</x:f>
        <x:v>8</x:v>
      </x:c>
      <x:c r="X228" s="3"/>
      <x:c r="Y228" s="3"/>
      <x:c r="Z228" s="3"/>
    </x:row>
    <x:row r="229" ht="15" customHeight="1">
      <x:c r="A229" s="3"/>
      <x:c r="B229" s="3"/>
      <x:c r="C229" s="3"/>
      <x:c r="D229" s="3"/>
      <x:c r="E229" s="3"/>
      <x:c r="F229" s="3"/>
      <x:c r="G229" s="3"/>
      <x:c r="H229" s="3"/>
      <x:c r="I229" s="3"/>
      <x:c r="J229" s="10" t="n">
        <x:v>46080</x:v>
      </x:c>
      <x:c r="K229" s="8" t="n">
        <x:f>INDEX('Сводка'!$S$3:$S$397,U229)</x:f>
        <x:v>-51</x:v>
      </x:c>
      <x:c r="L229" s="8" t="n">
        <x:f>INDEX('Сводка'!$S$3:$S$397,V229)</x:f>
        <x:v>-48</x:v>
      </x:c>
      <x:c r="M229" s="8" t="n">
        <x:f>INDEX($K$388:$N$400,W229,1)+INDEX($K$388:$N$400,W229,2)*LN(((J229-$T$405+1)/1000))+INDEX($O$388:$Z$400,W229,MONTH(J229))</x:f>
        <x:v>-27.775470819811645</x:v>
      </x:c>
      <x:c r="N229" s="8" t="n">
        <x:f>K229-M229</x:f>
        <x:v>-23.224529180188355</x:v>
      </x:c>
      <x:c r="O229" s="8" t="n">
        <x:f>ABS(N229)</x:f>
        <x:v>23.224529180188355</x:v>
      </x:c>
      <x:c r="P229" s="8" t="n">
        <x:f>N229^2</x:f>
        <x:v>539.3787556414204</x:v>
      </x:c>
      <x:c r="Q229" s="8" t="n">
        <x:f>K229-L229</x:f>
        <x:v>-3</x:v>
      </x:c>
      <x:c r="R229" s="9" t="n">
        <x:f>IF(AND(INDEX('Сводка'!$T$3:$T$397,U229)=0,INDEX('Сводка'!$T$3:$T$397,V229)=0),1,0)</x:f>
        <x:v>1</x:v>
      </x:c>
      <x:c r="S229" s="9" t="n">
        <x:f>IF(AND(R229=1,O229&lt;=$G$13),1,0)</x:f>
        <x:v>0</x:v>
      </x:c>
      <x:c r="T229" s="10" t="n">
        <x:f>EOMONTH(J229-'Сводка'!$B$11,-1)</x:f>
        <x:v>46053</x:v>
      </x:c>
      <x:c r="U229" s="4" t="n">
        <x:f>MATCH(J229,'Сводка'!$R$3:$R$397,0)</x:f>
        <x:v>240</x:v>
      </x:c>
      <x:c r="V229" s="4" t="n">
        <x:f>MATCH(J229-'Сводка'!$B$11,'Сводка'!$R$3:$R$397,0)</x:f>
        <x:v>239</x:v>
      </x:c>
      <x:c r="W229" s="4" t="n">
        <x:f>MATCH(T229,$J$388:$J$400,0)</x:f>
        <x:v>8</x:v>
      </x:c>
      <x:c r="X229" s="3"/>
      <x:c r="Y229" s="3"/>
      <x:c r="Z229" s="3"/>
    </x:row>
    <x:row r="230" ht="15" customHeight="1">
      <x:c r="A230" s="3"/>
      <x:c r="B230" s="3"/>
      <x:c r="C230" s="3"/>
      <x:c r="D230" s="3"/>
      <x:c r="E230" s="3"/>
      <x:c r="F230" s="3"/>
      <x:c r="G230" s="3"/>
      <x:c r="H230" s="3"/>
      <x:c r="I230" s="3"/>
      <x:c r="J230" s="10" t="n">
        <x:v>46081</x:v>
      </x:c>
      <x:c r="K230" s="8" t="n">
        <x:f>INDEX('Сводка'!$S$3:$S$397,U230)</x:f>
        <x:v>-54</x:v>
      </x:c>
      <x:c r="L230" s="8" t="n">
        <x:f>INDEX('Сводка'!$S$3:$S$397,V230)</x:f>
        <x:v>-51</x:v>
      </x:c>
      <x:c r="M230" s="8" t="n">
        <x:f>INDEX($K$388:$N$400,W230,1)+INDEX($K$388:$N$400,W230,2)*LN(((J230-$T$405+1)/1000))+INDEX($O$388:$Z$400,W230,MONTH(J230))</x:f>
        <x:v>-27.769728999743876</x:v>
      </x:c>
      <x:c r="N230" s="8" t="n">
        <x:f>K230-M230</x:f>
        <x:v>-26.230271000256124</x:v>
      </x:c>
      <x:c r="O230" s="8" t="n">
        <x:f>ABS(N230)</x:f>
        <x:v>26.230271000256124</x:v>
      </x:c>
      <x:c r="P230" s="8" t="n">
        <x:f>N230^2</x:f>
        <x:v>688.0271167468774</x:v>
      </x:c>
      <x:c r="Q230" s="8" t="n">
        <x:f>K230-L230</x:f>
        <x:v>-3</x:v>
      </x:c>
      <x:c r="R230" s="9" t="n">
        <x:f>IF(AND(INDEX('Сводка'!$T$3:$T$397,U230)=0,INDEX('Сводка'!$T$3:$T$397,V230)=0),1,0)</x:f>
        <x:v>1</x:v>
      </x:c>
      <x:c r="S230" s="9" t="n">
        <x:f>IF(AND(R230=1,O230&lt;=$G$13),1,0)</x:f>
        <x:v>0</x:v>
      </x:c>
      <x:c r="T230" s="10" t="n">
        <x:f>EOMONTH(J230-'Сводка'!$B$11,-1)</x:f>
        <x:v>46053</x:v>
      </x:c>
      <x:c r="U230" s="4" t="n">
        <x:f>MATCH(J230,'Сводка'!$R$3:$R$397,0)</x:f>
        <x:v>241</x:v>
      </x:c>
      <x:c r="V230" s="4" t="n">
        <x:f>MATCH(J230-'Сводка'!$B$11,'Сводка'!$R$3:$R$397,0)</x:f>
        <x:v>240</x:v>
      </x:c>
      <x:c r="W230" s="4" t="n">
        <x:f>MATCH(T230,$J$388:$J$400,0)</x:f>
        <x:v>8</x:v>
      </x:c>
      <x:c r="X230" s="3"/>
      <x:c r="Y230" s="3"/>
      <x:c r="Z230" s="3"/>
    </x:row>
    <x:row r="231" ht="15" customHeight="1">
      <x:c r="A231" s="3"/>
      <x:c r="B231" s="3"/>
      <x:c r="C231" s="3"/>
      <x:c r="D231" s="3"/>
      <x:c r="E231" s="3"/>
      <x:c r="F231" s="3"/>
      <x:c r="G231" s="3"/>
      <x:c r="H231" s="3"/>
      <x:c r="I231" s="3"/>
      <x:c r="J231" s="10" t="n">
        <x:v>46082</x:v>
      </x:c>
      <x:c r="K231" s="8" t="n">
        <x:f>INDEX('Сводка'!$S$3:$S$397,U231)</x:f>
        <x:v>-55</x:v>
      </x:c>
      <x:c r="L231" s="8" t="n">
        <x:f>INDEX('Сводка'!$S$3:$S$397,V231)</x:f>
        <x:v>-54</x:v>
      </x:c>
      <x:c r="M231" s="8" t="n">
        <x:f>INDEX($K$388:$N$400,W231,1)+INDEX($K$388:$N$400,W231,2)*LN(((J231-$T$405+1)/1000))+INDEX($O$388:$Z$400,W231,MONTH(J231))</x:f>
        <x:v>-40.453931703911394</x:v>
      </x:c>
      <x:c r="N231" s="8" t="n">
        <x:f>K231-M231</x:f>
        <x:v>-14.546068296088606</x:v>
      </x:c>
      <x:c r="O231" s="8" t="n">
        <x:f>ABS(N231)</x:f>
        <x:v>14.546068296088606</x:v>
      </x:c>
      <x:c r="P231" s="8" t="n">
        <x:f>N231^2</x:f>
        <x:v>211.5881028744741</x:v>
      </x:c>
      <x:c r="Q231" s="8" t="n">
        <x:f>K231-L231</x:f>
        <x:v>-1</x:v>
      </x:c>
      <x:c r="R231" s="9" t="n">
        <x:f>IF(AND(INDEX('Сводка'!$T$3:$T$397,U231)=0,INDEX('Сводка'!$T$3:$T$397,V231)=0),1,0)</x:f>
        <x:v>1</x:v>
      </x:c>
      <x:c r="S231" s="9" t="n">
        <x:f>IF(AND(R231=1,O231&lt;=$G$13),1,0)</x:f>
        <x:v>0</x:v>
      </x:c>
      <x:c r="T231" s="10" t="n">
        <x:f>EOMONTH(J231-'Сводка'!$B$11,-1)</x:f>
        <x:v>46053</x:v>
      </x:c>
      <x:c r="U231" s="4" t="n">
        <x:f>MATCH(J231,'Сводка'!$R$3:$R$397,0)</x:f>
        <x:v>242</x:v>
      </x:c>
      <x:c r="V231" s="4" t="n">
        <x:f>MATCH(J231-'Сводка'!$B$11,'Сводка'!$R$3:$R$397,0)</x:f>
        <x:v>241</x:v>
      </x:c>
      <x:c r="W231" s="4" t="n">
        <x:f>MATCH(T231,$J$388:$J$400,0)</x:f>
        <x:v>8</x:v>
      </x:c>
      <x:c r="X231" s="3"/>
      <x:c r="Y231" s="3"/>
      <x:c r="Z231" s="3"/>
    </x:row>
    <x:row r="232" ht="15" customHeight="1">
      <x:c r="A232" s="3"/>
      <x:c r="B232" s="3"/>
      <x:c r="C232" s="3"/>
      <x:c r="D232" s="3"/>
      <x:c r="E232" s="3"/>
      <x:c r="F232" s="3"/>
      <x:c r="G232" s="3"/>
      <x:c r="H232" s="3"/>
      <x:c r="I232" s="3"/>
      <x:c r="J232" s="10" t="n">
        <x:v>46083</x:v>
      </x:c>
      <x:c r="K232" s="8" t="n">
        <x:f>INDEX('Сводка'!$S$3:$S$397,U232)</x:f>
        <x:v>-57</x:v>
      </x:c>
      <x:c r="L232" s="8" t="n">
        <x:f>INDEX('Сводка'!$S$3:$S$397,V232)</x:f>
        <x:v>-55</x:v>
      </x:c>
      <x:c r="M232" s="8" t="n">
        <x:f>INDEX($K$388:$N$400,W232,1)+INDEX($K$388:$N$400,W232,2)*LN(((J232-$T$405+1)/1000))+INDEX($O$388:$Z$400,W232,MONTH(J232))</x:f>
        <x:v>-40.50941014689347</x:v>
      </x:c>
      <x:c r="N232" s="8" t="n">
        <x:f>K232-M232</x:f>
        <x:v>-16.490589853106528</x:v>
      </x:c>
      <x:c r="O232" s="8" t="n">
        <x:f>ABS(N232)</x:f>
        <x:v>16.490589853106528</x:v>
      </x:c>
      <x:c r="P232" s="8" t="n">
        <x:f>N232^2</x:f>
        <x:v>271.93955370337994</x:v>
      </x:c>
      <x:c r="Q232" s="8" t="n">
        <x:f>K232-L232</x:f>
        <x:v>-2</x:v>
      </x:c>
      <x:c r="R232" s="9" t="n">
        <x:f>IF(AND(INDEX('Сводка'!$T$3:$T$397,U232)=0,INDEX('Сводка'!$T$3:$T$397,V232)=0),1,0)</x:f>
        <x:v>1</x:v>
      </x:c>
      <x:c r="S232" s="9" t="n">
        <x:f>IF(AND(R232=1,O232&lt;=$G$13),1,0)</x:f>
        <x:v>0</x:v>
      </x:c>
      <x:c r="T232" s="10" t="n">
        <x:f>EOMONTH(J232-'Сводка'!$B$11,-1)</x:f>
        <x:v>46081</x:v>
      </x:c>
      <x:c r="U232" s="4" t="n">
        <x:f>MATCH(J232,'Сводка'!$R$3:$R$397,0)</x:f>
        <x:v>243</x:v>
      </x:c>
      <x:c r="V232" s="4" t="n">
        <x:f>MATCH(J232-'Сводка'!$B$11,'Сводка'!$R$3:$R$397,0)</x:f>
        <x:v>242</x:v>
      </x:c>
      <x:c r="W232" s="4" t="n">
        <x:f>MATCH(T232,$J$388:$J$400,0)</x:f>
        <x:v>9</x:v>
      </x:c>
      <x:c r="X232" s="3"/>
      <x:c r="Y232" s="3"/>
      <x:c r="Z232" s="3"/>
    </x:row>
    <x:row r="233" ht="15" customHeight="1">
      <x:c r="A233" s="3"/>
      <x:c r="B233" s="3"/>
      <x:c r="C233" s="3"/>
      <x:c r="D233" s="3"/>
      <x:c r="E233" s="3"/>
      <x:c r="F233" s="3"/>
      <x:c r="G233" s="3"/>
      <x:c r="H233" s="3"/>
      <x:c r="I233" s="3"/>
      <x:c r="J233" s="10" t="n">
        <x:v>46084</x:v>
      </x:c>
      <x:c r="K233" s="8" t="n">
        <x:f>INDEX('Сводка'!$S$3:$S$397,U233)</x:f>
        <x:v>-58</x:v>
      </x:c>
      <x:c r="L233" s="8" t="n">
        <x:f>INDEX('Сводка'!$S$3:$S$397,V233)</x:f>
        <x:v>-57</x:v>
      </x:c>
      <x:c r="M233" s="8" t="n">
        <x:f>INDEX($K$388:$N$400,W233,1)+INDEX($K$388:$N$400,W233,2)*LN(((J233-$T$405+1)/1000))+INDEX($O$388:$Z$400,W233,MONTH(J233))</x:f>
        <x:v>-40.50367641525631</x:v>
      </x:c>
      <x:c r="N233" s="8" t="n">
        <x:f>K233-M233</x:f>
        <x:v>-17.496323584743692</x:v>
      </x:c>
      <x:c r="O233" s="8" t="n">
        <x:f>ABS(N233)</x:f>
        <x:v>17.496323584743692</x:v>
      </x:c>
      <x:c r="P233" s="8" t="n">
        <x:f>N233^2</x:f>
        <x:v>306.1213389820584</x:v>
      </x:c>
      <x:c r="Q233" s="8" t="n">
        <x:f>K233-L233</x:f>
        <x:v>-1</x:v>
      </x:c>
      <x:c r="R233" s="9" t="n">
        <x:f>IF(AND(INDEX('Сводка'!$T$3:$T$397,U233)=0,INDEX('Сводка'!$T$3:$T$397,V233)=0),1,0)</x:f>
        <x:v>1</x:v>
      </x:c>
      <x:c r="S233" s="9" t="n">
        <x:f>IF(AND(R233=1,O233&lt;=$G$13),1,0)</x:f>
        <x:v>0</x:v>
      </x:c>
      <x:c r="T233" s="10" t="n">
        <x:f>EOMONTH(J233-'Сводка'!$B$11,-1)</x:f>
        <x:v>46081</x:v>
      </x:c>
      <x:c r="U233" s="4" t="n">
        <x:f>MATCH(J233,'Сводка'!$R$3:$R$397,0)</x:f>
        <x:v>244</x:v>
      </x:c>
      <x:c r="V233" s="4" t="n">
        <x:f>MATCH(J233-'Сводка'!$B$11,'Сводка'!$R$3:$R$397,0)</x:f>
        <x:v>243</x:v>
      </x:c>
      <x:c r="W233" s="4" t="n">
        <x:f>MATCH(T233,$J$388:$J$400,0)</x:f>
        <x:v>9</x:v>
      </x:c>
      <x:c r="X233" s="3"/>
      <x:c r="Y233" s="3"/>
      <x:c r="Z233" s="3"/>
    </x:row>
    <x:row r="234" ht="15" customHeight="1">
      <x:c r="A234" s="3"/>
      <x:c r="B234" s="3"/>
      <x:c r="C234" s="3"/>
      <x:c r="D234" s="3"/>
      <x:c r="E234" s="3"/>
      <x:c r="F234" s="3"/>
      <x:c r="G234" s="3"/>
      <x:c r="H234" s="3"/>
      <x:c r="I234" s="3"/>
      <x:c r="J234" s="10" t="n">
        <x:v>46085</x:v>
      </x:c>
      <x:c r="K234" s="8" t="n">
        <x:f>INDEX('Сводка'!$S$3:$S$397,U234)</x:f>
        <x:v>-58</x:v>
      </x:c>
      <x:c r="L234" s="8" t="n">
        <x:f>INDEX('Сводка'!$S$3:$S$397,V234)</x:f>
        <x:v>-58</x:v>
      </x:c>
      <x:c r="M234" s="8" t="n">
        <x:f>INDEX($K$388:$N$400,W234,1)+INDEX($K$388:$N$400,W234,2)*LN(((J234-$T$405+1)/1000))+INDEX($O$388:$Z$400,W234,MONTH(J234))</x:f>
        <x:v>-40.49794333307621</x:v>
      </x:c>
      <x:c r="N234" s="8" t="n">
        <x:f>K234-M234</x:f>
        <x:v>-17.502056666923792</x:v>
      </x:c>
      <x:c r="O234" s="8" t="n">
        <x:f>ABS(N234)</x:f>
        <x:v>17.502056666923792</x:v>
      </x:c>
      <x:c r="P234" s="8" t="n">
        <x:f>N234^2</x:f>
        <x:v>306.3219875722116</x:v>
      </x:c>
      <x:c r="Q234" s="8" t="n">
        <x:f>K234-L234</x:f>
        <x:v>0</x:v>
      </x:c>
      <x:c r="R234" s="9" t="n">
        <x:f>IF(AND(INDEX('Сводка'!$T$3:$T$397,U234)=0,INDEX('Сводка'!$T$3:$T$397,V234)=0),1,0)</x:f>
        <x:v>1</x:v>
      </x:c>
      <x:c r="S234" s="9" t="n">
        <x:f>IF(AND(R234=1,O234&lt;=$G$13),1,0)</x:f>
        <x:v>0</x:v>
      </x:c>
      <x:c r="T234" s="10" t="n">
        <x:f>EOMONTH(J234-'Сводка'!$B$11,-1)</x:f>
        <x:v>46081</x:v>
      </x:c>
      <x:c r="U234" s="4" t="n">
        <x:f>MATCH(J234,'Сводка'!$R$3:$R$397,0)</x:f>
        <x:v>245</x:v>
      </x:c>
      <x:c r="V234" s="4" t="n">
        <x:f>MATCH(J234-'Сводка'!$B$11,'Сводка'!$R$3:$R$397,0)</x:f>
        <x:v>244</x:v>
      </x:c>
      <x:c r="W234" s="4" t="n">
        <x:f>MATCH(T234,$J$388:$J$400,0)</x:f>
        <x:v>9</x:v>
      </x:c>
      <x:c r="X234" s="3"/>
      <x:c r="Y234" s="3"/>
      <x:c r="Z234" s="3"/>
    </x:row>
    <x:row r="235" ht="15" customHeight="1">
      <x:c r="A235" s="3"/>
      <x:c r="B235" s="3"/>
      <x:c r="C235" s="3"/>
      <x:c r="D235" s="3"/>
      <x:c r="E235" s="3"/>
      <x:c r="F235" s="3"/>
      <x:c r="G235" s="3"/>
      <x:c r="H235" s="3"/>
      <x:c r="I235" s="3"/>
      <x:c r="J235" s="10" t="n">
        <x:v>46086</x:v>
      </x:c>
      <x:c r="K235" s="8" t="n">
        <x:f>INDEX('Сводка'!$S$3:$S$397,U235)</x:f>
        <x:v>-58</x:v>
      </x:c>
      <x:c r="L235" s="8" t="n">
        <x:f>INDEX('Сводка'!$S$3:$S$397,V235)</x:f>
        <x:v>-58</x:v>
      </x:c>
      <x:c r="M235" s="8" t="n">
        <x:f>INDEX($K$388:$N$400,W235,1)+INDEX($K$388:$N$400,W235,2)*LN(((J235-$T$405+1)/1000))+INDEX($O$388:$Z$400,W235,MONTH(J235))</x:f>
        <x:v>-40.49221090020603</x:v>
      </x:c>
      <x:c r="N235" s="8" t="n">
        <x:f>K235-M235</x:f>
        <x:v>-17.507789099793968</x:v>
      </x:c>
      <x:c r="O235" s="8" t="n">
        <x:f>ABS(N235)</x:f>
        <x:v>17.507789099793968</x:v>
      </x:c>
      <x:c r="P235" s="8" t="n">
        <x:f>N235^2</x:f>
        <x:v>306.52267916286445</x:v>
      </x:c>
      <x:c r="Q235" s="8" t="n">
        <x:f>K235-L235</x:f>
        <x:v>0</x:v>
      </x:c>
      <x:c r="R235" s="9" t="n">
        <x:f>IF(AND(INDEX('Сводка'!$T$3:$T$397,U235)=0,INDEX('Сводка'!$T$3:$T$397,V235)=0),1,0)</x:f>
        <x:v>1</x:v>
      </x:c>
      <x:c r="S235" s="9" t="n">
        <x:f>IF(AND(R235=1,O235&lt;=$G$13),1,0)</x:f>
        <x:v>0</x:v>
      </x:c>
      <x:c r="T235" s="10" t="n">
        <x:f>EOMONTH(J235-'Сводка'!$B$11,-1)</x:f>
        <x:v>46081</x:v>
      </x:c>
      <x:c r="U235" s="4" t="n">
        <x:f>MATCH(J235,'Сводка'!$R$3:$R$397,0)</x:f>
        <x:v>246</x:v>
      </x:c>
      <x:c r="V235" s="4" t="n">
        <x:f>MATCH(J235-'Сводка'!$B$11,'Сводка'!$R$3:$R$397,0)</x:f>
        <x:v>245</x:v>
      </x:c>
      <x:c r="W235" s="4" t="n">
        <x:f>MATCH(T235,$J$388:$J$400,0)</x:f>
        <x:v>9</x:v>
      </x:c>
      <x:c r="X235" s="3"/>
      <x:c r="Y235" s="3"/>
      <x:c r="Z235" s="3"/>
    </x:row>
    <x:row r="236" ht="15" customHeight="1">
      <x:c r="A236" s="3"/>
      <x:c r="B236" s="3"/>
      <x:c r="C236" s="3"/>
      <x:c r="D236" s="3"/>
      <x:c r="E236" s="3"/>
      <x:c r="F236" s="3"/>
      <x:c r="G236" s="3"/>
      <x:c r="H236" s="3"/>
      <x:c r="I236" s="3"/>
      <x:c r="J236" s="10" t="n">
        <x:v>46087</x:v>
      </x:c>
      <x:c r="K236" s="8" t="n">
        <x:f>INDEX('Сводка'!$S$3:$S$397,U236)</x:f>
        <x:v>-57</x:v>
      </x:c>
      <x:c r="L236" s="8" t="n">
        <x:f>INDEX('Сводка'!$S$3:$S$397,V236)</x:f>
        <x:v>-58</x:v>
      </x:c>
      <x:c r="M236" s="8" t="n">
        <x:f>INDEX($K$388:$N$400,W236,1)+INDEX($K$388:$N$400,W236,2)*LN(((J236-$T$405+1)/1000))+INDEX($O$388:$Z$400,W236,MONTH(J236))</x:f>
        <x:v>-40.486479116498785</x:v>
      </x:c>
      <x:c r="N236" s="8" t="n">
        <x:f>K236-M236</x:f>
        <x:v>-16.513520883501215</x:v>
      </x:c>
      <x:c r="O236" s="8" t="n">
        <x:f>ABS(N236)</x:f>
        <x:v>16.513520883501215</x:v>
      </x:c>
      <x:c r="P236" s="8" t="n">
        <x:f>N236^2</x:f>
        <x:v>272.69637196983075</x:v>
      </x:c>
      <x:c r="Q236" s="8" t="n">
        <x:f>K236-L236</x:f>
        <x:v>1</x:v>
      </x:c>
      <x:c r="R236" s="9" t="n">
        <x:f>IF(AND(INDEX('Сводка'!$T$3:$T$397,U236)=0,INDEX('Сводка'!$T$3:$T$397,V236)=0),1,0)</x:f>
        <x:v>1</x:v>
      </x:c>
      <x:c r="S236" s="9" t="n">
        <x:f>IF(AND(R236=1,O236&lt;=$G$13),1,0)</x:f>
        <x:v>0</x:v>
      </x:c>
      <x:c r="T236" s="10" t="n">
        <x:f>EOMONTH(J236-'Сводка'!$B$11,-1)</x:f>
        <x:v>46081</x:v>
      </x:c>
      <x:c r="U236" s="4" t="n">
        <x:f>MATCH(J236,'Сводка'!$R$3:$R$397,0)</x:f>
        <x:v>247</x:v>
      </x:c>
      <x:c r="V236" s="4" t="n">
        <x:f>MATCH(J236-'Сводка'!$B$11,'Сводка'!$R$3:$R$397,0)</x:f>
        <x:v>246</x:v>
      </x:c>
      <x:c r="W236" s="4" t="n">
        <x:f>MATCH(T236,$J$388:$J$400,0)</x:f>
        <x:v>9</x:v>
      </x:c>
      <x:c r="X236" s="3"/>
      <x:c r="Y236" s="3"/>
      <x:c r="Z236" s="3"/>
    </x:row>
    <x:row r="237" ht="15" customHeight="1">
      <x:c r="A237" s="3"/>
      <x:c r="B237" s="3"/>
      <x:c r="C237" s="3"/>
      <x:c r="D237" s="3"/>
      <x:c r="E237" s="3"/>
      <x:c r="F237" s="3"/>
      <x:c r="G237" s="3"/>
      <x:c r="H237" s="3"/>
      <x:c r="I237" s="3"/>
      <x:c r="J237" s="10" t="n">
        <x:v>46088</x:v>
      </x:c>
      <x:c r="K237" s="8" t="n">
        <x:f>INDEX('Сводка'!$S$3:$S$397,U237)</x:f>
        <x:v>-57</x:v>
      </x:c>
      <x:c r="L237" s="8" t="n">
        <x:f>INDEX('Сводка'!$S$3:$S$397,V237)</x:f>
        <x:v>-57</x:v>
      </x:c>
      <x:c r="M237" s="8" t="n">
        <x:f>INDEX($K$388:$N$400,W237,1)+INDEX($K$388:$N$400,W237,2)*LN(((J237-$T$405+1)/1000))+INDEX($O$388:$Z$400,W237,MONTH(J237))</x:f>
        <x:v>-40.48074798180737</x:v>
      </x:c>
      <x:c r="N237" s="8" t="n">
        <x:f>K237-M237</x:f>
        <x:v>-16.51925201819263</x:v>
      </x:c>
      <x:c r="O237" s="8" t="n">
        <x:f>ABS(N237)</x:f>
        <x:v>16.51925201819263</x:v>
      </x:c>
      <x:c r="P237" s="8" t="n">
        <x:f>N237^2</x:f>
        <x:v>272.8856872405613</x:v>
      </x:c>
      <x:c r="Q237" s="8" t="n">
        <x:f>K237-L237</x:f>
        <x:v>0</x:v>
      </x:c>
      <x:c r="R237" s="9" t="n">
        <x:f>IF(AND(INDEX('Сводка'!$T$3:$T$397,U237)=0,INDEX('Сводка'!$T$3:$T$397,V237)=0),1,0)</x:f>
        <x:v>1</x:v>
      </x:c>
      <x:c r="S237" s="9" t="n">
        <x:f>IF(AND(R237=1,O237&lt;=$G$13),1,0)</x:f>
        <x:v>0</x:v>
      </x:c>
      <x:c r="T237" s="10" t="n">
        <x:f>EOMONTH(J237-'Сводка'!$B$11,-1)</x:f>
        <x:v>46081</x:v>
      </x:c>
      <x:c r="U237" s="4" t="n">
        <x:f>MATCH(J237,'Сводка'!$R$3:$R$397,0)</x:f>
        <x:v>248</x:v>
      </x:c>
      <x:c r="V237" s="4" t="n">
        <x:f>MATCH(J237-'Сводка'!$B$11,'Сводка'!$R$3:$R$397,0)</x:f>
        <x:v>247</x:v>
      </x:c>
      <x:c r="W237" s="4" t="n">
        <x:f>MATCH(T237,$J$388:$J$400,0)</x:f>
        <x:v>9</x:v>
      </x:c>
      <x:c r="X237" s="3"/>
      <x:c r="Y237" s="3"/>
      <x:c r="Z237" s="3"/>
    </x:row>
    <x:row r="238" ht="15" customHeight="1">
      <x:c r="A238" s="3"/>
      <x:c r="B238" s="3"/>
      <x:c r="C238" s="3"/>
      <x:c r="D238" s="3"/>
      <x:c r="E238" s="3"/>
      <x:c r="F238" s="3"/>
      <x:c r="G238" s="3"/>
      <x:c r="H238" s="3"/>
      <x:c r="I238" s="3"/>
      <x:c r="J238" s="10" t="n">
        <x:v>46089</x:v>
      </x:c>
      <x:c r="K238" s="8" t="n">
        <x:f>INDEX('Сводка'!$S$3:$S$397,U238)</x:f>
        <x:v>-59</x:v>
      </x:c>
      <x:c r="L238" s="8" t="n">
        <x:f>INDEX('Сводка'!$S$3:$S$397,V238)</x:f>
        <x:v>-57</x:v>
      </x:c>
      <x:c r="M238" s="8" t="n">
        <x:f>INDEX($K$388:$N$400,W238,1)+INDEX($K$388:$N$400,W238,2)*LN(((J238-$T$405+1)/1000))+INDEX($O$388:$Z$400,W238,MONTH(J238))</x:f>
        <x:v>-40.475017495984915</x:v>
      </x:c>
      <x:c r="N238" s="8" t="n">
        <x:f>K238-M238</x:f>
        <x:v>-18.524982504015085</x:v>
      </x:c>
      <x:c r="O238" s="8" t="n">
        <x:f>ABS(N238)</x:f>
        <x:v>18.524982504015085</x:v>
      </x:c>
      <x:c r="P238" s="8" t="n">
        <x:f>N238^2</x:f>
        <x:v>343.17497677406504</x:v>
      </x:c>
      <x:c r="Q238" s="8" t="n">
        <x:f>K238-L238</x:f>
        <x:v>-2</x:v>
      </x:c>
      <x:c r="R238" s="9" t="n">
        <x:f>IF(AND(INDEX('Сводка'!$T$3:$T$397,U238)=0,INDEX('Сводка'!$T$3:$T$397,V238)=0),1,0)</x:f>
        <x:v>1</x:v>
      </x:c>
      <x:c r="S238" s="9" t="n">
        <x:f>IF(AND(R238=1,O238&lt;=$G$13),1,0)</x:f>
        <x:v>0</x:v>
      </x:c>
      <x:c r="T238" s="10" t="n">
        <x:f>EOMONTH(J238-'Сводка'!$B$11,-1)</x:f>
        <x:v>46081</x:v>
      </x:c>
      <x:c r="U238" s="4" t="n">
        <x:f>MATCH(J238,'Сводка'!$R$3:$R$397,0)</x:f>
        <x:v>249</x:v>
      </x:c>
      <x:c r="V238" s="4" t="n">
        <x:f>MATCH(J238-'Сводка'!$B$11,'Сводка'!$R$3:$R$397,0)</x:f>
        <x:v>248</x:v>
      </x:c>
      <x:c r="W238" s="4" t="n">
        <x:f>MATCH(T238,$J$388:$J$400,0)</x:f>
        <x:v>9</x:v>
      </x:c>
      <x:c r="X238" s="3"/>
      <x:c r="Y238" s="3"/>
      <x:c r="Z238" s="3"/>
    </x:row>
    <x:row r="239" ht="15" customHeight="1">
      <x:c r="A239" s="3"/>
      <x:c r="B239" s="3"/>
      <x:c r="C239" s="3"/>
      <x:c r="D239" s="3"/>
      <x:c r="E239" s="3"/>
      <x:c r="F239" s="3"/>
      <x:c r="G239" s="3"/>
      <x:c r="H239" s="3"/>
      <x:c r="I239" s="3"/>
      <x:c r="J239" s="10" t="n">
        <x:v>46090</x:v>
      </x:c>
      <x:c r="K239" s="8" t="n">
        <x:f>INDEX('Сводка'!$S$3:$S$397,U239)</x:f>
        <x:v>-61</x:v>
      </x:c>
      <x:c r="L239" s="8" t="n">
        <x:f>INDEX('Сводка'!$S$3:$S$397,V239)</x:f>
        <x:v>-59</x:v>
      </x:c>
      <x:c r="M239" s="8" t="n">
        <x:f>INDEX($K$388:$N$400,W239,1)+INDEX($K$388:$N$400,W239,2)*LN(((J239-$T$405+1)/1000))+INDEX($O$388:$Z$400,W239,MONTH(J239))</x:f>
        <x:v>-40.46928765888444</x:v>
      </x:c>
      <x:c r="N239" s="8" t="n">
        <x:f>K239-M239</x:f>
        <x:v>-20.53071234111556</x:v>
      </x:c>
      <x:c r="O239" s="8" t="n">
        <x:f>ABS(N239)</x:f>
        <x:v>20.53071234111556</x:v>
      </x:c>
      <x:c r="P239" s="8" t="n">
        <x:f>N239^2</x:f>
        <x:v>421.51014923363476</x:v>
      </x:c>
      <x:c r="Q239" s="8" t="n">
        <x:f>K239-L239</x:f>
        <x:v>-2</x:v>
      </x:c>
      <x:c r="R239" s="9" t="n">
        <x:f>IF(AND(INDEX('Сводка'!$T$3:$T$397,U239)=0,INDEX('Сводка'!$T$3:$T$397,V239)=0),1,0)</x:f>
        <x:v>1</x:v>
      </x:c>
      <x:c r="S239" s="9" t="n">
        <x:f>IF(AND(R239=1,O239&lt;=$G$13),1,0)</x:f>
        <x:v>0</x:v>
      </x:c>
      <x:c r="T239" s="10" t="n">
        <x:f>EOMONTH(J239-'Сводка'!$B$11,-1)</x:f>
        <x:v>46081</x:v>
      </x:c>
      <x:c r="U239" s="4" t="n">
        <x:f>MATCH(J239,'Сводка'!$R$3:$R$397,0)</x:f>
        <x:v>250</x:v>
      </x:c>
      <x:c r="V239" s="4" t="n">
        <x:f>MATCH(J239-'Сводка'!$B$11,'Сводка'!$R$3:$R$397,0)</x:f>
        <x:v>249</x:v>
      </x:c>
      <x:c r="W239" s="4" t="n">
        <x:f>MATCH(T239,$J$388:$J$400,0)</x:f>
        <x:v>9</x:v>
      </x:c>
      <x:c r="X239" s="3"/>
      <x:c r="Y239" s="3"/>
      <x:c r="Z239" s="3"/>
    </x:row>
    <x:row r="240" ht="15" customHeight="1">
      <x:c r="A240" s="3"/>
      <x:c r="B240" s="3"/>
      <x:c r="C240" s="3"/>
      <x:c r="D240" s="3"/>
      <x:c r="E240" s="3"/>
      <x:c r="F240" s="3"/>
      <x:c r="G240" s="3"/>
      <x:c r="H240" s="3"/>
      <x:c r="I240" s="3"/>
      <x:c r="J240" s="10" t="n">
        <x:v>46091</x:v>
      </x:c>
      <x:c r="K240" s="8" t="n">
        <x:f>INDEX('Сводка'!$S$3:$S$397,U240)</x:f>
        <x:v>-64</x:v>
      </x:c>
      <x:c r="L240" s="8" t="n">
        <x:f>INDEX('Сводка'!$S$3:$S$397,V240)</x:f>
        <x:v>-61</x:v>
      </x:c>
      <x:c r="M240" s="8" t="n">
        <x:f>INDEX($K$388:$N$400,W240,1)+INDEX($K$388:$N$400,W240,2)*LN(((J240-$T$405+1)/1000))+INDEX($O$388:$Z$400,W240,MONTH(J240))</x:f>
        <x:v>-40.46355847035912</x:v>
      </x:c>
      <x:c r="N240" s="8" t="n">
        <x:f>K240-M240</x:f>
        <x:v>-23.536441529640882</x:v>
      </x:c>
      <x:c r="O240" s="8" t="n">
        <x:f>ABS(N240)</x:f>
        <x:v>23.536441529640882</x:v>
      </x:c>
      <x:c r="P240" s="8" t="n">
        <x:f>N240^2</x:f>
        <x:v>553.9640798782041</x:v>
      </x:c>
      <x:c r="Q240" s="8" t="n">
        <x:f>K240-L240</x:f>
        <x:v>-3</x:v>
      </x:c>
      <x:c r="R240" s="9" t="n">
        <x:f>IF(AND(INDEX('Сводка'!$T$3:$T$397,U240)=0,INDEX('Сводка'!$T$3:$T$397,V240)=0),1,0)</x:f>
        <x:v>1</x:v>
      </x:c>
      <x:c r="S240" s="9" t="n">
        <x:f>IF(AND(R240=1,O240&lt;=$G$13),1,0)</x:f>
        <x:v>0</x:v>
      </x:c>
      <x:c r="T240" s="10" t="n">
        <x:f>EOMONTH(J240-'Сводка'!$B$11,-1)</x:f>
        <x:v>46081</x:v>
      </x:c>
      <x:c r="U240" s="4" t="n">
        <x:f>MATCH(J240,'Сводка'!$R$3:$R$397,0)</x:f>
        <x:v>251</x:v>
      </x:c>
      <x:c r="V240" s="4" t="n">
        <x:f>MATCH(J240-'Сводка'!$B$11,'Сводка'!$R$3:$R$397,0)</x:f>
        <x:v>250</x:v>
      </x:c>
      <x:c r="W240" s="4" t="n">
        <x:f>MATCH(T240,$J$388:$J$400,0)</x:f>
        <x:v>9</x:v>
      </x:c>
      <x:c r="X240" s="3"/>
      <x:c r="Y240" s="3"/>
      <x:c r="Z240" s="3"/>
    </x:row>
    <x:row r="241" ht="15" customHeight="1">
      <x:c r="A241" s="3"/>
      <x:c r="B241" s="3"/>
      <x:c r="C241" s="3"/>
      <x:c r="D241" s="3"/>
      <x:c r="E241" s="3"/>
      <x:c r="F241" s="3"/>
      <x:c r="G241" s="3"/>
      <x:c r="H241" s="3"/>
      <x:c r="I241" s="3"/>
      <x:c r="J241" s="10" t="n">
        <x:v>46092</x:v>
      </x:c>
      <x:c r="K241" s="8" t="n">
        <x:f>INDEX('Сводка'!$S$3:$S$397,U241)</x:f>
        <x:v>-69</x:v>
      </x:c>
      <x:c r="L241" s="8" t="n">
        <x:f>INDEX('Сводка'!$S$3:$S$397,V241)</x:f>
        <x:v>-64</x:v>
      </x:c>
      <x:c r="M241" s="8" t="n">
        <x:f>INDEX($K$388:$N$400,W241,1)+INDEX($K$388:$N$400,W241,2)*LN(((J241-$T$405+1)/1000))+INDEX($O$388:$Z$400,W241,MONTH(J241))</x:f>
        <x:v>-40.45782993026212</x:v>
      </x:c>
      <x:c r="N241" s="8" t="n">
        <x:f>K241-M241</x:f>
        <x:v>-28.542170069737878</x:v>
      </x:c>
      <x:c r="O241" s="8" t="n">
        <x:f>ABS(N241)</x:f>
        <x:v>28.542170069737878</x:v>
      </x:c>
      <x:c r="P241" s="8" t="n">
        <x:f>N241^2</x:f>
        <x:v>814.6554722898408</x:v>
      </x:c>
      <x:c r="Q241" s="8" t="n">
        <x:f>K241-L241</x:f>
        <x:v>-5</x:v>
      </x:c>
      <x:c r="R241" s="9" t="n">
        <x:f>IF(AND(INDEX('Сводка'!$T$3:$T$397,U241)=0,INDEX('Сводка'!$T$3:$T$397,V241)=0),1,0)</x:f>
        <x:v>1</x:v>
      </x:c>
      <x:c r="S241" s="9" t="n">
        <x:f>IF(AND(R241=1,O241&lt;=$G$13),1,0)</x:f>
        <x:v>0</x:v>
      </x:c>
      <x:c r="T241" s="10" t="n">
        <x:f>EOMONTH(J241-'Сводка'!$B$11,-1)</x:f>
        <x:v>46081</x:v>
      </x:c>
      <x:c r="U241" s="4" t="n">
        <x:f>MATCH(J241,'Сводка'!$R$3:$R$397,0)</x:f>
        <x:v>252</x:v>
      </x:c>
      <x:c r="V241" s="4" t="n">
        <x:f>MATCH(J241-'Сводка'!$B$11,'Сводка'!$R$3:$R$397,0)</x:f>
        <x:v>251</x:v>
      </x:c>
      <x:c r="W241" s="4" t="n">
        <x:f>MATCH(T241,$J$388:$J$400,0)</x:f>
        <x:v>9</x:v>
      </x:c>
      <x:c r="X241" s="3"/>
      <x:c r="Y241" s="3"/>
      <x:c r="Z241" s="3"/>
    </x:row>
    <x:row r="242" ht="15" customHeight="1">
      <x:c r="A242" s="3"/>
      <x:c r="B242" s="3"/>
      <x:c r="C242" s="3"/>
      <x:c r="D242" s="3"/>
      <x:c r="E242" s="3"/>
      <x:c r="F242" s="3"/>
      <x:c r="G242" s="3"/>
      <x:c r="H242" s="3"/>
      <x:c r="I242" s="3"/>
      <x:c r="J242" s="10" t="n">
        <x:v>46093</x:v>
      </x:c>
      <x:c r="K242" s="8" t="n">
        <x:f>INDEX('Сводка'!$S$3:$S$397,U242)</x:f>
        <x:v>-73</x:v>
      </x:c>
      <x:c r="L242" s="8" t="n">
        <x:f>INDEX('Сводка'!$S$3:$S$397,V242)</x:f>
        <x:v>-69</x:v>
      </x:c>
      <x:c r="M242" s="8" t="n">
        <x:f>INDEX($K$388:$N$400,W242,1)+INDEX($K$388:$N$400,W242,2)*LN(((J242-$T$405+1)/1000))+INDEX($O$388:$Z$400,W242,MONTH(J242))</x:f>
        <x:v>-40.4521020384467</x:v>
      </x:c>
      <x:c r="N242" s="8" t="n">
        <x:f>K242-M242</x:f>
        <x:v>-32.5478979615533</x:v>
      </x:c>
      <x:c r="O242" s="8" t="n">
        <x:f>ABS(N242)</x:f>
        <x:v>32.5478979615533</x:v>
      </x:c>
      <x:c r="P242" s="8" t="n">
        <x:f>N242^2</x:f>
        <x:v>1059.3656617156857</x:v>
      </x:c>
      <x:c r="Q242" s="8" t="n">
        <x:f>K242-L242</x:f>
        <x:v>-4</x:v>
      </x:c>
      <x:c r="R242" s="9" t="n">
        <x:f>IF(AND(INDEX('Сводка'!$T$3:$T$397,U242)=0,INDEX('Сводка'!$T$3:$T$397,V242)=0),1,0)</x:f>
        <x:v>1</x:v>
      </x:c>
      <x:c r="S242" s="9" t="n">
        <x:f>IF(AND(R242=1,O242&lt;=$G$13),1,0)</x:f>
        <x:v>0</x:v>
      </x:c>
      <x:c r="T242" s="10" t="n">
        <x:f>EOMONTH(J242-'Сводка'!$B$11,-1)</x:f>
        <x:v>46081</x:v>
      </x:c>
      <x:c r="U242" s="4" t="n">
        <x:f>MATCH(J242,'Сводка'!$R$3:$R$397,0)</x:f>
        <x:v>253</x:v>
      </x:c>
      <x:c r="V242" s="4" t="n">
        <x:f>MATCH(J242-'Сводка'!$B$11,'Сводка'!$R$3:$R$397,0)</x:f>
        <x:v>252</x:v>
      </x:c>
      <x:c r="W242" s="4" t="n">
        <x:f>MATCH(T242,$J$388:$J$400,0)</x:f>
        <x:v>9</x:v>
      </x:c>
      <x:c r="X242" s="3"/>
      <x:c r="Y242" s="3"/>
      <x:c r="Z242" s="3"/>
    </x:row>
    <x:row r="243" ht="15" customHeight="1">
      <x:c r="A243" s="3"/>
      <x:c r="B243" s="3"/>
      <x:c r="C243" s="3"/>
      <x:c r="D243" s="3"/>
      <x:c r="E243" s="3"/>
      <x:c r="F243" s="3"/>
      <x:c r="G243" s="3"/>
      <x:c r="H243" s="3"/>
      <x:c r="I243" s="3"/>
      <x:c r="J243" s="10" t="n">
        <x:v>46094</x:v>
      </x:c>
      <x:c r="K243" s="8" t="n">
        <x:f>INDEX('Сводка'!$S$3:$S$397,U243)</x:f>
        <x:v>-73</x:v>
      </x:c>
      <x:c r="L243" s="8" t="n">
        <x:f>INDEX('Сводка'!$S$3:$S$397,V243)</x:f>
        <x:v>-73</x:v>
      </x:c>
      <x:c r="M243" s="8" t="n">
        <x:f>INDEX($K$388:$N$400,W243,1)+INDEX($K$388:$N$400,W243,2)*LN(((J243-$T$405+1)/1000))+INDEX($O$388:$Z$400,W243,MONTH(J243))</x:f>
        <x:v>-40.44637479476616</x:v>
      </x:c>
      <x:c r="N243" s="8" t="n">
        <x:f>K243-M243</x:f>
        <x:v>-32.55362520523384</x:v>
      </x:c>
      <x:c r="O243" s="8" t="n">
        <x:f>ABS(N243)</x:f>
        <x:v>32.55362520523384</x:v>
      </x:c>
      <x:c r="P243" s="8" t="n">
        <x:f>N243^2</x:f>
        <x:v>1059.7385140028362</x:v>
      </x:c>
      <x:c r="Q243" s="8" t="n">
        <x:f>K243-L243</x:f>
        <x:v>0</x:v>
      </x:c>
      <x:c r="R243" s="9" t="n">
        <x:f>IF(AND(INDEX('Сводка'!$T$3:$T$397,U243)=0,INDEX('Сводка'!$T$3:$T$397,V243)=0),1,0)</x:f>
        <x:v>1</x:v>
      </x:c>
      <x:c r="S243" s="9" t="n">
        <x:f>IF(AND(R243=1,O243&lt;=$G$13),1,0)</x:f>
        <x:v>0</x:v>
      </x:c>
      <x:c r="T243" s="10" t="n">
        <x:f>EOMONTH(J243-'Сводка'!$B$11,-1)</x:f>
        <x:v>46081</x:v>
      </x:c>
      <x:c r="U243" s="4" t="n">
        <x:f>MATCH(J243,'Сводка'!$R$3:$R$397,0)</x:f>
        <x:v>254</x:v>
      </x:c>
      <x:c r="V243" s="4" t="n">
        <x:f>MATCH(J243-'Сводка'!$B$11,'Сводка'!$R$3:$R$397,0)</x:f>
        <x:v>253</x:v>
      </x:c>
      <x:c r="W243" s="4" t="n">
        <x:f>MATCH(T243,$J$388:$J$400,0)</x:f>
        <x:v>9</x:v>
      </x:c>
      <x:c r="X243" s="3"/>
      <x:c r="Y243" s="3"/>
      <x:c r="Z243" s="3"/>
    </x:row>
    <x:row r="244" ht="15" customHeight="1">
      <x:c r="A244" s="3"/>
      <x:c r="B244" s="3"/>
      <x:c r="C244" s="3"/>
      <x:c r="D244" s="3"/>
      <x:c r="E244" s="3"/>
      <x:c r="F244" s="3"/>
      <x:c r="G244" s="3"/>
      <x:c r="H244" s="3"/>
      <x:c r="I244" s="3"/>
      <x:c r="J244" s="10" t="n">
        <x:v>46095</x:v>
      </x:c>
      <x:c r="K244" s="8" t="n">
        <x:f>INDEX('Сводка'!$S$3:$S$397,U244)</x:f>
        <x:v>-75</x:v>
      </x:c>
      <x:c r="L244" s="8" t="n">
        <x:f>INDEX('Сводка'!$S$3:$S$397,V244)</x:f>
        <x:v>-73</x:v>
      </x:c>
      <x:c r="M244" s="8" t="n">
        <x:f>INDEX($K$388:$N$400,W244,1)+INDEX($K$388:$N$400,W244,2)*LN(((J244-$T$405+1)/1000))+INDEX($O$388:$Z$400,W244,MONTH(J244))</x:f>
        <x:v>-40.44064819907378</x:v>
      </x:c>
      <x:c r="N244" s="8" t="n">
        <x:f>K244-M244</x:f>
        <x:v>-34.55935180092622</x:v>
      </x:c>
      <x:c r="O244" s="8" t="n">
        <x:f>ABS(N244)</x:f>
        <x:v>34.55935180092622</x:v>
      </x:c>
      <x:c r="P244" s="8" t="n">
        <x:f>N244^2</x:f>
        <x:v>1194.3487969001826</x:v>
      </x:c>
      <x:c r="Q244" s="8" t="n">
        <x:f>K244-L244</x:f>
        <x:v>-2</x:v>
      </x:c>
      <x:c r="R244" s="9" t="n">
        <x:f>IF(AND(INDEX('Сводка'!$T$3:$T$397,U244)=0,INDEX('Сводка'!$T$3:$T$397,V244)=0),1,0)</x:f>
        <x:v>1</x:v>
      </x:c>
      <x:c r="S244" s="9" t="n">
        <x:f>IF(AND(R244=1,O244&lt;=$G$13),1,0)</x:f>
        <x:v>0</x:v>
      </x:c>
      <x:c r="T244" s="10" t="n">
        <x:f>EOMONTH(J244-'Сводка'!$B$11,-1)</x:f>
        <x:v>46081</x:v>
      </x:c>
      <x:c r="U244" s="4" t="n">
        <x:f>MATCH(J244,'Сводка'!$R$3:$R$397,0)</x:f>
        <x:v>255</x:v>
      </x:c>
      <x:c r="V244" s="4" t="n">
        <x:f>MATCH(J244-'Сводка'!$B$11,'Сводка'!$R$3:$R$397,0)</x:f>
        <x:v>254</x:v>
      </x:c>
      <x:c r="W244" s="4" t="n">
        <x:f>MATCH(T244,$J$388:$J$400,0)</x:f>
        <x:v>9</x:v>
      </x:c>
      <x:c r="X244" s="3"/>
      <x:c r="Y244" s="3"/>
      <x:c r="Z244" s="3"/>
    </x:row>
    <x:row r="245" ht="15" customHeight="1">
      <x:c r="A245" s="3"/>
      <x:c r="B245" s="3"/>
      <x:c r="C245" s="3"/>
      <x:c r="D245" s="3"/>
      <x:c r="E245" s="3"/>
      <x:c r="F245" s="3"/>
      <x:c r="G245" s="3"/>
      <x:c r="H245" s="3"/>
      <x:c r="I245" s="3"/>
      <x:c r="J245" s="10" t="n">
        <x:v>46096</x:v>
      </x:c>
      <x:c r="K245" s="8" t="n">
        <x:f>INDEX('Сводка'!$S$3:$S$397,U245)</x:f>
        <x:v>-76</x:v>
      </x:c>
      <x:c r="L245" s="8" t="n">
        <x:f>INDEX('Сводка'!$S$3:$S$397,V245)</x:f>
        <x:v>-75</x:v>
      </x:c>
      <x:c r="M245" s="8" t="n">
        <x:f>INDEX($K$388:$N$400,W245,1)+INDEX($K$388:$N$400,W245,2)*LN(((J245-$T$405+1)/1000))+INDEX($O$388:$Z$400,W245,MONTH(J245))</x:f>
        <x:v>-40.434922251223014</x:v>
      </x:c>
      <x:c r="N245" s="8" t="n">
        <x:f>K245-M245</x:f>
        <x:v>-35.565077748776986</x:v>
      </x:c>
      <x:c r="O245" s="8" t="n">
        <x:f>ABS(N245)</x:f>
        <x:v>35.565077748776986</x:v>
      </x:c>
      <x:c r="P245" s="8" t="n">
        <x:f>N245^2</x:f>
        <x:v>1264.874755276552</x:v>
      </x:c>
      <x:c r="Q245" s="8" t="n">
        <x:f>K245-L245</x:f>
        <x:v>-1</x:v>
      </x:c>
      <x:c r="R245" s="9" t="n">
        <x:f>IF(AND(INDEX('Сводка'!$T$3:$T$397,U245)=0,INDEX('Сводка'!$T$3:$T$397,V245)=0),1,0)</x:f>
        <x:v>1</x:v>
      </x:c>
      <x:c r="S245" s="9" t="n">
        <x:f>IF(AND(R245=1,O245&lt;=$G$13),1,0)</x:f>
        <x:v>0</x:v>
      </x:c>
      <x:c r="T245" s="10" t="n">
        <x:f>EOMONTH(J245-'Сводка'!$B$11,-1)</x:f>
        <x:v>46081</x:v>
      </x:c>
      <x:c r="U245" s="4" t="n">
        <x:f>MATCH(J245,'Сводка'!$R$3:$R$397,0)</x:f>
        <x:v>256</x:v>
      </x:c>
      <x:c r="V245" s="4" t="n">
        <x:f>MATCH(J245-'Сводка'!$B$11,'Сводка'!$R$3:$R$397,0)</x:f>
        <x:v>255</x:v>
      </x:c>
      <x:c r="W245" s="4" t="n">
        <x:f>MATCH(T245,$J$388:$J$400,0)</x:f>
        <x:v>9</x:v>
      </x:c>
      <x:c r="X245" s="3"/>
      <x:c r="Y245" s="3"/>
      <x:c r="Z245" s="3"/>
    </x:row>
    <x:row r="246" ht="15" customHeight="1">
      <x:c r="A246" s="3"/>
      <x:c r="B246" s="3"/>
      <x:c r="C246" s="3"/>
      <x:c r="D246" s="3"/>
      <x:c r="E246" s="3"/>
      <x:c r="F246" s="3"/>
      <x:c r="G246" s="3"/>
      <x:c r="H246" s="3"/>
      <x:c r="I246" s="3"/>
      <x:c r="J246" s="10" t="n">
        <x:v>46097</x:v>
      </x:c>
      <x:c r="K246" s="8" t="n">
        <x:f>INDEX('Сводка'!$S$3:$S$397,U246)</x:f>
        <x:v>-76</x:v>
      </x:c>
      <x:c r="L246" s="8" t="n">
        <x:f>INDEX('Сводка'!$S$3:$S$397,V246)</x:f>
        <x:v>-76</x:v>
      </x:c>
      <x:c r="M246" s="8" t="n">
        <x:f>INDEX($K$388:$N$400,W246,1)+INDEX($K$388:$N$400,W246,2)*LN(((J246-$T$405+1)/1000))+INDEX($O$388:$Z$400,W246,MONTH(J246))</x:f>
        <x:v>-40.429196951067254</x:v>
      </x:c>
      <x:c r="N246" s="8" t="n">
        <x:f>K246-M246</x:f>
        <x:v>-35.570803048932746</x:v>
      </x:c>
      <x:c r="O246" s="8" t="n">
        <x:f>ABS(N246)</x:f>
        <x:v>35.570803048932746</x:v>
      </x:c>
      <x:c r="P246" s="8" t="n">
        <x:f>N246^2</x:f>
        <x:v>1265.282029545963</x:v>
      </x:c>
      <x:c r="Q246" s="8" t="n">
        <x:f>K246-L246</x:f>
        <x:v>0</x:v>
      </x:c>
      <x:c r="R246" s="9" t="n">
        <x:f>IF(AND(INDEX('Сводка'!$T$3:$T$397,U246)=0,INDEX('Сводка'!$T$3:$T$397,V246)=0),1,0)</x:f>
        <x:v>1</x:v>
      </x:c>
      <x:c r="S246" s="9" t="n">
        <x:f>IF(AND(R246=1,O246&lt;=$G$13),1,0)</x:f>
        <x:v>0</x:v>
      </x:c>
      <x:c r="T246" s="10" t="n">
        <x:f>EOMONTH(J246-'Сводка'!$B$11,-1)</x:f>
        <x:v>46081</x:v>
      </x:c>
      <x:c r="U246" s="4" t="n">
        <x:f>MATCH(J246,'Сводка'!$R$3:$R$397,0)</x:f>
        <x:v>257</x:v>
      </x:c>
      <x:c r="V246" s="4" t="n">
        <x:f>MATCH(J246-'Сводка'!$B$11,'Сводка'!$R$3:$R$397,0)</x:f>
        <x:v>256</x:v>
      </x:c>
      <x:c r="W246" s="4" t="n">
        <x:f>MATCH(T246,$J$388:$J$400,0)</x:f>
        <x:v>9</x:v>
      </x:c>
      <x:c r="X246" s="3"/>
      <x:c r="Y246" s="3"/>
      <x:c r="Z246" s="3"/>
    </x:row>
    <x:row r="247" ht="15" customHeight="1">
      <x:c r="A247" s="3"/>
      <x:c r="B247" s="3"/>
      <x:c r="C247" s="3"/>
      <x:c r="D247" s="3"/>
      <x:c r="E247" s="3"/>
      <x:c r="F247" s="3"/>
      <x:c r="G247" s="3"/>
      <x:c r="H247" s="3"/>
      <x:c r="I247" s="3"/>
      <x:c r="J247" s="10" t="n">
        <x:v>46098</x:v>
      </x:c>
      <x:c r="K247" s="8" t="n">
        <x:f>INDEX('Сводка'!$S$3:$S$397,U247)</x:f>
        <x:v>-76</x:v>
      </x:c>
      <x:c r="L247" s="8" t="n">
        <x:f>INDEX('Сводка'!$S$3:$S$397,V247)</x:f>
        <x:v>-76</x:v>
      </x:c>
      <x:c r="M247" s="8" t="n">
        <x:f>INDEX($K$388:$N$400,W247,1)+INDEX($K$388:$N$400,W247,2)*LN(((J247-$T$405+1)/1000))+INDEX($O$388:$Z$400,W247,MONTH(J247))</x:f>
        <x:v>-40.42347229846003</x:v>
      </x:c>
      <x:c r="N247" s="8" t="n">
        <x:f>K247-M247</x:f>
        <x:v>-35.57652770153997</x:v>
      </x:c>
      <x:c r="O247" s="8" t="n">
        <x:f>ABS(N247)</x:f>
        <x:v>35.57652770153997</x:v>
      </x:c>
      <x:c r="P247" s="8" t="n">
        <x:f>N247^2</x:f>
        <x:v>1265.6893232984412</x:v>
      </x:c>
      <x:c r="Q247" s="8" t="n">
        <x:f>K247-L247</x:f>
        <x:v>0</x:v>
      </x:c>
      <x:c r="R247" s="9" t="n">
        <x:f>IF(AND(INDEX('Сводка'!$T$3:$T$397,U247)=0,INDEX('Сводка'!$T$3:$T$397,V247)=0),1,0)</x:f>
        <x:v>1</x:v>
      </x:c>
      <x:c r="S247" s="9" t="n">
        <x:f>IF(AND(R247=1,O247&lt;=$G$13),1,0)</x:f>
        <x:v>0</x:v>
      </x:c>
      <x:c r="T247" s="10" t="n">
        <x:f>EOMONTH(J247-'Сводка'!$B$11,-1)</x:f>
        <x:v>46081</x:v>
      </x:c>
      <x:c r="U247" s="4" t="n">
        <x:f>MATCH(J247,'Сводка'!$R$3:$R$397,0)</x:f>
        <x:v>258</x:v>
      </x:c>
      <x:c r="V247" s="4" t="n">
        <x:f>MATCH(J247-'Сводка'!$B$11,'Сводка'!$R$3:$R$397,0)</x:f>
        <x:v>257</x:v>
      </x:c>
      <x:c r="W247" s="4" t="n">
        <x:f>MATCH(T247,$J$388:$J$400,0)</x:f>
        <x:v>9</x:v>
      </x:c>
      <x:c r="X247" s="3"/>
      <x:c r="Y247" s="3"/>
      <x:c r="Z247" s="3"/>
    </x:row>
    <x:row r="248" ht="15" customHeight="1">
      <x:c r="A248" s="3"/>
      <x:c r="B248" s="3"/>
      <x:c r="C248" s="3"/>
      <x:c r="D248" s="3"/>
      <x:c r="E248" s="3"/>
      <x:c r="F248" s="3"/>
      <x:c r="G248" s="3"/>
      <x:c r="H248" s="3"/>
      <x:c r="I248" s="3"/>
      <x:c r="J248" s="10" t="n">
        <x:v>46099</x:v>
      </x:c>
      <x:c r="K248" s="8" t="n">
        <x:f>INDEX('Сводка'!$S$3:$S$397,U248)</x:f>
        <x:v>-74</x:v>
      </x:c>
      <x:c r="L248" s="8" t="n">
        <x:f>INDEX('Сводка'!$S$3:$S$397,V248)</x:f>
        <x:v>-76</x:v>
      </x:c>
      <x:c r="M248" s="8" t="n">
        <x:f>INDEX($K$388:$N$400,W248,1)+INDEX($K$388:$N$400,W248,2)*LN(((J248-$T$405+1)/1000))+INDEX($O$388:$Z$400,W248,MONTH(J248))</x:f>
        <x:v>-40.41774829325483</x:v>
      </x:c>
      <x:c r="N248" s="8" t="n">
        <x:f>K248-M248</x:f>
        <x:v>-33.58225170674517</x:v>
      </x:c>
      <x:c r="O248" s="8" t="n">
        <x:f>ABS(N248)</x:f>
        <x:v>33.58225170674517</x:v>
      </x:c>
      <x:c r="P248" s="8" t="n">
        <x:f>N248^2</x:f>
        <x:v>1127.7676296951888</x:v>
      </x:c>
      <x:c r="Q248" s="8" t="n">
        <x:f>K248-L248</x:f>
        <x:v>2</x:v>
      </x:c>
      <x:c r="R248" s="9" t="n">
        <x:f>IF(AND(INDEX('Сводка'!$T$3:$T$397,U248)=0,INDEX('Сводка'!$T$3:$T$397,V248)=0),1,0)</x:f>
        <x:v>1</x:v>
      </x:c>
      <x:c r="S248" s="9" t="n">
        <x:f>IF(AND(R248=1,O248&lt;=$G$13),1,0)</x:f>
        <x:v>0</x:v>
      </x:c>
      <x:c r="T248" s="10" t="n">
        <x:f>EOMONTH(J248-'Сводка'!$B$11,-1)</x:f>
        <x:v>46081</x:v>
      </x:c>
      <x:c r="U248" s="4" t="n">
        <x:f>MATCH(J248,'Сводка'!$R$3:$R$397,0)</x:f>
        <x:v>259</x:v>
      </x:c>
      <x:c r="V248" s="4" t="n">
        <x:f>MATCH(J248-'Сводка'!$B$11,'Сводка'!$R$3:$R$397,0)</x:f>
        <x:v>258</x:v>
      </x:c>
      <x:c r="W248" s="4" t="n">
        <x:f>MATCH(T248,$J$388:$J$400,0)</x:f>
        <x:v>9</x:v>
      </x:c>
      <x:c r="X248" s="3"/>
      <x:c r="Y248" s="3"/>
      <x:c r="Z248" s="3"/>
    </x:row>
    <x:row r="249" ht="15" customHeight="1">
      <x:c r="A249" s="3"/>
      <x:c r="B249" s="3"/>
      <x:c r="C249" s="3"/>
      <x:c r="D249" s="3"/>
      <x:c r="E249" s="3"/>
      <x:c r="F249" s="3"/>
      <x:c r="G249" s="3"/>
      <x:c r="H249" s="3"/>
      <x:c r="I249" s="3"/>
      <x:c r="J249" s="10" t="n">
        <x:v>46100</x:v>
      </x:c>
      <x:c r="K249" s="8" t="n">
        <x:f>INDEX('Сводка'!$S$3:$S$397,U249)</x:f>
        <x:v>-73</x:v>
      </x:c>
      <x:c r="L249" s="8" t="n">
        <x:f>INDEX('Сводка'!$S$3:$S$397,V249)</x:f>
        <x:v>-74</x:v>
      </x:c>
      <x:c r="M249" s="8" t="n">
        <x:f>INDEX($K$388:$N$400,W249,1)+INDEX($K$388:$N$400,W249,2)*LN(((J249-$T$405+1)/1000))+INDEX($O$388:$Z$400,W249,MONTH(J249))</x:f>
        <x:v>-40.41202493530527</x:v>
      </x:c>
      <x:c r="N249" s="8" t="n">
        <x:f>K249-M249</x:f>
        <x:v>-32.58797506469473</x:v>
      </x:c>
      <x:c r="O249" s="8" t="n">
        <x:f>ABS(N249)</x:f>
        <x:v>32.58797506469473</x:v>
      </x:c>
      <x:c r="P249" s="8" t="n">
        <x:f>N249^2</x:f>
        <x:v>1061.9761188171656</x:v>
      </x:c>
      <x:c r="Q249" s="8" t="n">
        <x:f>K249-L249</x:f>
        <x:v>1</x:v>
      </x:c>
      <x:c r="R249" s="9" t="n">
        <x:f>IF(AND(INDEX('Сводка'!$T$3:$T$397,U249)=0,INDEX('Сводка'!$T$3:$T$397,V249)=0),1,0)</x:f>
        <x:v>1</x:v>
      </x:c>
      <x:c r="S249" s="9" t="n">
        <x:f>IF(AND(R249=1,O249&lt;=$G$13),1,0)</x:f>
        <x:v>0</x:v>
      </x:c>
      <x:c r="T249" s="10" t="n">
        <x:f>EOMONTH(J249-'Сводка'!$B$11,-1)</x:f>
        <x:v>46081</x:v>
      </x:c>
      <x:c r="U249" s="4" t="n">
        <x:f>MATCH(J249,'Сводка'!$R$3:$R$397,0)</x:f>
        <x:v>260</x:v>
      </x:c>
      <x:c r="V249" s="4" t="n">
        <x:f>MATCH(J249-'Сводка'!$B$11,'Сводка'!$R$3:$R$397,0)</x:f>
        <x:v>259</x:v>
      </x:c>
      <x:c r="W249" s="4" t="n">
        <x:f>MATCH(T249,$J$388:$J$400,0)</x:f>
        <x:v>9</x:v>
      </x:c>
      <x:c r="X249" s="3"/>
      <x:c r="Y249" s="3"/>
      <x:c r="Z249" s="3"/>
    </x:row>
    <x:row r="250" ht="15" customHeight="1">
      <x:c r="A250" s="3"/>
      <x:c r="B250" s="3"/>
      <x:c r="C250" s="3"/>
      <x:c r="D250" s="3"/>
      <x:c r="E250" s="3"/>
      <x:c r="F250" s="3"/>
      <x:c r="G250" s="3"/>
      <x:c r="H250" s="3"/>
      <x:c r="I250" s="3"/>
      <x:c r="J250" s="10" t="n">
        <x:v>46101</x:v>
      </x:c>
      <x:c r="K250" s="8" t="n">
        <x:f>INDEX('Сводка'!$S$3:$S$397,U250)</x:f>
        <x:v>-73</x:v>
      </x:c>
      <x:c r="L250" s="8" t="n">
        <x:f>INDEX('Сводка'!$S$3:$S$397,V250)</x:f>
        <x:v>-73</x:v>
      </x:c>
      <x:c r="M250" s="8" t="n">
        <x:f>INDEX($K$388:$N$400,W250,1)+INDEX($K$388:$N$400,W250,2)*LN(((J250-$T$405+1)/1000))+INDEX($O$388:$Z$400,W250,MONTH(J250))</x:f>
        <x:v>-40.406302224464994</x:v>
      </x:c>
      <x:c r="N250" s="8" t="n">
        <x:f>K250-M250</x:f>
        <x:v>-32.593697775535006</x:v>
      </x:c>
      <x:c r="O250" s="8" t="n">
        <x:f>ABS(N250)</x:f>
        <x:v>32.593697775535006</x:v>
      </x:c>
      <x:c r="P250" s="8" t="n">
        <x:f>N250^2</x:f>
        <x:v>1062.3491346829155</x:v>
      </x:c>
      <x:c r="Q250" s="8" t="n">
        <x:f>K250-L250</x:f>
        <x:v>0</x:v>
      </x:c>
      <x:c r="R250" s="9" t="n">
        <x:f>IF(AND(INDEX('Сводка'!$T$3:$T$397,U250)=0,INDEX('Сводка'!$T$3:$T$397,V250)=0),1,0)</x:f>
        <x:v>1</x:v>
      </x:c>
      <x:c r="S250" s="9" t="n">
        <x:f>IF(AND(R250=1,O250&lt;=$G$13),1,0)</x:f>
        <x:v>0</x:v>
      </x:c>
      <x:c r="T250" s="10" t="n">
        <x:f>EOMONTH(J250-'Сводка'!$B$11,-1)</x:f>
        <x:v>46081</x:v>
      </x:c>
      <x:c r="U250" s="4" t="n">
        <x:f>MATCH(J250,'Сводка'!$R$3:$R$397,0)</x:f>
        <x:v>261</x:v>
      </x:c>
      <x:c r="V250" s="4" t="n">
        <x:f>MATCH(J250-'Сводка'!$B$11,'Сводка'!$R$3:$R$397,0)</x:f>
        <x:v>260</x:v>
      </x:c>
      <x:c r="W250" s="4" t="n">
        <x:f>MATCH(T250,$J$388:$J$400,0)</x:f>
        <x:v>9</x:v>
      </x:c>
      <x:c r="X250" s="3"/>
      <x:c r="Y250" s="3"/>
      <x:c r="Z250" s="3"/>
    </x:row>
    <x:row r="251" ht="15" customHeight="1">
      <x:c r="A251" s="3"/>
      <x:c r="B251" s="3"/>
      <x:c r="C251" s="3"/>
      <x:c r="D251" s="3"/>
      <x:c r="E251" s="3"/>
      <x:c r="F251" s="3"/>
      <x:c r="G251" s="3"/>
      <x:c r="H251" s="3"/>
      <x:c r="I251" s="3"/>
      <x:c r="J251" s="10" t="n">
        <x:v>46102</x:v>
      </x:c>
      <x:c r="K251" s="8" t="n">
        <x:f>INDEX('Сводка'!$S$3:$S$397,U251)</x:f>
        <x:v>-71</x:v>
      </x:c>
      <x:c r="L251" s="8" t="n">
        <x:f>INDEX('Сводка'!$S$3:$S$397,V251)</x:f>
        <x:v>-73</x:v>
      </x:c>
      <x:c r="M251" s="8" t="n">
        <x:f>INDEX($K$388:$N$400,W251,1)+INDEX($K$388:$N$400,W251,2)*LN(((J251-$T$405+1)/1000))+INDEX($O$388:$Z$400,W251,MONTH(J251))</x:f>
        <x:v>-40.400580160587666</x:v>
      </x:c>
      <x:c r="N251" s="8" t="n">
        <x:f>K251-M251</x:f>
        <x:v>-30.599419839412334</x:v>
      </x:c>
      <x:c r="O251" s="8" t="n">
        <x:f>ABS(N251)</x:f>
        <x:v>30.599419839412334</x:v>
      </x:c>
      <x:c r="P251" s="8" t="n">
        <x:f>N251^2</x:f>
        <x:v>936.3244945086212</x:v>
      </x:c>
      <x:c r="Q251" s="8" t="n">
        <x:f>K251-L251</x:f>
        <x:v>2</x:v>
      </x:c>
      <x:c r="R251" s="9" t="n">
        <x:f>IF(AND(INDEX('Сводка'!$T$3:$T$397,U251)=0,INDEX('Сводка'!$T$3:$T$397,V251)=0),1,0)</x:f>
        <x:v>1</x:v>
      </x:c>
      <x:c r="S251" s="9" t="n">
        <x:f>IF(AND(R251=1,O251&lt;=$G$13),1,0)</x:f>
        <x:v>0</x:v>
      </x:c>
      <x:c r="T251" s="10" t="n">
        <x:f>EOMONTH(J251-'Сводка'!$B$11,-1)</x:f>
        <x:v>46081</x:v>
      </x:c>
      <x:c r="U251" s="4" t="n">
        <x:f>MATCH(J251,'Сводка'!$R$3:$R$397,0)</x:f>
        <x:v>262</x:v>
      </x:c>
      <x:c r="V251" s="4" t="n">
        <x:f>MATCH(J251-'Сводка'!$B$11,'Сводка'!$R$3:$R$397,0)</x:f>
        <x:v>261</x:v>
      </x:c>
      <x:c r="W251" s="4" t="n">
        <x:f>MATCH(T251,$J$388:$J$400,0)</x:f>
        <x:v>9</x:v>
      </x:c>
      <x:c r="X251" s="3"/>
      <x:c r="Y251" s="3"/>
      <x:c r="Z251" s="3"/>
    </x:row>
    <x:row r="252" ht="15" customHeight="1">
      <x:c r="A252" s="3"/>
      <x:c r="B252" s="3"/>
      <x:c r="C252" s="3"/>
      <x:c r="D252" s="3"/>
      <x:c r="E252" s="3"/>
      <x:c r="F252" s="3"/>
      <x:c r="G252" s="3"/>
      <x:c r="H252" s="3"/>
      <x:c r="I252" s="3"/>
      <x:c r="J252" s="10" t="n">
        <x:v>46103</x:v>
      </x:c>
      <x:c r="K252" s="8" t="n">
        <x:f>INDEX('Сводка'!$S$3:$S$397,U252)</x:f>
        <x:v>-71</x:v>
      </x:c>
      <x:c r="L252" s="8" t="n">
        <x:f>INDEX('Сводка'!$S$3:$S$397,V252)</x:f>
        <x:v>-71</x:v>
      </x:c>
      <x:c r="M252" s="8" t="n">
        <x:f>INDEX($K$388:$N$400,W252,1)+INDEX($K$388:$N$400,W252,2)*LN(((J252-$T$405+1)/1000))+INDEX($O$388:$Z$400,W252,MONTH(J252))</x:f>
        <x:v>-40.39485874352705</x:v>
      </x:c>
      <x:c r="N252" s="8" t="n">
        <x:f>K252-M252</x:f>
        <x:v>-30.605141256472947</x:v>
      </x:c>
      <x:c r="O252" s="8" t="n">
        <x:f>ABS(N252)</x:f>
        <x:v>30.605141256472947</x:v>
      </x:c>
      <x:c r="P252" s="8" t="n">
        <x:f>N252^2</x:f>
        <x:v>936.6746713286625</x:v>
      </x:c>
      <x:c r="Q252" s="8" t="n">
        <x:f>K252-L252</x:f>
        <x:v>0</x:v>
      </x:c>
      <x:c r="R252" s="9" t="n">
        <x:f>IF(AND(INDEX('Сводка'!$T$3:$T$397,U252)=0,INDEX('Сводка'!$T$3:$T$397,V252)=0),1,0)</x:f>
        <x:v>1</x:v>
      </x:c>
      <x:c r="S252" s="9" t="n">
        <x:f>IF(AND(R252=1,O252&lt;=$G$13),1,0)</x:f>
        <x:v>0</x:v>
      </x:c>
      <x:c r="T252" s="10" t="n">
        <x:f>EOMONTH(J252-'Сводка'!$B$11,-1)</x:f>
        <x:v>46081</x:v>
      </x:c>
      <x:c r="U252" s="4" t="n">
        <x:f>MATCH(J252,'Сводка'!$R$3:$R$397,0)</x:f>
        <x:v>263</x:v>
      </x:c>
      <x:c r="V252" s="4" t="n">
        <x:f>MATCH(J252-'Сводка'!$B$11,'Сводка'!$R$3:$R$397,0)</x:f>
        <x:v>262</x:v>
      </x:c>
      <x:c r="W252" s="4" t="n">
        <x:f>MATCH(T252,$J$388:$J$400,0)</x:f>
        <x:v>9</x:v>
      </x:c>
      <x:c r="X252" s="3"/>
      <x:c r="Y252" s="3"/>
      <x:c r="Z252" s="3"/>
    </x:row>
    <x:row r="253" ht="15" customHeight="1">
      <x:c r="A253" s="3"/>
      <x:c r="B253" s="3"/>
      <x:c r="C253" s="3"/>
      <x:c r="D253" s="3"/>
      <x:c r="E253" s="3"/>
      <x:c r="F253" s="3"/>
      <x:c r="G253" s="3"/>
      <x:c r="H253" s="3"/>
      <x:c r="I253" s="3"/>
      <x:c r="J253" s="10" t="n">
        <x:v>46104</x:v>
      </x:c>
      <x:c r="K253" s="8" t="n">
        <x:f>INDEX('Сводка'!$S$3:$S$397,U253)</x:f>
        <x:v>-71</x:v>
      </x:c>
      <x:c r="L253" s="8" t="n">
        <x:f>INDEX('Сводка'!$S$3:$S$397,V253)</x:f>
        <x:v>-71</x:v>
      </x:c>
      <x:c r="M253" s="8" t="n">
        <x:f>INDEX($K$388:$N$400,W253,1)+INDEX($K$388:$N$400,W253,2)*LN(((J253-$T$405+1)/1000))+INDEX($O$388:$Z$400,W253,MONTH(J253))</x:f>
        <x:v>-40.38913797313688</x:v>
      </x:c>
      <x:c r="N253" s="8" t="n">
        <x:f>K253-M253</x:f>
        <x:v>-30.610862026863117</x:v>
      </x:c>
      <x:c r="O253" s="8" t="n">
        <x:f>ABS(N253)</x:f>
        <x:v>30.610862026863117</x:v>
      </x:c>
      <x:c r="P253" s="8" t="n">
        <x:f>N253^2</x:f>
        <x:v>937.0248740276503</x:v>
      </x:c>
      <x:c r="Q253" s="8" t="n">
        <x:f>K253-L253</x:f>
        <x:v>0</x:v>
      </x:c>
      <x:c r="R253" s="9" t="n">
        <x:f>IF(AND(INDEX('Сводка'!$T$3:$T$397,U253)=0,INDEX('Сводка'!$T$3:$T$397,V253)=0),1,0)</x:f>
        <x:v>1</x:v>
      </x:c>
      <x:c r="S253" s="9" t="n">
        <x:f>IF(AND(R253=1,O253&lt;=$G$13),1,0)</x:f>
        <x:v>0</x:v>
      </x:c>
      <x:c r="T253" s="10" t="n">
        <x:f>EOMONTH(J253-'Сводка'!$B$11,-1)</x:f>
        <x:v>46081</x:v>
      </x:c>
      <x:c r="U253" s="4" t="n">
        <x:f>MATCH(J253,'Сводка'!$R$3:$R$397,0)</x:f>
        <x:v>264</x:v>
      </x:c>
      <x:c r="V253" s="4" t="n">
        <x:f>MATCH(J253-'Сводка'!$B$11,'Сводка'!$R$3:$R$397,0)</x:f>
        <x:v>263</x:v>
      </x:c>
      <x:c r="W253" s="4" t="n">
        <x:f>MATCH(T253,$J$388:$J$400,0)</x:f>
        <x:v>9</x:v>
      </x:c>
      <x:c r="X253" s="3"/>
      <x:c r="Y253" s="3"/>
      <x:c r="Z253" s="3"/>
    </x:row>
    <x:row r="254" ht="15" customHeight="1">
      <x:c r="A254" s="3"/>
      <x:c r="B254" s="3"/>
      <x:c r="C254" s="3"/>
      <x:c r="D254" s="3"/>
      <x:c r="E254" s="3"/>
      <x:c r="F254" s="3"/>
      <x:c r="G254" s="3"/>
      <x:c r="H254" s="3"/>
      <x:c r="I254" s="3"/>
      <x:c r="J254" s="10" t="n">
        <x:v>46105</x:v>
      </x:c>
      <x:c r="K254" s="8" t="n">
        <x:f>INDEX('Сводка'!$S$3:$S$397,U254)</x:f>
        <x:v>-71</x:v>
      </x:c>
      <x:c r="L254" s="8" t="n">
        <x:f>INDEX('Сводка'!$S$3:$S$397,V254)</x:f>
        <x:v>-71</x:v>
      </x:c>
      <x:c r="M254" s="8" t="n">
        <x:f>INDEX($K$388:$N$400,W254,1)+INDEX($K$388:$N$400,W254,2)*LN(((J254-$T$405+1)/1000))+INDEX($O$388:$Z$400,W254,MONTH(J254))</x:f>
        <x:v>-40.383417849271055</x:v>
      </x:c>
      <x:c r="N254" s="8" t="n">
        <x:f>K254-M254</x:f>
        <x:v>-30.616582150728945</x:v>
      </x:c>
      <x:c r="O254" s="8" t="n">
        <x:f>ABS(N254)</x:f>
        <x:v>30.616582150728945</x:v>
      </x:c>
      <x:c r="P254" s="8" t="n">
        <x:f>N254^2</x:f>
        <x:v>937.3751025923342</x:v>
      </x:c>
      <x:c r="Q254" s="8" t="n">
        <x:f>K254-L254</x:f>
        <x:v>0</x:v>
      </x:c>
      <x:c r="R254" s="9" t="n">
        <x:f>IF(AND(INDEX('Сводка'!$T$3:$T$397,U254)=0,INDEX('Сводка'!$T$3:$T$397,V254)=0),1,0)</x:f>
        <x:v>1</x:v>
      </x:c>
      <x:c r="S254" s="9" t="n">
        <x:f>IF(AND(R254=1,O254&lt;=$G$13),1,0)</x:f>
        <x:v>0</x:v>
      </x:c>
      <x:c r="T254" s="10" t="n">
        <x:f>EOMONTH(J254-'Сводка'!$B$11,-1)</x:f>
        <x:v>46081</x:v>
      </x:c>
      <x:c r="U254" s="4" t="n">
        <x:f>MATCH(J254,'Сводка'!$R$3:$R$397,0)</x:f>
        <x:v>265</x:v>
      </x:c>
      <x:c r="V254" s="4" t="n">
        <x:f>MATCH(J254-'Сводка'!$B$11,'Сводка'!$R$3:$R$397,0)</x:f>
        <x:v>264</x:v>
      </x:c>
      <x:c r="W254" s="4" t="n">
        <x:f>MATCH(T254,$J$388:$J$400,0)</x:f>
        <x:v>9</x:v>
      </x:c>
      <x:c r="X254" s="3"/>
      <x:c r="Y254" s="3"/>
      <x:c r="Z254" s="3"/>
    </x:row>
    <x:row r="255" ht="15" customHeight="1">
      <x:c r="A255" s="3"/>
      <x:c r="B255" s="3"/>
      <x:c r="C255" s="3"/>
      <x:c r="D255" s="3"/>
      <x:c r="E255" s="3"/>
      <x:c r="F255" s="3"/>
      <x:c r="G255" s="3"/>
      <x:c r="H255" s="3"/>
      <x:c r="I255" s="3"/>
      <x:c r="J255" s="10" t="n">
        <x:v>46106</x:v>
      </x:c>
      <x:c r="K255" s="8" t="n">
        <x:f>INDEX('Сводка'!$S$3:$S$397,U255)</x:f>
        <x:v>-72</x:v>
      </x:c>
      <x:c r="L255" s="8" t="n">
        <x:f>INDEX('Сводка'!$S$3:$S$397,V255)</x:f>
        <x:v>-71</x:v>
      </x:c>
      <x:c r="M255" s="8" t="n">
        <x:f>INDEX($K$388:$N$400,W255,1)+INDEX($K$388:$N$400,W255,2)*LN(((J255-$T$405+1)/1000))+INDEX($O$388:$Z$400,W255,MONTH(J255))</x:f>
        <x:v>-40.37769837178345</x:v>
      </x:c>
      <x:c r="N255" s="8" t="n">
        <x:f>K255-M255</x:f>
        <x:v>-31.622301628216547</x:v>
      </x:c>
      <x:c r="O255" s="8" t="n">
        <x:f>ABS(N255)</x:f>
        <x:v>31.622301628216547</x:v>
      </x:c>
      <x:c r="P255" s="8" t="n">
        <x:f>N255^2</x:f>
        <x:v>999.9699602659069</x:v>
      </x:c>
      <x:c r="Q255" s="8" t="n">
        <x:f>K255-L255</x:f>
        <x:v>-1</x:v>
      </x:c>
      <x:c r="R255" s="9" t="n">
        <x:f>IF(AND(INDEX('Сводка'!$T$3:$T$397,U255)=0,INDEX('Сводка'!$T$3:$T$397,V255)=0),1,0)</x:f>
        <x:v>1</x:v>
      </x:c>
      <x:c r="S255" s="9" t="n">
        <x:f>IF(AND(R255=1,O255&lt;=$G$13),1,0)</x:f>
        <x:v>0</x:v>
      </x:c>
      <x:c r="T255" s="10" t="n">
        <x:f>EOMONTH(J255-'Сводка'!$B$11,-1)</x:f>
        <x:v>46081</x:v>
      </x:c>
      <x:c r="U255" s="4" t="n">
        <x:f>MATCH(J255,'Сводка'!$R$3:$R$397,0)</x:f>
        <x:v>266</x:v>
      </x:c>
      <x:c r="V255" s="4" t="n">
        <x:f>MATCH(J255-'Сводка'!$B$11,'Сводка'!$R$3:$R$397,0)</x:f>
        <x:v>265</x:v>
      </x:c>
      <x:c r="W255" s="4" t="n">
        <x:f>MATCH(T255,$J$388:$J$400,0)</x:f>
        <x:v>9</x:v>
      </x:c>
      <x:c r="X255" s="3"/>
      <x:c r="Y255" s="3"/>
      <x:c r="Z255" s="3"/>
    </x:row>
    <x:row r="256" ht="15" customHeight="1">
      <x:c r="A256" s="3"/>
      <x:c r="B256" s="3"/>
      <x:c r="C256" s="3"/>
      <x:c r="D256" s="3"/>
      <x:c r="E256" s="3"/>
      <x:c r="F256" s="3"/>
      <x:c r="G256" s="3"/>
      <x:c r="H256" s="3"/>
      <x:c r="I256" s="3"/>
      <x:c r="J256" s="10" t="n">
        <x:v>46107</x:v>
      </x:c>
      <x:c r="K256" s="8" t="n">
        <x:f>INDEX('Сводка'!$S$3:$S$397,U256)</x:f>
        <x:v>-72</x:v>
      </x:c>
      <x:c r="L256" s="8" t="n">
        <x:f>INDEX('Сводка'!$S$3:$S$397,V256)</x:f>
        <x:v>-72</x:v>
      </x:c>
      <x:c r="M256" s="8" t="n">
        <x:f>INDEX($K$388:$N$400,W256,1)+INDEX($K$388:$N$400,W256,2)*LN(((J256-$T$405+1)/1000))+INDEX($O$388:$Z$400,W256,MONTH(J256))</x:f>
        <x:v>-40.37197954052793</x:v>
      </x:c>
      <x:c r="N256" s="8" t="n">
        <x:f>K256-M256</x:f>
        <x:v>-31.62802045947207</x:v>
      </x:c>
      <x:c r="O256" s="8" t="n">
        <x:f>ABS(N256)</x:f>
        <x:v>31.62802045947207</x:v>
      </x:c>
      <x:c r="P256" s="8" t="n">
        <x:f>N256^2</x:f>
        <x:v>1000.3316781847838</x:v>
      </x:c>
      <x:c r="Q256" s="8" t="n">
        <x:f>K256-L256</x:f>
        <x:v>0</x:v>
      </x:c>
      <x:c r="R256" s="9" t="n">
        <x:f>IF(AND(INDEX('Сводка'!$T$3:$T$397,U256)=0,INDEX('Сводка'!$T$3:$T$397,V256)=0),1,0)</x:f>
        <x:v>1</x:v>
      </x:c>
      <x:c r="S256" s="9" t="n">
        <x:f>IF(AND(R256=1,O256&lt;=$G$13),1,0)</x:f>
        <x:v>0</x:v>
      </x:c>
      <x:c r="T256" s="10" t="n">
        <x:f>EOMONTH(J256-'Сводка'!$B$11,-1)</x:f>
        <x:v>46081</x:v>
      </x:c>
      <x:c r="U256" s="4" t="n">
        <x:f>MATCH(J256,'Сводка'!$R$3:$R$397,0)</x:f>
        <x:v>267</x:v>
      </x:c>
      <x:c r="V256" s="4" t="n">
        <x:f>MATCH(J256-'Сводка'!$B$11,'Сводка'!$R$3:$R$397,0)</x:f>
        <x:v>266</x:v>
      </x:c>
      <x:c r="W256" s="4" t="n">
        <x:f>MATCH(T256,$J$388:$J$400,0)</x:f>
        <x:v>9</x:v>
      </x:c>
      <x:c r="X256" s="3"/>
      <x:c r="Y256" s="3"/>
      <x:c r="Z256" s="3"/>
    </x:row>
    <x:row r="257" ht="15" customHeight="1">
      <x:c r="A257" s="3"/>
      <x:c r="B257" s="3"/>
      <x:c r="C257" s="3"/>
      <x:c r="D257" s="3"/>
      <x:c r="E257" s="3"/>
      <x:c r="F257" s="3"/>
      <x:c r="G257" s="3"/>
      <x:c r="H257" s="3"/>
      <x:c r="I257" s="3"/>
      <x:c r="J257" s="10" t="n">
        <x:v>46108</x:v>
      </x:c>
      <x:c r="K257" s="8" t="n">
        <x:f>INDEX('Сводка'!$S$3:$S$397,U257)</x:f>
        <x:v>-71</x:v>
      </x:c>
      <x:c r="L257" s="8" t="n">
        <x:f>INDEX('Сводка'!$S$3:$S$397,V257)</x:f>
        <x:v>-72</x:v>
      </x:c>
      <x:c r="M257" s="8" t="n">
        <x:f>INDEX($K$388:$N$400,W257,1)+INDEX($K$388:$N$400,W257,2)*LN(((J257-$T$405+1)/1000))+INDEX($O$388:$Z$400,W257,MONTH(J257))</x:f>
        <x:v>-40.36626135535856</x:v>
      </x:c>
      <x:c r="N257" s="8" t="n">
        <x:f>K257-M257</x:f>
        <x:v>-30.63373864464144</x:v>
      </x:c>
      <x:c r="O257" s="8" t="n">
        <x:f>ABS(N257)</x:f>
        <x:v>30.63373864464144</x:v>
      </x:c>
      <x:c r="P257" s="8" t="n">
        <x:f>N257^2</x:f>
        <x:v>938.4259433481984</x:v>
      </x:c>
      <x:c r="Q257" s="8" t="n">
        <x:f>K257-L257</x:f>
        <x:v>1</x:v>
      </x:c>
      <x:c r="R257" s="9" t="n">
        <x:f>IF(AND(INDEX('Сводка'!$T$3:$T$397,U257)=0,INDEX('Сводка'!$T$3:$T$397,V257)=0),1,0)</x:f>
        <x:v>1</x:v>
      </x:c>
      <x:c r="S257" s="9" t="n">
        <x:f>IF(AND(R257=1,O257&lt;=$G$13),1,0)</x:f>
        <x:v>0</x:v>
      </x:c>
      <x:c r="T257" s="10" t="n">
        <x:f>EOMONTH(J257-'Сводка'!$B$11,-1)</x:f>
        <x:v>46081</x:v>
      </x:c>
      <x:c r="U257" s="4" t="n">
        <x:f>MATCH(J257,'Сводка'!$R$3:$R$397,0)</x:f>
        <x:v>268</x:v>
      </x:c>
      <x:c r="V257" s="4" t="n">
        <x:f>MATCH(J257-'Сводка'!$B$11,'Сводка'!$R$3:$R$397,0)</x:f>
        <x:v>267</x:v>
      </x:c>
      <x:c r="W257" s="4" t="n">
        <x:f>MATCH(T257,$J$388:$J$400,0)</x:f>
        <x:v>9</x:v>
      </x:c>
      <x:c r="X257" s="3"/>
      <x:c r="Y257" s="3"/>
      <x:c r="Z257" s="3"/>
    </x:row>
    <x:row r="258" ht="15" customHeight="1">
      <x:c r="A258" s="3"/>
      <x:c r="B258" s="3"/>
      <x:c r="C258" s="3"/>
      <x:c r="D258" s="3"/>
      <x:c r="E258" s="3"/>
      <x:c r="F258" s="3"/>
      <x:c r="G258" s="3"/>
      <x:c r="H258" s="3"/>
      <x:c r="I258" s="3"/>
      <x:c r="J258" s="10" t="n">
        <x:v>46109</x:v>
      </x:c>
      <x:c r="K258" s="8" t="n">
        <x:f>INDEX('Сводка'!$S$3:$S$397,U258)</x:f>
        <x:v>-71</x:v>
      </x:c>
      <x:c r="L258" s="8" t="n">
        <x:f>INDEX('Сводка'!$S$3:$S$397,V258)</x:f>
        <x:v>-71</x:v>
      </x:c>
      <x:c r="M258" s="8" t="n">
        <x:f>INDEX($K$388:$N$400,W258,1)+INDEX($K$388:$N$400,W258,2)*LN(((J258-$T$405+1)/1000))+INDEX($O$388:$Z$400,W258,MONTH(J258))</x:f>
        <x:v>-40.360543816129336</x:v>
      </x:c>
      <x:c r="N258" s="8" t="n">
        <x:f>K258-M258</x:f>
        <x:v>-30.639456183870664</x:v>
      </x:c>
      <x:c r="O258" s="8" t="n">
        <x:f>ABS(N258)</x:f>
        <x:v>30.639456183870664</x:v>
      </x:c>
      <x:c r="P258" s="8" t="n">
        <x:f>N258^2</x:f>
        <x:v>938.7762752433302</x:v>
      </x:c>
      <x:c r="Q258" s="8" t="n">
        <x:f>K258-L258</x:f>
        <x:v>0</x:v>
      </x:c>
      <x:c r="R258" s="9" t="n">
        <x:f>IF(AND(INDEX('Сводка'!$T$3:$T$397,U258)=0,INDEX('Сводка'!$T$3:$T$397,V258)=0),1,0)</x:f>
        <x:v>1</x:v>
      </x:c>
      <x:c r="S258" s="9" t="n">
        <x:f>IF(AND(R258=1,O258&lt;=$G$13),1,0)</x:f>
        <x:v>0</x:v>
      </x:c>
      <x:c r="T258" s="10" t="n">
        <x:f>EOMONTH(J258-'Сводка'!$B$11,-1)</x:f>
        <x:v>46081</x:v>
      </x:c>
      <x:c r="U258" s="4" t="n">
        <x:f>MATCH(J258,'Сводка'!$R$3:$R$397,0)</x:f>
        <x:v>269</x:v>
      </x:c>
      <x:c r="V258" s="4" t="n">
        <x:f>MATCH(J258-'Сводка'!$B$11,'Сводка'!$R$3:$R$397,0)</x:f>
        <x:v>268</x:v>
      </x:c>
      <x:c r="W258" s="4" t="n">
        <x:f>MATCH(T258,$J$388:$J$400,0)</x:f>
        <x:v>9</x:v>
      </x:c>
      <x:c r="X258" s="3"/>
      <x:c r="Y258" s="3"/>
      <x:c r="Z258" s="3"/>
    </x:row>
    <x:row r="259" ht="15" customHeight="1">
      <x:c r="A259" s="3"/>
      <x:c r="B259" s="3"/>
      <x:c r="C259" s="3"/>
      <x:c r="D259" s="3"/>
      <x:c r="E259" s="3"/>
      <x:c r="F259" s="3"/>
      <x:c r="G259" s="3"/>
      <x:c r="H259" s="3"/>
      <x:c r="I259" s="3"/>
      <x:c r="J259" s="10" t="n">
        <x:v>46110</x:v>
      </x:c>
      <x:c r="K259" s="8" t="n">
        <x:f>INDEX('Сводка'!$S$3:$S$397,U259)</x:f>
        <x:v>-71</x:v>
      </x:c>
      <x:c r="L259" s="8" t="n">
        <x:f>INDEX('Сводка'!$S$3:$S$397,V259)</x:f>
        <x:v>-71</x:v>
      </x:c>
      <x:c r="M259" s="8" t="n">
        <x:f>INDEX($K$388:$N$400,W259,1)+INDEX($K$388:$N$400,W259,2)*LN(((J259-$T$405+1)/1000))+INDEX($O$388:$Z$400,W259,MONTH(J259))</x:f>
        <x:v>-40.35482692269434</x:v>
      </x:c>
      <x:c r="N259" s="8" t="n">
        <x:f>K259-M259</x:f>
        <x:v>-30.645173077305657</x:v>
      </x:c>
      <x:c r="O259" s="8" t="n">
        <x:f>ABS(N259)</x:f>
        <x:v>30.645173077305657</x:v>
      </x:c>
      <x:c r="P259" s="8" t="n">
        <x:f>N259^2</x:f>
        <x:v>939.1266329380195</x:v>
      </x:c>
      <x:c r="Q259" s="8" t="n">
        <x:f>K259-L259</x:f>
        <x:v>0</x:v>
      </x:c>
      <x:c r="R259" s="9" t="n">
        <x:f>IF(AND(INDEX('Сводка'!$T$3:$T$397,U259)=0,INDEX('Сводка'!$T$3:$T$397,V259)=0),1,0)</x:f>
        <x:v>1</x:v>
      </x:c>
      <x:c r="S259" s="9" t="n">
        <x:f>IF(AND(R259=1,O259&lt;=$G$13),1,0)</x:f>
        <x:v>0</x:v>
      </x:c>
      <x:c r="T259" s="10" t="n">
        <x:f>EOMONTH(J259-'Сводка'!$B$11,-1)</x:f>
        <x:v>46081</x:v>
      </x:c>
      <x:c r="U259" s="4" t="n">
        <x:f>MATCH(J259,'Сводка'!$R$3:$R$397,0)</x:f>
        <x:v>270</x:v>
      </x:c>
      <x:c r="V259" s="4" t="n">
        <x:f>MATCH(J259-'Сводка'!$B$11,'Сводка'!$R$3:$R$397,0)</x:f>
        <x:v>269</x:v>
      </x:c>
      <x:c r="W259" s="4" t="n">
        <x:f>MATCH(T259,$J$388:$J$400,0)</x:f>
        <x:v>9</x:v>
      </x:c>
      <x:c r="X259" s="3"/>
      <x:c r="Y259" s="3"/>
      <x:c r="Z259" s="3"/>
    </x:row>
    <x:row r="260" ht="15" customHeight="1">
      <x:c r="A260" s="3"/>
      <x:c r="B260" s="3"/>
      <x:c r="C260" s="3"/>
      <x:c r="D260" s="3"/>
      <x:c r="E260" s="3"/>
      <x:c r="F260" s="3"/>
      <x:c r="G260" s="3"/>
      <x:c r="H260" s="3"/>
      <x:c r="I260" s="3"/>
      <x:c r="J260" s="10" t="n">
        <x:v>46111</x:v>
      </x:c>
      <x:c r="K260" s="8" t="n">
        <x:f>INDEX('Сводка'!$S$3:$S$397,U260)</x:f>
        <x:v>-69</x:v>
      </x:c>
      <x:c r="L260" s="8" t="n">
        <x:f>INDEX('Сводка'!$S$3:$S$397,V260)</x:f>
        <x:v>-71</x:v>
      </x:c>
      <x:c r="M260" s="8" t="n">
        <x:f>INDEX($K$388:$N$400,W260,1)+INDEX($K$388:$N$400,W260,2)*LN(((J260-$T$405+1)/1000))+INDEX($O$388:$Z$400,W260,MONTH(J260))</x:f>
        <x:v>-40.34911067490769</x:v>
      </x:c>
      <x:c r="N260" s="8" t="n">
        <x:f>K260-M260</x:f>
        <x:v>-28.650889325092308</x:v>
      </x:c>
      <x:c r="O260" s="8" t="n">
        <x:f>ABS(N260)</x:f>
        <x:v>28.650889325092308</x:v>
      </x:c>
      <x:c r="P260" s="8" t="n">
        <x:f>N260^2</x:f>
        <x:v>820.8734591186884</x:v>
      </x:c>
      <x:c r="Q260" s="8" t="n">
        <x:f>K260-L260</x:f>
        <x:v>2</x:v>
      </x:c>
      <x:c r="R260" s="9" t="n">
        <x:f>IF(AND(INDEX('Сводка'!$T$3:$T$397,U260)=0,INDEX('Сводка'!$T$3:$T$397,V260)=0),1,0)</x:f>
        <x:v>1</x:v>
      </x:c>
      <x:c r="S260" s="9" t="n">
        <x:f>IF(AND(R260=1,O260&lt;=$G$13),1,0)</x:f>
        <x:v>0</x:v>
      </x:c>
      <x:c r="T260" s="10" t="n">
        <x:f>EOMONTH(J260-'Сводка'!$B$11,-1)</x:f>
        <x:v>46081</x:v>
      </x:c>
      <x:c r="U260" s="4" t="n">
        <x:f>MATCH(J260,'Сводка'!$R$3:$R$397,0)</x:f>
        <x:v>271</x:v>
      </x:c>
      <x:c r="V260" s="4" t="n">
        <x:f>MATCH(J260-'Сводка'!$B$11,'Сводка'!$R$3:$R$397,0)</x:f>
        <x:v>270</x:v>
      </x:c>
      <x:c r="W260" s="4" t="n">
        <x:f>MATCH(T260,$J$388:$J$400,0)</x:f>
        <x:v>9</x:v>
      </x:c>
      <x:c r="X260" s="3"/>
      <x:c r="Y260" s="3"/>
      <x:c r="Z260" s="3"/>
    </x:row>
    <x:row r="261" ht="15" customHeight="1">
      <x:c r="A261" s="3"/>
      <x:c r="B261" s="3"/>
      <x:c r="C261" s="3"/>
      <x:c r="D261" s="3"/>
      <x:c r="E261" s="3"/>
      <x:c r="F261" s="3"/>
      <x:c r="G261" s="3"/>
      <x:c r="H261" s="3"/>
      <x:c r="I261" s="3"/>
      <x:c r="J261" s="10" t="n">
        <x:v>46112</x:v>
      </x:c>
      <x:c r="K261" s="8" t="n">
        <x:f>INDEX('Сводка'!$S$3:$S$397,U261)</x:f>
        <x:v>-67</x:v>
      </x:c>
      <x:c r="L261" s="8" t="n">
        <x:f>INDEX('Сводка'!$S$3:$S$397,V261)</x:f>
        <x:v>-69</x:v>
      </x:c>
      <x:c r="M261" s="8" t="n">
        <x:f>INDEX($K$388:$N$400,W261,1)+INDEX($K$388:$N$400,W261,2)*LN(((J261-$T$405+1)/1000))+INDEX($O$388:$Z$400,W261,MONTH(J261))</x:f>
        <x:v>-40.34339507262362</x:v>
      </x:c>
      <x:c r="N261" s="8" t="n">
        <x:f>K261-M261</x:f>
        <x:v>-26.656604927376378</x:v>
      </x:c>
      <x:c r="O261" s="8" t="n">
        <x:f>ABS(N261)</x:f>
        <x:v>26.656604927376378</x:v>
      </x:c>
      <x:c r="P261" s="8" t="n">
        <x:f>N261^2</x:f>
        <x:v>710.5745862542266</x:v>
      </x:c>
      <x:c r="Q261" s="8" t="n">
        <x:f>K261-L261</x:f>
        <x:v>2</x:v>
      </x:c>
      <x:c r="R261" s="9" t="n">
        <x:f>IF(AND(INDEX('Сводка'!$T$3:$T$397,U261)=0,INDEX('Сводка'!$T$3:$T$397,V261)=0),1,0)</x:f>
        <x:v>1</x:v>
      </x:c>
      <x:c r="S261" s="9" t="n">
        <x:f>IF(AND(R261=1,O261&lt;=$G$13),1,0)</x:f>
        <x:v>0</x:v>
      </x:c>
      <x:c r="T261" s="10" t="n">
        <x:f>EOMONTH(J261-'Сводка'!$B$11,-1)</x:f>
        <x:v>46081</x:v>
      </x:c>
      <x:c r="U261" s="4" t="n">
        <x:f>MATCH(J261,'Сводка'!$R$3:$R$397,0)</x:f>
        <x:v>272</x:v>
      </x:c>
      <x:c r="V261" s="4" t="n">
        <x:f>MATCH(J261-'Сводка'!$B$11,'Сводка'!$R$3:$R$397,0)</x:f>
        <x:v>271</x:v>
      </x:c>
      <x:c r="W261" s="4" t="n">
        <x:f>MATCH(T261,$J$388:$J$400,0)</x:f>
        <x:v>9</x:v>
      </x:c>
      <x:c r="X261" s="3"/>
      <x:c r="Y261" s="3"/>
      <x:c r="Z261" s="3"/>
    </x:row>
    <x:row r="262" ht="15" customHeight="1">
      <x:c r="A262" s="3"/>
      <x:c r="B262" s="3"/>
      <x:c r="C262" s="3"/>
      <x:c r="D262" s="3"/>
      <x:c r="E262" s="3"/>
      <x:c r="F262" s="3"/>
      <x:c r="G262" s="3"/>
      <x:c r="H262" s="3"/>
      <x:c r="I262" s="3"/>
      <x:c r="J262" s="10" t="n">
        <x:v>46113</x:v>
      </x:c>
      <x:c r="K262" s="8" t="n">
        <x:f>INDEX('Сводка'!$S$3:$S$397,U262)</x:f>
        <x:v>-65</x:v>
      </x:c>
      <x:c r="L262" s="8" t="n">
        <x:f>INDEX('Сводка'!$S$3:$S$397,V262)</x:f>
        <x:v>-67</x:v>
      </x:c>
      <x:c r="M262" s="8" t="n">
        <x:f>INDEX($K$388:$N$400,W262,1)+INDEX($K$388:$N$400,W262,2)*LN(((J262-$T$405+1)/1000))+INDEX($O$388:$Z$400,W262,MONTH(J262))</x:f>
        <x:v>74.87753737119999</x:v>
      </x:c>
      <x:c r="N262" s="8" t="n">
        <x:f>K262-M262</x:f>
        <x:v>-139.8775373712</x:v>
      </x:c>
      <x:c r="O262" s="8" t="n">
        <x:f>ABS(N262)</x:f>
        <x:v>139.8775373712</x:v>
      </x:c>
      <x:c r="P262" s="8" t="n">
        <x:f>N262^2</x:f>
        <x:v>19565.725461031452</x:v>
      </x:c>
      <x:c r="Q262" s="8" t="n">
        <x:f>K262-L262</x:f>
        <x:v>2</x:v>
      </x:c>
      <x:c r="R262" s="9" t="n">
        <x:f>IF(AND(INDEX('Сводка'!$T$3:$T$397,U262)=0,INDEX('Сводка'!$T$3:$T$397,V262)=0),1,0)</x:f>
        <x:v>1</x:v>
      </x:c>
      <x:c r="S262" s="9" t="n">
        <x:f>IF(AND(R262=1,O262&lt;=$G$13),1,0)</x:f>
        <x:v>0</x:v>
      </x:c>
      <x:c r="T262" s="10" t="n">
        <x:f>EOMONTH(J262-'Сводка'!$B$11,-1)</x:f>
        <x:v>46081</x:v>
      </x:c>
      <x:c r="U262" s="4" t="n">
        <x:f>MATCH(J262,'Сводка'!$R$3:$R$397,0)</x:f>
        <x:v>273</x:v>
      </x:c>
      <x:c r="V262" s="4" t="n">
        <x:f>MATCH(J262-'Сводка'!$B$11,'Сводка'!$R$3:$R$397,0)</x:f>
        <x:v>272</x:v>
      </x:c>
      <x:c r="W262" s="4" t="n">
        <x:f>MATCH(T262,$J$388:$J$400,0)</x:f>
        <x:v>9</x:v>
      </x:c>
      <x:c r="X262" s="3"/>
      <x:c r="Y262" s="3"/>
      <x:c r="Z262" s="3"/>
    </x:row>
    <x:row r="263" ht="15" customHeight="1">
      <x:c r="A263" s="3"/>
      <x:c r="B263" s="3"/>
      <x:c r="C263" s="3"/>
      <x:c r="D263" s="3"/>
      <x:c r="E263" s="3"/>
      <x:c r="F263" s="3"/>
      <x:c r="G263" s="3"/>
      <x:c r="H263" s="3"/>
      <x:c r="I263" s="3"/>
      <x:c r="J263" s="10" t="n">
        <x:v>46114</x:v>
      </x:c>
      <x:c r="K263" s="8" t="n">
        <x:f>INDEX('Сводка'!$S$3:$S$397,U263)</x:f>
        <x:v>-59</x:v>
      </x:c>
      <x:c r="L263" s="8" t="n">
        <x:f>INDEX('Сводка'!$S$3:$S$397,V263)</x:f>
        <x:v>-65</x:v>
      </x:c>
      <x:c r="M263" s="8" t="n">
        <x:f>INDEX($K$388:$N$400,W263,1)+INDEX($K$388:$N$400,W263,2)*LN(((J263-$T$405+1)/1000))+INDEX($O$388:$Z$400,W263,MONTH(J263))</x:f>
        <x:v>74.76659942998566</x:v>
      </x:c>
      <x:c r="N263" s="8" t="n">
        <x:f>K263-M263</x:f>
        <x:v>-133.76659942998566</x:v>
      </x:c>
      <x:c r="O263" s="8" t="n">
        <x:f>ABS(N263)</x:f>
        <x:v>133.76659942998566</x:v>
      </x:c>
      <x:c r="P263" s="8" t="n">
        <x:f>N263^2</x:f>
        <x:v>17893.50312306224</x:v>
      </x:c>
      <x:c r="Q263" s="8" t="n">
        <x:f>K263-L263</x:f>
        <x:v>6</x:v>
      </x:c>
      <x:c r="R263" s="9" t="n">
        <x:f>IF(AND(INDEX('Сводка'!$T$3:$T$397,U263)=0,INDEX('Сводка'!$T$3:$T$397,V263)=0),1,0)</x:f>
        <x:v>1</x:v>
      </x:c>
      <x:c r="S263" s="9" t="n">
        <x:f>IF(AND(R263=1,O263&lt;=$G$13),1,0)</x:f>
        <x:v>0</x:v>
      </x:c>
      <x:c r="T263" s="10" t="n">
        <x:f>EOMONTH(J263-'Сводка'!$B$11,-1)</x:f>
        <x:v>46112</x:v>
      </x:c>
      <x:c r="U263" s="4" t="n">
        <x:f>MATCH(J263,'Сводка'!$R$3:$R$397,0)</x:f>
        <x:v>274</x:v>
      </x:c>
      <x:c r="V263" s="4" t="n">
        <x:f>MATCH(J263-'Сводка'!$B$11,'Сводка'!$R$3:$R$397,0)</x:f>
        <x:v>273</x:v>
      </x:c>
      <x:c r="W263" s="4" t="n">
        <x:f>MATCH(T263,$J$388:$J$400,0)</x:f>
        <x:v>10</x:v>
      </x:c>
      <x:c r="X263" s="3"/>
      <x:c r="Y263" s="3"/>
      <x:c r="Z263" s="3"/>
    </x:row>
    <x:row r="264" ht="15" customHeight="1">
      <x:c r="A264" s="3"/>
      <x:c r="B264" s="3"/>
      <x:c r="C264" s="3"/>
      <x:c r="D264" s="3"/>
      <x:c r="E264" s="3"/>
      <x:c r="F264" s="3"/>
      <x:c r="G264" s="3"/>
      <x:c r="H264" s="3"/>
      <x:c r="I264" s="3"/>
      <x:c r="J264" s="10" t="n">
        <x:v>46115</x:v>
      </x:c>
      <x:c r="K264" s="8" t="n">
        <x:f>INDEX('Сводка'!$S$3:$S$397,U264)</x:f>
        <x:v>-52</x:v>
      </x:c>
      <x:c r="L264" s="8" t="n">
        <x:f>INDEX('Сводка'!$S$3:$S$397,V264)</x:f>
        <x:v>-59</x:v>
      </x:c>
      <x:c r="M264" s="8" t="n">
        <x:f>INDEX($K$388:$N$400,W264,1)+INDEX($K$388:$N$400,W264,2)*LN(((J264-$T$405+1)/1000))+INDEX($O$388:$Z$400,W264,MONTH(J264))</x:f>
        <x:v>74.77230068418949</x:v>
      </x:c>
      <x:c r="N264" s="8" t="n">
        <x:f>K264-M264</x:f>
        <x:v>-126.77230068418949</x:v>
      </x:c>
      <x:c r="O264" s="8" t="n">
        <x:f>ABS(N264)</x:f>
        <x:v>126.77230068418949</x:v>
      </x:c>
      <x:c r="P264" s="8" t="n">
        <x:f>N264^2</x:f>
        <x:v>16071.216220762552</x:v>
      </x:c>
      <x:c r="Q264" s="8" t="n">
        <x:f>K264-L264</x:f>
        <x:v>7</x:v>
      </x:c>
      <x:c r="R264" s="9" t="n">
        <x:f>IF(AND(INDEX('Сводка'!$T$3:$T$397,U264)=0,INDEX('Сводка'!$T$3:$T$397,V264)=0),1,0)</x:f>
        <x:v>1</x:v>
      </x:c>
      <x:c r="S264" s="9" t="n">
        <x:f>IF(AND(R264=1,O264&lt;=$G$13),1,0)</x:f>
        <x:v>0</x:v>
      </x:c>
      <x:c r="T264" s="10" t="n">
        <x:f>EOMONTH(J264-'Сводка'!$B$11,-1)</x:f>
        <x:v>46112</x:v>
      </x:c>
      <x:c r="U264" s="4" t="n">
        <x:f>MATCH(J264,'Сводка'!$R$3:$R$397,0)</x:f>
        <x:v>275</x:v>
      </x:c>
      <x:c r="V264" s="4" t="n">
        <x:f>MATCH(J264-'Сводка'!$B$11,'Сводка'!$R$3:$R$397,0)</x:f>
        <x:v>274</x:v>
      </x:c>
      <x:c r="W264" s="4" t="n">
        <x:f>MATCH(T264,$J$388:$J$400,0)</x:f>
        <x:v>10</x:v>
      </x:c>
      <x:c r="X264" s="3"/>
      <x:c r="Y264" s="3"/>
      <x:c r="Z264" s="3"/>
    </x:row>
    <x:row r="265" ht="15" customHeight="1">
      <x:c r="A265" s="3"/>
      <x:c r="B265" s="3"/>
      <x:c r="C265" s="3"/>
      <x:c r="D265" s="3"/>
      <x:c r="E265" s="3"/>
      <x:c r="F265" s="3"/>
      <x:c r="G265" s="3"/>
      <x:c r="H265" s="3"/>
      <x:c r="I265" s="3"/>
      <x:c r="J265" s="10" t="n">
        <x:v>46116</x:v>
      </x:c>
      <x:c r="K265" s="8" t="n">
        <x:f>INDEX('Сводка'!$S$3:$S$397,U265)</x:f>
        <x:v>-42</x:v>
      </x:c>
      <x:c r="L265" s="8" t="n">
        <x:f>INDEX('Сводка'!$S$3:$S$397,V265)</x:f>
        <x:v>-52</x:v>
      </x:c>
      <x:c r="M265" s="8" t="n">
        <x:f>INDEX($K$388:$N$400,W265,1)+INDEX($K$388:$N$400,W265,2)*LN(((J265-$T$405+1)/1000))+INDEX($O$388:$Z$400,W265,MONTH(J265))</x:f>
        <x:v>74.77800129487457</x:v>
      </x:c>
      <x:c r="N265" s="8" t="n">
        <x:f>K265-M265</x:f>
        <x:v>-116.77800129487457</x:v>
      </x:c>
      <x:c r="O265" s="8" t="n">
        <x:f>ABS(N265)</x:f>
        <x:v>116.77800129487457</x:v>
      </x:c>
      <x:c r="P265" s="8" t="n">
        <x:f>N265^2</x:f>
        <x:v>13637.101586425726</x:v>
      </x:c>
      <x:c r="Q265" s="8" t="n">
        <x:f>K265-L265</x:f>
        <x:v>10</x:v>
      </x:c>
      <x:c r="R265" s="9" t="n">
        <x:f>IF(AND(INDEX('Сводка'!$T$3:$T$397,U265)=0,INDEX('Сводка'!$T$3:$T$397,V265)=0),1,0)</x:f>
        <x:v>1</x:v>
      </x:c>
      <x:c r="S265" s="9" t="n">
        <x:f>IF(AND(R265=1,O265&lt;=$G$13),1,0)</x:f>
        <x:v>0</x:v>
      </x:c>
      <x:c r="T265" s="10" t="n">
        <x:f>EOMONTH(J265-'Сводка'!$B$11,-1)</x:f>
        <x:v>46112</x:v>
      </x:c>
      <x:c r="U265" s="4" t="n">
        <x:f>MATCH(J265,'Сводка'!$R$3:$R$397,0)</x:f>
        <x:v>276</x:v>
      </x:c>
      <x:c r="V265" s="4" t="n">
        <x:f>MATCH(J265-'Сводка'!$B$11,'Сводка'!$R$3:$R$397,0)</x:f>
        <x:v>275</x:v>
      </x:c>
      <x:c r="W265" s="4" t="n">
        <x:f>MATCH(T265,$J$388:$J$400,0)</x:f>
        <x:v>10</x:v>
      </x:c>
      <x:c r="X265" s="3"/>
      <x:c r="Y265" s="3"/>
      <x:c r="Z265" s="3"/>
    </x:row>
    <x:row r="266" ht="15" customHeight="1">
      <x:c r="A266" s="3"/>
      <x:c r="B266" s="3"/>
      <x:c r="C266" s="3"/>
      <x:c r="D266" s="3"/>
      <x:c r="E266" s="3"/>
      <x:c r="F266" s="3"/>
      <x:c r="G266" s="3"/>
      <x:c r="H266" s="3"/>
      <x:c r="I266" s="3"/>
      <x:c r="J266" s="10" t="n">
        <x:v>46117</x:v>
      </x:c>
      <x:c r="K266" s="8" t="n">
        <x:f>INDEX('Сводка'!$S$3:$S$397,U266)</x:f>
        <x:v>-35</x:v>
      </x:c>
      <x:c r="L266" s="8" t="n">
        <x:f>INDEX('Сводка'!$S$3:$S$397,V266)</x:f>
        <x:v>-42</x:v>
      </x:c>
      <x:c r="M266" s="8" t="n">
        <x:f>INDEX($K$388:$N$400,W266,1)+INDEX($K$388:$N$400,W266,2)*LN(((J266-$T$405+1)/1000))+INDEX($O$388:$Z$400,W266,MONTH(J266))</x:f>
        <x:v>74.78370126218618</x:v>
      </x:c>
      <x:c r="N266" s="8" t="n">
        <x:f>K266-M266</x:f>
        <x:v>-109.78370126218618</x:v>
      </x:c>
      <x:c r="O266" s="8" t="n">
        <x:f>ABS(N266)</x:f>
        <x:v>109.78370126218618</x:v>
      </x:c>
      <x:c r="P266" s="8" t="n">
        <x:f>N266^2</x:f>
        <x:v>12052.461062824941</x:v>
      </x:c>
      <x:c r="Q266" s="8" t="n">
        <x:f>K266-L266</x:f>
        <x:v>7</x:v>
      </x:c>
      <x:c r="R266" s="9" t="n">
        <x:f>IF(AND(INDEX('Сводка'!$T$3:$T$397,U266)=0,INDEX('Сводка'!$T$3:$T$397,V266)=0),1,0)</x:f>
        <x:v>1</x:v>
      </x:c>
      <x:c r="S266" s="9" t="n">
        <x:f>IF(AND(R266=1,O266&lt;=$G$13),1,0)</x:f>
        <x:v>0</x:v>
      </x:c>
      <x:c r="T266" s="10" t="n">
        <x:f>EOMONTH(J266-'Сводка'!$B$11,-1)</x:f>
        <x:v>46112</x:v>
      </x:c>
      <x:c r="U266" s="4" t="n">
        <x:f>MATCH(J266,'Сводка'!$R$3:$R$397,0)</x:f>
        <x:v>277</x:v>
      </x:c>
      <x:c r="V266" s="4" t="n">
        <x:f>MATCH(J266-'Сводка'!$B$11,'Сводка'!$R$3:$R$397,0)</x:f>
        <x:v>276</x:v>
      </x:c>
      <x:c r="W266" s="4" t="n">
        <x:f>MATCH(T266,$J$388:$J$400,0)</x:f>
        <x:v>10</x:v>
      </x:c>
      <x:c r="X266" s="3"/>
      <x:c r="Y266" s="3"/>
      <x:c r="Z266" s="3"/>
    </x:row>
    <x:row r="267" ht="15" customHeight="1">
      <x:c r="A267" s="3"/>
      <x:c r="B267" s="3"/>
      <x:c r="C267" s="3"/>
      <x:c r="D267" s="3"/>
      <x:c r="E267" s="3"/>
      <x:c r="F267" s="3"/>
      <x:c r="G267" s="3"/>
      <x:c r="H267" s="3"/>
      <x:c r="I267" s="3"/>
      <x:c r="J267" s="10" t="n">
        <x:v>46118</x:v>
      </x:c>
      <x:c r="K267" s="8" t="n">
        <x:f>INDEX('Сводка'!$S$3:$S$397,U267)</x:f>
        <x:v>-17</x:v>
      </x:c>
      <x:c r="L267" s="8" t="n">
        <x:f>INDEX('Сводка'!$S$3:$S$397,V267)</x:f>
        <x:v>-35</x:v>
      </x:c>
      <x:c r="M267" s="8" t="n">
        <x:f>INDEX($K$388:$N$400,W267,1)+INDEX($K$388:$N$400,W267,2)*LN(((J267-$T$405+1)/1000))+INDEX($O$388:$Z$400,W267,MONTH(J267))</x:f>
        <x:v>74.78940058626951</x:v>
      </x:c>
      <x:c r="N267" s="8" t="n">
        <x:f>K267-M267</x:f>
        <x:v>-91.78940058626951</x:v>
      </x:c>
      <x:c r="O267" s="8" t="n">
        <x:f>ABS(N267)</x:f>
        <x:v>91.78940058626951</x:v>
      </x:c>
      <x:c r="P267" s="8" t="n">
        <x:f>N267^2</x:f>
        <x:v>8425.294059986652</x:v>
      </x:c>
      <x:c r="Q267" s="8" t="n">
        <x:f>K267-L267</x:f>
        <x:v>18</x:v>
      </x:c>
      <x:c r="R267" s="9" t="n">
        <x:f>IF(AND(INDEX('Сводка'!$T$3:$T$397,U267)=0,INDEX('Сводка'!$T$3:$T$397,V267)=0),1,0)</x:f>
        <x:v>1</x:v>
      </x:c>
      <x:c r="S267" s="9" t="n">
        <x:f>IF(AND(R267=1,O267&lt;=$G$13),1,0)</x:f>
        <x:v>0</x:v>
      </x:c>
      <x:c r="T267" s="10" t="n">
        <x:f>EOMONTH(J267-'Сводка'!$B$11,-1)</x:f>
        <x:v>46112</x:v>
      </x:c>
      <x:c r="U267" s="4" t="n">
        <x:f>MATCH(J267,'Сводка'!$R$3:$R$397,0)</x:f>
        <x:v>278</x:v>
      </x:c>
      <x:c r="V267" s="4" t="n">
        <x:f>MATCH(J267-'Сводка'!$B$11,'Сводка'!$R$3:$R$397,0)</x:f>
        <x:v>277</x:v>
      </x:c>
      <x:c r="W267" s="4" t="n">
        <x:f>MATCH(T267,$J$388:$J$400,0)</x:f>
        <x:v>10</x:v>
      </x:c>
      <x:c r="X267" s="3"/>
      <x:c r="Y267" s="3"/>
      <x:c r="Z267" s="3"/>
    </x:row>
    <x:row r="268" ht="15" customHeight="1">
      <x:c r="A268" s="3"/>
      <x:c r="B268" s="3"/>
      <x:c r="C268" s="3"/>
      <x:c r="D268" s="3"/>
      <x:c r="E268" s="3"/>
      <x:c r="F268" s="3"/>
      <x:c r="G268" s="3"/>
      <x:c r="H268" s="3"/>
      <x:c r="I268" s="3"/>
      <x:c r="J268" s="10" t="n">
        <x:v>46119</x:v>
      </x:c>
      <x:c r="K268" s="8" t="n">
        <x:f>INDEX('Сводка'!$S$3:$S$397,U268)</x:f>
        <x:v>-3</x:v>
      </x:c>
      <x:c r="L268" s="8" t="n">
        <x:f>INDEX('Сводка'!$S$3:$S$397,V268)</x:f>
        <x:v>-17</x:v>
      </x:c>
      <x:c r="M268" s="8" t="n">
        <x:f>INDEX($K$388:$N$400,W268,1)+INDEX($K$388:$N$400,W268,2)*LN(((J268-$T$405+1)/1000))+INDEX($O$388:$Z$400,W268,MONTH(J268))</x:f>
        <x:v>74.79509926726972</x:v>
      </x:c>
      <x:c r="N268" s="8" t="n">
        <x:f>K268-M268</x:f>
        <x:v>-77.79509926726972</x:v>
      </x:c>
      <x:c r="O268" s="8" t="n">
        <x:f>ABS(N268)</x:f>
        <x:v>77.79509926726972</x:v>
      </x:c>
      <x:c r="P268" s="8" t="n">
        <x:f>N268^2</x:f>
        <x:v>6052.077470004349</x:v>
      </x:c>
      <x:c r="Q268" s="8" t="n">
        <x:f>K268-L268</x:f>
        <x:v>14</x:v>
      </x:c>
      <x:c r="R268" s="9" t="n">
        <x:f>IF(AND(INDEX('Сводка'!$T$3:$T$397,U268)=0,INDEX('Сводка'!$T$3:$T$397,V268)=0),1,0)</x:f>
        <x:v>1</x:v>
      </x:c>
      <x:c r="S268" s="9" t="n">
        <x:f>IF(AND(R268=1,O268&lt;=$G$13),1,0)</x:f>
        <x:v>0</x:v>
      </x:c>
      <x:c r="T268" s="10" t="n">
        <x:f>EOMONTH(J268-'Сводка'!$B$11,-1)</x:f>
        <x:v>46112</x:v>
      </x:c>
      <x:c r="U268" s="4" t="n">
        <x:f>MATCH(J268,'Сводка'!$R$3:$R$397,0)</x:f>
        <x:v>279</x:v>
      </x:c>
      <x:c r="V268" s="4" t="n">
        <x:f>MATCH(J268-'Сводка'!$B$11,'Сводка'!$R$3:$R$397,0)</x:f>
        <x:v>278</x:v>
      </x:c>
      <x:c r="W268" s="4" t="n">
        <x:f>MATCH(T268,$J$388:$J$400,0)</x:f>
        <x:v>10</x:v>
      </x:c>
      <x:c r="X268" s="3"/>
      <x:c r="Y268" s="3"/>
      <x:c r="Z268" s="3"/>
    </x:row>
    <x:row r="269" ht="15" customHeight="1">
      <x:c r="A269" s="3"/>
      <x:c r="B269" s="3"/>
      <x:c r="C269" s="3"/>
      <x:c r="D269" s="3"/>
      <x:c r="E269" s="3"/>
      <x:c r="F269" s="3"/>
      <x:c r="G269" s="3"/>
      <x:c r="H269" s="3"/>
      <x:c r="I269" s="3"/>
      <x:c r="J269" s="10" t="n">
        <x:v>46120</x:v>
      </x:c>
      <x:c r="K269" s="8" t="n">
        <x:f>INDEX('Сводка'!$S$3:$S$397,U269)</x:f>
        <x:v>17</x:v>
      </x:c>
      <x:c r="L269" s="8" t="n">
        <x:f>INDEX('Сводка'!$S$3:$S$397,V269)</x:f>
        <x:v>-3</x:v>
      </x:c>
      <x:c r="M269" s="8" t="n">
        <x:f>INDEX($K$388:$N$400,W269,1)+INDEX($K$388:$N$400,W269,2)*LN(((J269-$T$405+1)/1000))+INDEX($O$388:$Z$400,W269,MONTH(J269))</x:f>
        <x:v>74.80079730533195</x:v>
      </x:c>
      <x:c r="N269" s="8" t="n">
        <x:f>K269-M269</x:f>
        <x:v>-57.800797305331955</x:v>
      </x:c>
      <x:c r="O269" s="8" t="n">
        <x:f>ABS(N269)</x:f>
        <x:v>57.800797305331955</x:v>
      </x:c>
      <x:c r="P269" s="8" t="n">
        <x:f>N269^2</x:f>
        <x:v>3340.9321691320697</x:v>
      </x:c>
      <x:c r="Q269" s="8" t="n">
        <x:f>K269-L269</x:f>
        <x:v>20</x:v>
      </x:c>
      <x:c r="R269" s="9" t="n">
        <x:f>IF(AND(INDEX('Сводка'!$T$3:$T$397,U269)=0,INDEX('Сводка'!$T$3:$T$397,V269)=0),1,0)</x:f>
        <x:v>1</x:v>
      </x:c>
      <x:c r="S269" s="9" t="n">
        <x:f>IF(AND(R269=1,O269&lt;=$G$13),1,0)</x:f>
        <x:v>0</x:v>
      </x:c>
      <x:c r="T269" s="10" t="n">
        <x:f>EOMONTH(J269-'Сводка'!$B$11,-1)</x:f>
        <x:v>46112</x:v>
      </x:c>
      <x:c r="U269" s="4" t="n">
        <x:f>MATCH(J269,'Сводка'!$R$3:$R$397,0)</x:f>
        <x:v>280</x:v>
      </x:c>
      <x:c r="V269" s="4" t="n">
        <x:f>MATCH(J269-'Сводка'!$B$11,'Сводка'!$R$3:$R$397,0)</x:f>
        <x:v>279</x:v>
      </x:c>
      <x:c r="W269" s="4" t="n">
        <x:f>MATCH(T269,$J$388:$J$400,0)</x:f>
        <x:v>10</x:v>
      </x:c>
      <x:c r="X269" s="3"/>
      <x:c r="Y269" s="3"/>
      <x:c r="Z269" s="3"/>
    </x:row>
    <x:row r="270" ht="15" customHeight="1">
      <x:c r="A270" s="3"/>
      <x:c r="B270" s="3"/>
      <x:c r="C270" s="3"/>
      <x:c r="D270" s="3"/>
      <x:c r="E270" s="3"/>
      <x:c r="F270" s="3"/>
      <x:c r="G270" s="3"/>
      <x:c r="H270" s="3"/>
      <x:c r="I270" s="3"/>
      <x:c r="J270" s="10" t="n">
        <x:v>46121</x:v>
      </x:c>
      <x:c r="K270" s="8" t="n">
        <x:f>INDEX('Сводка'!$S$3:$S$397,U270)</x:f>
        <x:v>44</x:v>
      </x:c>
      <x:c r="L270" s="8" t="n">
        <x:f>INDEX('Сводка'!$S$3:$S$397,V270)</x:f>
        <x:v>17</x:v>
      </x:c>
      <x:c r="M270" s="8" t="n">
        <x:f>INDEX($K$388:$N$400,W270,1)+INDEX($K$388:$N$400,W270,2)*LN(((J270-$T$405+1)/1000))+INDEX($O$388:$Z$400,W270,MONTH(J270))</x:f>
        <x:v>74.8064947006012</x:v>
      </x:c>
      <x:c r="N270" s="8" t="n">
        <x:f>K270-M270</x:f>
        <x:v>-30.806494700601206</x:v>
      </x:c>
      <x:c r="O270" s="8" t="n">
        <x:f>ABS(N270)</x:f>
        <x:v>30.806494700601206</x:v>
      </x:c>
      <x:c r="P270" s="8" t="n">
        <x:f>N270^2</x:f>
        <x:v>949.0401157381702</x:v>
      </x:c>
      <x:c r="Q270" s="8" t="n">
        <x:f>K270-L270</x:f>
        <x:v>27</x:v>
      </x:c>
      <x:c r="R270" s="9" t="n">
        <x:f>IF(AND(INDEX('Сводка'!$T$3:$T$397,U270)=0,INDEX('Сводка'!$T$3:$T$397,V270)=0),1,0)</x:f>
        <x:v>1</x:v>
      </x:c>
      <x:c r="S270" s="9" t="n">
        <x:f>IF(AND(R270=1,O270&lt;=$G$13),1,0)</x:f>
        <x:v>0</x:v>
      </x:c>
      <x:c r="T270" s="10" t="n">
        <x:f>EOMONTH(J270-'Сводка'!$B$11,-1)</x:f>
        <x:v>46112</x:v>
      </x:c>
      <x:c r="U270" s="4" t="n">
        <x:f>MATCH(J270,'Сводка'!$R$3:$R$397,0)</x:f>
        <x:v>281</x:v>
      </x:c>
      <x:c r="V270" s="4" t="n">
        <x:f>MATCH(J270-'Сводка'!$B$11,'Сводка'!$R$3:$R$397,0)</x:f>
        <x:v>280</x:v>
      </x:c>
      <x:c r="W270" s="4" t="n">
        <x:f>MATCH(T270,$J$388:$J$400,0)</x:f>
        <x:v>10</x:v>
      </x:c>
      <x:c r="X270" s="3"/>
      <x:c r="Y270" s="3"/>
      <x:c r="Z270" s="3"/>
    </x:row>
    <x:row r="271" ht="15" customHeight="1">
      <x:c r="A271" s="3"/>
      <x:c r="B271" s="3"/>
      <x:c r="C271" s="3"/>
      <x:c r="D271" s="3"/>
      <x:c r="E271" s="3"/>
      <x:c r="F271" s="3"/>
      <x:c r="G271" s="3"/>
      <x:c r="H271" s="3"/>
      <x:c r="I271" s="3"/>
      <x:c r="J271" s="10" t="n">
        <x:v>46122</x:v>
      </x:c>
      <x:c r="K271" s="8" t="n">
        <x:f>INDEX('Сводка'!$S$3:$S$397,U271)</x:f>
        <x:v>82</x:v>
      </x:c>
      <x:c r="L271" s="8" t="n">
        <x:f>INDEX('Сводка'!$S$3:$S$397,V271)</x:f>
        <x:v>44</x:v>
      </x:c>
      <x:c r="M271" s="8" t="n">
        <x:f>INDEX($K$388:$N$400,W271,1)+INDEX($K$388:$N$400,W271,2)*LN(((J271-$T$405+1)/1000))+INDEX($O$388:$Z$400,W271,MONTH(J271))</x:f>
        <x:v>74.81219145322254</x:v>
      </x:c>
      <x:c r="N271" s="8" t="n">
        <x:f>K271-M271</x:f>
        <x:v>7.187808546777461</x:v>
      </x:c>
      <x:c r="O271" s="8" t="n">
        <x:f>ABS(N271)</x:f>
        <x:v>7.187808546777461</x:v>
      </x:c>
      <x:c r="P271" s="8" t="n">
        <x:f>N271^2</x:f>
        <x:v>51.664591705127116</x:v>
      </x:c>
      <x:c r="Q271" s="8" t="n">
        <x:f>K271-L271</x:f>
        <x:v>38</x:v>
      </x:c>
      <x:c r="R271" s="9" t="n">
        <x:f>IF(AND(INDEX('Сводка'!$T$3:$T$397,U271)=0,INDEX('Сводка'!$T$3:$T$397,V271)=0),1,0)</x:f>
        <x:v>1</x:v>
      </x:c>
      <x:c r="S271" s="9" t="n">
        <x:f>IF(AND(R271=1,O271&lt;=$G$13),1,0)</x:f>
        <x:v>1</x:v>
      </x:c>
      <x:c r="T271" s="10" t="n">
        <x:f>EOMONTH(J271-'Сводка'!$B$11,-1)</x:f>
        <x:v>46112</x:v>
      </x:c>
      <x:c r="U271" s="4" t="n">
        <x:f>MATCH(J271,'Сводка'!$R$3:$R$397,0)</x:f>
        <x:v>282</x:v>
      </x:c>
      <x:c r="V271" s="4" t="n">
        <x:f>MATCH(J271-'Сводка'!$B$11,'Сводка'!$R$3:$R$397,0)</x:f>
        <x:v>281</x:v>
      </x:c>
      <x:c r="W271" s="4" t="n">
        <x:f>MATCH(T271,$J$388:$J$400,0)</x:f>
        <x:v>10</x:v>
      </x:c>
      <x:c r="X271" s="3"/>
      <x:c r="Y271" s="3"/>
      <x:c r="Z271" s="3"/>
    </x:row>
    <x:row r="272" ht="15" customHeight="1">
      <x:c r="A272" s="3"/>
      <x:c r="B272" s="3"/>
      <x:c r="C272" s="3"/>
      <x:c r="D272" s="3"/>
      <x:c r="E272" s="3"/>
      <x:c r="F272" s="3"/>
      <x:c r="G272" s="3"/>
      <x:c r="H272" s="3"/>
      <x:c r="I272" s="3"/>
      <x:c r="J272" s="10" t="n">
        <x:v>46123</x:v>
      </x:c>
      <x:c r="K272" s="8" t="n">
        <x:f>INDEX('Сводка'!$S$3:$S$397,U272)</x:f>
        <x:v>96</x:v>
      </x:c>
      <x:c r="L272" s="8" t="n">
        <x:f>INDEX('Сводка'!$S$3:$S$397,V272)</x:f>
        <x:v>82</x:v>
      </x:c>
      <x:c r="M272" s="8" t="n">
        <x:f>INDEX($K$388:$N$400,W272,1)+INDEX($K$388:$N$400,W272,2)*LN(((J272-$T$405+1)/1000))+INDEX($O$388:$Z$400,W272,MONTH(J272))</x:f>
        <x:v>74.81788756334089</x:v>
      </x:c>
      <x:c r="N272" s="8" t="n">
        <x:f>K272-M272</x:f>
        <x:v>21.18211243665911</x:v>
      </x:c>
      <x:c r="O272" s="8" t="n">
        <x:f>ABS(N272)</x:f>
        <x:v>21.18211243665911</x:v>
      </x:c>
      <x:c r="P272" s="8" t="n">
        <x:f>N272^2</x:f>
        <x:v>448.68188727926855</x:v>
      </x:c>
      <x:c r="Q272" s="8" t="n">
        <x:f>K272-L272</x:f>
        <x:v>14</x:v>
      </x:c>
      <x:c r="R272" s="9" t="n">
        <x:f>IF(AND(INDEX('Сводка'!$T$3:$T$397,U272)=0,INDEX('Сводка'!$T$3:$T$397,V272)=0),1,0)</x:f>
        <x:v>1</x:v>
      </x:c>
      <x:c r="S272" s="9" t="n">
        <x:f>IF(AND(R272=1,O272&lt;=$G$13),1,0)</x:f>
        <x:v>0</x:v>
      </x:c>
      <x:c r="T272" s="10" t="n">
        <x:f>EOMONTH(J272-'Сводка'!$B$11,-1)</x:f>
        <x:v>46112</x:v>
      </x:c>
      <x:c r="U272" s="4" t="n">
        <x:f>MATCH(J272,'Сводка'!$R$3:$R$397,0)</x:f>
        <x:v>283</x:v>
      </x:c>
      <x:c r="V272" s="4" t="n">
        <x:f>MATCH(J272-'Сводка'!$B$11,'Сводка'!$R$3:$R$397,0)</x:f>
        <x:v>282</x:v>
      </x:c>
      <x:c r="W272" s="4" t="n">
        <x:f>MATCH(T272,$J$388:$J$400,0)</x:f>
        <x:v>10</x:v>
      </x:c>
      <x:c r="X272" s="3"/>
      <x:c r="Y272" s="3"/>
      <x:c r="Z272" s="3"/>
    </x:row>
    <x:row r="273" ht="15" customHeight="1">
      <x:c r="A273" s="3"/>
      <x:c r="B273" s="3"/>
      <x:c r="C273" s="3"/>
      <x:c r="D273" s="3"/>
      <x:c r="E273" s="3"/>
      <x:c r="F273" s="3"/>
      <x:c r="G273" s="3"/>
      <x:c r="H273" s="3"/>
      <x:c r="I273" s="3"/>
      <x:c r="J273" s="10" t="n">
        <x:v>46124</x:v>
      </x:c>
      <x:c r="K273" s="8" t="n">
        <x:f>INDEX('Сводка'!$S$3:$S$397,U273)</x:f>
        <x:v>163</x:v>
      </x:c>
      <x:c r="L273" s="8" t="n">
        <x:f>INDEX('Сводка'!$S$3:$S$397,V273)</x:f>
        <x:v>96</x:v>
      </x:c>
      <x:c r="M273" s="8" t="n">
        <x:f>INDEX($K$388:$N$400,W273,1)+INDEX($K$388:$N$400,W273,2)*LN(((J273-$T$405+1)/1000))+INDEX($O$388:$Z$400,W273,MONTH(J273))</x:f>
        <x:v>74.82358303110118</x:v>
      </x:c>
      <x:c r="N273" s="8" t="n">
        <x:f>K273-M273</x:f>
        <x:v>88.17641696889882</x:v>
      </x:c>
      <x:c r="O273" s="8" t="n">
        <x:f>ABS(N273)</x:f>
        <x:v>88.17641696889882</x:v>
      </x:c>
      <x:c r="P273" s="8" t="n">
        <x:f>N273^2</x:f>
        <x:v>7775.080509473108</x:v>
      </x:c>
      <x:c r="Q273" s="8" t="n">
        <x:f>K273-L273</x:f>
        <x:v>67</x:v>
      </x:c>
      <x:c r="R273" s="9" t="n">
        <x:f>IF(AND(INDEX('Сводка'!$T$3:$T$397,U273)=0,INDEX('Сводка'!$T$3:$T$397,V273)=0),1,0)</x:f>
        <x:v>1</x:v>
      </x:c>
      <x:c r="S273" s="9" t="n">
        <x:f>IF(AND(R273=1,O273&lt;=$G$13),1,0)</x:f>
        <x:v>0</x:v>
      </x:c>
      <x:c r="T273" s="10" t="n">
        <x:f>EOMONTH(J273-'Сводка'!$B$11,-1)</x:f>
        <x:v>46112</x:v>
      </x:c>
      <x:c r="U273" s="4" t="n">
        <x:f>MATCH(J273,'Сводка'!$R$3:$R$397,0)</x:f>
        <x:v>284</x:v>
      </x:c>
      <x:c r="V273" s="4" t="n">
        <x:f>MATCH(J273-'Сводка'!$B$11,'Сводка'!$R$3:$R$397,0)</x:f>
        <x:v>283</x:v>
      </x:c>
      <x:c r="W273" s="4" t="n">
        <x:f>MATCH(T273,$J$388:$J$400,0)</x:f>
        <x:v>10</x:v>
      </x:c>
      <x:c r="X273" s="3"/>
      <x:c r="Y273" s="3"/>
      <x:c r="Z273" s="3"/>
    </x:row>
    <x:row r="274" ht="15" customHeight="1">
      <x:c r="A274" s="3"/>
      <x:c r="B274" s="3"/>
      <x:c r="C274" s="3"/>
      <x:c r="D274" s="3"/>
      <x:c r="E274" s="3"/>
      <x:c r="F274" s="3"/>
      <x:c r="G274" s="3"/>
      <x:c r="H274" s="3"/>
      <x:c r="I274" s="3"/>
      <x:c r="J274" s="10" t="n">
        <x:v>46125</x:v>
      </x:c>
      <x:c r="K274" s="8" t="n">
        <x:f>INDEX('Сводка'!$S$3:$S$397,U274)</x:f>
        <x:v>100</x:v>
      </x:c>
      <x:c r="L274" s="8" t="n">
        <x:f>INDEX('Сводка'!$S$3:$S$397,V274)</x:f>
        <x:v>163</x:v>
      </x:c>
      <x:c r="M274" s="8" t="n">
        <x:f>INDEX($K$388:$N$400,W274,1)+INDEX($K$388:$N$400,W274,2)*LN(((J274-$T$405+1)/1000))+INDEX($O$388:$Z$400,W274,MONTH(J274))</x:f>
        <x:v>74.82927785664828</x:v>
      </x:c>
      <x:c r="N274" s="8" t="n">
        <x:f>K274-M274</x:f>
        <x:v>25.170722143351725</x:v>
      </x:c>
      <x:c r="O274" s="8" t="n">
        <x:f>ABS(N274)</x:f>
        <x:v>25.170722143351725</x:v>
      </x:c>
      <x:c r="P274" s="8" t="n">
        <x:f>N274^2</x:f>
        <x:v>633.5652532178168</x:v>
      </x:c>
      <x:c r="Q274" s="8" t="n">
        <x:f>K274-L274</x:f>
        <x:v>-63</x:v>
      </x:c>
      <x:c r="R274" s="9" t="n">
        <x:f>IF(AND(INDEX('Сводка'!$T$3:$T$397,U274)=0,INDEX('Сводка'!$T$3:$T$397,V274)=0),1,0)</x:f>
        <x:v>1</x:v>
      </x:c>
      <x:c r="S274" s="9" t="n">
        <x:f>IF(AND(R274=1,O274&lt;=$G$13),1,0)</x:f>
        <x:v>0</x:v>
      </x:c>
      <x:c r="T274" s="10" t="n">
        <x:f>EOMONTH(J274-'Сводка'!$B$11,-1)</x:f>
        <x:v>46112</x:v>
      </x:c>
      <x:c r="U274" s="4" t="n">
        <x:f>MATCH(J274,'Сводка'!$R$3:$R$397,0)</x:f>
        <x:v>285</x:v>
      </x:c>
      <x:c r="V274" s="4" t="n">
        <x:f>MATCH(J274-'Сводка'!$B$11,'Сводка'!$R$3:$R$397,0)</x:f>
        <x:v>284</x:v>
      </x:c>
      <x:c r="W274" s="4" t="n">
        <x:f>MATCH(T274,$J$388:$J$400,0)</x:f>
        <x:v>10</x:v>
      </x:c>
      <x:c r="X274" s="3"/>
      <x:c r="Y274" s="3"/>
      <x:c r="Z274" s="3"/>
    </x:row>
    <x:row r="275" ht="15" customHeight="1">
      <x:c r="A275" s="3"/>
      <x:c r="B275" s="3"/>
      <x:c r="C275" s="3"/>
      <x:c r="D275" s="3"/>
      <x:c r="E275" s="3"/>
      <x:c r="F275" s="3"/>
      <x:c r="G275" s="3"/>
      <x:c r="H275" s="3"/>
      <x:c r="I275" s="3"/>
      <x:c r="J275" s="10" t="n">
        <x:v>46126</x:v>
      </x:c>
      <x:c r="K275" s="8" t="n">
        <x:f>INDEX('Сводка'!$S$3:$S$397,U275)</x:f>
        <x:v>36</x:v>
      </x:c>
      <x:c r="L275" s="8" t="n">
        <x:f>INDEX('Сводка'!$S$3:$S$397,V275)</x:f>
        <x:v>100</x:v>
      </x:c>
      <x:c r="M275" s="8" t="n">
        <x:f>INDEX($K$388:$N$400,W275,1)+INDEX($K$388:$N$400,W275,2)*LN(((J275-$T$405+1)/1000))+INDEX($O$388:$Z$400,W275,MONTH(J275))</x:f>
        <x:v>74.83497204012697</x:v>
      </x:c>
      <x:c r="N275" s="8" t="n">
        <x:f>K275-M275</x:f>
        <x:v>-38.83497204012697</x:v>
      </x:c>
      <x:c r="O275" s="8" t="n">
        <x:f>ABS(N275)</x:f>
        <x:v>38.83497204012697</x:v>
      </x:c>
      <x:c r="P275" s="8" t="n">
        <x:f>N275^2</x:f>
        <x:v>1508.1550533574436</x:v>
      </x:c>
      <x:c r="Q275" s="8" t="n">
        <x:f>K275-L275</x:f>
        <x:v>-64</x:v>
      </x:c>
      <x:c r="R275" s="9" t="n">
        <x:f>IF(AND(INDEX('Сводка'!$T$3:$T$397,U275)=0,INDEX('Сводка'!$T$3:$T$397,V275)=0),1,0)</x:f>
        <x:v>1</x:v>
      </x:c>
      <x:c r="S275" s="9" t="n">
        <x:f>IF(AND(R275=1,O275&lt;=$G$13),1,0)</x:f>
        <x:v>0</x:v>
      </x:c>
      <x:c r="T275" s="10" t="n">
        <x:f>EOMONTH(J275-'Сводка'!$B$11,-1)</x:f>
        <x:v>46112</x:v>
      </x:c>
      <x:c r="U275" s="4" t="n">
        <x:f>MATCH(J275,'Сводка'!$R$3:$R$397,0)</x:f>
        <x:v>286</x:v>
      </x:c>
      <x:c r="V275" s="4" t="n">
        <x:f>MATCH(J275-'Сводка'!$B$11,'Сводка'!$R$3:$R$397,0)</x:f>
        <x:v>285</x:v>
      </x:c>
      <x:c r="W275" s="4" t="n">
        <x:f>MATCH(T275,$J$388:$J$400,0)</x:f>
        <x:v>10</x:v>
      </x:c>
      <x:c r="X275" s="3"/>
      <x:c r="Y275" s="3"/>
      <x:c r="Z275" s="3"/>
    </x:row>
    <x:row r="276" ht="15" customHeight="1">
      <x:c r="A276" s="3"/>
      <x:c r="B276" s="3"/>
      <x:c r="C276" s="3"/>
      <x:c r="D276" s="3"/>
      <x:c r="E276" s="3"/>
      <x:c r="F276" s="3"/>
      <x:c r="G276" s="3"/>
      <x:c r="H276" s="3"/>
      <x:c r="I276" s="3"/>
      <x:c r="J276" s="10" t="n">
        <x:v>46127</x:v>
      </x:c>
      <x:c r="K276" s="8" t="n">
        <x:f>INDEX('Сводка'!$S$3:$S$397,U276)</x:f>
        <x:v>-4</x:v>
      </x:c>
      <x:c r="L276" s="8" t="n">
        <x:f>INDEX('Сводка'!$S$3:$S$397,V276)</x:f>
        <x:v>36</x:v>
      </x:c>
      <x:c r="M276" s="8" t="n">
        <x:f>INDEX($K$388:$N$400,W276,1)+INDEX($K$388:$N$400,W276,2)*LN(((J276-$T$405+1)/1000))+INDEX($O$388:$Z$400,W276,MONTH(J276))</x:f>
        <x:v>74.84066558168206</x:v>
      </x:c>
      <x:c r="N276" s="8" t="n">
        <x:f>K276-M276</x:f>
        <x:v>-78.84066558168206</x:v>
      </x:c>
      <x:c r="O276" s="8" t="n">
        <x:f>ABS(N276)</x:f>
        <x:v>78.84066558168206</x:v>
      </x:c>
      <x:c r="P276" s="8" t="n">
        <x:f>N276^2</x:f>
        <x:v>6215.850549362626</x:v>
      </x:c>
      <x:c r="Q276" s="8" t="n">
        <x:f>K276-L276</x:f>
        <x:v>-40</x:v>
      </x:c>
      <x:c r="R276" s="9" t="n">
        <x:f>IF(AND(INDEX('Сводка'!$T$3:$T$397,U276)=0,INDEX('Сводка'!$T$3:$T$397,V276)=0),1,0)</x:f>
        <x:v>1</x:v>
      </x:c>
      <x:c r="S276" s="9" t="n">
        <x:f>IF(AND(R276=1,O276&lt;=$G$13),1,0)</x:f>
        <x:v>0</x:v>
      </x:c>
      <x:c r="T276" s="10" t="n">
        <x:f>EOMONTH(J276-'Сводка'!$B$11,-1)</x:f>
        <x:v>46112</x:v>
      </x:c>
      <x:c r="U276" s="4" t="n">
        <x:f>MATCH(J276,'Сводка'!$R$3:$R$397,0)</x:f>
        <x:v>287</x:v>
      </x:c>
      <x:c r="V276" s="4" t="n">
        <x:f>MATCH(J276-'Сводка'!$B$11,'Сводка'!$R$3:$R$397,0)</x:f>
        <x:v>286</x:v>
      </x:c>
      <x:c r="W276" s="4" t="n">
        <x:f>MATCH(T276,$J$388:$J$400,0)</x:f>
        <x:v>10</x:v>
      </x:c>
      <x:c r="X276" s="3"/>
      <x:c r="Y276" s="3"/>
      <x:c r="Z276" s="3"/>
    </x:row>
    <x:row r="277" ht="15" customHeight="1">
      <x:c r="A277" s="3"/>
      <x:c r="B277" s="3"/>
      <x:c r="C277" s="3"/>
      <x:c r="D277" s="3"/>
      <x:c r="E277" s="3"/>
      <x:c r="F277" s="3"/>
      <x:c r="G277" s="3"/>
      <x:c r="H277" s="3"/>
      <x:c r="I277" s="3"/>
      <x:c r="J277" s="10" t="n">
        <x:v>46128</x:v>
      </x:c>
      <x:c r="K277" s="8" t="n">
        <x:f>INDEX('Сводка'!$S$3:$S$397,U277)</x:f>
        <x:v>-14</x:v>
      </x:c>
      <x:c r="L277" s="8" t="n">
        <x:f>INDEX('Сводка'!$S$3:$S$397,V277)</x:f>
        <x:v>-4</x:v>
      </x:c>
      <x:c r="M277" s="8" t="n">
        <x:f>INDEX($K$388:$N$400,W277,1)+INDEX($K$388:$N$400,W277,2)*LN(((J277-$T$405+1)/1000))+INDEX($O$388:$Z$400,W277,MONTH(J277))</x:f>
        <x:v>74.84635848145824</x:v>
      </x:c>
      <x:c r="N277" s="8" t="n">
        <x:f>K277-M277</x:f>
        <x:v>-88.84635848145824</x:v>
      </x:c>
      <x:c r="O277" s="8" t="n">
        <x:f>ABS(N277)</x:f>
        <x:v>88.84635848145824</x:v>
      </x:c>
      <x:c r="P277" s="8" t="n">
        <x:f>N277^2</x:f>
        <x:v>7893.675415415786</x:v>
      </x:c>
      <x:c r="Q277" s="8" t="n">
        <x:f>K277-L277</x:f>
        <x:v>-10</x:v>
      </x:c>
      <x:c r="R277" s="9" t="n">
        <x:f>IF(AND(INDEX('Сводка'!$T$3:$T$397,U277)=0,INDEX('Сводка'!$T$3:$T$397,V277)=0),1,0)</x:f>
        <x:v>1</x:v>
      </x:c>
      <x:c r="S277" s="9" t="n">
        <x:f>IF(AND(R277=1,O277&lt;=$G$13),1,0)</x:f>
        <x:v>0</x:v>
      </x:c>
      <x:c r="T277" s="10" t="n">
        <x:f>EOMONTH(J277-'Сводка'!$B$11,-1)</x:f>
        <x:v>46112</x:v>
      </x:c>
      <x:c r="U277" s="4" t="n">
        <x:f>MATCH(J277,'Сводка'!$R$3:$R$397,0)</x:f>
        <x:v>288</x:v>
      </x:c>
      <x:c r="V277" s="4" t="n">
        <x:f>MATCH(J277-'Сводка'!$B$11,'Сводка'!$R$3:$R$397,0)</x:f>
        <x:v>287</x:v>
      </x:c>
      <x:c r="W277" s="4" t="n">
        <x:f>MATCH(T277,$J$388:$J$400,0)</x:f>
        <x:v>10</x:v>
      </x:c>
      <x:c r="X277" s="3"/>
      <x:c r="Y277" s="3"/>
      <x:c r="Z277" s="3"/>
    </x:row>
    <x:row r="278" ht="15" customHeight="1">
      <x:c r="A278" s="3"/>
      <x:c r="B278" s="3"/>
      <x:c r="C278" s="3"/>
      <x:c r="D278" s="3"/>
      <x:c r="E278" s="3"/>
      <x:c r="F278" s="3"/>
      <x:c r="G278" s="3"/>
      <x:c r="H278" s="3"/>
      <x:c r="I278" s="3"/>
      <x:c r="J278" s="10" t="n">
        <x:v>46129</x:v>
      </x:c>
      <x:c r="K278" s="8" t="n">
        <x:f>INDEX('Сводка'!$S$3:$S$397,U278)</x:f>
        <x:v>-6</x:v>
      </x:c>
      <x:c r="L278" s="8" t="n">
        <x:f>INDEX('Сводка'!$S$3:$S$397,V278)</x:f>
        <x:v>-14</x:v>
      </x:c>
      <x:c r="M278" s="8" t="n">
        <x:f>INDEX($K$388:$N$400,W278,1)+INDEX($K$388:$N$400,W278,2)*LN(((J278-$T$405+1)/1000))+INDEX($O$388:$Z$400,W278,MONTH(J278))</x:f>
        <x:v>74.85205073960017</x:v>
      </x:c>
      <x:c r="N278" s="8" t="n">
        <x:f>K278-M278</x:f>
        <x:v>-80.85205073960017</x:v>
      </x:c>
      <x:c r="O278" s="8" t="n">
        <x:f>ABS(N278)</x:f>
        <x:v>80.85205073960017</x:v>
      </x:c>
      <x:c r="P278" s="8" t="n">
        <x:f>N278^2</x:f>
        <x:v>6537.054108798881</x:v>
      </x:c>
      <x:c r="Q278" s="8" t="n">
        <x:f>K278-L278</x:f>
        <x:v>8</x:v>
      </x:c>
      <x:c r="R278" s="9" t="n">
        <x:f>IF(AND(INDEX('Сводка'!$T$3:$T$397,U278)=0,INDEX('Сводка'!$T$3:$T$397,V278)=0),1,0)</x:f>
        <x:v>1</x:v>
      </x:c>
      <x:c r="S278" s="9" t="n">
        <x:f>IF(AND(R278=1,O278&lt;=$G$13),1,0)</x:f>
        <x:v>0</x:v>
      </x:c>
      <x:c r="T278" s="10" t="n">
        <x:f>EOMONTH(J278-'Сводка'!$B$11,-1)</x:f>
        <x:v>46112</x:v>
      </x:c>
      <x:c r="U278" s="4" t="n">
        <x:f>MATCH(J278,'Сводка'!$R$3:$R$397,0)</x:f>
        <x:v>289</x:v>
      </x:c>
      <x:c r="V278" s="4" t="n">
        <x:f>MATCH(J278-'Сводка'!$B$11,'Сводка'!$R$3:$R$397,0)</x:f>
        <x:v>288</x:v>
      </x:c>
      <x:c r="W278" s="4" t="n">
        <x:f>MATCH(T278,$J$388:$J$400,0)</x:f>
        <x:v>10</x:v>
      </x:c>
      <x:c r="X278" s="3"/>
      <x:c r="Y278" s="3"/>
      <x:c r="Z278" s="3"/>
    </x:row>
    <x:row r="279" ht="15" customHeight="1">
      <x:c r="A279" s="3"/>
      <x:c r="B279" s="3"/>
      <x:c r="C279" s="3"/>
      <x:c r="D279" s="3"/>
      <x:c r="E279" s="3"/>
      <x:c r="F279" s="3"/>
      <x:c r="G279" s="3"/>
      <x:c r="H279" s="3"/>
      <x:c r="I279" s="3"/>
      <x:c r="J279" s="10" t="n">
        <x:v>46130</x:v>
      </x:c>
      <x:c r="K279" s="8" t="n">
        <x:f>INDEX('Сводка'!$S$3:$S$397,U279)</x:f>
        <x:v>-4</x:v>
      </x:c>
      <x:c r="L279" s="8" t="n">
        <x:f>INDEX('Сводка'!$S$3:$S$397,V279)</x:f>
        <x:v>-6</x:v>
      </x:c>
      <x:c r="M279" s="8" t="n">
        <x:f>INDEX($K$388:$N$400,W279,1)+INDEX($K$388:$N$400,W279,2)*LN(((J279-$T$405+1)/1000))+INDEX($O$388:$Z$400,W279,MONTH(J279))</x:f>
        <x:v>74.85774235625252</x:v>
      </x:c>
      <x:c r="N279" s="8" t="n">
        <x:f>K279-M279</x:f>
        <x:v>-78.85774235625252</x:v>
      </x:c>
      <x:c r="O279" s="8" t="n">
        <x:f>ABS(N279)</x:f>
        <x:v>78.85774235625252</x:v>
      </x:c>
      <x:c r="P279" s="8" t="n">
        <x:f>N279^2</x:f>
        <x:v>6218.543529525102</x:v>
      </x:c>
      <x:c r="Q279" s="8" t="n">
        <x:f>K279-L279</x:f>
        <x:v>2</x:v>
      </x:c>
      <x:c r="R279" s="9" t="n">
        <x:f>IF(AND(INDEX('Сводка'!$T$3:$T$397,U279)=0,INDEX('Сводка'!$T$3:$T$397,V279)=0),1,0)</x:f>
        <x:v>1</x:v>
      </x:c>
      <x:c r="S279" s="9" t="n">
        <x:f>IF(AND(R279=1,O279&lt;=$G$13),1,0)</x:f>
        <x:v>0</x:v>
      </x:c>
      <x:c r="T279" s="10" t="n">
        <x:f>EOMONTH(J279-'Сводка'!$B$11,-1)</x:f>
        <x:v>46112</x:v>
      </x:c>
      <x:c r="U279" s="4" t="n">
        <x:f>MATCH(J279,'Сводка'!$R$3:$R$397,0)</x:f>
        <x:v>290</x:v>
      </x:c>
      <x:c r="V279" s="4" t="n">
        <x:f>MATCH(J279-'Сводка'!$B$11,'Сводка'!$R$3:$R$397,0)</x:f>
        <x:v>289</x:v>
      </x:c>
      <x:c r="W279" s="4" t="n">
        <x:f>MATCH(T279,$J$388:$J$400,0)</x:f>
        <x:v>10</x:v>
      </x:c>
      <x:c r="X279" s="3"/>
      <x:c r="Y279" s="3"/>
      <x:c r="Z279" s="3"/>
    </x:row>
    <x:row r="280" ht="15" customHeight="1">
      <x:c r="A280" s="3"/>
      <x:c r="B280" s="3"/>
      <x:c r="C280" s="3"/>
      <x:c r="D280" s="3"/>
      <x:c r="E280" s="3"/>
      <x:c r="F280" s="3"/>
      <x:c r="G280" s="3"/>
      <x:c r="H280" s="3"/>
      <x:c r="I280" s="3"/>
      <x:c r="J280" s="10" t="n">
        <x:v>46131</x:v>
      </x:c>
      <x:c r="K280" s="8" t="n">
        <x:f>INDEX('Сводка'!$S$3:$S$397,U280)</x:f>
        <x:v>64</x:v>
      </x:c>
      <x:c r="L280" s="8" t="n">
        <x:f>INDEX('Сводка'!$S$3:$S$397,V280)</x:f>
        <x:v>-4</x:v>
      </x:c>
      <x:c r="M280" s="8" t="n">
        <x:f>INDEX($K$388:$N$400,W280,1)+INDEX($K$388:$N$400,W280,2)*LN(((J280-$T$405+1)/1000))+INDEX($O$388:$Z$400,W280,MONTH(J280))</x:f>
        <x:v>74.86343333155975</x:v>
      </x:c>
      <x:c r="N280" s="8" t="n">
        <x:f>K280-M280</x:f>
        <x:v>-10.863433331559747</x:v>
      </x:c>
      <x:c r="O280" s="8" t="n">
        <x:f>ABS(N280)</x:f>
        <x:v>10.863433331559747</x:v>
      </x:c>
      <x:c r="P280" s="8" t="n">
        <x:f>N280^2</x:f>
        <x:v>118.01418374924332</x:v>
      </x:c>
      <x:c r="Q280" s="8" t="n">
        <x:f>K280-L280</x:f>
        <x:v>68</x:v>
      </x:c>
      <x:c r="R280" s="9" t="n">
        <x:f>IF(AND(INDEX('Сводка'!$T$3:$T$397,U280)=0,INDEX('Сводка'!$T$3:$T$397,V280)=0),1,0)</x:f>
        <x:v>1</x:v>
      </x:c>
      <x:c r="S280" s="9" t="n">
        <x:f>IF(AND(R280=1,O280&lt;=$G$13),1,0)</x:f>
        <x:v>0</x:v>
      </x:c>
      <x:c r="T280" s="10" t="n">
        <x:f>EOMONTH(J280-'Сводка'!$B$11,-1)</x:f>
        <x:v>46112</x:v>
      </x:c>
      <x:c r="U280" s="4" t="n">
        <x:f>MATCH(J280,'Сводка'!$R$3:$R$397,0)</x:f>
        <x:v>291</x:v>
      </x:c>
      <x:c r="V280" s="4" t="n">
        <x:f>MATCH(J280-'Сводка'!$B$11,'Сводка'!$R$3:$R$397,0)</x:f>
        <x:v>290</x:v>
      </x:c>
      <x:c r="W280" s="4" t="n">
        <x:f>MATCH(T280,$J$388:$J$400,0)</x:f>
        <x:v>10</x:v>
      </x:c>
      <x:c r="X280" s="3"/>
      <x:c r="Y280" s="3"/>
      <x:c r="Z280" s="3"/>
    </x:row>
    <x:row r="281" ht="15" customHeight="1">
      <x:c r="A281" s="3"/>
      <x:c r="B281" s="3"/>
      <x:c r="C281" s="3"/>
      <x:c r="D281" s="3"/>
      <x:c r="E281" s="3"/>
      <x:c r="F281" s="3"/>
      <x:c r="G281" s="3"/>
      <x:c r="H281" s="3"/>
      <x:c r="I281" s="3"/>
      <x:c r="J281" s="10" t="n">
        <x:v>46132</x:v>
      </x:c>
      <x:c r="K281" s="8" t="n">
        <x:f>INDEX('Сводка'!$S$3:$S$397,U281)</x:f>
        <x:v>82</x:v>
      </x:c>
      <x:c r="L281" s="8" t="n">
        <x:f>INDEX('Сводка'!$S$3:$S$397,V281)</x:f>
        <x:v>64</x:v>
      </x:c>
      <x:c r="M281" s="8" t="n">
        <x:f>INDEX($K$388:$N$400,W281,1)+INDEX($K$388:$N$400,W281,2)*LN(((J281-$T$405+1)/1000))+INDEX($O$388:$Z$400,W281,MONTH(J281))</x:f>
        <x:v>74.86912366566648</x:v>
      </x:c>
      <x:c r="N281" s="8" t="n">
        <x:f>K281-M281</x:f>
        <x:v>7.1308763343335215</x:v>
      </x:c>
      <x:c r="O281" s="8" t="n">
        <x:f>ABS(N281)</x:f>
        <x:v>7.1308763343335215</x:v>
      </x:c>
      <x:c r="P281" s="8" t="n">
        <x:f>N281^2</x:f>
        <x:v>50.84939729555788</x:v>
      </x:c>
      <x:c r="Q281" s="8" t="n">
        <x:f>K281-L281</x:f>
        <x:v>18</x:v>
      </x:c>
      <x:c r="R281" s="9" t="n">
        <x:f>IF(AND(INDEX('Сводка'!$T$3:$T$397,U281)=0,INDEX('Сводка'!$T$3:$T$397,V281)=0),1,0)</x:f>
        <x:v>1</x:v>
      </x:c>
      <x:c r="S281" s="9" t="n">
        <x:f>IF(AND(R281=1,O281&lt;=$G$13),1,0)</x:f>
        <x:v>1</x:v>
      </x:c>
      <x:c r="T281" s="10" t="n">
        <x:f>EOMONTH(J281-'Сводка'!$B$11,-1)</x:f>
        <x:v>46112</x:v>
      </x:c>
      <x:c r="U281" s="4" t="n">
        <x:f>MATCH(J281,'Сводка'!$R$3:$R$397,0)</x:f>
        <x:v>292</x:v>
      </x:c>
      <x:c r="V281" s="4" t="n">
        <x:f>MATCH(J281-'Сводка'!$B$11,'Сводка'!$R$3:$R$397,0)</x:f>
        <x:v>291</x:v>
      </x:c>
      <x:c r="W281" s="4" t="n">
        <x:f>MATCH(T281,$J$388:$J$400,0)</x:f>
        <x:v>10</x:v>
      </x:c>
      <x:c r="X281" s="3"/>
      <x:c r="Y281" s="3"/>
      <x:c r="Z281" s="3"/>
    </x:row>
    <x:row r="282" ht="15" customHeight="1">
      <x:c r="A282" s="3"/>
      <x:c r="B282" s="3"/>
      <x:c r="C282" s="3"/>
      <x:c r="D282" s="3"/>
      <x:c r="E282" s="3"/>
      <x:c r="F282" s="3"/>
      <x:c r="G282" s="3"/>
      <x:c r="H282" s="3"/>
      <x:c r="I282" s="3"/>
      <x:c r="J282" s="10" t="n">
        <x:v>46133</x:v>
      </x:c>
      <x:c r="K282" s="8" t="n">
        <x:f>INDEX('Сводка'!$S$3:$S$397,U282)</x:f>
        <x:v>64</x:v>
      </x:c>
      <x:c r="L282" s="8" t="n">
        <x:f>INDEX('Сводка'!$S$3:$S$397,V282)</x:f>
        <x:v>82</x:v>
      </x:c>
      <x:c r="M282" s="8" t="n">
        <x:f>INDEX($K$388:$N$400,W282,1)+INDEX($K$388:$N$400,W282,2)*LN(((J282-$T$405+1)/1000))+INDEX($O$388:$Z$400,W282,MONTH(J282))</x:f>
        <x:v>74.87481335871718</x:v>
      </x:c>
      <x:c r="N282" s="8" t="n">
        <x:f>K282-M282</x:f>
        <x:v>-10.874813358717176</x:v>
      </x:c>
      <x:c r="O282" s="8" t="n">
        <x:f>ABS(N282)</x:f>
        <x:v>10.874813358717176</x:v>
      </x:c>
      <x:c r="P282" s="8" t="n">
        <x:f>N282^2</x:f>
        <x:v>118.26156558693356</x:v>
      </x:c>
      <x:c r="Q282" s="8" t="n">
        <x:f>K282-L282</x:f>
        <x:v>-18</x:v>
      </x:c>
      <x:c r="R282" s="9" t="n">
        <x:f>IF(AND(INDEX('Сводка'!$T$3:$T$397,U282)=0,INDEX('Сводка'!$T$3:$T$397,V282)=0),1,0)</x:f>
        <x:v>1</x:v>
      </x:c>
      <x:c r="S282" s="9" t="n">
        <x:f>IF(AND(R282=1,O282&lt;=$G$13),1,0)</x:f>
        <x:v>0</x:v>
      </x:c>
      <x:c r="T282" s="10" t="n">
        <x:f>EOMONTH(J282-'Сводка'!$B$11,-1)</x:f>
        <x:v>46112</x:v>
      </x:c>
      <x:c r="U282" s="4" t="n">
        <x:f>MATCH(J282,'Сводка'!$R$3:$R$397,0)</x:f>
        <x:v>293</x:v>
      </x:c>
      <x:c r="V282" s="4" t="n">
        <x:f>MATCH(J282-'Сводка'!$B$11,'Сводка'!$R$3:$R$397,0)</x:f>
        <x:v>292</x:v>
      </x:c>
      <x:c r="W282" s="4" t="n">
        <x:f>MATCH(T282,$J$388:$J$400,0)</x:f>
        <x:v>10</x:v>
      </x:c>
      <x:c r="X282" s="3"/>
      <x:c r="Y282" s="3"/>
      <x:c r="Z282" s="3"/>
    </x:row>
    <x:row r="283" ht="15" customHeight="1">
      <x:c r="A283" s="3"/>
      <x:c r="B283" s="3"/>
      <x:c r="C283" s="3"/>
      <x:c r="D283" s="3"/>
      <x:c r="E283" s="3"/>
      <x:c r="F283" s="3"/>
      <x:c r="G283" s="3"/>
      <x:c r="H283" s="3"/>
      <x:c r="I283" s="3"/>
      <x:c r="J283" s="10" t="n">
        <x:v>46134</x:v>
      </x:c>
      <x:c r="K283" s="8" t="n">
        <x:f>INDEX('Сводка'!$S$3:$S$397,U283)</x:f>
        <x:v>63</x:v>
      </x:c>
      <x:c r="L283" s="8" t="n">
        <x:f>INDEX('Сводка'!$S$3:$S$397,V283)</x:f>
        <x:v>64</x:v>
      </x:c>
      <x:c r="M283" s="8" t="n">
        <x:f>INDEX($K$388:$N$400,W283,1)+INDEX($K$388:$N$400,W283,2)*LN(((J283-$T$405+1)/1000))+INDEX($O$388:$Z$400,W283,MONTH(J283))</x:f>
        <x:v>74.8805024108562</x:v>
      </x:c>
      <x:c r="N283" s="8" t="n">
        <x:f>K283-M283</x:f>
        <x:v>-11.880502410856195</x:v>
      </x:c>
      <x:c r="O283" s="8" t="n">
        <x:f>ABS(N283)</x:f>
        <x:v>11.880502410856195</x:v>
      </x:c>
      <x:c r="P283" s="8" t="n">
        <x:f>N283^2</x:f>
        <x:v>141.14633753435987</x:v>
      </x:c>
      <x:c r="Q283" s="8" t="n">
        <x:f>K283-L283</x:f>
        <x:v>-1</x:v>
      </x:c>
      <x:c r="R283" s="9" t="n">
        <x:f>IF(AND(INDEX('Сводка'!$T$3:$T$397,U283)=0,INDEX('Сводка'!$T$3:$T$397,V283)=0),1,0)</x:f>
        <x:v>1</x:v>
      </x:c>
      <x:c r="S283" s="9" t="n">
        <x:f>IF(AND(R283=1,O283&lt;=$G$13),1,0)</x:f>
        <x:v>0</x:v>
      </x:c>
      <x:c r="T283" s="10" t="n">
        <x:f>EOMONTH(J283-'Сводка'!$B$11,-1)</x:f>
        <x:v>46112</x:v>
      </x:c>
      <x:c r="U283" s="4" t="n">
        <x:f>MATCH(J283,'Сводка'!$R$3:$R$397,0)</x:f>
        <x:v>294</x:v>
      </x:c>
      <x:c r="V283" s="4" t="n">
        <x:f>MATCH(J283-'Сводка'!$B$11,'Сводка'!$R$3:$R$397,0)</x:f>
        <x:v>293</x:v>
      </x:c>
      <x:c r="W283" s="4" t="n">
        <x:f>MATCH(T283,$J$388:$J$400,0)</x:f>
        <x:v>10</x:v>
      </x:c>
      <x:c r="X283" s="3"/>
      <x:c r="Y283" s="3"/>
      <x:c r="Z283" s="3"/>
    </x:row>
    <x:row r="284" ht="15" customHeight="1">
      <x:c r="A284" s="3"/>
      <x:c r="B284" s="3"/>
      <x:c r="C284" s="3"/>
      <x:c r="D284" s="3"/>
      <x:c r="E284" s="3"/>
      <x:c r="F284" s="3"/>
      <x:c r="G284" s="3"/>
      <x:c r="H284" s="3"/>
      <x:c r="I284" s="3"/>
      <x:c r="J284" s="10" t="n">
        <x:v>46135</x:v>
      </x:c>
      <x:c r="K284" s="8" t="n">
        <x:f>INDEX('Сводка'!$S$3:$S$397,U284)</x:f>
        <x:v>55</x:v>
      </x:c>
      <x:c r="L284" s="8" t="n">
        <x:f>INDEX('Сводка'!$S$3:$S$397,V284)</x:f>
        <x:v>63</x:v>
      </x:c>
      <x:c r="M284" s="8" t="n">
        <x:f>INDEX($K$388:$N$400,W284,1)+INDEX($K$388:$N$400,W284,2)*LN(((J284-$T$405+1)/1000))+INDEX($O$388:$Z$400,W284,MONTH(J284))</x:f>
        <x:v>74.88619082222796</x:v>
      </x:c>
      <x:c r="N284" s="8" t="n">
        <x:f>K284-M284</x:f>
        <x:v>-19.88619082222796</x:v>
      </x:c>
      <x:c r="O284" s="8" t="n">
        <x:f>ABS(N284)</x:f>
        <x:v>19.88619082222796</x:v>
      </x:c>
      <x:c r="P284" s="8" t="n">
        <x:f>N284^2</x:f>
        <x:v>395.46058541806354</x:v>
      </x:c>
      <x:c r="Q284" s="8" t="n">
        <x:f>K284-L284</x:f>
        <x:v>-8</x:v>
      </x:c>
      <x:c r="R284" s="9" t="n">
        <x:f>IF(AND(INDEX('Сводка'!$T$3:$T$397,U284)=0,INDEX('Сводка'!$T$3:$T$397,V284)=0),1,0)</x:f>
        <x:v>1</x:v>
      </x:c>
      <x:c r="S284" s="9" t="n">
        <x:f>IF(AND(R284=1,O284&lt;=$G$13),1,0)</x:f>
        <x:v>0</x:v>
      </x:c>
      <x:c r="T284" s="10" t="n">
        <x:f>EOMONTH(J284-'Сводка'!$B$11,-1)</x:f>
        <x:v>46112</x:v>
      </x:c>
      <x:c r="U284" s="4" t="n">
        <x:f>MATCH(J284,'Сводка'!$R$3:$R$397,0)</x:f>
        <x:v>295</x:v>
      </x:c>
      <x:c r="V284" s="4" t="n">
        <x:f>MATCH(J284-'Сводка'!$B$11,'Сводка'!$R$3:$R$397,0)</x:f>
        <x:v>294</x:v>
      </x:c>
      <x:c r="W284" s="4" t="n">
        <x:f>MATCH(T284,$J$388:$J$400,0)</x:f>
        <x:v>10</x:v>
      </x:c>
      <x:c r="X284" s="3"/>
      <x:c r="Y284" s="3"/>
      <x:c r="Z284" s="3"/>
    </x:row>
    <x:row r="285" ht="15" customHeight="1">
      <x:c r="A285" s="3"/>
      <x:c r="B285" s="3"/>
      <x:c r="C285" s="3"/>
      <x:c r="D285" s="3"/>
      <x:c r="E285" s="3"/>
      <x:c r="F285" s="3"/>
      <x:c r="G285" s="3"/>
      <x:c r="H285" s="3"/>
      <x:c r="I285" s="3"/>
      <x:c r="J285" s="10" t="n">
        <x:v>46136</x:v>
      </x:c>
      <x:c r="K285" s="8" t="n">
        <x:f>INDEX('Сводка'!$S$3:$S$397,U285)</x:f>
        <x:v>53</x:v>
      </x:c>
      <x:c r="L285" s="8" t="n">
        <x:f>INDEX('Сводка'!$S$3:$S$397,V285)</x:f>
        <x:v>55</x:v>
      </x:c>
      <x:c r="M285" s="8" t="n">
        <x:f>INDEX($K$388:$N$400,W285,1)+INDEX($K$388:$N$400,W285,2)*LN(((J285-$T$405+1)/1000))+INDEX($O$388:$Z$400,W285,MONTH(J285))</x:f>
        <x:v>74.89187859297681</x:v>
      </x:c>
      <x:c r="N285" s="8" t="n">
        <x:f>K285-M285</x:f>
        <x:v>-21.89187859297681</x:v>
      </x:c>
      <x:c r="O285" s="8" t="n">
        <x:f>ABS(N285)</x:f>
        <x:v>21.89187859297681</x:v>
      </x:c>
      <x:c r="P285" s="8" t="n">
        <x:f>N285^2</x:f>
        <x:v>479.2543483296363</x:v>
      </x:c>
      <x:c r="Q285" s="8" t="n">
        <x:f>K285-L285</x:f>
        <x:v>-2</x:v>
      </x:c>
      <x:c r="R285" s="9" t="n">
        <x:f>IF(AND(INDEX('Сводка'!$T$3:$T$397,U285)=0,INDEX('Сводка'!$T$3:$T$397,V285)=0),1,0)</x:f>
        <x:v>1</x:v>
      </x:c>
      <x:c r="S285" s="9" t="n">
        <x:f>IF(AND(R285=1,O285&lt;=$G$13),1,0)</x:f>
        <x:v>0</x:v>
      </x:c>
      <x:c r="T285" s="10" t="n">
        <x:f>EOMONTH(J285-'Сводка'!$B$11,-1)</x:f>
        <x:v>46112</x:v>
      </x:c>
      <x:c r="U285" s="4" t="n">
        <x:f>MATCH(J285,'Сводка'!$R$3:$R$397,0)</x:f>
        <x:v>296</x:v>
      </x:c>
      <x:c r="V285" s="4" t="n">
        <x:f>MATCH(J285-'Сводка'!$B$11,'Сводка'!$R$3:$R$397,0)</x:f>
        <x:v>295</x:v>
      </x:c>
      <x:c r="W285" s="4" t="n">
        <x:f>MATCH(T285,$J$388:$J$400,0)</x:f>
        <x:v>10</x:v>
      </x:c>
      <x:c r="X285" s="3"/>
      <x:c r="Y285" s="3"/>
      <x:c r="Z285" s="3"/>
    </x:row>
    <x:row r="286" ht="15" customHeight="1">
      <x:c r="A286" s="3"/>
      <x:c r="B286" s="3"/>
      <x:c r="C286" s="3"/>
      <x:c r="D286" s="3"/>
      <x:c r="E286" s="3"/>
      <x:c r="F286" s="3"/>
      <x:c r="G286" s="3"/>
      <x:c r="H286" s="3"/>
      <x:c r="I286" s="3"/>
      <x:c r="J286" s="10" t="n">
        <x:v>46137</x:v>
      </x:c>
      <x:c r="K286" s="8" t="n">
        <x:f>INDEX('Сводка'!$S$3:$S$397,U286)</x:f>
        <x:v>58</x:v>
      </x:c>
      <x:c r="L286" s="8" t="n">
        <x:f>INDEX('Сводка'!$S$3:$S$397,V286)</x:f>
        <x:v>53</x:v>
      </x:c>
      <x:c r="M286" s="8" t="n">
        <x:f>INDEX($K$388:$N$400,W286,1)+INDEX($K$388:$N$400,W286,2)*LN(((J286-$T$405+1)/1000))+INDEX($O$388:$Z$400,W286,MONTH(J286))</x:f>
        <x:v>74.89756572324698</x:v>
      </x:c>
      <x:c r="N286" s="8" t="n">
        <x:f>K286-M286</x:f>
        <x:v>-16.897565723246984</x:v>
      </x:c>
      <x:c r="O286" s="8" t="n">
        <x:f>ABS(N286)</x:f>
        <x:v>16.897565723246984</x:v>
      </x:c>
      <x:c r="P286" s="8" t="n">
        <x:f>N286^2</x:f>
        <x:v>285.52772737145136</x:v>
      </x:c>
      <x:c r="Q286" s="8" t="n">
        <x:f>K286-L286</x:f>
        <x:v>5</x:v>
      </x:c>
      <x:c r="R286" s="9" t="n">
        <x:f>IF(AND(INDEX('Сводка'!$T$3:$T$397,U286)=0,INDEX('Сводка'!$T$3:$T$397,V286)=0),1,0)</x:f>
        <x:v>1</x:v>
      </x:c>
      <x:c r="S286" s="9" t="n">
        <x:f>IF(AND(R286=1,O286&lt;=$G$13),1,0)</x:f>
        <x:v>0</x:v>
      </x:c>
      <x:c r="T286" s="10" t="n">
        <x:f>EOMONTH(J286-'Сводка'!$B$11,-1)</x:f>
        <x:v>46112</x:v>
      </x:c>
      <x:c r="U286" s="4" t="n">
        <x:f>MATCH(J286,'Сводка'!$R$3:$R$397,0)</x:f>
        <x:v>297</x:v>
      </x:c>
      <x:c r="V286" s="4" t="n">
        <x:f>MATCH(J286-'Сводка'!$B$11,'Сводка'!$R$3:$R$397,0)</x:f>
        <x:v>296</x:v>
      </x:c>
      <x:c r="W286" s="4" t="n">
        <x:f>MATCH(T286,$J$388:$J$400,0)</x:f>
        <x:v>10</x:v>
      </x:c>
      <x:c r="X286" s="3"/>
      <x:c r="Y286" s="3"/>
      <x:c r="Z286" s="3"/>
    </x:row>
    <x:row r="287" ht="15" customHeight="1">
      <x:c r="A287" s="3"/>
      <x:c r="B287" s="3"/>
      <x:c r="C287" s="3"/>
      <x:c r="D287" s="3"/>
      <x:c r="E287" s="3"/>
      <x:c r="F287" s="3"/>
      <x:c r="G287" s="3"/>
      <x:c r="H287" s="3"/>
      <x:c r="I287" s="3"/>
      <x:c r="J287" s="10" t="n">
        <x:v>46138</x:v>
      </x:c>
      <x:c r="K287" s="8" t="n">
        <x:f>INDEX('Сводка'!$S$3:$S$397,U287)</x:f>
        <x:v>58</x:v>
      </x:c>
      <x:c r="L287" s="8" t="n">
        <x:f>INDEX('Сводка'!$S$3:$S$397,V287)</x:f>
        <x:v>58</x:v>
      </x:c>
      <x:c r="M287" s="8" t="n">
        <x:f>INDEX($K$388:$N$400,W287,1)+INDEX($K$388:$N$400,W287,2)*LN(((J287-$T$405+1)/1000))+INDEX($O$388:$Z$400,W287,MONTH(J287))</x:f>
        <x:v>74.90325221318271</x:v>
      </x:c>
      <x:c r="N287" s="8" t="n">
        <x:f>K287-M287</x:f>
        <x:v>-16.90325221318271</x:v>
      </x:c>
      <x:c r="O287" s="8" t="n">
        <x:f>ABS(N287)</x:f>
        <x:v>16.90325221318271</x:v>
      </x:c>
      <x:c r="P287" s="8" t="n">
        <x:f>N287^2</x:f>
        <x:v>285.7199353824662</x:v>
      </x:c>
      <x:c r="Q287" s="8" t="n">
        <x:f>K287-L287</x:f>
        <x:v>0</x:v>
      </x:c>
      <x:c r="R287" s="9" t="n">
        <x:f>IF(AND(INDEX('Сводка'!$T$3:$T$397,U287)=0,INDEX('Сводка'!$T$3:$T$397,V287)=0),1,0)</x:f>
        <x:v>1</x:v>
      </x:c>
      <x:c r="S287" s="9" t="n">
        <x:f>IF(AND(R287=1,O287&lt;=$G$13),1,0)</x:f>
        <x:v>0</x:v>
      </x:c>
      <x:c r="T287" s="10" t="n">
        <x:f>EOMONTH(J287-'Сводка'!$B$11,-1)</x:f>
        <x:v>46112</x:v>
      </x:c>
      <x:c r="U287" s="4" t="n">
        <x:f>MATCH(J287,'Сводка'!$R$3:$R$397,0)</x:f>
        <x:v>298</x:v>
      </x:c>
      <x:c r="V287" s="4" t="n">
        <x:f>MATCH(J287-'Сводка'!$B$11,'Сводка'!$R$3:$R$397,0)</x:f>
        <x:v>297</x:v>
      </x:c>
      <x:c r="W287" s="4" t="n">
        <x:f>MATCH(T287,$J$388:$J$400,0)</x:f>
        <x:v>10</x:v>
      </x:c>
      <x:c r="X287" s="3"/>
      <x:c r="Y287" s="3"/>
      <x:c r="Z287" s="3"/>
    </x:row>
    <x:row r="288" ht="15" customHeight="1">
      <x:c r="A288" s="3"/>
      <x:c r="B288" s="3"/>
      <x:c r="C288" s="3"/>
      <x:c r="D288" s="3"/>
      <x:c r="E288" s="3"/>
      <x:c r="F288" s="3"/>
      <x:c r="G288" s="3"/>
      <x:c r="H288" s="3"/>
      <x:c r="I288" s="3"/>
      <x:c r="J288" s="10" t="n">
        <x:v>46139</x:v>
      </x:c>
      <x:c r="K288" s="8" t="n">
        <x:f>INDEX('Сводка'!$S$3:$S$397,U288)</x:f>
        <x:v>61</x:v>
      </x:c>
      <x:c r="L288" s="8" t="n">
        <x:f>INDEX('Сводка'!$S$3:$S$397,V288)</x:f>
        <x:v>58</x:v>
      </x:c>
      <x:c r="M288" s="8" t="n">
        <x:f>INDEX($K$388:$N$400,W288,1)+INDEX($K$388:$N$400,W288,2)*LN(((J288-$T$405+1)/1000))+INDEX($O$388:$Z$400,W288,MONTH(J288))</x:f>
        <x:v>74.90893806292817</x:v>
      </x:c>
      <x:c r="N288" s="8" t="n">
        <x:f>K288-M288</x:f>
        <x:v>-13.908938062928172</x:v>
      </x:c>
      <x:c r="O288" s="8" t="n">
        <x:f>ABS(N288)</x:f>
        <x:v>13.908938062928172</x:v>
      </x:c>
      <x:c r="P288" s="8" t="n">
        <x:f>N288^2</x:f>
        <x:v>193.4585580383721</x:v>
      </x:c>
      <x:c r="Q288" s="8" t="n">
        <x:f>K288-L288</x:f>
        <x:v>3</x:v>
      </x:c>
      <x:c r="R288" s="9" t="n">
        <x:f>IF(AND(INDEX('Сводка'!$T$3:$T$397,U288)=0,INDEX('Сводка'!$T$3:$T$397,V288)=0),1,0)</x:f>
        <x:v>1</x:v>
      </x:c>
      <x:c r="S288" s="9" t="n">
        <x:f>IF(AND(R288=1,O288&lt;=$G$13),1,0)</x:f>
        <x:v>0</x:v>
      </x:c>
      <x:c r="T288" s="10" t="n">
        <x:f>EOMONTH(J288-'Сводка'!$B$11,-1)</x:f>
        <x:v>46112</x:v>
      </x:c>
      <x:c r="U288" s="4" t="n">
        <x:f>MATCH(J288,'Сводка'!$R$3:$R$397,0)</x:f>
        <x:v>299</x:v>
      </x:c>
      <x:c r="V288" s="4" t="n">
        <x:f>MATCH(J288-'Сводка'!$B$11,'Сводка'!$R$3:$R$397,0)</x:f>
        <x:v>298</x:v>
      </x:c>
      <x:c r="W288" s="4" t="n">
        <x:f>MATCH(T288,$J$388:$J$400,0)</x:f>
        <x:v>10</x:v>
      </x:c>
      <x:c r="X288" s="3"/>
      <x:c r="Y288" s="3"/>
      <x:c r="Z288" s="3"/>
    </x:row>
    <x:row r="289" ht="15" customHeight="1">
      <x:c r="A289" s="3"/>
      <x:c r="B289" s="3"/>
      <x:c r="C289" s="3"/>
      <x:c r="D289" s="3"/>
      <x:c r="E289" s="3"/>
      <x:c r="F289" s="3"/>
      <x:c r="G289" s="3"/>
      <x:c r="H289" s="3"/>
      <x:c r="I289" s="3"/>
      <x:c r="J289" s="10" t="n">
        <x:v>46140</x:v>
      </x:c>
      <x:c r="K289" s="8" t="n">
        <x:f>INDEX('Сводка'!$S$3:$S$397,U289)</x:f>
        <x:v>47</x:v>
      </x:c>
      <x:c r="L289" s="8" t="n">
        <x:f>INDEX('Сводка'!$S$3:$S$397,V289)</x:f>
        <x:v>61</x:v>
      </x:c>
      <x:c r="M289" s="8" t="n">
        <x:f>INDEX($K$388:$N$400,W289,1)+INDEX($K$388:$N$400,W289,2)*LN(((J289-$T$405+1)/1000))+INDEX($O$388:$Z$400,W289,MONTH(J289))</x:f>
        <x:v>74.91462327262754</x:v>
      </x:c>
      <x:c r="N289" s="8" t="n">
        <x:f>K289-M289</x:f>
        <x:v>-27.914623272627537</x:v>
      </x:c>
      <x:c r="O289" s="8" t="n">
        <x:f>ABS(N289)</x:f>
        <x:v>27.914623272627537</x:v>
      </x:c>
      <x:c r="P289" s="8" t="n">
        <x:f>N289^2</x:f>
        <x:v>779.2261924527189</x:v>
      </x:c>
      <x:c r="Q289" s="8" t="n">
        <x:f>K289-L289</x:f>
        <x:v>-14</x:v>
      </x:c>
      <x:c r="R289" s="9" t="n">
        <x:f>IF(AND(INDEX('Сводка'!$T$3:$T$397,U289)=0,INDEX('Сводка'!$T$3:$T$397,V289)=0),1,0)</x:f>
        <x:v>1</x:v>
      </x:c>
      <x:c r="S289" s="9" t="n">
        <x:f>IF(AND(R289=1,O289&lt;=$G$13),1,0)</x:f>
        <x:v>0</x:v>
      </x:c>
      <x:c r="T289" s="10" t="n">
        <x:f>EOMONTH(J289-'Сводка'!$B$11,-1)</x:f>
        <x:v>46112</x:v>
      </x:c>
      <x:c r="U289" s="4" t="n">
        <x:f>MATCH(J289,'Сводка'!$R$3:$R$397,0)</x:f>
        <x:v>300</x:v>
      </x:c>
      <x:c r="V289" s="4" t="n">
        <x:f>MATCH(J289-'Сводка'!$B$11,'Сводка'!$R$3:$R$397,0)</x:f>
        <x:v>299</x:v>
      </x:c>
      <x:c r="W289" s="4" t="n">
        <x:f>MATCH(T289,$J$388:$J$400,0)</x:f>
        <x:v>10</x:v>
      </x:c>
      <x:c r="X289" s="3"/>
      <x:c r="Y289" s="3"/>
      <x:c r="Z289" s="3"/>
    </x:row>
    <x:row r="290" ht="15" customHeight="1">
      <x:c r="A290" s="3"/>
      <x:c r="B290" s="3"/>
      <x:c r="C290" s="3"/>
      <x:c r="D290" s="3"/>
      <x:c r="E290" s="3"/>
      <x:c r="F290" s="3"/>
      <x:c r="G290" s="3"/>
      <x:c r="H290" s="3"/>
      <x:c r="I290" s="3"/>
      <x:c r="J290" s="10" t="n">
        <x:v>46141</x:v>
      </x:c>
      <x:c r="K290" s="8" t="n">
        <x:f>INDEX('Сводка'!$S$3:$S$397,U290)</x:f>
        <x:v>37</x:v>
      </x:c>
      <x:c r="L290" s="8" t="n">
        <x:f>INDEX('Сводка'!$S$3:$S$397,V290)</x:f>
        <x:v>47</x:v>
      </x:c>
      <x:c r="M290" s="8" t="n">
        <x:f>INDEX($K$388:$N$400,W290,1)+INDEX($K$388:$N$400,W290,2)*LN(((J290-$T$405+1)/1000))+INDEX($O$388:$Z$400,W290,MONTH(J290))</x:f>
        <x:v>74.92030784242485</x:v>
      </x:c>
      <x:c r="N290" s="8" t="n">
        <x:f>K290-M290</x:f>
        <x:v>-37.92030784242485</x:v>
      </x:c>
      <x:c r="O290" s="8" t="n">
        <x:f>ABS(N290)</x:f>
        <x:v>37.92030784242485</x:v>
      </x:c>
      <x:c r="P290" s="8" t="n">
        <x:f>N290^2</x:f>
        <x:v>1437.9497468642674</x:v>
      </x:c>
      <x:c r="Q290" s="8" t="n">
        <x:f>K290-L290</x:f>
        <x:v>-10</x:v>
      </x:c>
      <x:c r="R290" s="9" t="n">
        <x:f>IF(AND(INDEX('Сводка'!$T$3:$T$397,U290)=0,INDEX('Сводка'!$T$3:$T$397,V290)=0),1,0)</x:f>
        <x:v>1</x:v>
      </x:c>
      <x:c r="S290" s="9" t="n">
        <x:f>IF(AND(R290=1,O290&lt;=$G$13),1,0)</x:f>
        <x:v>0</x:v>
      </x:c>
      <x:c r="T290" s="10" t="n">
        <x:f>EOMONTH(J290-'Сводка'!$B$11,-1)</x:f>
        <x:v>46112</x:v>
      </x:c>
      <x:c r="U290" s="4" t="n">
        <x:f>MATCH(J290,'Сводка'!$R$3:$R$397,0)</x:f>
        <x:v>301</x:v>
      </x:c>
      <x:c r="V290" s="4" t="n">
        <x:f>MATCH(J290-'Сводка'!$B$11,'Сводка'!$R$3:$R$397,0)</x:f>
        <x:v>300</x:v>
      </x:c>
      <x:c r="W290" s="4" t="n">
        <x:f>MATCH(T290,$J$388:$J$400,0)</x:f>
        <x:v>10</x:v>
      </x:c>
      <x:c r="X290" s="3"/>
      <x:c r="Y290" s="3"/>
      <x:c r="Z290" s="3"/>
    </x:row>
    <x:row r="291" ht="15" customHeight="1">
      <x:c r="A291" s="3"/>
      <x:c r="B291" s="3"/>
      <x:c r="C291" s="3"/>
      <x:c r="D291" s="3"/>
      <x:c r="E291" s="3"/>
      <x:c r="F291" s="3"/>
      <x:c r="G291" s="3"/>
      <x:c r="H291" s="3"/>
      <x:c r="I291" s="3"/>
      <x:c r="J291" s="10" t="n">
        <x:v>46142</x:v>
      </x:c>
      <x:c r="K291" s="8" t="n">
        <x:f>INDEX('Сводка'!$S$3:$S$397,U291)</x:f>
        <x:v>33</x:v>
      </x:c>
      <x:c r="L291" s="8" t="n">
        <x:f>INDEX('Сводка'!$S$3:$S$397,V291)</x:f>
        <x:v>37</x:v>
      </x:c>
      <x:c r="M291" s="8" t="n">
        <x:f>INDEX($K$388:$N$400,W291,1)+INDEX($K$388:$N$400,W291,2)*LN(((J291-$T$405+1)/1000))+INDEX($O$388:$Z$400,W291,MONTH(J291))</x:f>
        <x:v>74.92599177246414</x:v>
      </x:c>
      <x:c r="N291" s="8" t="n">
        <x:f>K291-M291</x:f>
        <x:v>-41.925991772464144</x:v>
      </x:c>
      <x:c r="O291" s="8" t="n">
        <x:f>ABS(N291)</x:f>
        <x:v>41.925991772464144</x:v>
      </x:c>
      <x:c r="P291" s="8" t="n">
        <x:f>N291^2</x:f>
        <x:v>1757.7887861047311</x:v>
      </x:c>
      <x:c r="Q291" s="8" t="n">
        <x:f>K291-L291</x:f>
        <x:v>-4</x:v>
      </x:c>
      <x:c r="R291" s="9" t="n">
        <x:f>IF(AND(INDEX('Сводка'!$T$3:$T$397,U291)=0,INDEX('Сводка'!$T$3:$T$397,V291)=0),1,0)</x:f>
        <x:v>1</x:v>
      </x:c>
      <x:c r="S291" s="9" t="n">
        <x:f>IF(AND(R291=1,O291&lt;=$G$13),1,0)</x:f>
        <x:v>0</x:v>
      </x:c>
      <x:c r="T291" s="10" t="n">
        <x:f>EOMONTH(J291-'Сводка'!$B$11,-1)</x:f>
        <x:v>46112</x:v>
      </x:c>
      <x:c r="U291" s="4" t="n">
        <x:f>MATCH(J291,'Сводка'!$R$3:$R$397,0)</x:f>
        <x:v>302</x:v>
      </x:c>
      <x:c r="V291" s="4" t="n">
        <x:f>MATCH(J291-'Сводка'!$B$11,'Сводка'!$R$3:$R$397,0)</x:f>
        <x:v>301</x:v>
      </x:c>
      <x:c r="W291" s="4" t="n">
        <x:f>MATCH(T291,$J$388:$J$400,0)</x:f>
        <x:v>10</x:v>
      </x:c>
      <x:c r="X291" s="3"/>
      <x:c r="Y291" s="3"/>
      <x:c r="Z291" s="3"/>
    </x:row>
    <x:row r="292" ht="15" customHeight="1">
      <x:c r="A292" s="3"/>
      <x:c r="B292" s="3"/>
      <x:c r="C292" s="3"/>
      <x:c r="D292" s="3"/>
      <x:c r="E292" s="3"/>
      <x:c r="F292" s="3"/>
      <x:c r="G292" s="3"/>
      <x:c r="H292" s="3"/>
      <x:c r="I292" s="3"/>
      <x:c r="J292" s="10" t="n">
        <x:v>46143</x:v>
      </x:c>
      <x:c r="K292" s="8" t="n">
        <x:f>INDEX('Сводка'!$S$3:$S$397,U292)</x:f>
        <x:v>44</x:v>
      </x:c>
      <x:c r="L292" s="8" t="n">
        <x:f>INDEX('Сводка'!$S$3:$S$397,V292)</x:f>
        <x:v>33</x:v>
      </x:c>
      <x:c r="M292" s="8" t="n">
        <x:f>INDEX($K$388:$N$400,W292,1)+INDEX($K$388:$N$400,W292,2)*LN(((J292-$T$405+1)/1000))+INDEX($O$388:$Z$400,W292,MONTH(J292))</x:f>
        <x:v>169.1130147461568</x:v>
      </x:c>
      <x:c r="N292" s="8" t="n">
        <x:f>K292-M292</x:f>
        <x:v>-125.11301474615681</x:v>
      </x:c>
      <x:c r="O292" s="8" t="n">
        <x:f>ABS(N292)</x:f>
        <x:v>125.11301474615681</x:v>
      </x:c>
      <x:c r="P292" s="8" t="n">
        <x:f>N292^2</x:f>
        <x:v>15653.26645887205</x:v>
      </x:c>
      <x:c r="Q292" s="8" t="n">
        <x:f>K292-L292</x:f>
        <x:v>11</x:v>
      </x:c>
      <x:c r="R292" s="9" t="n">
        <x:f>IF(AND(INDEX('Сводка'!$T$3:$T$397,U292)=0,INDEX('Сводка'!$T$3:$T$397,V292)=0),1,0)</x:f>
        <x:v>1</x:v>
      </x:c>
      <x:c r="S292" s="9" t="n">
        <x:f>IF(AND(R292=1,O292&lt;=$G$13),1,0)</x:f>
        <x:v>0</x:v>
      </x:c>
      <x:c r="T292" s="10" t="n">
        <x:f>EOMONTH(J292-'Сводка'!$B$11,-1)</x:f>
        <x:v>46112</x:v>
      </x:c>
      <x:c r="U292" s="4" t="n">
        <x:f>MATCH(J292,'Сводка'!$R$3:$R$397,0)</x:f>
        <x:v>303</x:v>
      </x:c>
      <x:c r="V292" s="4" t="n">
        <x:f>MATCH(J292-'Сводка'!$B$11,'Сводка'!$R$3:$R$397,0)</x:f>
        <x:v>302</x:v>
      </x:c>
      <x:c r="W292" s="4" t="n">
        <x:f>MATCH(T292,$J$388:$J$400,0)</x:f>
        <x:v>10</x:v>
      </x:c>
      <x:c r="X292" s="3"/>
      <x:c r="Y292" s="3"/>
      <x:c r="Z292" s="3"/>
    </x:row>
    <x:row r="293" ht="15" customHeight="1">
      <x:c r="A293" s="3"/>
      <x:c r="B293" s="3"/>
      <x:c r="C293" s="3"/>
      <x:c r="D293" s="3"/>
      <x:c r="E293" s="3"/>
      <x:c r="F293" s="3"/>
      <x:c r="G293" s="3"/>
      <x:c r="H293" s="3"/>
      <x:c r="I293" s="3"/>
      <x:c r="J293" s="10" t="n">
        <x:v>46144</x:v>
      </x:c>
      <x:c r="K293" s="8" t="n">
        <x:f>INDEX('Сводка'!$S$3:$S$397,U293)</x:f>
        <x:v>61</x:v>
      </x:c>
      <x:c r="L293" s="8" t="n">
        <x:f>INDEX('Сводка'!$S$3:$S$397,V293)</x:f>
        <x:v>44</x:v>
      </x:c>
      <x:c r="M293" s="8" t="n">
        <x:f>INDEX($K$388:$N$400,W293,1)+INDEX($K$388:$N$400,W293,2)*LN(((J293-$T$405+1)/1000))+INDEX($O$388:$Z$400,W293,MONTH(J293))</x:f>
        <x:v>168.95527564592436</x:v>
      </x:c>
      <x:c r="N293" s="8" t="n">
        <x:f>K293-M293</x:f>
        <x:v>-107.95527564592436</x:v>
      </x:c>
      <x:c r="O293" s="8" t="n">
        <x:f>ABS(N293)</x:f>
        <x:v>107.95527564592436</x:v>
      </x:c>
      <x:c r="P293" s="8" t="n">
        <x:f>N293^2</x:f>
        <x:v>11654.341539787509</x:v>
      </x:c>
      <x:c r="Q293" s="8" t="n">
        <x:f>K293-L293</x:f>
        <x:v>17</x:v>
      </x:c>
      <x:c r="R293" s="9" t="n">
        <x:f>IF(AND(INDEX('Сводка'!$T$3:$T$397,U293)=0,INDEX('Сводка'!$T$3:$T$397,V293)=0),1,0)</x:f>
        <x:v>1</x:v>
      </x:c>
      <x:c r="S293" s="9" t="n">
        <x:f>IF(AND(R293=1,O293&lt;=$G$13),1,0)</x:f>
        <x:v>0</x:v>
      </x:c>
      <x:c r="T293" s="10" t="n">
        <x:f>EOMONTH(J293-'Сводка'!$B$11,-1)</x:f>
        <x:v>46142</x:v>
      </x:c>
      <x:c r="U293" s="4" t="n">
        <x:f>MATCH(J293,'Сводка'!$R$3:$R$397,0)</x:f>
        <x:v>304</x:v>
      </x:c>
      <x:c r="V293" s="4" t="n">
        <x:f>MATCH(J293-'Сводка'!$B$11,'Сводка'!$R$3:$R$397,0)</x:f>
        <x:v>303</x:v>
      </x:c>
      <x:c r="W293" s="4" t="n">
        <x:f>MATCH(T293,$J$388:$J$400,0)</x:f>
        <x:v>11</x:v>
      </x:c>
      <x:c r="X293" s="3"/>
      <x:c r="Y293" s="3"/>
      <x:c r="Z293" s="3"/>
    </x:row>
    <x:row r="294" ht="15" customHeight="1">
      <x:c r="A294" s="3"/>
      <x:c r="B294" s="3"/>
      <x:c r="C294" s="3"/>
      <x:c r="D294" s="3"/>
      <x:c r="E294" s="3"/>
      <x:c r="F294" s="3"/>
      <x:c r="G294" s="3"/>
      <x:c r="H294" s="3"/>
      <x:c r="I294" s="3"/>
      <x:c r="J294" s="10" t="n">
        <x:v>46145</x:v>
      </x:c>
      <x:c r="K294" s="8" t="n">
        <x:f>INDEX('Сводка'!$S$3:$S$397,U294)</x:f>
        <x:v>76</x:v>
      </x:c>
      <x:c r="L294" s="8" t="n">
        <x:f>INDEX('Сводка'!$S$3:$S$397,V294)</x:f>
        <x:v>61</x:v>
      </x:c>
      <x:c r="M294" s="8" t="n">
        <x:f>INDEX($K$388:$N$400,W294,1)+INDEX($K$388:$N$400,W294,2)*LN(((J294-$T$405+1)/1000))+INDEX($O$388:$Z$400,W294,MONTH(J294))</x:f>
        <x:v>168.96093938660084</x:v>
      </x:c>
      <x:c r="N294" s="8" t="n">
        <x:f>K294-M294</x:f>
        <x:v>-92.96093938660084</x:v>
      </x:c>
      <x:c r="O294" s="8" t="n">
        <x:f>ABS(N294)</x:f>
        <x:v>92.96093938660084</x:v>
      </x:c>
      <x:c r="P294" s="8" t="n">
        <x:f>N294^2</x:f>
        <x:v>8641.736251639275</x:v>
      </x:c>
      <x:c r="Q294" s="8" t="n">
        <x:f>K294-L294</x:f>
        <x:v>15</x:v>
      </x:c>
      <x:c r="R294" s="9" t="n">
        <x:f>IF(AND(INDEX('Сводка'!$T$3:$T$397,U294)=0,INDEX('Сводка'!$T$3:$T$397,V294)=0),1,0)</x:f>
        <x:v>1</x:v>
      </x:c>
      <x:c r="S294" s="9" t="n">
        <x:f>IF(AND(R294=1,O294&lt;=$G$13),1,0)</x:f>
        <x:v>0</x:v>
      </x:c>
      <x:c r="T294" s="10" t="n">
        <x:f>EOMONTH(J294-'Сводка'!$B$11,-1)</x:f>
        <x:v>46142</x:v>
      </x:c>
      <x:c r="U294" s="4" t="n">
        <x:f>MATCH(J294,'Сводка'!$R$3:$R$397,0)</x:f>
        <x:v>305</x:v>
      </x:c>
      <x:c r="V294" s="4" t="n">
        <x:f>MATCH(J294-'Сводка'!$B$11,'Сводка'!$R$3:$R$397,0)</x:f>
        <x:v>304</x:v>
      </x:c>
      <x:c r="W294" s="4" t="n">
        <x:f>MATCH(T294,$J$388:$J$400,0)</x:f>
        <x:v>11</x:v>
      </x:c>
      <x:c r="X294" s="3"/>
      <x:c r="Y294" s="3"/>
      <x:c r="Z294" s="3"/>
    </x:row>
    <x:row r="295" ht="15" customHeight="1">
      <x:c r="A295" s="3"/>
      <x:c r="B295" s="3"/>
      <x:c r="C295" s="3"/>
      <x:c r="D295" s="3"/>
      <x:c r="E295" s="3"/>
      <x:c r="F295" s="3"/>
      <x:c r="G295" s="3"/>
      <x:c r="H295" s="3"/>
      <x:c r="I295" s="3"/>
      <x:c r="J295" s="10" t="n">
        <x:v>46146</x:v>
      </x:c>
      <x:c r="K295" s="8" t="n">
        <x:f>INDEX('Сводка'!$S$3:$S$397,U295)</x:f>
        <x:v>83</x:v>
      </x:c>
      <x:c r="L295" s="8" t="n">
        <x:f>INDEX('Сводка'!$S$3:$S$397,V295)</x:f>
        <x:v>76</x:v>
      </x:c>
      <x:c r="M295" s="8" t="n">
        <x:f>INDEX($K$388:$N$400,W295,1)+INDEX($K$388:$N$400,W295,2)*LN(((J295-$T$405+1)/1000))+INDEX($O$388:$Z$400,W295,MONTH(J295))</x:f>
        <x:v>168.9666024901503</x:v>
      </x:c>
      <x:c r="N295" s="8" t="n">
        <x:f>K295-M295</x:f>
        <x:v>-85.96660249015031</x:v>
      </x:c>
      <x:c r="O295" s="8" t="n">
        <x:f>ABS(N295)</x:f>
        <x:v>85.96660249015031</x:v>
      </x:c>
      <x:c r="P295" s="8" t="n">
        <x:f>N295^2</x:f>
        <x:v>7390.256743699517</x:v>
      </x:c>
      <x:c r="Q295" s="8" t="n">
        <x:f>K295-L295</x:f>
        <x:v>7</x:v>
      </x:c>
      <x:c r="R295" s="9" t="n">
        <x:f>IF(AND(INDEX('Сводка'!$T$3:$T$397,U295)=0,INDEX('Сводка'!$T$3:$T$397,V295)=0),1,0)</x:f>
        <x:v>1</x:v>
      </x:c>
      <x:c r="S295" s="9" t="n">
        <x:f>IF(AND(R295=1,O295&lt;=$G$13),1,0)</x:f>
        <x:v>0</x:v>
      </x:c>
      <x:c r="T295" s="10" t="n">
        <x:f>EOMONTH(J295-'Сводка'!$B$11,-1)</x:f>
        <x:v>46142</x:v>
      </x:c>
      <x:c r="U295" s="4" t="n">
        <x:f>MATCH(J295,'Сводка'!$R$3:$R$397,0)</x:f>
        <x:v>306</x:v>
      </x:c>
      <x:c r="V295" s="4" t="n">
        <x:f>MATCH(J295-'Сводка'!$B$11,'Сводка'!$R$3:$R$397,0)</x:f>
        <x:v>305</x:v>
      </x:c>
      <x:c r="W295" s="4" t="n">
        <x:f>MATCH(T295,$J$388:$J$400,0)</x:f>
        <x:v>11</x:v>
      </x:c>
      <x:c r="X295" s="3"/>
      <x:c r="Y295" s="3"/>
      <x:c r="Z295" s="3"/>
    </x:row>
    <x:row r="296" ht="15" customHeight="1">
      <x:c r="A296" s="3"/>
      <x:c r="B296" s="3"/>
      <x:c r="C296" s="3"/>
      <x:c r="D296" s="3"/>
      <x:c r="E296" s="3"/>
      <x:c r="F296" s="3"/>
      <x:c r="G296" s="3"/>
      <x:c r="H296" s="3"/>
      <x:c r="I296" s="3"/>
      <x:c r="J296" s="10" t="n">
        <x:v>46147</x:v>
      </x:c>
      <x:c r="K296" s="8" t="n">
        <x:f>INDEX('Сводка'!$S$3:$S$397,U296)</x:f>
        <x:v>87</x:v>
      </x:c>
      <x:c r="L296" s="8" t="n">
        <x:f>INDEX('Сводка'!$S$3:$S$397,V296)</x:f>
        <x:v>83</x:v>
      </x:c>
      <x:c r="M296" s="8" t="n">
        <x:f>INDEX($K$388:$N$400,W296,1)+INDEX($K$388:$N$400,W296,2)*LN(((J296-$T$405+1)/1000))+INDEX($O$388:$Z$400,W296,MONTH(J296))</x:f>
        <x:v>168.97226495671606</x:v>
      </x:c>
      <x:c r="N296" s="8" t="n">
        <x:f>K296-M296</x:f>
        <x:v>-81.97226495671606</x:v>
      </x:c>
      <x:c r="O296" s="8" t="n">
        <x:f>ABS(N296)</x:f>
        <x:v>81.97226495671606</x:v>
      </x:c>
      <x:c r="P296" s="8" t="n">
        <x:f>N296^2</x:f>
        <x:v>6719.452222134059</x:v>
      </x:c>
      <x:c r="Q296" s="8" t="n">
        <x:f>K296-L296</x:f>
        <x:v>4</x:v>
      </x:c>
      <x:c r="R296" s="9" t="n">
        <x:f>IF(AND(INDEX('Сводка'!$T$3:$T$397,U296)=0,INDEX('Сводка'!$T$3:$T$397,V296)=0),1,0)</x:f>
        <x:v>1</x:v>
      </x:c>
      <x:c r="S296" s="9" t="n">
        <x:f>IF(AND(R296=1,O296&lt;=$G$13),1,0)</x:f>
        <x:v>0</x:v>
      </x:c>
      <x:c r="T296" s="10" t="n">
        <x:f>EOMONTH(J296-'Сводка'!$B$11,-1)</x:f>
        <x:v>46142</x:v>
      </x:c>
      <x:c r="U296" s="4" t="n">
        <x:f>MATCH(J296,'Сводка'!$R$3:$R$397,0)</x:f>
        <x:v>307</x:v>
      </x:c>
      <x:c r="V296" s="4" t="n">
        <x:f>MATCH(J296-'Сводка'!$B$11,'Сводка'!$R$3:$R$397,0)</x:f>
        <x:v>306</x:v>
      </x:c>
      <x:c r="W296" s="4" t="n">
        <x:f>MATCH(T296,$J$388:$J$400,0)</x:f>
        <x:v>11</x:v>
      </x:c>
      <x:c r="X296" s="3"/>
      <x:c r="Y296" s="3"/>
      <x:c r="Z296" s="3"/>
    </x:row>
    <x:row r="297" ht="15" customHeight="1">
      <x:c r="A297" s="3"/>
      <x:c r="B297" s="3"/>
      <x:c r="C297" s="3"/>
      <x:c r="D297" s="3"/>
      <x:c r="E297" s="3"/>
      <x:c r="F297" s="3"/>
      <x:c r="G297" s="3"/>
      <x:c r="H297" s="3"/>
      <x:c r="I297" s="3"/>
      <x:c r="J297" s="10" t="n">
        <x:v>46148</x:v>
      </x:c>
      <x:c r="K297" s="8" t="n">
        <x:f>INDEX('Сводка'!$S$3:$S$397,U297)</x:f>
        <x:v>92</x:v>
      </x:c>
      <x:c r="L297" s="8" t="n">
        <x:f>INDEX('Сводка'!$S$3:$S$397,V297)</x:f>
        <x:v>87</x:v>
      </x:c>
      <x:c r="M297" s="8" t="n">
        <x:f>INDEX($K$388:$N$400,W297,1)+INDEX($K$388:$N$400,W297,2)*LN(((J297-$T$405+1)/1000))+INDEX($O$388:$Z$400,W297,MONTH(J297))</x:f>
        <x:v>168.9779267864414</x:v>
      </x:c>
      <x:c r="N297" s="8" t="n">
        <x:f>K297-M297</x:f>
        <x:v>-76.9779267864414</x:v>
      </x:c>
      <x:c r="O297" s="8" t="n">
        <x:f>ABS(N297)</x:f>
        <x:v>76.9779267864414</x:v>
      </x:c>
      <x:c r="P297" s="8" t="n">
        <x:f>N297^2</x:f>
        <x:v>5925.601212338733</x:v>
      </x:c>
      <x:c r="Q297" s="8" t="n">
        <x:f>K297-L297</x:f>
        <x:v>5</x:v>
      </x:c>
      <x:c r="R297" s="9" t="n">
        <x:f>IF(AND(INDEX('Сводка'!$T$3:$T$397,U297)=0,INDEX('Сводка'!$T$3:$T$397,V297)=0),1,0)</x:f>
        <x:v>1</x:v>
      </x:c>
      <x:c r="S297" s="9" t="n">
        <x:f>IF(AND(R297=1,O297&lt;=$G$13),1,0)</x:f>
        <x:v>0</x:v>
      </x:c>
      <x:c r="T297" s="10" t="n">
        <x:f>EOMONTH(J297-'Сводка'!$B$11,-1)</x:f>
        <x:v>46142</x:v>
      </x:c>
      <x:c r="U297" s="4" t="n">
        <x:f>MATCH(J297,'Сводка'!$R$3:$R$397,0)</x:f>
        <x:v>308</x:v>
      </x:c>
      <x:c r="V297" s="4" t="n">
        <x:f>MATCH(J297-'Сводка'!$B$11,'Сводка'!$R$3:$R$397,0)</x:f>
        <x:v>307</x:v>
      </x:c>
      <x:c r="W297" s="4" t="n">
        <x:f>MATCH(T297,$J$388:$J$400,0)</x:f>
        <x:v>11</x:v>
      </x:c>
      <x:c r="X297" s="3"/>
      <x:c r="Y297" s="3"/>
      <x:c r="Z297" s="3"/>
    </x:row>
    <x:row r="298" ht="15" customHeight="1">
      <x:c r="A298" s="3"/>
      <x:c r="B298" s="3"/>
      <x:c r="C298" s="3"/>
      <x:c r="D298" s="3"/>
      <x:c r="E298" s="3"/>
      <x:c r="F298" s="3"/>
      <x:c r="G298" s="3"/>
      <x:c r="H298" s="3"/>
      <x:c r="I298" s="3"/>
      <x:c r="J298" s="10" t="n">
        <x:v>46149</x:v>
      </x:c>
      <x:c r="K298" s="8" t="n">
        <x:f>INDEX('Сводка'!$S$3:$S$397,U298)</x:f>
        <x:v>99</x:v>
      </x:c>
      <x:c r="L298" s="8" t="n">
        <x:f>INDEX('Сводка'!$S$3:$S$397,V298)</x:f>
        <x:v>92</x:v>
      </x:c>
      <x:c r="M298" s="8" t="n">
        <x:f>INDEX($K$388:$N$400,W298,1)+INDEX($K$388:$N$400,W298,2)*LN(((J298-$T$405+1)/1000))+INDEX($O$388:$Z$400,W298,MONTH(J298))</x:f>
        <x:v>168.98358797946955</x:v>
      </x:c>
      <x:c r="N298" s="8" t="n">
        <x:f>K298-M298</x:f>
        <x:v>-69.98358797946955</x:v>
      </x:c>
      <x:c r="O298" s="8" t="n">
        <x:f>ABS(N298)</x:f>
        <x:v>69.98358797946955</x:v>
      </x:c>
      <x:c r="P298" s="8" t="n">
        <x:f>N298^2</x:f>
        <x:v>4897.702586480154</x:v>
      </x:c>
      <x:c r="Q298" s="8" t="n">
        <x:f>K298-L298</x:f>
        <x:v>7</x:v>
      </x:c>
      <x:c r="R298" s="9" t="n">
        <x:f>IF(AND(INDEX('Сводка'!$T$3:$T$397,U298)=0,INDEX('Сводка'!$T$3:$T$397,V298)=0),1,0)</x:f>
        <x:v>1</x:v>
      </x:c>
      <x:c r="S298" s="9" t="n">
        <x:f>IF(AND(R298=1,O298&lt;=$G$13),1,0)</x:f>
        <x:v>0</x:v>
      </x:c>
      <x:c r="T298" s="10" t="n">
        <x:f>EOMONTH(J298-'Сводка'!$B$11,-1)</x:f>
        <x:v>46142</x:v>
      </x:c>
      <x:c r="U298" s="4" t="n">
        <x:f>MATCH(J298,'Сводка'!$R$3:$R$397,0)</x:f>
        <x:v>309</x:v>
      </x:c>
      <x:c r="V298" s="4" t="n">
        <x:f>MATCH(J298-'Сводка'!$B$11,'Сводка'!$R$3:$R$397,0)</x:f>
        <x:v>308</x:v>
      </x:c>
      <x:c r="W298" s="4" t="n">
        <x:f>MATCH(T298,$J$388:$J$400,0)</x:f>
        <x:v>11</x:v>
      </x:c>
      <x:c r="X298" s="3"/>
      <x:c r="Y298" s="3"/>
      <x:c r="Z298" s="3"/>
    </x:row>
    <x:row r="299" ht="15" customHeight="1">
      <x:c r="A299" s="3"/>
      <x:c r="B299" s="3"/>
      <x:c r="C299" s="3"/>
      <x:c r="D299" s="3"/>
      <x:c r="E299" s="3"/>
      <x:c r="F299" s="3"/>
      <x:c r="G299" s="3"/>
      <x:c r="H299" s="3"/>
      <x:c r="I299" s="3"/>
      <x:c r="J299" s="10" t="n">
        <x:v>46150</x:v>
      </x:c>
      <x:c r="K299" s="8" t="n">
        <x:f>INDEX('Сводка'!$S$3:$S$397,U299)</x:f>
        <x:v>108</x:v>
      </x:c>
      <x:c r="L299" s="8" t="n">
        <x:f>INDEX('Сводка'!$S$3:$S$397,V299)</x:f>
        <x:v>99</x:v>
      </x:c>
      <x:c r="M299" s="8" t="n">
        <x:f>INDEX($K$388:$N$400,W299,1)+INDEX($K$388:$N$400,W299,2)*LN(((J299-$T$405+1)/1000))+INDEX($O$388:$Z$400,W299,MONTH(J299))</x:f>
        <x:v>168.9892485359437</x:v>
      </x:c>
      <x:c r="N299" s="8" t="n">
        <x:f>K299-M299</x:f>
        <x:v>-60.98924853594369</x:v>
      </x:c>
      <x:c r="O299" s="8" t="n">
        <x:f>ABS(N299)</x:f>
        <x:v>60.98924853594369</x:v>
      </x:c>
      <x:c r="P299" s="8" t="n">
        <x:f>N299^2</x:f>
        <x:v>3719.688436979109</x:v>
      </x:c>
      <x:c r="Q299" s="8" t="n">
        <x:f>K299-L299</x:f>
        <x:v>9</x:v>
      </x:c>
      <x:c r="R299" s="9" t="n">
        <x:f>IF(AND(INDEX('Сводка'!$T$3:$T$397,U299)=0,INDEX('Сводка'!$T$3:$T$397,V299)=0),1,0)</x:f>
        <x:v>1</x:v>
      </x:c>
      <x:c r="S299" s="9" t="n">
        <x:f>IF(AND(R299=1,O299&lt;=$G$13),1,0)</x:f>
        <x:v>0</x:v>
      </x:c>
      <x:c r="T299" s="10" t="n">
        <x:f>EOMONTH(J299-'Сводка'!$B$11,-1)</x:f>
        <x:v>46142</x:v>
      </x:c>
      <x:c r="U299" s="4" t="n">
        <x:f>MATCH(J299,'Сводка'!$R$3:$R$397,0)</x:f>
        <x:v>310</x:v>
      </x:c>
      <x:c r="V299" s="4" t="n">
        <x:f>MATCH(J299-'Сводка'!$B$11,'Сводка'!$R$3:$R$397,0)</x:f>
        <x:v>309</x:v>
      </x:c>
      <x:c r="W299" s="4" t="n">
        <x:f>MATCH(T299,$J$388:$J$400,0)</x:f>
        <x:v>11</x:v>
      </x:c>
      <x:c r="X299" s="3"/>
      <x:c r="Y299" s="3"/>
      <x:c r="Z299" s="3"/>
    </x:row>
    <x:row r="300" ht="15" customHeight="1">
      <x:c r="A300" s="3"/>
      <x:c r="B300" s="3"/>
      <x:c r="C300" s="3"/>
      <x:c r="D300" s="3"/>
      <x:c r="E300" s="3"/>
      <x:c r="F300" s="3"/>
      <x:c r="G300" s="3"/>
      <x:c r="H300" s="3"/>
      <x:c r="I300" s="3"/>
      <x:c r="J300" s="10" t="n">
        <x:v>46151</x:v>
      </x:c>
      <x:c r="K300" s="8" t="n">
        <x:f>INDEX('Сводка'!$S$3:$S$397,U300)</x:f>
        <x:v>120</x:v>
      </x:c>
      <x:c r="L300" s="8" t="n">
        <x:f>INDEX('Сводка'!$S$3:$S$397,V300)</x:f>
        <x:v>108</x:v>
      </x:c>
      <x:c r="M300" s="8" t="n">
        <x:f>INDEX($K$388:$N$400,W300,1)+INDEX($K$388:$N$400,W300,2)*LN(((J300-$T$405+1)/1000))+INDEX($O$388:$Z$400,W300,MONTH(J300))</x:f>
        <x:v>168.99490845600695</x:v>
      </x:c>
      <x:c r="N300" s="8" t="n">
        <x:f>K300-M300</x:f>
        <x:v>-48.994908456006954</x:v>
      </x:c>
      <x:c r="O300" s="8" t="n">
        <x:f>ABS(N300)</x:f>
        <x:v>48.994908456006954</x:v>
      </x:c>
      <x:c r="P300" s="8" t="n">
        <x:f>N300^2</x:f>
        <x:v>2400.501054612502</x:v>
      </x:c>
      <x:c r="Q300" s="8" t="n">
        <x:f>K300-L300</x:f>
        <x:v>12</x:v>
      </x:c>
      <x:c r="R300" s="9" t="n">
        <x:f>IF(AND(INDEX('Сводка'!$T$3:$T$397,U300)=0,INDEX('Сводка'!$T$3:$T$397,V300)=0),1,0)</x:f>
        <x:v>1</x:v>
      </x:c>
      <x:c r="S300" s="9" t="n">
        <x:f>IF(AND(R300=1,O300&lt;=$G$13),1,0)</x:f>
        <x:v>0</x:v>
      </x:c>
      <x:c r="T300" s="10" t="n">
        <x:f>EOMONTH(J300-'Сводка'!$B$11,-1)</x:f>
        <x:v>46142</x:v>
      </x:c>
      <x:c r="U300" s="4" t="n">
        <x:f>MATCH(J300,'Сводка'!$R$3:$R$397,0)</x:f>
        <x:v>311</x:v>
      </x:c>
      <x:c r="V300" s="4" t="n">
        <x:f>MATCH(J300-'Сводка'!$B$11,'Сводка'!$R$3:$R$397,0)</x:f>
        <x:v>310</x:v>
      </x:c>
      <x:c r="W300" s="4" t="n">
        <x:f>MATCH(T300,$J$388:$J$400,0)</x:f>
        <x:v>11</x:v>
      </x:c>
      <x:c r="X300" s="3"/>
      <x:c r="Y300" s="3"/>
      <x:c r="Z300" s="3"/>
    </x:row>
    <x:row r="301" ht="15" customHeight="1">
      <x:c r="A301" s="3"/>
      <x:c r="B301" s="3"/>
      <x:c r="C301" s="3"/>
      <x:c r="D301" s="3"/>
      <x:c r="E301" s="3"/>
      <x:c r="F301" s="3"/>
      <x:c r="G301" s="3"/>
      <x:c r="H301" s="3"/>
      <x:c r="I301" s="3"/>
      <x:c r="J301" s="10" t="n">
        <x:v>46152</x:v>
      </x:c>
      <x:c r="K301" s="8" t="n">
        <x:f>INDEX('Сводка'!$S$3:$S$397,U301)</x:f>
        <x:v>137</x:v>
      </x:c>
      <x:c r="L301" s="8" t="n">
        <x:f>INDEX('Сводка'!$S$3:$S$397,V301)</x:f>
        <x:v>120</x:v>
      </x:c>
      <x:c r="M301" s="8" t="n">
        <x:f>INDEX($K$388:$N$400,W301,1)+INDEX($K$388:$N$400,W301,2)*LN(((J301-$T$405+1)/1000))+INDEX($O$388:$Z$400,W301,MONTH(J301))</x:f>
        <x:v>169.00056773980248</x:v>
      </x:c>
      <x:c r="N301" s="8" t="n">
        <x:f>K301-M301</x:f>
        <x:v>-32.00056773980248</x:v>
      </x:c>
      <x:c r="O301" s="8" t="n">
        <x:f>ABS(N301)</x:f>
        <x:v>32.00056773980248</x:v>
      </x:c>
      <x:c r="P301" s="8" t="n">
        <x:f>N301^2</x:f>
        <x:v>1024.036335669687</x:v>
      </x:c>
      <x:c r="Q301" s="8" t="n">
        <x:f>K301-L301</x:f>
        <x:v>17</x:v>
      </x:c>
      <x:c r="R301" s="9" t="n">
        <x:f>IF(AND(INDEX('Сводка'!$T$3:$T$397,U301)=0,INDEX('Сводка'!$T$3:$T$397,V301)=0),1,0)</x:f>
        <x:v>1</x:v>
      </x:c>
      <x:c r="S301" s="9" t="n">
        <x:f>IF(AND(R301=1,O301&lt;=$G$13),1,0)</x:f>
        <x:v>0</x:v>
      </x:c>
      <x:c r="T301" s="10" t="n">
        <x:f>EOMONTH(J301-'Сводка'!$B$11,-1)</x:f>
        <x:v>46142</x:v>
      </x:c>
      <x:c r="U301" s="4" t="n">
        <x:f>MATCH(J301,'Сводка'!$R$3:$R$397,0)</x:f>
        <x:v>312</x:v>
      </x:c>
      <x:c r="V301" s="4" t="n">
        <x:f>MATCH(J301-'Сводка'!$B$11,'Сводка'!$R$3:$R$397,0)</x:f>
        <x:v>311</x:v>
      </x:c>
      <x:c r="W301" s="4" t="n">
        <x:f>MATCH(T301,$J$388:$J$400,0)</x:f>
        <x:v>11</x:v>
      </x:c>
      <x:c r="X301" s="3"/>
      <x:c r="Y301" s="3"/>
      <x:c r="Z301" s="3"/>
    </x:row>
    <x:row r="302" ht="15" customHeight="1">
      <x:c r="A302" s="3"/>
      <x:c r="B302" s="3"/>
      <x:c r="C302" s="3"/>
      <x:c r="D302" s="3"/>
      <x:c r="E302" s="3"/>
      <x:c r="F302" s="3"/>
      <x:c r="G302" s="3"/>
      <x:c r="H302" s="3"/>
      <x:c r="I302" s="3"/>
      <x:c r="J302" s="10" t="n">
        <x:v>46153</x:v>
      </x:c>
      <x:c r="K302" s="8" t="n">
        <x:f>INDEX('Сводка'!$S$3:$S$397,U302)</x:f>
        <x:v>152</x:v>
      </x:c>
      <x:c r="L302" s="8" t="n">
        <x:f>INDEX('Сводка'!$S$3:$S$397,V302)</x:f>
        <x:v>137</x:v>
      </x:c>
      <x:c r="M302" s="8" t="n">
        <x:f>INDEX($K$388:$N$400,W302,1)+INDEX($K$388:$N$400,W302,2)*LN(((J302-$T$405+1)/1000))+INDEX($O$388:$Z$400,W302,MONTH(J302))</x:f>
        <x:v>169.0062263874732</x:v>
      </x:c>
      <x:c r="N302" s="8" t="n">
        <x:f>K302-M302</x:f>
        <x:v>-17.00622638747319</x:v>
      </x:c>
      <x:c r="O302" s="8" t="n">
        <x:f>ABS(N302)</x:f>
        <x:v>17.00622638747319</x:v>
      </x:c>
      <x:c r="P302" s="8" t="n">
        <x:f>N302^2</x:f>
        <x:v>289.21173594198945</x:v>
      </x:c>
      <x:c r="Q302" s="8" t="n">
        <x:f>K302-L302</x:f>
        <x:v>15</x:v>
      </x:c>
      <x:c r="R302" s="9" t="n">
        <x:f>IF(AND(INDEX('Сводка'!$T$3:$T$397,U302)=0,INDEX('Сводка'!$T$3:$T$397,V302)=0),1,0)</x:f>
        <x:v>1</x:v>
      </x:c>
      <x:c r="S302" s="9" t="n">
        <x:f>IF(AND(R302=1,O302&lt;=$G$13),1,0)</x:f>
        <x:v>0</x:v>
      </x:c>
      <x:c r="T302" s="10" t="n">
        <x:f>EOMONTH(J302-'Сводка'!$B$11,-1)</x:f>
        <x:v>46142</x:v>
      </x:c>
      <x:c r="U302" s="4" t="n">
        <x:f>MATCH(J302,'Сводка'!$R$3:$R$397,0)</x:f>
        <x:v>313</x:v>
      </x:c>
      <x:c r="V302" s="4" t="n">
        <x:f>MATCH(J302-'Сводка'!$B$11,'Сводка'!$R$3:$R$397,0)</x:f>
        <x:v>312</x:v>
      </x:c>
      <x:c r="W302" s="4" t="n">
        <x:f>MATCH(T302,$J$388:$J$400,0)</x:f>
        <x:v>11</x:v>
      </x:c>
      <x:c r="X302" s="3"/>
      <x:c r="Y302" s="3"/>
      <x:c r="Z302" s="3"/>
    </x:row>
    <x:row r="303" ht="15" customHeight="1">
      <x:c r="A303" s="3"/>
      <x:c r="B303" s="3"/>
      <x:c r="C303" s="3"/>
      <x:c r="D303" s="3"/>
      <x:c r="E303" s="3"/>
      <x:c r="F303" s="3"/>
      <x:c r="G303" s="3"/>
      <x:c r="H303" s="3"/>
      <x:c r="I303" s="3"/>
      <x:c r="J303" s="10" t="n">
        <x:v>46154</x:v>
      </x:c>
      <x:c r="K303" s="8" t="n">
        <x:f>INDEX('Сводка'!$S$3:$S$397,U303)</x:f>
        <x:v>160</x:v>
      </x:c>
      <x:c r="L303" s="8" t="n">
        <x:f>INDEX('Сводка'!$S$3:$S$397,V303)</x:f>
        <x:v>152</x:v>
      </x:c>
      <x:c r="M303" s="8" t="n">
        <x:f>INDEX($K$388:$N$400,W303,1)+INDEX($K$388:$N$400,W303,2)*LN(((J303-$T$405+1)/1000))+INDEX($O$388:$Z$400,W303,MONTH(J303))</x:f>
        <x:v>169.01188439916217</x:v>
      </x:c>
      <x:c r="N303" s="8" t="n">
        <x:f>K303-M303</x:f>
        <x:v>-9.01188439916217</x:v>
      </x:c>
      <x:c r="O303" s="8" t="n">
        <x:f>ABS(N303)</x:f>
        <x:v>9.01188439916217</x:v>
      </x:c>
      <x:c r="P303" s="8" t="n">
        <x:f>N303^2</x:f>
        <x:v>81.2140604238625</x:v>
      </x:c>
      <x:c r="Q303" s="8" t="n">
        <x:f>K303-L303</x:f>
        <x:v>8</x:v>
      </x:c>
      <x:c r="R303" s="9" t="n">
        <x:f>IF(AND(INDEX('Сводка'!$T$3:$T$397,U303)=0,INDEX('Сводка'!$T$3:$T$397,V303)=0),1,0)</x:f>
        <x:v>1</x:v>
      </x:c>
      <x:c r="S303" s="9" t="n">
        <x:f>IF(AND(R303=1,O303&lt;=$G$13),1,0)</x:f>
        <x:v>0</x:v>
      </x:c>
      <x:c r="T303" s="10" t="n">
        <x:f>EOMONTH(J303-'Сводка'!$B$11,-1)</x:f>
        <x:v>46142</x:v>
      </x:c>
      <x:c r="U303" s="4" t="n">
        <x:f>MATCH(J303,'Сводка'!$R$3:$R$397,0)</x:f>
        <x:v>314</x:v>
      </x:c>
      <x:c r="V303" s="4" t="n">
        <x:f>MATCH(J303-'Сводка'!$B$11,'Сводка'!$R$3:$R$397,0)</x:f>
        <x:v>313</x:v>
      </x:c>
      <x:c r="W303" s="4" t="n">
        <x:f>MATCH(T303,$J$388:$J$400,0)</x:f>
        <x:v>11</x:v>
      </x:c>
      <x:c r="X303" s="3"/>
      <x:c r="Y303" s="3"/>
      <x:c r="Z303" s="3"/>
    </x:row>
    <x:row r="304" ht="15" customHeight="1">
      <x:c r="A304" s="3"/>
      <x:c r="B304" s="3"/>
      <x:c r="C304" s="3"/>
      <x:c r="D304" s="3"/>
      <x:c r="E304" s="3"/>
      <x:c r="F304" s="3"/>
      <x:c r="G304" s="3"/>
      <x:c r="H304" s="3"/>
      <x:c r="I304" s="3"/>
      <x:c r="J304" s="10" t="n">
        <x:v>46155</x:v>
      </x:c>
      <x:c r="K304" s="8" t="n">
        <x:f>INDEX('Сводка'!$S$3:$S$397,U304)</x:f>
        <x:v>162</x:v>
      </x:c>
      <x:c r="L304" s="8" t="n">
        <x:f>INDEX('Сводка'!$S$3:$S$397,V304)</x:f>
        <x:v>160</x:v>
      </x:c>
      <x:c r="M304" s="8" t="n">
        <x:f>INDEX($K$388:$N$400,W304,1)+INDEX($K$388:$N$400,W304,2)*LN(((J304-$T$405+1)/1000))+INDEX($O$388:$Z$400,W304,MONTH(J304))</x:f>
        <x:v>169.01754177501238</x:v>
      </x:c>
      <x:c r="N304" s="8" t="n">
        <x:f>K304-M304</x:f>
        <x:v>-7.017541775012376</x:v>
      </x:c>
      <x:c r="O304" s="8" t="n">
        <x:f>ABS(N304)</x:f>
        <x:v>7.017541775012376</x:v>
      </x:c>
      <x:c r="P304" s="8" t="n">
        <x:f>N304^2</x:f>
        <x:v>49.24589256404384</x:v>
      </x:c>
      <x:c r="Q304" s="8" t="n">
        <x:f>K304-L304</x:f>
        <x:v>2</x:v>
      </x:c>
      <x:c r="R304" s="9" t="n">
        <x:f>IF(AND(INDEX('Сводка'!$T$3:$T$397,U304)=0,INDEX('Сводка'!$T$3:$T$397,V304)=0),1,0)</x:f>
        <x:v>1</x:v>
      </x:c>
      <x:c r="S304" s="9" t="n">
        <x:f>IF(AND(R304=1,O304&lt;=$G$13),1,0)</x:f>
        <x:v>1</x:v>
      </x:c>
      <x:c r="T304" s="10" t="n">
        <x:f>EOMONTH(J304-'Сводка'!$B$11,-1)</x:f>
        <x:v>46142</x:v>
      </x:c>
      <x:c r="U304" s="4" t="n">
        <x:f>MATCH(J304,'Сводка'!$R$3:$R$397,0)</x:f>
        <x:v>315</x:v>
      </x:c>
      <x:c r="V304" s="4" t="n">
        <x:f>MATCH(J304-'Сводка'!$B$11,'Сводка'!$R$3:$R$397,0)</x:f>
        <x:v>314</x:v>
      </x:c>
      <x:c r="W304" s="4" t="n">
        <x:f>MATCH(T304,$J$388:$J$400,0)</x:f>
        <x:v>11</x:v>
      </x:c>
      <x:c r="X304" s="3"/>
      <x:c r="Y304" s="3"/>
      <x:c r="Z304" s="3"/>
    </x:row>
    <x:row r="305" ht="15" customHeight="1">
      <x:c r="A305" s="3"/>
      <x:c r="B305" s="3"/>
      <x:c r="C305" s="3"/>
      <x:c r="D305" s="3"/>
      <x:c r="E305" s="3"/>
      <x:c r="F305" s="3"/>
      <x:c r="G305" s="3"/>
      <x:c r="H305" s="3"/>
      <x:c r="I305" s="3"/>
      <x:c r="J305" s="10" t="n">
        <x:v>46156</x:v>
      </x:c>
      <x:c r="K305" s="8" t="n">
        <x:f>INDEX('Сводка'!$S$3:$S$397,U305)</x:f>
        <x:v>161</x:v>
      </x:c>
      <x:c r="L305" s="8" t="n">
        <x:f>INDEX('Сводка'!$S$3:$S$397,V305)</x:f>
        <x:v>162</x:v>
      </x:c>
      <x:c r="M305" s="8" t="n">
        <x:f>INDEX($K$388:$N$400,W305,1)+INDEX($K$388:$N$400,W305,2)*LN(((J305-$T$405+1)/1000))+INDEX($O$388:$Z$400,W305,MONTH(J305))</x:f>
        <x:v>169.0231985151666</x:v>
      </x:c>
      <x:c r="N305" s="8" t="n">
        <x:f>K305-M305</x:f>
        <x:v>-8.023198515166598</x:v>
      </x:c>
      <x:c r="O305" s="8" t="n">
        <x:f>ABS(N305)</x:f>
        <x:v>8.023198515166598</x:v>
      </x:c>
      <x:c r="P305" s="8" t="n">
        <x:f>N305^2</x:f>
        <x:v>64.3717144137715</x:v>
      </x:c>
      <x:c r="Q305" s="8" t="n">
        <x:f>K305-L305</x:f>
        <x:v>-1</x:v>
      </x:c>
      <x:c r="R305" s="9" t="n">
        <x:f>IF(AND(INDEX('Сводка'!$T$3:$T$397,U305)=0,INDEX('Сводка'!$T$3:$T$397,V305)=0),1,0)</x:f>
        <x:v>1</x:v>
      </x:c>
      <x:c r="S305" s="9" t="n">
        <x:f>IF(AND(R305=1,O305&lt;=$G$13),1,0)</x:f>
        <x:v>0</x:v>
      </x:c>
      <x:c r="T305" s="10" t="n">
        <x:f>EOMONTH(J305-'Сводка'!$B$11,-1)</x:f>
        <x:v>46142</x:v>
      </x:c>
      <x:c r="U305" s="4" t="n">
        <x:f>MATCH(J305,'Сводка'!$R$3:$R$397,0)</x:f>
        <x:v>316</x:v>
      </x:c>
      <x:c r="V305" s="4" t="n">
        <x:f>MATCH(J305-'Сводка'!$B$11,'Сводка'!$R$3:$R$397,0)</x:f>
        <x:v>315</x:v>
      </x:c>
      <x:c r="W305" s="4" t="n">
        <x:f>MATCH(T305,$J$388:$J$400,0)</x:f>
        <x:v>11</x:v>
      </x:c>
      <x:c r="X305" s="3"/>
      <x:c r="Y305" s="3"/>
      <x:c r="Z305" s="3"/>
    </x:row>
    <x:row r="306" ht="15" customHeight="1">
      <x:c r="A306" s="3"/>
      <x:c r="B306" s="3"/>
      <x:c r="C306" s="3"/>
      <x:c r="D306" s="3"/>
      <x:c r="E306" s="3"/>
      <x:c r="F306" s="3"/>
      <x:c r="G306" s="3"/>
      <x:c r="H306" s="3"/>
      <x:c r="I306" s="3"/>
      <x:c r="J306" s="10" t="n">
        <x:v>46157</x:v>
      </x:c>
      <x:c r="K306" s="8" t="n">
        <x:f>INDEX('Сводка'!$S$3:$S$397,U306)</x:f>
        <x:v>154</x:v>
      </x:c>
      <x:c r="L306" s="8" t="n">
        <x:f>INDEX('Сводка'!$S$3:$S$397,V306)</x:f>
        <x:v>161</x:v>
      </x:c>
      <x:c r="M306" s="8" t="n">
        <x:f>INDEX($K$388:$N$400,W306,1)+INDEX($K$388:$N$400,W306,2)*LN(((J306-$T$405+1)/1000))+INDEX($O$388:$Z$400,W306,MONTH(J306))</x:f>
        <x:v>169.0288546197678</x:v>
      </x:c>
      <x:c r="N306" s="8" t="n">
        <x:f>K306-M306</x:f>
        <x:v>-15.028854619767799</x:v>
      </x:c>
      <x:c r="O306" s="8" t="n">
        <x:f>ABS(N306)</x:f>
        <x:v>15.028854619767799</x:v>
      </x:c>
      <x:c r="P306" s="8" t="n">
        <x:f>N306^2</x:f>
        <x:v>225.8664711821159</x:v>
      </x:c>
      <x:c r="Q306" s="8" t="n">
        <x:f>K306-L306</x:f>
        <x:v>-7</x:v>
      </x:c>
      <x:c r="R306" s="9" t="n">
        <x:f>IF(AND(INDEX('Сводка'!$T$3:$T$397,U306)=0,INDEX('Сводка'!$T$3:$T$397,V306)=0),1,0)</x:f>
        <x:v>1</x:v>
      </x:c>
      <x:c r="S306" s="9" t="n">
        <x:f>IF(AND(R306=1,O306&lt;=$G$13),1,0)</x:f>
        <x:v>0</x:v>
      </x:c>
      <x:c r="T306" s="10" t="n">
        <x:f>EOMONTH(J306-'Сводка'!$B$11,-1)</x:f>
        <x:v>46142</x:v>
      </x:c>
      <x:c r="U306" s="4" t="n">
        <x:f>MATCH(J306,'Сводка'!$R$3:$R$397,0)</x:f>
        <x:v>317</x:v>
      </x:c>
      <x:c r="V306" s="4" t="n">
        <x:f>MATCH(J306-'Сводка'!$B$11,'Сводка'!$R$3:$R$397,0)</x:f>
        <x:v>316</x:v>
      </x:c>
      <x:c r="W306" s="4" t="n">
        <x:f>MATCH(T306,$J$388:$J$400,0)</x:f>
        <x:v>11</x:v>
      </x:c>
      <x:c r="X306" s="3"/>
      <x:c r="Y306" s="3"/>
      <x:c r="Z306" s="3"/>
    </x:row>
    <x:row r="307" ht="15" customHeight="1">
      <x:c r="A307" s="3"/>
      <x:c r="B307" s="3"/>
      <x:c r="C307" s="3"/>
      <x:c r="D307" s="3"/>
      <x:c r="E307" s="3"/>
      <x:c r="F307" s="3"/>
      <x:c r="G307" s="3"/>
      <x:c r="H307" s="3"/>
      <x:c r="I307" s="3"/>
      <x:c r="J307" s="10" t="n">
        <x:v>46158</x:v>
      </x:c>
      <x:c r="K307" s="8" t="n">
        <x:f>INDEX('Сводка'!$S$3:$S$397,U307)</x:f>
        <x:v>148</x:v>
      </x:c>
      <x:c r="L307" s="8" t="n">
        <x:f>INDEX('Сводка'!$S$3:$S$397,V307)</x:f>
        <x:v>154</x:v>
      </x:c>
      <x:c r="M307" s="8" t="n">
        <x:f>INDEX($K$388:$N$400,W307,1)+INDEX($K$388:$N$400,W307,2)*LN(((J307-$T$405+1)/1000))+INDEX($O$388:$Z$400,W307,MONTH(J307))</x:f>
        <x:v>169.03451008895865</x:v>
      </x:c>
      <x:c r="N307" s="8" t="n">
        <x:f>K307-M307</x:f>
        <x:v>-21.034510088958655</x:v>
      </x:c>
      <x:c r="O307" s="8" t="n">
        <x:f>ABS(N307)</x:f>
        <x:v>21.034510088958655</x:v>
      </x:c>
      <x:c r="P307" s="8" t="n">
        <x:f>N307^2</x:f>
        <x:v>442.45061468250344</x:v>
      </x:c>
      <x:c r="Q307" s="8" t="n">
        <x:f>K307-L307</x:f>
        <x:v>-6</x:v>
      </x:c>
      <x:c r="R307" s="9" t="n">
        <x:f>IF(AND(INDEX('Сводка'!$T$3:$T$397,U307)=0,INDEX('Сводка'!$T$3:$T$397,V307)=0),1,0)</x:f>
        <x:v>1</x:v>
      </x:c>
      <x:c r="S307" s="9" t="n">
        <x:f>IF(AND(R307=1,O307&lt;=$G$13),1,0)</x:f>
        <x:v>0</x:v>
      </x:c>
      <x:c r="T307" s="10" t="n">
        <x:f>EOMONTH(J307-'Сводка'!$B$11,-1)</x:f>
        <x:v>46142</x:v>
      </x:c>
      <x:c r="U307" s="4" t="n">
        <x:f>MATCH(J307,'Сводка'!$R$3:$R$397,0)</x:f>
        <x:v>318</x:v>
      </x:c>
      <x:c r="V307" s="4" t="n">
        <x:f>MATCH(J307-'Сводка'!$B$11,'Сводка'!$R$3:$R$397,0)</x:f>
        <x:v>317</x:v>
      </x:c>
      <x:c r="W307" s="4" t="n">
        <x:f>MATCH(T307,$J$388:$J$400,0)</x:f>
        <x:v>11</x:v>
      </x:c>
      <x:c r="X307" s="3"/>
      <x:c r="Y307" s="3"/>
      <x:c r="Z307" s="3"/>
    </x:row>
    <x:row r="308" ht="15" customHeight="1">
      <x:c r="A308" s="3"/>
      <x:c r="B308" s="3"/>
      <x:c r="C308" s="3"/>
      <x:c r="D308" s="3"/>
      <x:c r="E308" s="3"/>
      <x:c r="F308" s="3"/>
      <x:c r="G308" s="3"/>
      <x:c r="H308" s="3"/>
      <x:c r="I308" s="3"/>
      <x:c r="J308" s="10" t="n">
        <x:v>46159</x:v>
      </x:c>
      <x:c r="K308" s="8" t="n">
        <x:f>INDEX('Сводка'!$S$3:$S$397,U308)</x:f>
        <x:v>141</x:v>
      </x:c>
      <x:c r="L308" s="8" t="n">
        <x:f>INDEX('Сводка'!$S$3:$S$397,V308)</x:f>
        <x:v>148</x:v>
      </x:c>
      <x:c r="M308" s="8" t="n">
        <x:f>INDEX($K$388:$N$400,W308,1)+INDEX($K$388:$N$400,W308,2)*LN(((J308-$T$405+1)/1000))+INDEX($O$388:$Z$400,W308,MONTH(J308))</x:f>
        <x:v>169.04016492288204</x:v>
      </x:c>
      <x:c r="N308" s="8" t="n">
        <x:f>K308-M308</x:f>
        <x:v>-28.04016492288204</x:v>
      </x:c>
      <x:c r="O308" s="8" t="n">
        <x:f>ABS(N308)</x:f>
        <x:v>28.04016492288204</x:v>
      </x:c>
      <x:c r="P308" s="8" t="n">
        <x:f>N308^2</x:f>
        <x:v>786.2508489024244</x:v>
      </x:c>
      <x:c r="Q308" s="8" t="n">
        <x:f>K308-L308</x:f>
        <x:v>-7</x:v>
      </x:c>
      <x:c r="R308" s="9" t="n">
        <x:f>IF(AND(INDEX('Сводка'!$T$3:$T$397,U308)=0,INDEX('Сводка'!$T$3:$T$397,V308)=0),1,0)</x:f>
        <x:v>1</x:v>
      </x:c>
      <x:c r="S308" s="9" t="n">
        <x:f>IF(AND(R308=1,O308&lt;=$G$13),1,0)</x:f>
        <x:v>0</x:v>
      </x:c>
      <x:c r="T308" s="10" t="n">
        <x:f>EOMONTH(J308-'Сводка'!$B$11,-1)</x:f>
        <x:v>46142</x:v>
      </x:c>
      <x:c r="U308" s="4" t="n">
        <x:f>MATCH(J308,'Сводка'!$R$3:$R$397,0)</x:f>
        <x:v>319</x:v>
      </x:c>
      <x:c r="V308" s="4" t="n">
        <x:f>MATCH(J308-'Сводка'!$B$11,'Сводка'!$R$3:$R$397,0)</x:f>
        <x:v>318</x:v>
      </x:c>
      <x:c r="W308" s="4" t="n">
        <x:f>MATCH(T308,$J$388:$J$400,0)</x:f>
        <x:v>11</x:v>
      </x:c>
      <x:c r="X308" s="3"/>
      <x:c r="Y308" s="3"/>
      <x:c r="Z308" s="3"/>
    </x:row>
    <x:row r="309" ht="15" customHeight="1">
      <x:c r="A309" s="3"/>
      <x:c r="B309" s="3"/>
      <x:c r="C309" s="3"/>
      <x:c r="D309" s="3"/>
      <x:c r="E309" s="3"/>
      <x:c r="F309" s="3"/>
      <x:c r="G309" s="3"/>
      <x:c r="H309" s="3"/>
      <x:c r="I309" s="3"/>
      <x:c r="J309" s="10" t="n">
        <x:v>46160</x:v>
      </x:c>
      <x:c r="K309" s="8" t="n">
        <x:f>INDEX('Сводка'!$S$3:$S$397,U309)</x:f>
        <x:v>139</x:v>
      </x:c>
      <x:c r="L309" s="8" t="n">
        <x:f>INDEX('Сводка'!$S$3:$S$397,V309)</x:f>
        <x:v>141</x:v>
      </x:c>
      <x:c r="M309" s="8" t="n">
        <x:f>INDEX($K$388:$N$400,W309,1)+INDEX($K$388:$N$400,W309,2)*LN(((J309-$T$405+1)/1000))+INDEX($O$388:$Z$400,W309,MONTH(J309))</x:f>
        <x:v>169.04581912168058</x:v>
      </x:c>
      <x:c r="N309" s="8" t="n">
        <x:f>K309-M309</x:f>
        <x:v>-30.04581912168058</x:v>
      </x:c>
      <x:c r="O309" s="8" t="n">
        <x:f>ABS(N309)</x:f>
        <x:v>30.04581912168058</x:v>
      </x:c>
      <x:c r="P309" s="8" t="n">
        <x:f>N309^2</x:f>
        <x:v>902.7512466927463</x:v>
      </x:c>
      <x:c r="Q309" s="8" t="n">
        <x:f>K309-L309</x:f>
        <x:v>-2</x:v>
      </x:c>
      <x:c r="R309" s="9" t="n">
        <x:f>IF(AND(INDEX('Сводка'!$T$3:$T$397,U309)=0,INDEX('Сводка'!$T$3:$T$397,V309)=0),1,0)</x:f>
        <x:v>1</x:v>
      </x:c>
      <x:c r="S309" s="9" t="n">
        <x:f>IF(AND(R309=1,O309&lt;=$G$13),1,0)</x:f>
        <x:v>0</x:v>
      </x:c>
      <x:c r="T309" s="10" t="n">
        <x:f>EOMONTH(J309-'Сводка'!$B$11,-1)</x:f>
        <x:v>46142</x:v>
      </x:c>
      <x:c r="U309" s="4" t="n">
        <x:f>MATCH(J309,'Сводка'!$R$3:$R$397,0)</x:f>
        <x:v>320</x:v>
      </x:c>
      <x:c r="V309" s="4" t="n">
        <x:f>MATCH(J309-'Сводка'!$B$11,'Сводка'!$R$3:$R$397,0)</x:f>
        <x:v>319</x:v>
      </x:c>
      <x:c r="W309" s="4" t="n">
        <x:f>MATCH(T309,$J$388:$J$400,0)</x:f>
        <x:v>11</x:v>
      </x:c>
      <x:c r="X309" s="3"/>
      <x:c r="Y309" s="3"/>
      <x:c r="Z309" s="3"/>
    </x:row>
    <x:row r="310" ht="15" customHeight="1">
      <x:c r="A310" s="3"/>
      <x:c r="B310" s="3"/>
      <x:c r="C310" s="3"/>
      <x:c r="D310" s="3"/>
      <x:c r="E310" s="3"/>
      <x:c r="F310" s="3"/>
      <x:c r="G310" s="3"/>
      <x:c r="H310" s="3"/>
      <x:c r="I310" s="3"/>
      <x:c r="J310" s="10" t="n">
        <x:v>46161</x:v>
      </x:c>
      <x:c r="K310" s="8" t="n">
        <x:f>INDEX('Сводка'!$S$3:$S$397,U310)</x:f>
        <x:v>135</x:v>
      </x:c>
      <x:c r="L310" s="8" t="n">
        <x:f>INDEX('Сводка'!$S$3:$S$397,V310)</x:f>
        <x:v>139</x:v>
      </x:c>
      <x:c r="M310" s="8" t="n">
        <x:f>INDEX($K$388:$N$400,W310,1)+INDEX($K$388:$N$400,W310,2)*LN(((J310-$T$405+1)/1000))+INDEX($O$388:$Z$400,W310,MONTH(J310))</x:f>
        <x:v>169.05147268549692</x:v>
      </x:c>
      <x:c r="N310" s="8" t="n">
        <x:f>K310-M310</x:f>
        <x:v>-34.05147268549692</x:v>
      </x:c>
      <x:c r="O310" s="8" t="n">
        <x:f>ABS(N310)</x:f>
        <x:v>34.05147268549692</x:v>
      </x:c>
      <x:c r="P310" s="8" t="n">
        <x:f>N310^2</x:f>
        <x:v>1159.5027920511427</x:v>
      </x:c>
      <x:c r="Q310" s="8" t="n">
        <x:f>K310-L310</x:f>
        <x:v>-4</x:v>
      </x:c>
      <x:c r="R310" s="9" t="n">
        <x:f>IF(AND(INDEX('Сводка'!$T$3:$T$397,U310)=0,INDEX('Сводка'!$T$3:$T$397,V310)=0),1,0)</x:f>
        <x:v>1</x:v>
      </x:c>
      <x:c r="S310" s="9" t="n">
        <x:f>IF(AND(R310=1,O310&lt;=$G$13),1,0)</x:f>
        <x:v>0</x:v>
      </x:c>
      <x:c r="T310" s="10" t="n">
        <x:f>EOMONTH(J310-'Сводка'!$B$11,-1)</x:f>
        <x:v>46142</x:v>
      </x:c>
      <x:c r="U310" s="4" t="n">
        <x:f>MATCH(J310,'Сводка'!$R$3:$R$397,0)</x:f>
        <x:v>321</x:v>
      </x:c>
      <x:c r="V310" s="4" t="n">
        <x:f>MATCH(J310-'Сводка'!$B$11,'Сводка'!$R$3:$R$397,0)</x:f>
        <x:v>320</x:v>
      </x:c>
      <x:c r="W310" s="4" t="n">
        <x:f>MATCH(T310,$J$388:$J$400,0)</x:f>
        <x:v>11</x:v>
      </x:c>
      <x:c r="X310" s="3"/>
      <x:c r="Y310" s="3"/>
      <x:c r="Z310" s="3"/>
    </x:row>
    <x:row r="311" ht="15" customHeight="1">
      <x:c r="A311" s="3"/>
      <x:c r="B311" s="3"/>
      <x:c r="C311" s="3"/>
      <x:c r="D311" s="3"/>
      <x:c r="E311" s="3"/>
      <x:c r="F311" s="3"/>
      <x:c r="G311" s="3"/>
      <x:c r="H311" s="3"/>
      <x:c r="I311" s="3"/>
      <x:c r="J311" s="10" t="n">
        <x:v>46162</x:v>
      </x:c>
      <x:c r="K311" s="8" t="n">
        <x:f>INDEX('Сводка'!$S$3:$S$397,U311)</x:f>
        <x:v>135</x:v>
      </x:c>
      <x:c r="L311" s="8" t="n">
        <x:f>INDEX('Сводка'!$S$3:$S$397,V311)</x:f>
        <x:v>135</x:v>
      </x:c>
      <x:c r="M311" s="8" t="n">
        <x:f>INDEX($K$388:$N$400,W311,1)+INDEX($K$388:$N$400,W311,2)*LN(((J311-$T$405+1)/1000))+INDEX($O$388:$Z$400,W311,MONTH(J311))</x:f>
        <x:v>169.0571256144737</x:v>
      </x:c>
      <x:c r="N311" s="8" t="n">
        <x:f>K311-M311</x:f>
        <x:v>-34.057125614473705</x:v>
      </x:c>
      <x:c r="O311" s="8" t="n">
        <x:f>ABS(N311)</x:f>
        <x:v>34.057125614473705</x:v>
      </x:c>
      <x:c r="P311" s="8" t="n">
        <x:f>N311^2</x:f>
        <x:v>1159.8878051200409</x:v>
      </x:c>
      <x:c r="Q311" s="8" t="n">
        <x:f>K311-L311</x:f>
        <x:v>0</x:v>
      </x:c>
      <x:c r="R311" s="9" t="n">
        <x:f>IF(AND(INDEX('Сводка'!$T$3:$T$397,U311)=0,INDEX('Сводка'!$T$3:$T$397,V311)=0),1,0)</x:f>
        <x:v>1</x:v>
      </x:c>
      <x:c r="S311" s="9" t="n">
        <x:f>IF(AND(R311=1,O311&lt;=$G$13),1,0)</x:f>
        <x:v>0</x:v>
      </x:c>
      <x:c r="T311" s="10" t="n">
        <x:f>EOMONTH(J311-'Сводка'!$B$11,-1)</x:f>
        <x:v>46142</x:v>
      </x:c>
      <x:c r="U311" s="4" t="n">
        <x:f>MATCH(J311,'Сводка'!$R$3:$R$397,0)</x:f>
        <x:v>322</x:v>
      </x:c>
      <x:c r="V311" s="4" t="n">
        <x:f>MATCH(J311-'Сводка'!$B$11,'Сводка'!$R$3:$R$397,0)</x:f>
        <x:v>321</x:v>
      </x:c>
      <x:c r="W311" s="4" t="n">
        <x:f>MATCH(T311,$J$388:$J$400,0)</x:f>
        <x:v>11</x:v>
      </x:c>
      <x:c r="X311" s="3"/>
      <x:c r="Y311" s="3"/>
      <x:c r="Z311" s="3"/>
    </x:row>
    <x:row r="312" ht="15" customHeight="1">
      <x:c r="A312" s="3"/>
      <x:c r="B312" s="3"/>
      <x:c r="C312" s="3"/>
      <x:c r="D312" s="3"/>
      <x:c r="E312" s="3"/>
      <x:c r="F312" s="3"/>
      <x:c r="G312" s="3"/>
      <x:c r="H312" s="3"/>
      <x:c r="I312" s="3"/>
      <x:c r="J312" s="10" t="n">
        <x:v>46163</x:v>
      </x:c>
      <x:c r="K312" s="8" t="n">
        <x:f>INDEX('Сводка'!$S$3:$S$397,U312)</x:f>
        <x:v>134</x:v>
      </x:c>
      <x:c r="L312" s="8" t="n">
        <x:f>INDEX('Сводка'!$S$3:$S$397,V312)</x:f>
        <x:v>135</x:v>
      </x:c>
      <x:c r="M312" s="8" t="n">
        <x:f>INDEX($K$388:$N$400,W312,1)+INDEX($K$388:$N$400,W312,2)*LN(((J312-$T$405+1)/1000))+INDEX($O$388:$Z$400,W312,MONTH(J312))</x:f>
        <x:v>169.06277790875345</x:v>
      </x:c>
      <x:c r="N312" s="8" t="n">
        <x:f>K312-M312</x:f>
        <x:v>-35.062777908753446</x:v>
      </x:c>
      <x:c r="O312" s="8" t="n">
        <x:f>ABS(N312)</x:f>
        <x:v>35.062777908753446</x:v>
      </x:c>
      <x:c r="P312" s="8" t="n">
        <x:f>N312^2</x:f>
        <x:v>1229.3983946785686</x:v>
      </x:c>
      <x:c r="Q312" s="8" t="n">
        <x:f>K312-L312</x:f>
        <x:v>-1</x:v>
      </x:c>
      <x:c r="R312" s="9" t="n">
        <x:f>IF(AND(INDEX('Сводка'!$T$3:$T$397,U312)=0,INDEX('Сводка'!$T$3:$T$397,V312)=0),1,0)</x:f>
        <x:v>1</x:v>
      </x:c>
      <x:c r="S312" s="9" t="n">
        <x:f>IF(AND(R312=1,O312&lt;=$G$13),1,0)</x:f>
        <x:v>0</x:v>
      </x:c>
      <x:c r="T312" s="10" t="n">
        <x:f>EOMONTH(J312-'Сводка'!$B$11,-1)</x:f>
        <x:v>46142</x:v>
      </x:c>
      <x:c r="U312" s="4" t="n">
        <x:f>MATCH(J312,'Сводка'!$R$3:$R$397,0)</x:f>
        <x:v>323</x:v>
      </x:c>
      <x:c r="V312" s="4" t="n">
        <x:f>MATCH(J312-'Сводка'!$B$11,'Сводка'!$R$3:$R$397,0)</x:f>
        <x:v>322</x:v>
      </x:c>
      <x:c r="W312" s="4" t="n">
        <x:f>MATCH(T312,$J$388:$J$400,0)</x:f>
        <x:v>11</x:v>
      </x:c>
      <x:c r="X312" s="3"/>
      <x:c r="Y312" s="3"/>
      <x:c r="Z312" s="3"/>
    </x:row>
    <x:row r="313" ht="15" customHeight="1">
      <x:c r="A313" s="3"/>
      <x:c r="B313" s="3"/>
      <x:c r="C313" s="3"/>
      <x:c r="D313" s="3"/>
      <x:c r="E313" s="3"/>
      <x:c r="F313" s="3"/>
      <x:c r="G313" s="3"/>
      <x:c r="H313" s="3"/>
      <x:c r="I313" s="3"/>
      <x:c r="J313" s="10" t="n">
        <x:v>46164</x:v>
      </x:c>
      <x:c r="K313" s="8" t="n">
        <x:f>INDEX('Сводка'!$S$3:$S$397,U313)</x:f>
        <x:v>131</x:v>
      </x:c>
      <x:c r="L313" s="8" t="n">
        <x:f>INDEX('Сводка'!$S$3:$S$397,V313)</x:f>
        <x:v>134</x:v>
      </x:c>
      <x:c r="M313" s="8" t="n">
        <x:f>INDEX($K$388:$N$400,W313,1)+INDEX($K$388:$N$400,W313,2)*LN(((J313-$T$405+1)/1000))+INDEX($O$388:$Z$400,W313,MONTH(J313))</x:f>
        <x:v>169.0684295684787</x:v>
      </x:c>
      <x:c r="N313" s="8" t="n">
        <x:f>K313-M313</x:f>
        <x:v>-38.068429568478706</x:v>
      </x:c>
      <x:c r="O313" s="8" t="n">
        <x:f>ABS(N313)</x:f>
        <x:v>38.068429568478706</x:v>
      </x:c>
      <x:c r="P313" s="8" t="n">
        <x:f>N313^2</x:f>
        <x:v>1449.205329810224</x:v>
      </x:c>
      <x:c r="Q313" s="8" t="n">
        <x:f>K313-L313</x:f>
        <x:v>-3</x:v>
      </x:c>
      <x:c r="R313" s="9" t="n">
        <x:f>IF(AND(INDEX('Сводка'!$T$3:$T$397,U313)=0,INDEX('Сводка'!$T$3:$T$397,V313)=0),1,0)</x:f>
        <x:v>1</x:v>
      </x:c>
      <x:c r="S313" s="9" t="n">
        <x:f>IF(AND(R313=1,O313&lt;=$G$13),1,0)</x:f>
        <x:v>0</x:v>
      </x:c>
      <x:c r="T313" s="10" t="n">
        <x:f>EOMONTH(J313-'Сводка'!$B$11,-1)</x:f>
        <x:v>46142</x:v>
      </x:c>
      <x:c r="U313" s="4" t="n">
        <x:f>MATCH(J313,'Сводка'!$R$3:$R$397,0)</x:f>
        <x:v>324</x:v>
      </x:c>
      <x:c r="V313" s="4" t="n">
        <x:f>MATCH(J313-'Сводка'!$B$11,'Сводка'!$R$3:$R$397,0)</x:f>
        <x:v>323</x:v>
      </x:c>
      <x:c r="W313" s="4" t="n">
        <x:f>MATCH(T313,$J$388:$J$400,0)</x:f>
        <x:v>11</x:v>
      </x:c>
      <x:c r="X313" s="3"/>
      <x:c r="Y313" s="3"/>
      <x:c r="Z313" s="3"/>
    </x:row>
    <x:row r="314" ht="15" customHeight="1">
      <x:c r="A314" s="3"/>
      <x:c r="B314" s="3"/>
      <x:c r="C314" s="3"/>
      <x:c r="D314" s="3"/>
      <x:c r="E314" s="3"/>
      <x:c r="F314" s="3"/>
      <x:c r="G314" s="3"/>
      <x:c r="H314" s="3"/>
      <x:c r="I314" s="3"/>
      <x:c r="J314" s="10" t="n">
        <x:v>46165</x:v>
      </x:c>
      <x:c r="K314" s="8" t="n">
        <x:f>INDEX('Сводка'!$S$3:$S$397,U314)</x:f>
        <x:v>126</x:v>
      </x:c>
      <x:c r="L314" s="8" t="n">
        <x:f>INDEX('Сводка'!$S$3:$S$397,V314)</x:f>
        <x:v>131</x:v>
      </x:c>
      <x:c r="M314" s="8" t="n">
        <x:f>INDEX($K$388:$N$400,W314,1)+INDEX($K$388:$N$400,W314,2)*LN(((J314-$T$405+1)/1000))+INDEX($O$388:$Z$400,W314,MONTH(J314))</x:f>
        <x:v>169.0740805937919</x:v>
      </x:c>
      <x:c r="N314" s="8" t="n">
        <x:f>K314-M314</x:f>
        <x:v>-43.074080593791905</x:v>
      </x:c>
      <x:c r="O314" s="8" t="n">
        <x:f>ABS(N314)</x:f>
        <x:v>43.074080593791905</x:v>
      </x:c>
      <x:c r="P314" s="8" t="n">
        <x:f>N314^2</x:f>
        <x:v>1855.3764190004804</x:v>
      </x:c>
      <x:c r="Q314" s="8" t="n">
        <x:f>K314-L314</x:f>
        <x:v>-5</x:v>
      </x:c>
      <x:c r="R314" s="9" t="n">
        <x:f>IF(AND(INDEX('Сводка'!$T$3:$T$397,U314)=0,INDEX('Сводка'!$T$3:$T$397,V314)=0),1,0)</x:f>
        <x:v>1</x:v>
      </x:c>
      <x:c r="S314" s="9" t="n">
        <x:f>IF(AND(R314=1,O314&lt;=$G$13),1,0)</x:f>
        <x:v>0</x:v>
      </x:c>
      <x:c r="T314" s="10" t="n">
        <x:f>EOMONTH(J314-'Сводка'!$B$11,-1)</x:f>
        <x:v>46142</x:v>
      </x:c>
      <x:c r="U314" s="4" t="n">
        <x:f>MATCH(J314,'Сводка'!$R$3:$R$397,0)</x:f>
        <x:v>325</x:v>
      </x:c>
      <x:c r="V314" s="4" t="n">
        <x:f>MATCH(J314-'Сводка'!$B$11,'Сводка'!$R$3:$R$397,0)</x:f>
        <x:v>324</x:v>
      </x:c>
      <x:c r="W314" s="4" t="n">
        <x:f>MATCH(T314,$J$388:$J$400,0)</x:f>
        <x:v>11</x:v>
      </x:c>
      <x:c r="X314" s="3"/>
      <x:c r="Y314" s="3"/>
      <x:c r="Z314" s="3"/>
    </x:row>
    <x:row r="315" ht="15" customHeight="1">
      <x:c r="A315" s="3"/>
      <x:c r="B315" s="3"/>
      <x:c r="C315" s="3"/>
      <x:c r="D315" s="3"/>
      <x:c r="E315" s="3"/>
      <x:c r="F315" s="3"/>
      <x:c r="G315" s="3"/>
      <x:c r="H315" s="3"/>
      <x:c r="I315" s="3"/>
      <x:c r="J315" s="10" t="n">
        <x:v>46166</x:v>
      </x:c>
      <x:c r="K315" s="8" t="n">
        <x:f>INDEX('Сводка'!$S$3:$S$397,U315)</x:f>
        <x:v>119</x:v>
      </x:c>
      <x:c r="L315" s="8" t="n">
        <x:f>INDEX('Сводка'!$S$3:$S$397,V315)</x:f>
        <x:v>126</x:v>
      </x:c>
      <x:c r="M315" s="8" t="n">
        <x:f>INDEX($K$388:$N$400,W315,1)+INDEX($K$388:$N$400,W315,2)*LN(((J315-$T$405+1)/1000))+INDEX($O$388:$Z$400,W315,MONTH(J315))</x:f>
        <x:v>169.07973098483546</x:v>
      </x:c>
      <x:c r="N315" s="8" t="n">
        <x:f>K315-M315</x:f>
        <x:v>-50.079730984835464</x:v>
      </x:c>
      <x:c r="O315" s="8" t="n">
        <x:f>ABS(N315)</x:f>
        <x:v>50.079730984835464</x:v>
      </x:c>
      <x:c r="P315" s="8" t="n">
        <x:f>N315^2</x:f>
        <x:v>2507.9794555134895</x:v>
      </x:c>
      <x:c r="Q315" s="8" t="n">
        <x:f>K315-L315</x:f>
        <x:v>-7</x:v>
      </x:c>
      <x:c r="R315" s="9" t="n">
        <x:f>IF(AND(INDEX('Сводка'!$T$3:$T$397,U315)=0,INDEX('Сводка'!$T$3:$T$397,V315)=0),1,0)</x:f>
        <x:v>1</x:v>
      </x:c>
      <x:c r="S315" s="9" t="n">
        <x:f>IF(AND(R315=1,O315&lt;=$G$13),1,0)</x:f>
        <x:v>0</x:v>
      </x:c>
      <x:c r="T315" s="10" t="n">
        <x:f>EOMONTH(J315-'Сводка'!$B$11,-1)</x:f>
        <x:v>46142</x:v>
      </x:c>
      <x:c r="U315" s="4" t="n">
        <x:f>MATCH(J315,'Сводка'!$R$3:$R$397,0)</x:f>
        <x:v>326</x:v>
      </x:c>
      <x:c r="V315" s="4" t="n">
        <x:f>MATCH(J315-'Сводка'!$B$11,'Сводка'!$R$3:$R$397,0)</x:f>
        <x:v>325</x:v>
      </x:c>
      <x:c r="W315" s="4" t="n">
        <x:f>MATCH(T315,$J$388:$J$400,0)</x:f>
        <x:v>11</x:v>
      </x:c>
      <x:c r="X315" s="3"/>
      <x:c r="Y315" s="3"/>
      <x:c r="Z315" s="3"/>
    </x:row>
    <x:row r="316" ht="15" customHeight="1">
      <x:c r="A316" s="3"/>
      <x:c r="B316" s="3"/>
      <x:c r="C316" s="3"/>
      <x:c r="D316" s="3"/>
      <x:c r="E316" s="3"/>
      <x:c r="F316" s="3"/>
      <x:c r="G316" s="3"/>
      <x:c r="H316" s="3"/>
      <x:c r="I316" s="3"/>
      <x:c r="J316" s="10" t="n">
        <x:v>46167</x:v>
      </x:c>
      <x:c r="K316" s="8" t="n">
        <x:f>INDEX('Сводка'!$S$3:$S$397,U316)</x:f>
        <x:v>114</x:v>
      </x:c>
      <x:c r="L316" s="8" t="n">
        <x:f>INDEX('Сводка'!$S$3:$S$397,V316)</x:f>
        <x:v>119</x:v>
      </x:c>
      <x:c r="M316" s="8" t="n">
        <x:f>INDEX($K$388:$N$400,W316,1)+INDEX($K$388:$N$400,W316,2)*LN(((J316-$T$405+1)/1000))+INDEX($O$388:$Z$400,W316,MONTH(J316))</x:f>
        <x:v>169.08538074175175</x:v>
      </x:c>
      <x:c r="N316" s="8" t="n">
        <x:f>K316-M316</x:f>
        <x:v>-55.08538074175175</x:v>
      </x:c>
      <x:c r="O316" s="8" t="n">
        <x:f>ABS(N316)</x:f>
        <x:v>55.08538074175175</x:v>
      </x:c>
      <x:c r="P316" s="8" t="n">
        <x:f>N316^2</x:f>
        <x:v>3034.3991714637546</x:v>
      </x:c>
      <x:c r="Q316" s="8" t="n">
        <x:f>K316-L316</x:f>
        <x:v>-5</x:v>
      </x:c>
      <x:c r="R316" s="9" t="n">
        <x:f>IF(AND(INDEX('Сводка'!$T$3:$T$397,U316)=0,INDEX('Сводка'!$T$3:$T$397,V316)=0),1,0)</x:f>
        <x:v>1</x:v>
      </x:c>
      <x:c r="S316" s="9" t="n">
        <x:f>IF(AND(R316=1,O316&lt;=$G$13),1,0)</x:f>
        <x:v>0</x:v>
      </x:c>
      <x:c r="T316" s="10" t="n">
        <x:f>EOMONTH(J316-'Сводка'!$B$11,-1)</x:f>
        <x:v>46142</x:v>
      </x:c>
      <x:c r="U316" s="4" t="n">
        <x:f>MATCH(J316,'Сводка'!$R$3:$R$397,0)</x:f>
        <x:v>327</x:v>
      </x:c>
      <x:c r="V316" s="4" t="n">
        <x:f>MATCH(J316-'Сводка'!$B$11,'Сводка'!$R$3:$R$397,0)</x:f>
        <x:v>326</x:v>
      </x:c>
      <x:c r="W316" s="4" t="n">
        <x:f>MATCH(T316,$J$388:$J$400,0)</x:f>
        <x:v>11</x:v>
      </x:c>
      <x:c r="X316" s="3"/>
      <x:c r="Y316" s="3"/>
      <x:c r="Z316" s="3"/>
    </x:row>
    <x:row r="317" ht="15" customHeight="1">
      <x:c r="A317" s="3"/>
      <x:c r="B317" s="3"/>
      <x:c r="C317" s="3"/>
      <x:c r="D317" s="3"/>
      <x:c r="E317" s="3"/>
      <x:c r="F317" s="3"/>
      <x:c r="G317" s="3"/>
      <x:c r="H317" s="3"/>
      <x:c r="I317" s="3"/>
      <x:c r="J317" s="10" t="n">
        <x:v>46168</x:v>
      </x:c>
      <x:c r="K317" s="8" t="n">
        <x:f>INDEX('Сводка'!$S$3:$S$397,U317)</x:f>
        <x:v>106</x:v>
      </x:c>
      <x:c r="L317" s="8" t="n">
        <x:f>INDEX('Сводка'!$S$3:$S$397,V317)</x:f>
        <x:v>114</x:v>
      </x:c>
      <x:c r="M317" s="8" t="n">
        <x:f>INDEX($K$388:$N$400,W317,1)+INDEX($K$388:$N$400,W317,2)*LN(((J317-$T$405+1)/1000))+INDEX($O$388:$Z$400,W317,MONTH(J317))</x:f>
        <x:v>169.0910298646831</x:v>
      </x:c>
      <x:c r="N317" s="8" t="n">
        <x:f>K317-M317</x:f>
        <x:v>-63.091029864683094</x:v>
      </x:c>
      <x:c r="O317" s="8" t="n">
        <x:f>ABS(N317)</x:f>
        <x:v>63.091029864683094</x:v>
      </x:c>
      <x:c r="P317" s="8" t="n">
        <x:f>N317^2</x:f>
        <x:v>3980.478049386334</x:v>
      </x:c>
      <x:c r="Q317" s="8" t="n">
        <x:f>K317-L317</x:f>
        <x:v>-8</x:v>
      </x:c>
      <x:c r="R317" s="9" t="n">
        <x:f>IF(AND(INDEX('Сводка'!$T$3:$T$397,U317)=0,INDEX('Сводка'!$T$3:$T$397,V317)=0),1,0)</x:f>
        <x:v>1</x:v>
      </x:c>
      <x:c r="S317" s="9" t="n">
        <x:f>IF(AND(R317=1,O317&lt;=$G$13),1,0)</x:f>
        <x:v>0</x:v>
      </x:c>
      <x:c r="T317" s="10" t="n">
        <x:f>EOMONTH(J317-'Сводка'!$B$11,-1)</x:f>
        <x:v>46142</x:v>
      </x:c>
      <x:c r="U317" s="4" t="n">
        <x:f>MATCH(J317,'Сводка'!$R$3:$R$397,0)</x:f>
        <x:v>328</x:v>
      </x:c>
      <x:c r="V317" s="4" t="n">
        <x:f>MATCH(J317-'Сводка'!$B$11,'Сводка'!$R$3:$R$397,0)</x:f>
        <x:v>327</x:v>
      </x:c>
      <x:c r="W317" s="4" t="n">
        <x:f>MATCH(T317,$J$388:$J$400,0)</x:f>
        <x:v>11</x:v>
      </x:c>
      <x:c r="X317" s="3"/>
      <x:c r="Y317" s="3"/>
      <x:c r="Z317" s="3"/>
    </x:row>
    <x:row r="318" ht="15" customHeight="1">
      <x:c r="A318" s="3"/>
      <x:c r="B318" s="3"/>
      <x:c r="C318" s="3"/>
      <x:c r="D318" s="3"/>
      <x:c r="E318" s="3"/>
      <x:c r="F318" s="3"/>
      <x:c r="G318" s="3"/>
      <x:c r="H318" s="3"/>
      <x:c r="I318" s="3"/>
      <x:c r="J318" s="10" t="n">
        <x:v>46169</x:v>
      </x:c>
      <x:c r="K318" s="8" t="n">
        <x:f>INDEX('Сводка'!$S$3:$S$397,U318)</x:f>
        <x:v>101</x:v>
      </x:c>
      <x:c r="L318" s="8" t="n">
        <x:f>INDEX('Сводка'!$S$3:$S$397,V318)</x:f>
        <x:v>106</x:v>
      </x:c>
      <x:c r="M318" s="8" t="n">
        <x:f>INDEX($K$388:$N$400,W318,1)+INDEX($K$388:$N$400,W318,2)*LN(((J318-$T$405+1)/1000))+INDEX($O$388:$Z$400,W318,MONTH(J318))</x:f>
        <x:v>169.09667835377172</x:v>
      </x:c>
      <x:c r="N318" s="8" t="n">
        <x:f>K318-M318</x:f>
        <x:v>-68.09667835377172</x:v>
      </x:c>
      <x:c r="O318" s="8" t="n">
        <x:f>ABS(N318)</x:f>
        <x:v>68.09667835377172</x:v>
      </x:c>
      <x:c r="P318" s="8" t="n">
        <x:f>N318^2</x:f>
        <x:v>4637.157602817042</x:v>
      </x:c>
      <x:c r="Q318" s="8" t="n">
        <x:f>K318-L318</x:f>
        <x:v>-5</x:v>
      </x:c>
      <x:c r="R318" s="9" t="n">
        <x:f>IF(AND(INDEX('Сводка'!$T$3:$T$397,U318)=0,INDEX('Сводка'!$T$3:$T$397,V318)=0),1,0)</x:f>
        <x:v>1</x:v>
      </x:c>
      <x:c r="S318" s="9" t="n">
        <x:f>IF(AND(R318=1,O318&lt;=$G$13),1,0)</x:f>
        <x:v>0</x:v>
      </x:c>
      <x:c r="T318" s="10" t="n">
        <x:f>EOMONTH(J318-'Сводка'!$B$11,-1)</x:f>
        <x:v>46142</x:v>
      </x:c>
      <x:c r="U318" s="4" t="n">
        <x:f>MATCH(J318,'Сводка'!$R$3:$R$397,0)</x:f>
        <x:v>329</x:v>
      </x:c>
      <x:c r="V318" s="4" t="n">
        <x:f>MATCH(J318-'Сводка'!$B$11,'Сводка'!$R$3:$R$397,0)</x:f>
        <x:v>328</x:v>
      </x:c>
      <x:c r="W318" s="4" t="n">
        <x:f>MATCH(T318,$J$388:$J$400,0)</x:f>
        <x:v>11</x:v>
      </x:c>
      <x:c r="X318" s="3"/>
      <x:c r="Y318" s="3"/>
      <x:c r="Z318" s="3"/>
    </x:row>
    <x:row r="319" ht="15" customHeight="1">
      <x:c r="A319" s="3"/>
      <x:c r="B319" s="3"/>
      <x:c r="C319" s="3"/>
      <x:c r="D319" s="3"/>
      <x:c r="E319" s="3"/>
      <x:c r="F319" s="3"/>
      <x:c r="G319" s="3"/>
      <x:c r="H319" s="3"/>
      <x:c r="I319" s="3"/>
      <x:c r="J319" s="10" t="n">
        <x:v>46170</x:v>
      </x:c>
      <x:c r="K319" s="8" t="n">
        <x:f>INDEX('Сводка'!$S$3:$S$397,U319)</x:f>
        <x:v>95</x:v>
      </x:c>
      <x:c r="L319" s="8" t="n">
        <x:f>INDEX('Сводка'!$S$3:$S$397,V319)</x:f>
        <x:v>101</x:v>
      </x:c>
      <x:c r="M319" s="8" t="n">
        <x:f>INDEX($K$388:$N$400,W319,1)+INDEX($K$388:$N$400,W319,2)*LN(((J319-$T$405+1)/1000))+INDEX($O$388:$Z$400,W319,MONTH(J319))</x:f>
        <x:v>169.1023262091599</x:v>
      </x:c>
      <x:c r="N319" s="8" t="n">
        <x:f>K319-M319</x:f>
        <x:v>-74.10232620915991</x:v>
      </x:c>
      <x:c r="O319" s="8" t="n">
        <x:f>ABS(N319)</x:f>
        <x:v>74.10232620915991</x:v>
      </x:c>
      <x:c r="P319" s="8" t="n">
        <x:f>N319^2</x:f>
        <x:v>5491.154749608748</x:v>
      </x:c>
      <x:c r="Q319" s="8" t="n">
        <x:f>K319-L319</x:f>
        <x:v>-6</x:v>
      </x:c>
      <x:c r="R319" s="9" t="n">
        <x:f>IF(AND(INDEX('Сводка'!$T$3:$T$397,U319)=0,INDEX('Сводка'!$T$3:$T$397,V319)=0),1,0)</x:f>
        <x:v>1</x:v>
      </x:c>
      <x:c r="S319" s="9" t="n">
        <x:f>IF(AND(R319=1,O319&lt;=$G$13),1,0)</x:f>
        <x:v>0</x:v>
      </x:c>
      <x:c r="T319" s="10" t="n">
        <x:f>EOMONTH(J319-'Сводка'!$B$11,-1)</x:f>
        <x:v>46142</x:v>
      </x:c>
      <x:c r="U319" s="4" t="n">
        <x:f>MATCH(J319,'Сводка'!$R$3:$R$397,0)</x:f>
        <x:v>330</x:v>
      </x:c>
      <x:c r="V319" s="4" t="n">
        <x:f>MATCH(J319-'Сводка'!$B$11,'Сводка'!$R$3:$R$397,0)</x:f>
        <x:v>329</x:v>
      </x:c>
      <x:c r="W319" s="4" t="n">
        <x:f>MATCH(T319,$J$388:$J$400,0)</x:f>
        <x:v>11</x:v>
      </x:c>
      <x:c r="X319" s="3"/>
      <x:c r="Y319" s="3"/>
      <x:c r="Z319" s="3"/>
    </x:row>
    <x:row r="320" ht="15" customHeight="1">
      <x:c r="A320" s="3"/>
      <x:c r="B320" s="3"/>
      <x:c r="C320" s="3"/>
      <x:c r="D320" s="3"/>
      <x:c r="E320" s="3"/>
      <x:c r="F320" s="3"/>
      <x:c r="G320" s="3"/>
      <x:c r="H320" s="3"/>
      <x:c r="I320" s="3"/>
      <x:c r="J320" s="10" t="n">
        <x:v>46171</x:v>
      </x:c>
      <x:c r="K320" s="8" t="n">
        <x:f>INDEX('Сводка'!$S$3:$S$397,U320)</x:f>
        <x:v>85</x:v>
      </x:c>
      <x:c r="L320" s="8" t="n">
        <x:f>INDEX('Сводка'!$S$3:$S$397,V320)</x:f>
        <x:v>95</x:v>
      </x:c>
      <x:c r="M320" s="8" t="n">
        <x:f>INDEX($K$388:$N$400,W320,1)+INDEX($K$388:$N$400,W320,2)*LN(((J320-$T$405+1)/1000))+INDEX($O$388:$Z$400,W320,MONTH(J320))</x:f>
        <x:v>169.10797343098983</x:v>
      </x:c>
      <x:c r="N320" s="8" t="n">
        <x:f>K320-M320</x:f>
        <x:v>-84.10797343098983</x:v>
      </x:c>
      <x:c r="O320" s="8" t="n">
        <x:f>ABS(N320)</x:f>
        <x:v>84.10797343098983</x:v>
      </x:c>
      <x:c r="P320" s="8" t="n">
        <x:f>N320^2</x:f>
        <x:v>7074.151194668091</x:v>
      </x:c>
      <x:c r="Q320" s="8" t="n">
        <x:f>K320-L320</x:f>
        <x:v>-10</x:v>
      </x:c>
      <x:c r="R320" s="9" t="n">
        <x:f>IF(AND(INDEX('Сводка'!$T$3:$T$397,U320)=0,INDEX('Сводка'!$T$3:$T$397,V320)=0),1,0)</x:f>
        <x:v>1</x:v>
      </x:c>
      <x:c r="S320" s="9" t="n">
        <x:f>IF(AND(R320=1,O320&lt;=$G$13),1,0)</x:f>
        <x:v>0</x:v>
      </x:c>
      <x:c r="T320" s="10" t="n">
        <x:f>EOMONTH(J320-'Сводка'!$B$11,-1)</x:f>
        <x:v>46142</x:v>
      </x:c>
      <x:c r="U320" s="4" t="n">
        <x:f>MATCH(J320,'Сводка'!$R$3:$R$397,0)</x:f>
        <x:v>331</x:v>
      </x:c>
      <x:c r="V320" s="4" t="n">
        <x:f>MATCH(J320-'Сводка'!$B$11,'Сводка'!$R$3:$R$397,0)</x:f>
        <x:v>330</x:v>
      </x:c>
      <x:c r="W320" s="4" t="n">
        <x:f>MATCH(T320,$J$388:$J$400,0)</x:f>
        <x:v>11</x:v>
      </x:c>
      <x:c r="X320" s="3"/>
      <x:c r="Y320" s="3"/>
      <x:c r="Z320" s="3"/>
    </x:row>
    <x:row r="321" ht="15" customHeight="1">
      <x:c r="A321" s="3"/>
      <x:c r="B321" s="3"/>
      <x:c r="C321" s="3"/>
      <x:c r="D321" s="3"/>
      <x:c r="E321" s="3"/>
      <x:c r="F321" s="3"/>
      <x:c r="G321" s="3"/>
      <x:c r="H321" s="3"/>
      <x:c r="I321" s="3"/>
      <x:c r="J321" s="10" t="n">
        <x:v>46172</x:v>
      </x:c>
      <x:c r="K321" s="8" t="n">
        <x:f>INDEX('Сводка'!$S$3:$S$397,U321)</x:f>
        <x:v>77</x:v>
      </x:c>
      <x:c r="L321" s="8" t="n">
        <x:f>INDEX('Сводка'!$S$3:$S$397,V321)</x:f>
        <x:v>85</x:v>
      </x:c>
      <x:c r="M321" s="8" t="n">
        <x:f>INDEX($K$388:$N$400,W321,1)+INDEX($K$388:$N$400,W321,2)*LN(((J321-$T$405+1)/1000))+INDEX($O$388:$Z$400,W321,MONTH(J321))</x:f>
        <x:v>169.11362001940353</x:v>
      </x:c>
      <x:c r="N321" s="8" t="n">
        <x:f>K321-M321</x:f>
        <x:v>-92.11362001940353</x:v>
      </x:c>
      <x:c r="O321" s="8" t="n">
        <x:f>ABS(N321)</x:f>
        <x:v>92.11362001940353</x:v>
      </x:c>
      <x:c r="P321" s="8" t="n">
        <x:f>N321^2</x:f>
        <x:v>8484.918993079058</x:v>
      </x:c>
      <x:c r="Q321" s="8" t="n">
        <x:f>K321-L321</x:f>
        <x:v>-8</x:v>
      </x:c>
      <x:c r="R321" s="9" t="n">
        <x:f>IF(AND(INDEX('Сводка'!$T$3:$T$397,U321)=0,INDEX('Сводка'!$T$3:$T$397,V321)=0),1,0)</x:f>
        <x:v>1</x:v>
      </x:c>
      <x:c r="S321" s="9" t="n">
        <x:f>IF(AND(R321=1,O321&lt;=$G$13),1,0)</x:f>
        <x:v>0</x:v>
      </x:c>
      <x:c r="T321" s="10" t="n">
        <x:f>EOMONTH(J321-'Сводка'!$B$11,-1)</x:f>
        <x:v>46142</x:v>
      </x:c>
      <x:c r="U321" s="4" t="n">
        <x:f>MATCH(J321,'Сводка'!$R$3:$R$397,0)</x:f>
        <x:v>332</x:v>
      </x:c>
      <x:c r="V321" s="4" t="n">
        <x:f>MATCH(J321-'Сводка'!$B$11,'Сводка'!$R$3:$R$397,0)</x:f>
        <x:v>331</x:v>
      </x:c>
      <x:c r="W321" s="4" t="n">
        <x:f>MATCH(T321,$J$388:$J$400,0)</x:f>
        <x:v>11</x:v>
      </x:c>
      <x:c r="X321" s="3"/>
      <x:c r="Y321" s="3"/>
      <x:c r="Z321" s="3"/>
    </x:row>
    <x:row r="322" ht="15" customHeight="1">
      <x:c r="A322" s="3"/>
      <x:c r="B322" s="3"/>
      <x:c r="C322" s="3"/>
      <x:c r="D322" s="3"/>
      <x:c r="E322" s="3"/>
      <x:c r="F322" s="3"/>
      <x:c r="G322" s="3"/>
      <x:c r="H322" s="3"/>
      <x:c r="I322" s="3"/>
      <x:c r="J322" s="10" t="n">
        <x:v>46173</x:v>
      </x:c>
      <x:c r="K322" s="8" t="n">
        <x:f>INDEX('Сводка'!$S$3:$S$397,U322)</x:f>
        <x:v>70</x:v>
      </x:c>
      <x:c r="L322" s="8" t="n">
        <x:f>INDEX('Сводка'!$S$3:$S$397,V322)</x:f>
        <x:v>77</x:v>
      </x:c>
      <x:c r="M322" s="8" t="n">
        <x:f>INDEX($K$388:$N$400,W322,1)+INDEX($K$388:$N$400,W322,2)*LN(((J322-$T$405+1)/1000))+INDEX($O$388:$Z$400,W322,MONTH(J322))</x:f>
        <x:v>169.11926597454317</x:v>
      </x:c>
      <x:c r="N322" s="8" t="n">
        <x:f>K322-M322</x:f>
        <x:v>-99.11926597454317</x:v>
      </x:c>
      <x:c r="O322" s="8" t="n">
        <x:f>ABS(N322)</x:f>
        <x:v>99.11926597454317</x:v>
      </x:c>
      <x:c r="P322" s="8" t="n">
        <x:f>N322^2</x:f>
        <x:v>9824.628887332232</x:v>
      </x:c>
      <x:c r="Q322" s="8" t="n">
        <x:f>K322-L322</x:f>
        <x:v>-7</x:v>
      </x:c>
      <x:c r="R322" s="9" t="n">
        <x:f>IF(AND(INDEX('Сводка'!$T$3:$T$397,U322)=0,INDEX('Сводка'!$T$3:$T$397,V322)=0),1,0)</x:f>
        <x:v>1</x:v>
      </x:c>
      <x:c r="S322" s="9" t="n">
        <x:f>IF(AND(R322=1,O322&lt;=$G$13),1,0)</x:f>
        <x:v>0</x:v>
      </x:c>
      <x:c r="T322" s="10" t="n">
        <x:f>EOMONTH(J322-'Сводка'!$B$11,-1)</x:f>
        <x:v>46142</x:v>
      </x:c>
      <x:c r="U322" s="4" t="n">
        <x:f>MATCH(J322,'Сводка'!$R$3:$R$397,0)</x:f>
        <x:v>333</x:v>
      </x:c>
      <x:c r="V322" s="4" t="n">
        <x:f>MATCH(J322-'Сводка'!$B$11,'Сводка'!$R$3:$R$397,0)</x:f>
        <x:v>332</x:v>
      </x:c>
      <x:c r="W322" s="4" t="n">
        <x:f>MATCH(T322,$J$388:$J$400,0)</x:f>
        <x:v>11</x:v>
      </x:c>
      <x:c r="X322" s="3"/>
      <x:c r="Y322" s="3"/>
      <x:c r="Z322" s="3"/>
    </x:row>
    <x:row r="323" ht="15" customHeight="1">
      <x:c r="A323" s="3"/>
      <x:c r="B323" s="3"/>
      <x:c r="C323" s="3"/>
      <x:c r="D323" s="3"/>
      <x:c r="E323" s="3"/>
      <x:c r="F323" s="3"/>
      <x:c r="G323" s="3"/>
      <x:c r="H323" s="3"/>
      <x:c r="I323" s="3"/>
      <x:c r="J323" s="10" t="n">
        <x:v>46174</x:v>
      </x:c>
      <x:c r="K323" s="8" t="n">
        <x:f>INDEX('Сводка'!$S$3:$S$397,U323)</x:f>
        <x:v>64</x:v>
      </x:c>
      <x:c r="L323" s="8" t="n">
        <x:f>INDEX('Сводка'!$S$3:$S$397,V323)</x:f>
        <x:v>70</x:v>
      </x:c>
      <x:c r="M323" s="8" t="n">
        <x:f>INDEX($K$388:$N$400,W323,1)+INDEX($K$388:$N$400,W323,2)*LN(((J323-$T$405+1)/1000))+INDEX($O$388:$Z$400,W323,MONTH(J323))</x:f>
        <x:v>192.49206192656942</x:v>
      </x:c>
      <x:c r="N323" s="8" t="n">
        <x:f>K323-M323</x:f>
        <x:v>-128.49206192656942</x:v>
      </x:c>
      <x:c r="O323" s="8" t="n">
        <x:f>ABS(N323)</x:f>
        <x:v>128.49206192656942</x:v>
      </x:c>
      <x:c r="P323" s="8" t="n">
        <x:f>N323^2</x:f>
        <x:v>16510.20997814135</x:v>
      </x:c>
      <x:c r="Q323" s="8" t="n">
        <x:f>K323-L323</x:f>
        <x:v>-6</x:v>
      </x:c>
      <x:c r="R323" s="9" t="n">
        <x:f>IF(AND(INDEX('Сводка'!$T$3:$T$397,U323)=0,INDEX('Сводка'!$T$3:$T$397,V323)=0),1,0)</x:f>
        <x:v>1</x:v>
      </x:c>
      <x:c r="S323" s="9" t="n">
        <x:f>IF(AND(R323=1,O323&lt;=$G$13),1,0)</x:f>
        <x:v>0</x:v>
      </x:c>
      <x:c r="T323" s="10" t="n">
        <x:f>EOMONTH(J323-'Сводка'!$B$11,-1)</x:f>
        <x:v>46142</x:v>
      </x:c>
      <x:c r="U323" s="4" t="n">
        <x:f>MATCH(J323,'Сводка'!$R$3:$R$397,0)</x:f>
        <x:v>334</x:v>
      </x:c>
      <x:c r="V323" s="4" t="n">
        <x:f>MATCH(J323-'Сводка'!$B$11,'Сводка'!$R$3:$R$397,0)</x:f>
        <x:v>333</x:v>
      </x:c>
      <x:c r="W323" s="4" t="n">
        <x:f>MATCH(T323,$J$388:$J$400,0)</x:f>
        <x:v>11</x:v>
      </x:c>
      <x:c r="X323" s="3"/>
      <x:c r="Y323" s="3"/>
      <x:c r="Z323" s="3"/>
    </x:row>
    <x:row r="324" ht="15" customHeight="1">
      <x:c r="A324" s="3"/>
      <x:c r="B324" s="3"/>
      <x:c r="C324" s="3"/>
      <x:c r="D324" s="3"/>
      <x:c r="E324" s="3"/>
      <x:c r="F324" s="3"/>
      <x:c r="G324" s="3"/>
      <x:c r="H324" s="3"/>
      <x:c r="I324" s="3"/>
      <x:c r="J324" s="10" t="n">
        <x:v>46175</x:v>
      </x:c>
      <x:c r="K324" s="8" t="n">
        <x:f>INDEX('Сводка'!$S$3:$S$397,U324)</x:f>
        <x:v>62</x:v>
      </x:c>
      <x:c r="L324" s="8" t="n">
        <x:f>INDEX('Сводка'!$S$3:$S$397,V324)</x:f>
        <x:v>64</x:v>
      </x:c>
      <x:c r="M324" s="8" t="n">
        <x:f>INDEX($K$388:$N$400,W324,1)+INDEX($K$388:$N$400,W324,2)*LN(((J324-$T$405+1)/1000))+INDEX($O$388:$Z$400,W324,MONTH(J324))</x:f>
        <x:v>192.30859018879733</x:v>
      </x:c>
      <x:c r="N324" s="8" t="n">
        <x:f>K324-M324</x:f>
        <x:v>-130.30859018879733</x:v>
      </x:c>
      <x:c r="O324" s="8" t="n">
        <x:f>ABS(N324)</x:f>
        <x:v>130.30859018879733</x:v>
      </x:c>
      <x:c r="P324" s="8" t="n">
        <x:f>N324^2</x:f>
        <x:v>16980.328676991925</x:v>
      </x:c>
      <x:c r="Q324" s="8" t="n">
        <x:f>K324-L324</x:f>
        <x:v>-2</x:v>
      </x:c>
      <x:c r="R324" s="9" t="n">
        <x:f>IF(AND(INDEX('Сводка'!$T$3:$T$397,U324)=0,INDEX('Сводка'!$T$3:$T$397,V324)=0),1,0)</x:f>
        <x:v>1</x:v>
      </x:c>
      <x:c r="S324" s="9" t="n">
        <x:f>IF(AND(R324=1,O324&lt;=$G$13),1,0)</x:f>
        <x:v>0</x:v>
      </x:c>
      <x:c r="T324" s="10" t="n">
        <x:f>EOMONTH(J324-'Сводка'!$B$11,-1)</x:f>
        <x:v>46173</x:v>
      </x:c>
      <x:c r="U324" s="4" t="n">
        <x:f>MATCH(J324,'Сводка'!$R$3:$R$397,0)</x:f>
        <x:v>335</x:v>
      </x:c>
      <x:c r="V324" s="4" t="n">
        <x:f>MATCH(J324-'Сводка'!$B$11,'Сводка'!$R$3:$R$397,0)</x:f>
        <x:v>334</x:v>
      </x:c>
      <x:c r="W324" s="4" t="n">
        <x:f>MATCH(T324,$J$388:$J$400,0)</x:f>
        <x:v>12</x:v>
      </x:c>
      <x:c r="X324" s="3"/>
      <x:c r="Y324" s="3"/>
      <x:c r="Z324" s="3"/>
    </x:row>
    <x:row r="325" ht="15" customHeight="1">
      <x:c r="A325" s="3"/>
      <x:c r="B325" s="3"/>
      <x:c r="C325" s="3"/>
      <x:c r="D325" s="3"/>
      <x:c r="E325" s="3"/>
      <x:c r="F325" s="3"/>
      <x:c r="G325" s="3"/>
      <x:c r="H325" s="3"/>
      <x:c r="I325" s="3"/>
      <x:c r="J325" s="10" t="n">
        <x:v>46176</x:v>
      </x:c>
      <x:c r="K325" s="8" t="n">
        <x:f>INDEX('Сводка'!$S$3:$S$397,U325)</x:f>
        <x:v>61</x:v>
      </x:c>
      <x:c r="L325" s="8" t="n">
        <x:f>INDEX('Сводка'!$S$3:$S$397,V325)</x:f>
        <x:v>62</x:v>
      </x:c>
      <x:c r="M325" s="8" t="n">
        <x:f>INDEX($K$388:$N$400,W325,1)+INDEX($K$388:$N$400,W325,2)*LN(((J325-$T$405+1)/1000))+INDEX($O$388:$Z$400,W325,MONTH(J325))</x:f>
        <x:v>192.3142124590015</x:v>
      </x:c>
      <x:c r="N325" s="8" t="n">
        <x:f>K325-M325</x:f>
        <x:v>-131.3142124590015</x:v>
      </x:c>
      <x:c r="O325" s="8" t="n">
        <x:f>ABS(N325)</x:f>
        <x:v>131.3142124590015</x:v>
      </x:c>
      <x:c r="P325" s="8" t="n">
        <x:f>N325^2</x:f>
        <x:v>17243.422393727786</x:v>
      </x:c>
      <x:c r="Q325" s="8" t="n">
        <x:f>K325-L325</x:f>
        <x:v>-1</x:v>
      </x:c>
      <x:c r="R325" s="9" t="n">
        <x:f>IF(AND(INDEX('Сводка'!$T$3:$T$397,U325)=0,INDEX('Сводка'!$T$3:$T$397,V325)=0),1,0)</x:f>
        <x:v>1</x:v>
      </x:c>
      <x:c r="S325" s="9" t="n">
        <x:f>IF(AND(R325=1,O325&lt;=$G$13),1,0)</x:f>
        <x:v>0</x:v>
      </x:c>
      <x:c r="T325" s="10" t="n">
        <x:f>EOMONTH(J325-'Сводка'!$B$11,-1)</x:f>
        <x:v>46173</x:v>
      </x:c>
      <x:c r="U325" s="4" t="n">
        <x:f>MATCH(J325,'Сводка'!$R$3:$R$397,0)</x:f>
        <x:v>336</x:v>
      </x:c>
      <x:c r="V325" s="4" t="n">
        <x:f>MATCH(J325-'Сводка'!$B$11,'Сводка'!$R$3:$R$397,0)</x:f>
        <x:v>335</x:v>
      </x:c>
      <x:c r="W325" s="4" t="n">
        <x:f>MATCH(T325,$J$388:$J$400,0)</x:f>
        <x:v>12</x:v>
      </x:c>
      <x:c r="X325" s="3"/>
      <x:c r="Y325" s="3"/>
      <x:c r="Z325" s="3"/>
    </x:row>
    <x:row r="326" ht="15" customHeight="1">
      <x:c r="A326" s="3"/>
      <x:c r="B326" s="3"/>
      <x:c r="C326" s="3"/>
      <x:c r="D326" s="3"/>
      <x:c r="E326" s="3"/>
      <x:c r="F326" s="3"/>
      <x:c r="G326" s="3"/>
      <x:c r="H326" s="3"/>
      <x:c r="I326" s="3"/>
      <x:c r="J326" s="10" t="n">
        <x:v>46177</x:v>
      </x:c>
      <x:c r="K326" s="8" t="n">
        <x:f>INDEX('Сводка'!$S$3:$S$397,U326)</x:f>
        <x:v>75</x:v>
      </x:c>
      <x:c r="L326" s="8" t="n">
        <x:f>INDEX('Сводка'!$S$3:$S$397,V326)</x:f>
        <x:v>61</x:v>
      </x:c>
      <x:c r="M326" s="8" t="n">
        <x:f>INDEX($K$388:$N$400,W326,1)+INDEX($K$388:$N$400,W326,2)*LN(((J326-$T$405+1)/1000))+INDEX($O$388:$Z$400,W326,MONTH(J326))</x:f>
        <x:v>192.3198340989417</x:v>
      </x:c>
      <x:c r="N326" s="8" t="n">
        <x:f>K326-M326</x:f>
        <x:v>-117.3198340989417</x:v>
      </x:c>
      <x:c r="O326" s="8" t="n">
        <x:f>ABS(N326)</x:f>
        <x:v>117.3198340989417</x:v>
      </x:c>
      <x:c r="P326" s="8" t="n">
        <x:f>N326^2</x:f>
        <x:v>13763.943473003203</x:v>
      </x:c>
      <x:c r="Q326" s="8" t="n">
        <x:f>K326-L326</x:f>
        <x:v>14</x:v>
      </x:c>
      <x:c r="R326" s="9" t="n">
        <x:f>IF(AND(INDEX('Сводка'!$T$3:$T$397,U326)=0,INDEX('Сводка'!$T$3:$T$397,V326)=0),1,0)</x:f>
        <x:v>1</x:v>
      </x:c>
      <x:c r="S326" s="9" t="n">
        <x:f>IF(AND(R326=1,O326&lt;=$G$13),1,0)</x:f>
        <x:v>0</x:v>
      </x:c>
      <x:c r="T326" s="10" t="n">
        <x:f>EOMONTH(J326-'Сводка'!$B$11,-1)</x:f>
        <x:v>46173</x:v>
      </x:c>
      <x:c r="U326" s="4" t="n">
        <x:f>MATCH(J326,'Сводка'!$R$3:$R$397,0)</x:f>
        <x:v>337</x:v>
      </x:c>
      <x:c r="V326" s="4" t="n">
        <x:f>MATCH(J326-'Сводка'!$B$11,'Сводка'!$R$3:$R$397,0)</x:f>
        <x:v>336</x:v>
      </x:c>
      <x:c r="W326" s="4" t="n">
        <x:f>MATCH(T326,$J$388:$J$400,0)</x:f>
        <x:v>12</x:v>
      </x:c>
      <x:c r="X326" s="3"/>
      <x:c r="Y326" s="3"/>
      <x:c r="Z326" s="3"/>
    </x:row>
    <x:row r="327" ht="15" customHeight="1">
      <x:c r="A327" s="3"/>
      <x:c r="B327" s="3"/>
      <x:c r="C327" s="3"/>
      <x:c r="D327" s="3"/>
      <x:c r="E327" s="3"/>
      <x:c r="F327" s="3"/>
      <x:c r="G327" s="3"/>
      <x:c r="H327" s="3"/>
      <x:c r="I327" s="3"/>
      <x:c r="J327" s="10" t="n">
        <x:v>46178</x:v>
      </x:c>
      <x:c r="K327" s="8" t="n">
        <x:f>INDEX('Сводка'!$S$3:$S$397,U327)</x:f>
        <x:v>94</x:v>
      </x:c>
      <x:c r="L327" s="8" t="n">
        <x:f>INDEX('Сводка'!$S$3:$S$397,V327)</x:f>
        <x:v>75</x:v>
      </x:c>
      <x:c r="M327" s="8" t="n">
        <x:f>INDEX($K$388:$N$400,W327,1)+INDEX($K$388:$N$400,W327,2)*LN(((J327-$T$405+1)/1000))+INDEX($O$388:$Z$400,W327,MONTH(J327))</x:f>
        <x:v>192.32545510875917</x:v>
      </x:c>
      <x:c r="N327" s="8" t="n">
        <x:f>K327-M327</x:f>
        <x:v>-98.32545510875917</x:v>
      </x:c>
      <x:c r="O327" s="8" t="n">
        <x:f>ABS(N327)</x:f>
        <x:v>98.32545510875917</x:v>
      </x:c>
      <x:c r="P327" s="8" t="n">
        <x:f>N327^2</x:f>
        <x:v>9667.895122344615</x:v>
      </x:c>
      <x:c r="Q327" s="8" t="n">
        <x:f>K327-L327</x:f>
        <x:v>19</x:v>
      </x:c>
      <x:c r="R327" s="9" t="n">
        <x:f>IF(AND(INDEX('Сводка'!$T$3:$T$397,U327)=0,INDEX('Сводка'!$T$3:$T$397,V327)=0),1,0)</x:f>
        <x:v>1</x:v>
      </x:c>
      <x:c r="S327" s="9" t="n">
        <x:f>IF(AND(R327=1,O327&lt;=$G$13),1,0)</x:f>
        <x:v>0</x:v>
      </x:c>
      <x:c r="T327" s="10" t="n">
        <x:f>EOMONTH(J327-'Сводка'!$B$11,-1)</x:f>
        <x:v>46173</x:v>
      </x:c>
      <x:c r="U327" s="4" t="n">
        <x:f>MATCH(J327,'Сводка'!$R$3:$R$397,0)</x:f>
        <x:v>338</x:v>
      </x:c>
      <x:c r="V327" s="4" t="n">
        <x:f>MATCH(J327-'Сводка'!$B$11,'Сводка'!$R$3:$R$397,0)</x:f>
        <x:v>337</x:v>
      </x:c>
      <x:c r="W327" s="4" t="n">
        <x:f>MATCH(T327,$J$388:$J$400,0)</x:f>
        <x:v>12</x:v>
      </x:c>
      <x:c r="X327" s="3"/>
      <x:c r="Y327" s="3"/>
      <x:c r="Z327" s="3"/>
    </x:row>
    <x:row r="328" ht="15" customHeight="1">
      <x:c r="A328" s="3"/>
      <x:c r="B328" s="3"/>
      <x:c r="C328" s="3"/>
      <x:c r="D328" s="3"/>
      <x:c r="E328" s="3"/>
      <x:c r="F328" s="3"/>
      <x:c r="G328" s="3"/>
      <x:c r="H328" s="3"/>
      <x:c r="I328" s="3"/>
      <x:c r="J328" s="10" t="n">
        <x:v>46179</x:v>
      </x:c>
      <x:c r="K328" s="8" t="n">
        <x:f>INDEX('Сводка'!$S$3:$S$397,U328)</x:f>
        <x:v>116</x:v>
      </x:c>
      <x:c r="L328" s="8" t="n">
        <x:f>INDEX('Сводка'!$S$3:$S$397,V328)</x:f>
        <x:v>94</x:v>
      </x:c>
      <x:c r="M328" s="8" t="n">
        <x:f>INDEX($K$388:$N$400,W328,1)+INDEX($K$388:$N$400,W328,2)*LN(((J328-$T$405+1)/1000))+INDEX($O$388:$Z$400,W328,MONTH(J328))</x:f>
        <x:v>192.33107548859513</x:v>
      </x:c>
      <x:c r="N328" s="8" t="n">
        <x:f>K328-M328</x:f>
        <x:v>-76.33107548859513</x:v>
      </x:c>
      <x:c r="O328" s="8" t="n">
        <x:f>ABS(N328)</x:f>
        <x:v>76.33107548859513</x:v>
      </x:c>
      <x:c r="P328" s="8" t="n">
        <x:f>N328^2</x:f>
        <x:v>5826.433085245609</x:v>
      </x:c>
      <x:c r="Q328" s="8" t="n">
        <x:f>K328-L328</x:f>
        <x:v>22</x:v>
      </x:c>
      <x:c r="R328" s="9" t="n">
        <x:f>IF(AND(INDEX('Сводка'!$T$3:$T$397,U328)=0,INDEX('Сводка'!$T$3:$T$397,V328)=0),1,0)</x:f>
        <x:v>1</x:v>
      </x:c>
      <x:c r="S328" s="9" t="n">
        <x:f>IF(AND(R328=1,O328&lt;=$G$13),1,0)</x:f>
        <x:v>0</x:v>
      </x:c>
      <x:c r="T328" s="10" t="n">
        <x:f>EOMONTH(J328-'Сводка'!$B$11,-1)</x:f>
        <x:v>46173</x:v>
      </x:c>
      <x:c r="U328" s="4" t="n">
        <x:f>MATCH(J328,'Сводка'!$R$3:$R$397,0)</x:f>
        <x:v>339</x:v>
      </x:c>
      <x:c r="V328" s="4" t="n">
        <x:f>MATCH(J328-'Сводка'!$B$11,'Сводка'!$R$3:$R$397,0)</x:f>
        <x:v>338</x:v>
      </x:c>
      <x:c r="W328" s="4" t="n">
        <x:f>MATCH(T328,$J$388:$J$400,0)</x:f>
        <x:v>12</x:v>
      </x:c>
      <x:c r="X328" s="3"/>
      <x:c r="Y328" s="3"/>
      <x:c r="Z328" s="3"/>
    </x:row>
    <x:row r="329" ht="15" customHeight="1">
      <x:c r="A329" s="3"/>
      <x:c r="B329" s="3"/>
      <x:c r="C329" s="3"/>
      <x:c r="D329" s="3"/>
      <x:c r="E329" s="3"/>
      <x:c r="F329" s="3"/>
      <x:c r="G329" s="3"/>
      <x:c r="H329" s="3"/>
      <x:c r="I329" s="3"/>
      <x:c r="J329" s="10" t="n">
        <x:v>46180</x:v>
      </x:c>
      <x:c r="K329" s="8" t="n">
        <x:f>INDEX('Сводка'!$S$3:$S$397,U329)</x:f>
        <x:v>128</x:v>
      </x:c>
      <x:c r="L329" s="8" t="n">
        <x:f>INDEX('Сводка'!$S$3:$S$397,V329)</x:f>
        <x:v>116</x:v>
      </x:c>
      <x:c r="M329" s="8" t="n">
        <x:f>INDEX($K$388:$N$400,W329,1)+INDEX($K$388:$N$400,W329,2)*LN(((J329-$T$405+1)/1000))+INDEX($O$388:$Z$400,W329,MONTH(J329))</x:f>
        <x:v>192.3366952385908</x:v>
      </x:c>
      <x:c r="N329" s="8" t="n">
        <x:f>K329-M329</x:f>
        <x:v>-64.3366952385908</x:v>
      </x:c>
      <x:c r="O329" s="8" t="n">
        <x:f>ABS(N329)</x:f>
        <x:v>64.3366952385908</x:v>
      </x:c>
      <x:c r="P329" s="8" t="n">
        <x:f>N329^2</x:f>
        <x:v>4139.210354223313</x:v>
      </x:c>
      <x:c r="Q329" s="8" t="n">
        <x:f>K329-L329</x:f>
        <x:v>12</x:v>
      </x:c>
      <x:c r="R329" s="9" t="n">
        <x:f>IF(AND(INDEX('Сводка'!$T$3:$T$397,U329)=0,INDEX('Сводка'!$T$3:$T$397,V329)=0),1,0)</x:f>
        <x:v>1</x:v>
      </x:c>
      <x:c r="S329" s="9" t="n">
        <x:f>IF(AND(R329=1,O329&lt;=$G$13),1,0)</x:f>
        <x:v>0</x:v>
      </x:c>
      <x:c r="T329" s="10" t="n">
        <x:f>EOMONTH(J329-'Сводка'!$B$11,-1)</x:f>
        <x:v>46173</x:v>
      </x:c>
      <x:c r="U329" s="4" t="n">
        <x:f>MATCH(J329,'Сводка'!$R$3:$R$397,0)</x:f>
        <x:v>340</x:v>
      </x:c>
      <x:c r="V329" s="4" t="n">
        <x:f>MATCH(J329-'Сводка'!$B$11,'Сводка'!$R$3:$R$397,0)</x:f>
        <x:v>339</x:v>
      </x:c>
      <x:c r="W329" s="4" t="n">
        <x:f>MATCH(T329,$J$388:$J$400,0)</x:f>
        <x:v>12</x:v>
      </x:c>
      <x:c r="X329" s="3"/>
      <x:c r="Y329" s="3"/>
      <x:c r="Z329" s="3"/>
    </x:row>
    <x:row r="330" ht="15" customHeight="1">
      <x:c r="A330" s="3"/>
      <x:c r="B330" s="3"/>
      <x:c r="C330" s="3"/>
      <x:c r="D330" s="3"/>
      <x:c r="E330" s="3"/>
      <x:c r="F330" s="3"/>
      <x:c r="G330" s="3"/>
      <x:c r="H330" s="3"/>
      <x:c r="I330" s="3"/>
      <x:c r="J330" s="10" t="n">
        <x:v>46181</x:v>
      </x:c>
      <x:c r="K330" s="8" t="n">
        <x:f>INDEX('Сводка'!$S$3:$S$397,U330)</x:f>
        <x:v>132</x:v>
      </x:c>
      <x:c r="L330" s="8" t="n">
        <x:f>INDEX('Сводка'!$S$3:$S$397,V330)</x:f>
        <x:v>128</x:v>
      </x:c>
      <x:c r="M330" s="8" t="n">
        <x:f>INDEX($K$388:$N$400,W330,1)+INDEX($K$388:$N$400,W330,2)*LN(((J330-$T$405+1)/1000))+INDEX($O$388:$Z$400,W330,MONTH(J330))</x:f>
        <x:v>192.34231435888734</x:v>
      </x:c>
      <x:c r="N330" s="8" t="n">
        <x:f>K330-M330</x:f>
        <x:v>-60.342314358887336</x:v>
      </x:c>
      <x:c r="O330" s="8" t="n">
        <x:f>ABS(N330)</x:f>
        <x:v>60.342314358887336</x:v>
      </x:c>
      <x:c r="P330" s="8" t="n">
        <x:f>N330^2</x:f>
        <x:v>3641.194902186781</x:v>
      </x:c>
      <x:c r="Q330" s="8" t="n">
        <x:f>K330-L330</x:f>
        <x:v>4</x:v>
      </x:c>
      <x:c r="R330" s="9" t="n">
        <x:f>IF(AND(INDEX('Сводка'!$T$3:$T$397,U330)=0,INDEX('Сводка'!$T$3:$T$397,V330)=0),1,0)</x:f>
        <x:v>1</x:v>
      </x:c>
      <x:c r="S330" s="9" t="n">
        <x:f>IF(AND(R330=1,O330&lt;=$G$13),1,0)</x:f>
        <x:v>0</x:v>
      </x:c>
      <x:c r="T330" s="10" t="n">
        <x:f>EOMONTH(J330-'Сводка'!$B$11,-1)</x:f>
        <x:v>46173</x:v>
      </x:c>
      <x:c r="U330" s="4" t="n">
        <x:f>MATCH(J330,'Сводка'!$R$3:$R$397,0)</x:f>
        <x:v>341</x:v>
      </x:c>
      <x:c r="V330" s="4" t="n">
        <x:f>MATCH(J330-'Сводка'!$B$11,'Сводка'!$R$3:$R$397,0)</x:f>
        <x:v>340</x:v>
      </x:c>
      <x:c r="W330" s="4" t="n">
        <x:f>MATCH(T330,$J$388:$J$400,0)</x:f>
        <x:v>12</x:v>
      </x:c>
      <x:c r="X330" s="3"/>
      <x:c r="Y330" s="3"/>
      <x:c r="Z330" s="3"/>
    </x:row>
    <x:row r="331" ht="15" customHeight="1">
      <x:c r="A331" s="3"/>
      <x:c r="B331" s="3"/>
      <x:c r="C331" s="3"/>
      <x:c r="D331" s="3"/>
      <x:c r="E331" s="3"/>
      <x:c r="F331" s="3"/>
      <x:c r="G331" s="3"/>
      <x:c r="H331" s="3"/>
      <x:c r="I331" s="3"/>
      <x:c r="J331" s="10" t="n">
        <x:v>46182</x:v>
      </x:c>
      <x:c r="K331" s="8" t="n">
        <x:f>INDEX('Сводка'!$S$3:$S$397,U331)</x:f>
        <x:v>131</x:v>
      </x:c>
      <x:c r="L331" s="8" t="n">
        <x:f>INDEX('Сводка'!$S$3:$S$397,V331)</x:f>
        <x:v>132</x:v>
      </x:c>
      <x:c r="M331" s="8" t="n">
        <x:f>INDEX($K$388:$N$400,W331,1)+INDEX($K$388:$N$400,W331,2)*LN(((J331-$T$405+1)/1000))+INDEX($O$388:$Z$400,W331,MONTH(J331))</x:f>
        <x:v>192.3479328496258</x:v>
      </x:c>
      <x:c r="N331" s="8" t="n">
        <x:f>K331-M331</x:f>
        <x:v>-61.347932849625806</x:v>
      </x:c>
      <x:c r="O331" s="8" t="n">
        <x:f>ABS(N331)</x:f>
        <x:v>61.347932849625806</x:v>
      </x:c>
      <x:c r="P331" s="8" t="n">
        <x:f>N331^2</x:f>
        <x:v>3763.568864922197</x:v>
      </x:c>
      <x:c r="Q331" s="8" t="n">
        <x:f>K331-L331</x:f>
        <x:v>-1</x:v>
      </x:c>
      <x:c r="R331" s="9" t="n">
        <x:f>IF(AND(INDEX('Сводка'!$T$3:$T$397,U331)=0,INDEX('Сводка'!$T$3:$T$397,V331)=0),1,0)</x:f>
        <x:v>1</x:v>
      </x:c>
      <x:c r="S331" s="9" t="n">
        <x:f>IF(AND(R331=1,O331&lt;=$G$13),1,0)</x:f>
        <x:v>0</x:v>
      </x:c>
      <x:c r="T331" s="10" t="n">
        <x:f>EOMONTH(J331-'Сводка'!$B$11,-1)</x:f>
        <x:v>46173</x:v>
      </x:c>
      <x:c r="U331" s="4" t="n">
        <x:f>MATCH(J331,'Сводка'!$R$3:$R$397,0)</x:f>
        <x:v>342</x:v>
      </x:c>
      <x:c r="V331" s="4" t="n">
        <x:f>MATCH(J331-'Сводка'!$B$11,'Сводка'!$R$3:$R$397,0)</x:f>
        <x:v>341</x:v>
      </x:c>
      <x:c r="W331" s="4" t="n">
        <x:f>MATCH(T331,$J$388:$J$400,0)</x:f>
        <x:v>12</x:v>
      </x:c>
      <x:c r="X331" s="3"/>
      <x:c r="Y331" s="3"/>
      <x:c r="Z331" s="3"/>
    </x:row>
    <x:row r="332" ht="15" customHeight="1">
      <x:c r="A332" s="3"/>
      <x:c r="B332" s="3"/>
      <x:c r="C332" s="3"/>
      <x:c r="D332" s="3"/>
      <x:c r="E332" s="3"/>
      <x:c r="F332" s="3"/>
      <x:c r="G332" s="3"/>
      <x:c r="H332" s="3"/>
      <x:c r="I332" s="3"/>
      <x:c r="J332" s="10" t="n">
        <x:v>46183</x:v>
      </x:c>
      <x:c r="K332" s="8" t="n">
        <x:f>INDEX('Сводка'!$S$3:$S$397,U332)</x:f>
        <x:v>128</x:v>
      </x:c>
      <x:c r="L332" s="8" t="n">
        <x:f>INDEX('Сводка'!$S$3:$S$397,V332)</x:f>
        <x:v>131</x:v>
      </x:c>
      <x:c r="M332" s="8" t="n">
        <x:f>INDEX($K$388:$N$400,W332,1)+INDEX($K$388:$N$400,W332,2)*LN(((J332-$T$405+1)/1000))+INDEX($O$388:$Z$400,W332,MONTH(J332))</x:f>
        <x:v>192.35355071094733</x:v>
      </x:c>
      <x:c r="N332" s="8" t="n">
        <x:f>K332-M332</x:f>
        <x:v>-64.35355071094733</x:v>
      </x:c>
      <x:c r="O332" s="8" t="n">
        <x:f>ABS(N332)</x:f>
        <x:v>64.35355071094733</x:v>
      </x:c>
      <x:c r="P332" s="8" t="n">
        <x:f>N332^2</x:f>
        <x:v>4141.37948910647</x:v>
      </x:c>
      <x:c r="Q332" s="8" t="n">
        <x:f>K332-L332</x:f>
        <x:v>-3</x:v>
      </x:c>
      <x:c r="R332" s="9" t="n">
        <x:f>IF(AND(INDEX('Сводка'!$T$3:$T$397,U332)=0,INDEX('Сводка'!$T$3:$T$397,V332)=0),1,0)</x:f>
        <x:v>1</x:v>
      </x:c>
      <x:c r="S332" s="9" t="n">
        <x:f>IF(AND(R332=1,O332&lt;=$G$13),1,0)</x:f>
        <x:v>0</x:v>
      </x:c>
      <x:c r="T332" s="10" t="n">
        <x:f>EOMONTH(J332-'Сводка'!$B$11,-1)</x:f>
        <x:v>46173</x:v>
      </x:c>
      <x:c r="U332" s="4" t="n">
        <x:f>MATCH(J332,'Сводка'!$R$3:$R$397,0)</x:f>
        <x:v>343</x:v>
      </x:c>
      <x:c r="V332" s="4" t="n">
        <x:f>MATCH(J332-'Сводка'!$B$11,'Сводка'!$R$3:$R$397,0)</x:f>
        <x:v>342</x:v>
      </x:c>
      <x:c r="W332" s="4" t="n">
        <x:f>MATCH(T332,$J$388:$J$400,0)</x:f>
        <x:v>12</x:v>
      </x:c>
      <x:c r="X332" s="3"/>
      <x:c r="Y332" s="3"/>
      <x:c r="Z332" s="3"/>
    </x:row>
    <x:row r="333" ht="15" customHeight="1">
      <x:c r="A333" s="3"/>
      <x:c r="B333" s="3"/>
      <x:c r="C333" s="3"/>
      <x:c r="D333" s="3"/>
      <x:c r="E333" s="3"/>
      <x:c r="F333" s="3"/>
      <x:c r="G333" s="3"/>
      <x:c r="H333" s="3"/>
      <x:c r="I333" s="3"/>
      <x:c r="J333" s="10" t="n">
        <x:v>46184</x:v>
      </x:c>
      <x:c r="K333" s="8" t="n">
        <x:f>INDEX('Сводка'!$S$3:$S$397,U333)</x:f>
        <x:v>128</x:v>
      </x:c>
      <x:c r="L333" s="8" t="n">
        <x:f>INDEX('Сводка'!$S$3:$S$397,V333)</x:f>
        <x:v>128</x:v>
      </x:c>
      <x:c r="M333" s="8" t="n">
        <x:f>INDEX($K$388:$N$400,W333,1)+INDEX($K$388:$N$400,W333,2)*LN(((J333-$T$405+1)/1000))+INDEX($O$388:$Z$400,W333,MONTH(J333))</x:f>
        <x:v>192.35916794299283</x:v>
      </x:c>
      <x:c r="N333" s="8" t="n">
        <x:f>K333-M333</x:f>
        <x:v>-64.35916794299283</x:v>
      </x:c>
      <x:c r="O333" s="8" t="n">
        <x:f>ABS(N333)</x:f>
        <x:v>64.35916794299283</x:v>
      </x:c>
      <x:c r="P333" s="8" t="n">
        <x:f>N333^2</x:f>
        <x:v>4142.102498314355</x:v>
      </x:c>
      <x:c r="Q333" s="8" t="n">
        <x:f>K333-L333</x:f>
        <x:v>0</x:v>
      </x:c>
      <x:c r="R333" s="9" t="n">
        <x:f>IF(AND(INDEX('Сводка'!$T$3:$T$397,U333)=0,INDEX('Сводка'!$T$3:$T$397,V333)=0),1,0)</x:f>
        <x:v>1</x:v>
      </x:c>
      <x:c r="S333" s="9" t="n">
        <x:f>IF(AND(R333=1,O333&lt;=$G$13),1,0)</x:f>
        <x:v>0</x:v>
      </x:c>
      <x:c r="T333" s="10" t="n">
        <x:f>EOMONTH(J333-'Сводка'!$B$11,-1)</x:f>
        <x:v>46173</x:v>
      </x:c>
      <x:c r="U333" s="4" t="n">
        <x:f>MATCH(J333,'Сводка'!$R$3:$R$397,0)</x:f>
        <x:v>344</x:v>
      </x:c>
      <x:c r="V333" s="4" t="n">
        <x:f>MATCH(J333-'Сводка'!$B$11,'Сводка'!$R$3:$R$397,0)</x:f>
        <x:v>343</x:v>
      </x:c>
      <x:c r="W333" s="4" t="n">
        <x:f>MATCH(T333,$J$388:$J$400,0)</x:f>
        <x:v>12</x:v>
      </x:c>
      <x:c r="X333" s="3"/>
      <x:c r="Y333" s="3"/>
      <x:c r="Z333" s="3"/>
    </x:row>
    <x:row r="334" ht="15" customHeight="1">
      <x:c r="A334" s="3"/>
      <x:c r="B334" s="3"/>
      <x:c r="C334" s="3"/>
      <x:c r="D334" s="3"/>
      <x:c r="E334" s="3"/>
      <x:c r="F334" s="3"/>
      <x:c r="G334" s="3"/>
      <x:c r="H334" s="3"/>
      <x:c r="I334" s="3"/>
      <x:c r="J334" s="10" t="n">
        <x:v>46185</x:v>
      </x:c>
      <x:c r="K334" s="8" t="n">
        <x:f>INDEX('Сводка'!$S$3:$S$397,U334)</x:f>
        <x:v>123</x:v>
      </x:c>
      <x:c r="L334" s="8" t="n">
        <x:f>INDEX('Сводка'!$S$3:$S$397,V334)</x:f>
        <x:v>128</x:v>
      </x:c>
      <x:c r="M334" s="8" t="n">
        <x:f>INDEX($K$388:$N$400,W334,1)+INDEX($K$388:$N$400,W334,2)*LN(((J334-$T$405+1)/1000))+INDEX($O$388:$Z$400,W334,MONTH(J334))</x:f>
        <x:v>192.36478454590332</x:v>
      </x:c>
      <x:c r="N334" s="8" t="n">
        <x:f>K334-M334</x:f>
        <x:v>-69.36478454590332</x:v>
      </x:c>
      <x:c r="O334" s="8" t="n">
        <x:f>ABS(N334)</x:f>
        <x:v>69.36478454590332</x:v>
      </x:c>
      <x:c r="P334" s="8" t="n">
        <x:f>N334^2</x:f>
        <x:v>4811.4733350995875</x:v>
      </x:c>
      <x:c r="Q334" s="8" t="n">
        <x:f>K334-L334</x:f>
        <x:v>-5</x:v>
      </x:c>
      <x:c r="R334" s="9" t="n">
        <x:f>IF(AND(INDEX('Сводка'!$T$3:$T$397,U334)=0,INDEX('Сводка'!$T$3:$T$397,V334)=0),1,0)</x:f>
        <x:v>1</x:v>
      </x:c>
      <x:c r="S334" s="9" t="n">
        <x:f>IF(AND(R334=1,O334&lt;=$G$13),1,0)</x:f>
        <x:v>0</x:v>
      </x:c>
      <x:c r="T334" s="10" t="n">
        <x:f>EOMONTH(J334-'Сводка'!$B$11,-1)</x:f>
        <x:v>46173</x:v>
      </x:c>
      <x:c r="U334" s="4" t="n">
        <x:f>MATCH(J334,'Сводка'!$R$3:$R$397,0)</x:f>
        <x:v>345</x:v>
      </x:c>
      <x:c r="V334" s="4" t="n">
        <x:f>MATCH(J334-'Сводка'!$B$11,'Сводка'!$R$3:$R$397,0)</x:f>
        <x:v>344</x:v>
      </x:c>
      <x:c r="W334" s="4" t="n">
        <x:f>MATCH(T334,$J$388:$J$400,0)</x:f>
        <x:v>12</x:v>
      </x:c>
      <x:c r="X334" s="3"/>
      <x:c r="Y334" s="3"/>
      <x:c r="Z334" s="3"/>
    </x:row>
    <x:row r="335" ht="15" customHeight="1">
      <x:c r="A335" s="3"/>
      <x:c r="B335" s="3"/>
      <x:c r="C335" s="3"/>
      <x:c r="D335" s="3"/>
      <x:c r="E335" s="3"/>
      <x:c r="F335" s="3"/>
      <x:c r="G335" s="3"/>
      <x:c r="H335" s="3"/>
      <x:c r="I335" s="3"/>
      <x:c r="J335" s="10" t="n">
        <x:v>46186</x:v>
      </x:c>
      <x:c r="K335" s="8" t="n">
        <x:f>INDEX('Сводка'!$S$3:$S$397,U335)</x:f>
        <x:v>128</x:v>
      </x:c>
      <x:c r="L335" s="8" t="n">
        <x:f>INDEX('Сводка'!$S$3:$S$397,V335)</x:f>
        <x:v>123</x:v>
      </x:c>
      <x:c r="M335" s="8" t="n">
        <x:f>INDEX($K$388:$N$400,W335,1)+INDEX($K$388:$N$400,W335,2)*LN(((J335-$T$405+1)/1000))+INDEX($O$388:$Z$400,W335,MONTH(J335))</x:f>
        <x:v>192.37040051981973</x:v>
      </x:c>
      <x:c r="N335" s="8" t="n">
        <x:f>K335-M335</x:f>
        <x:v>-64.37040051981973</x:v>
      </x:c>
      <x:c r="O335" s="8" t="n">
        <x:f>ABS(N335)</x:f>
        <x:v>64.37040051981973</x:v>
      </x:c>
      <x:c r="P335" s="8" t="n">
        <x:f>N335^2</x:f>
        <x:v>4143.548463082007</x:v>
      </x:c>
      <x:c r="Q335" s="8" t="n">
        <x:f>K335-L335</x:f>
        <x:v>5</x:v>
      </x:c>
      <x:c r="R335" s="9" t="n">
        <x:f>IF(AND(INDEX('Сводка'!$T$3:$T$397,U335)=0,INDEX('Сводка'!$T$3:$T$397,V335)=0),1,0)</x:f>
        <x:v>1</x:v>
      </x:c>
      <x:c r="S335" s="9" t="n">
        <x:f>IF(AND(R335=1,O335&lt;=$G$13),1,0)</x:f>
        <x:v>0</x:v>
      </x:c>
      <x:c r="T335" s="10" t="n">
        <x:f>EOMONTH(J335-'Сводка'!$B$11,-1)</x:f>
        <x:v>46173</x:v>
      </x:c>
      <x:c r="U335" s="4" t="n">
        <x:f>MATCH(J335,'Сводка'!$R$3:$R$397,0)</x:f>
        <x:v>346</x:v>
      </x:c>
      <x:c r="V335" s="4" t="n">
        <x:f>MATCH(J335-'Сводка'!$B$11,'Сводка'!$R$3:$R$397,0)</x:f>
        <x:v>345</x:v>
      </x:c>
      <x:c r="W335" s="4" t="n">
        <x:f>MATCH(T335,$J$388:$J$400,0)</x:f>
        <x:v>12</x:v>
      </x:c>
      <x:c r="X335" s="3"/>
      <x:c r="Y335" s="3"/>
      <x:c r="Z335" s="3"/>
    </x:row>
    <x:row r="336" ht="15" customHeight="1">
      <x:c r="A336" s="3"/>
      <x:c r="B336" s="3"/>
      <x:c r="C336" s="3"/>
      <x:c r="D336" s="3"/>
      <x:c r="E336" s="3"/>
      <x:c r="F336" s="3"/>
      <x:c r="G336" s="3"/>
      <x:c r="H336" s="3"/>
      <x:c r="I336" s="3"/>
      <x:c r="J336" s="10" t="n">
        <x:v>46187</x:v>
      </x:c>
      <x:c r="K336" s="8" t="n">
        <x:f>INDEX('Сводка'!$S$3:$S$397,U336)</x:f>
        <x:v>138</x:v>
      </x:c>
      <x:c r="L336" s="8" t="n">
        <x:f>INDEX('Сводка'!$S$3:$S$397,V336)</x:f>
        <x:v>128</x:v>
      </x:c>
      <x:c r="M336" s="8" t="n">
        <x:f>INDEX($K$388:$N$400,W336,1)+INDEX($K$388:$N$400,W336,2)*LN(((J336-$T$405+1)/1000))+INDEX($O$388:$Z$400,W336,MONTH(J336))</x:f>
        <x:v>192.37601586488285</x:v>
      </x:c>
      <x:c r="N336" s="8" t="n">
        <x:f>K336-M336</x:f>
        <x:v>-54.376015864882845</x:v>
      </x:c>
      <x:c r="O336" s="8" t="n">
        <x:f>ABS(N336)</x:f>
        <x:v>54.376015864882845</x:v>
      </x:c>
      <x:c r="P336" s="8" t="n">
        <x:f>N336^2</x:f>
        <x:v>2956.751101337991</x:v>
      </x:c>
      <x:c r="Q336" s="8" t="n">
        <x:f>K336-L336</x:f>
        <x:v>10</x:v>
      </x:c>
      <x:c r="R336" s="9" t="n">
        <x:f>IF(AND(INDEX('Сводка'!$T$3:$T$397,U336)=0,INDEX('Сводка'!$T$3:$T$397,V336)=0),1,0)</x:f>
        <x:v>1</x:v>
      </x:c>
      <x:c r="S336" s="9" t="n">
        <x:f>IF(AND(R336=1,O336&lt;=$G$13),1,0)</x:f>
        <x:v>0</x:v>
      </x:c>
      <x:c r="T336" s="10" t="n">
        <x:f>EOMONTH(J336-'Сводка'!$B$11,-1)</x:f>
        <x:v>46173</x:v>
      </x:c>
      <x:c r="U336" s="4" t="n">
        <x:f>MATCH(J336,'Сводка'!$R$3:$R$397,0)</x:f>
        <x:v>347</x:v>
      </x:c>
      <x:c r="V336" s="4" t="n">
        <x:f>MATCH(J336-'Сводка'!$B$11,'Сводка'!$R$3:$R$397,0)</x:f>
        <x:v>346</x:v>
      </x:c>
      <x:c r="W336" s="4" t="n">
        <x:f>MATCH(T336,$J$388:$J$400,0)</x:f>
        <x:v>12</x:v>
      </x:c>
      <x:c r="X336" s="3"/>
      <x:c r="Y336" s="3"/>
      <x:c r="Z336" s="3"/>
    </x:row>
    <x:row r="337" ht="15" customHeight="1">
      <x:c r="A337" s="3"/>
      <x:c r="B337" s="3"/>
      <x:c r="C337" s="3"/>
      <x:c r="D337" s="3"/>
      <x:c r="E337" s="3"/>
      <x:c r="F337" s="3"/>
      <x:c r="G337" s="3"/>
      <x:c r="H337" s="3"/>
      <x:c r="I337" s="3"/>
      <x:c r="J337" s="10" t="n">
        <x:v>46188</x:v>
      </x:c>
      <x:c r="K337" s="8" t="n">
        <x:f>INDEX('Сводка'!$S$3:$S$397,U337)</x:f>
        <x:v>147</x:v>
      </x:c>
      <x:c r="L337" s="8" t="n">
        <x:f>INDEX('Сводка'!$S$3:$S$397,V337)</x:f>
        <x:v>138</x:v>
      </x:c>
      <x:c r="M337" s="8" t="n">
        <x:f>INDEX($K$388:$N$400,W337,1)+INDEX($K$388:$N$400,W337,2)*LN(((J337-$T$405+1)/1000))+INDEX($O$388:$Z$400,W337,MONTH(J337))</x:f>
        <x:v>192.38163058123354</x:v>
      </x:c>
      <x:c r="N337" s="8" t="n">
        <x:f>K337-M337</x:f>
        <x:v>-45.38163058123354</x:v>
      </x:c>
      <x:c r="O337" s="8" t="n">
        <x:f>ABS(N337)</x:f>
        <x:v>45.38163058123354</x:v>
      </x:c>
      <x:c r="P337" s="8" t="n">
        <x:f>N337^2</x:f>
        <x:v>2059.492394211551</x:v>
      </x:c>
      <x:c r="Q337" s="8" t="n">
        <x:f>K337-L337</x:f>
        <x:v>9</x:v>
      </x:c>
      <x:c r="R337" s="9" t="n">
        <x:f>IF(AND(INDEX('Сводка'!$T$3:$T$397,U337)=0,INDEX('Сводка'!$T$3:$T$397,V337)=0),1,0)</x:f>
        <x:v>1</x:v>
      </x:c>
      <x:c r="S337" s="9" t="n">
        <x:f>IF(AND(R337=1,O337&lt;=$G$13),1,0)</x:f>
        <x:v>0</x:v>
      </x:c>
      <x:c r="T337" s="10" t="n">
        <x:f>EOMONTH(J337-'Сводка'!$B$11,-1)</x:f>
        <x:v>46173</x:v>
      </x:c>
      <x:c r="U337" s="4" t="n">
        <x:f>MATCH(J337,'Сводка'!$R$3:$R$397,0)</x:f>
        <x:v>348</x:v>
      </x:c>
      <x:c r="V337" s="4" t="n">
        <x:f>MATCH(J337-'Сводка'!$B$11,'Сводка'!$R$3:$R$397,0)</x:f>
        <x:v>347</x:v>
      </x:c>
      <x:c r="W337" s="4" t="n">
        <x:f>MATCH(T337,$J$388:$J$400,0)</x:f>
        <x:v>12</x:v>
      </x:c>
      <x:c r="X337" s="3"/>
      <x:c r="Y337" s="3"/>
      <x:c r="Z337" s="3"/>
    </x:row>
    <x:row r="338" ht="15" customHeight="1">
      <x:c r="A338" s="3"/>
      <x:c r="B338" s="3"/>
      <x:c r="C338" s="3"/>
      <x:c r="D338" s="3"/>
      <x:c r="E338" s="3"/>
      <x:c r="F338" s="3"/>
      <x:c r="G338" s="3"/>
      <x:c r="H338" s="3"/>
      <x:c r="I338" s="3"/>
      <x:c r="J338" s="10" t="n">
        <x:v>46189</x:v>
      </x:c>
      <x:c r="K338" s="8" t="n">
        <x:f>INDEX('Сводка'!$S$3:$S$397,U338)</x:f>
        <x:v>154</x:v>
      </x:c>
      <x:c r="L338" s="8" t="n">
        <x:f>INDEX('Сводка'!$S$3:$S$397,V338)</x:f>
        <x:v>147</x:v>
      </x:c>
      <x:c r="M338" s="8" t="n">
        <x:f>INDEX($K$388:$N$400,W338,1)+INDEX($K$388:$N$400,W338,2)*LN(((J338-$T$405+1)/1000))+INDEX($O$388:$Z$400,W338,MONTH(J338))</x:f>
        <x:v>192.3872446690126</x:v>
      </x:c>
      <x:c r="N338" s="8" t="n">
        <x:f>K338-M338</x:f>
        <x:v>-38.3872446690126</x:v>
      </x:c>
      <x:c r="O338" s="8" t="n">
        <x:f>ABS(N338)</x:f>
        <x:v>38.3872446690126</x:v>
      </x:c>
      <x:c r="P338" s="8" t="n">
        <x:f>N338^2</x:f>
        <x:v>1473.5805532786364</x:v>
      </x:c>
      <x:c r="Q338" s="8" t="n">
        <x:f>K338-L338</x:f>
        <x:v>7</x:v>
      </x:c>
      <x:c r="R338" s="9" t="n">
        <x:f>IF(AND(INDEX('Сводка'!$T$3:$T$397,U338)=0,INDEX('Сводка'!$T$3:$T$397,V338)=0),1,0)</x:f>
        <x:v>1</x:v>
      </x:c>
      <x:c r="S338" s="9" t="n">
        <x:f>IF(AND(R338=1,O338&lt;=$G$13),1,0)</x:f>
        <x:v>0</x:v>
      </x:c>
      <x:c r="T338" s="10" t="n">
        <x:f>EOMONTH(J338-'Сводка'!$B$11,-1)</x:f>
        <x:v>46173</x:v>
      </x:c>
      <x:c r="U338" s="4" t="n">
        <x:f>MATCH(J338,'Сводка'!$R$3:$R$397,0)</x:f>
        <x:v>349</x:v>
      </x:c>
      <x:c r="V338" s="4" t="n">
        <x:f>MATCH(J338-'Сводка'!$B$11,'Сводка'!$R$3:$R$397,0)</x:f>
        <x:v>348</x:v>
      </x:c>
      <x:c r="W338" s="4" t="n">
        <x:f>MATCH(T338,$J$388:$J$400,0)</x:f>
        <x:v>12</x:v>
      </x:c>
      <x:c r="X338" s="3"/>
      <x:c r="Y338" s="3"/>
      <x:c r="Z338" s="3"/>
    </x:row>
    <x:row r="339" ht="15" customHeight="1">
      <x:c r="A339" s="3"/>
      <x:c r="B339" s="3"/>
      <x:c r="C339" s="3"/>
      <x:c r="D339" s="3"/>
      <x:c r="E339" s="3"/>
      <x:c r="F339" s="3"/>
      <x:c r="G339" s="3"/>
      <x:c r="H339" s="3"/>
      <x:c r="I339" s="3"/>
      <x:c r="J339" s="10" t="n">
        <x:v>46190</x:v>
      </x:c>
      <x:c r="K339" s="8" t="n">
        <x:f>INDEX('Сводка'!$S$3:$S$397,U339)</x:f>
        <x:v>158</x:v>
      </x:c>
      <x:c r="L339" s="8" t="n">
        <x:f>INDEX('Сводка'!$S$3:$S$397,V339)</x:f>
        <x:v>154</x:v>
      </x:c>
      <x:c r="M339" s="8" t="n">
        <x:f>INDEX($K$388:$N$400,W339,1)+INDEX($K$388:$N$400,W339,2)*LN(((J339-$T$405+1)/1000))+INDEX($O$388:$Z$400,W339,MONTH(J339))</x:f>
        <x:v>192.39285812836067</x:v>
      </x:c>
      <x:c r="N339" s="8" t="n">
        <x:f>K339-M339</x:f>
        <x:v>-34.39285812836067</x:v>
      </x:c>
      <x:c r="O339" s="8" t="n">
        <x:f>ABS(N339)</x:f>
        <x:v>34.39285812836067</x:v>
      </x:c>
      <x:c r="P339" s="8" t="n">
        <x:f>N339^2</x:f>
        <x:v>1182.8686902375448</x:v>
      </x:c>
      <x:c r="Q339" s="8" t="n">
        <x:f>K339-L339</x:f>
        <x:v>4</x:v>
      </x:c>
      <x:c r="R339" s="9" t="n">
        <x:f>IF(AND(INDEX('Сводка'!$T$3:$T$397,U339)=0,INDEX('Сводка'!$T$3:$T$397,V339)=0),1,0)</x:f>
        <x:v>1</x:v>
      </x:c>
      <x:c r="S339" s="9" t="n">
        <x:f>IF(AND(R339=1,O339&lt;=$G$13),1,0)</x:f>
        <x:v>0</x:v>
      </x:c>
      <x:c r="T339" s="10" t="n">
        <x:f>EOMONTH(J339-'Сводка'!$B$11,-1)</x:f>
        <x:v>46173</x:v>
      </x:c>
      <x:c r="U339" s="4" t="n">
        <x:f>MATCH(J339,'Сводка'!$R$3:$R$397,0)</x:f>
        <x:v>350</x:v>
      </x:c>
      <x:c r="V339" s="4" t="n">
        <x:f>MATCH(J339-'Сводка'!$B$11,'Сводка'!$R$3:$R$397,0)</x:f>
        <x:v>349</x:v>
      </x:c>
      <x:c r="W339" s="4" t="n">
        <x:f>MATCH(T339,$J$388:$J$400,0)</x:f>
        <x:v>12</x:v>
      </x:c>
      <x:c r="X339" s="3"/>
      <x:c r="Y339" s="3"/>
      <x:c r="Z339" s="3"/>
    </x:row>
    <x:row r="340" ht="15" customHeight="1">
      <x:c r="A340" s="3"/>
      <x:c r="B340" s="3"/>
      <x:c r="C340" s="3"/>
      <x:c r="D340" s="3"/>
      <x:c r="E340" s="3"/>
      <x:c r="F340" s="3"/>
      <x:c r="G340" s="3"/>
      <x:c r="H340" s="3"/>
      <x:c r="I340" s="3"/>
      <x:c r="J340" s="10" t="n">
        <x:v>46191</x:v>
      </x:c>
      <x:c r="K340" s="8" t="n">
        <x:f>INDEX('Сводка'!$S$3:$S$397,U340)</x:f>
        <x:v>166</x:v>
      </x:c>
      <x:c r="L340" s="8" t="n">
        <x:f>INDEX('Сводка'!$S$3:$S$397,V340)</x:f>
        <x:v>158</x:v>
      </x:c>
      <x:c r="M340" s="8" t="n">
        <x:f>INDEX($K$388:$N$400,W340,1)+INDEX($K$388:$N$400,W340,2)*LN(((J340-$T$405+1)/1000))+INDEX($O$388:$Z$400,W340,MONTH(J340))</x:f>
        <x:v>192.39847095941855</x:v>
      </x:c>
      <x:c r="N340" s="8" t="n">
        <x:f>K340-M340</x:f>
        <x:v>-26.398470959418546</x:v>
      </x:c>
      <x:c r="O340" s="8" t="n">
        <x:f>ABS(N340)</x:f>
        <x:v>26.398470959418546</x:v>
      </x:c>
      <x:c r="P340" s="8" t="n">
        <x:f>N340^2</x:f>
        <x:v>696.8792689952643</x:v>
      </x:c>
      <x:c r="Q340" s="8" t="n">
        <x:f>K340-L340</x:f>
        <x:v>8</x:v>
      </x:c>
      <x:c r="R340" s="9" t="n">
        <x:f>IF(AND(INDEX('Сводка'!$T$3:$T$397,U340)=0,INDEX('Сводка'!$T$3:$T$397,V340)=0),1,0)</x:f>
        <x:v>1</x:v>
      </x:c>
      <x:c r="S340" s="9" t="n">
        <x:f>IF(AND(R340=1,O340&lt;=$G$13),1,0)</x:f>
        <x:v>0</x:v>
      </x:c>
      <x:c r="T340" s="10" t="n">
        <x:f>EOMONTH(J340-'Сводка'!$B$11,-1)</x:f>
        <x:v>46173</x:v>
      </x:c>
      <x:c r="U340" s="4" t="n">
        <x:f>MATCH(J340,'Сводка'!$R$3:$R$397,0)</x:f>
        <x:v>351</x:v>
      </x:c>
      <x:c r="V340" s="4" t="n">
        <x:f>MATCH(J340-'Сводка'!$B$11,'Сводка'!$R$3:$R$397,0)</x:f>
        <x:v>350</x:v>
      </x:c>
      <x:c r="W340" s="4" t="n">
        <x:f>MATCH(T340,$J$388:$J$400,0)</x:f>
        <x:v>12</x:v>
      </x:c>
      <x:c r="X340" s="3"/>
      <x:c r="Y340" s="3"/>
      <x:c r="Z340" s="3"/>
    </x:row>
    <x:row r="341" ht="15" customHeight="1">
      <x:c r="A341" s="3"/>
      <x:c r="B341" s="3"/>
      <x:c r="C341" s="3"/>
      <x:c r="D341" s="3"/>
      <x:c r="E341" s="3"/>
      <x:c r="F341" s="3"/>
      <x:c r="G341" s="3"/>
      <x:c r="H341" s="3"/>
      <x:c r="I341" s="3"/>
      <x:c r="J341" s="10" t="n">
        <x:v>46192</x:v>
      </x:c>
      <x:c r="K341" s="8" t="n">
        <x:f>INDEX('Сводка'!$S$3:$S$397,U341)</x:f>
        <x:v>170</x:v>
      </x:c>
      <x:c r="L341" s="8" t="n">
        <x:f>INDEX('Сводка'!$S$3:$S$397,V341)</x:f>
        <x:v>166</x:v>
      </x:c>
      <x:c r="M341" s="8" t="n">
        <x:f>INDEX($K$388:$N$400,W341,1)+INDEX($K$388:$N$400,W341,2)*LN(((J341-$T$405+1)/1000))+INDEX($O$388:$Z$400,W341,MONTH(J341))</x:f>
        <x:v>192.40408316232674</x:v>
      </x:c>
      <x:c r="N341" s="8" t="n">
        <x:f>K341-M341</x:f>
        <x:v>-22.404083162326742</x:v>
      </x:c>
      <x:c r="O341" s="8" t="n">
        <x:f>ABS(N341)</x:f>
        <x:v>22.404083162326742</x:v>
      </x:c>
      <x:c r="P341" s="8" t="n">
        <x:f>N341^2</x:f>
        <x:v>501.94294234445266</x:v>
      </x:c>
      <x:c r="Q341" s="8" t="n">
        <x:f>K341-L341</x:f>
        <x:v>4</x:v>
      </x:c>
      <x:c r="R341" s="9" t="n">
        <x:f>IF(AND(INDEX('Сводка'!$T$3:$T$397,U341)=0,INDEX('Сводка'!$T$3:$T$397,V341)=0),1,0)</x:f>
        <x:v>1</x:v>
      </x:c>
      <x:c r="S341" s="9" t="n">
        <x:f>IF(AND(R341=1,O341&lt;=$G$13),1,0)</x:f>
        <x:v>0</x:v>
      </x:c>
      <x:c r="T341" s="10" t="n">
        <x:f>EOMONTH(J341-'Сводка'!$B$11,-1)</x:f>
        <x:v>46173</x:v>
      </x:c>
      <x:c r="U341" s="4" t="n">
        <x:f>MATCH(J341,'Сводка'!$R$3:$R$397,0)</x:f>
        <x:v>352</x:v>
      </x:c>
      <x:c r="V341" s="4" t="n">
        <x:f>MATCH(J341-'Сводка'!$B$11,'Сводка'!$R$3:$R$397,0)</x:f>
        <x:v>351</x:v>
      </x:c>
      <x:c r="W341" s="4" t="n">
        <x:f>MATCH(T341,$J$388:$J$400,0)</x:f>
        <x:v>12</x:v>
      </x:c>
      <x:c r="X341" s="3"/>
      <x:c r="Y341" s="3"/>
      <x:c r="Z341" s="3"/>
    </x:row>
    <x:row r="342" ht="15" customHeight="1">
      <x:c r="A342" s="3"/>
      <x:c r="B342" s="3"/>
      <x:c r="C342" s="3"/>
      <x:c r="D342" s="3"/>
      <x:c r="E342" s="3"/>
      <x:c r="F342" s="3"/>
      <x:c r="G342" s="3"/>
      <x:c r="H342" s="3"/>
      <x:c r="I342" s="3"/>
      <x:c r="J342" s="10" t="n">
        <x:v>46193</x:v>
      </x:c>
      <x:c r="K342" s="8" t="n">
        <x:f>INDEX('Сводка'!$S$3:$S$397,U342)</x:f>
        <x:v>171</x:v>
      </x:c>
      <x:c r="L342" s="8" t="n">
        <x:f>INDEX('Сводка'!$S$3:$S$397,V342)</x:f>
        <x:v>170</x:v>
      </x:c>
      <x:c r="M342" s="8" t="n">
        <x:f>INDEX($K$388:$N$400,W342,1)+INDEX($K$388:$N$400,W342,2)*LN(((J342-$T$405+1)/1000))+INDEX($O$388:$Z$400,W342,MONTH(J342))</x:f>
        <x:v>192.40969473722586</x:v>
      </x:c>
      <x:c r="N342" s="8" t="n">
        <x:f>K342-M342</x:f>
        <x:v>-21.409694737225863</x:v>
      </x:c>
      <x:c r="O342" s="8" t="n">
        <x:f>ABS(N342)</x:f>
        <x:v>21.409694737225863</x:v>
      </x:c>
      <x:c r="P342" s="8" t="n">
        <x:f>N342^2</x:f>
        <x:v>458.3750287411968</x:v>
      </x:c>
      <x:c r="Q342" s="8" t="n">
        <x:f>K342-L342</x:f>
        <x:v>1</x:v>
      </x:c>
      <x:c r="R342" s="9" t="n">
        <x:f>IF(AND(INDEX('Сводка'!$T$3:$T$397,U342)=0,INDEX('Сводка'!$T$3:$T$397,V342)=0),1,0)</x:f>
        <x:v>1</x:v>
      </x:c>
      <x:c r="S342" s="9" t="n">
        <x:f>IF(AND(R342=1,O342&lt;=$G$13),1,0)</x:f>
        <x:v>0</x:v>
      </x:c>
      <x:c r="T342" s="10" t="n">
        <x:f>EOMONTH(J342-'Сводка'!$B$11,-1)</x:f>
        <x:v>46173</x:v>
      </x:c>
      <x:c r="U342" s="4" t="n">
        <x:f>MATCH(J342,'Сводка'!$R$3:$R$397,0)</x:f>
        <x:v>353</x:v>
      </x:c>
      <x:c r="V342" s="4" t="n">
        <x:f>MATCH(J342-'Сводка'!$B$11,'Сводка'!$R$3:$R$397,0)</x:f>
        <x:v>352</x:v>
      </x:c>
      <x:c r="W342" s="4" t="n">
        <x:f>MATCH(T342,$J$388:$J$400,0)</x:f>
        <x:v>12</x:v>
      </x:c>
      <x:c r="X342" s="3"/>
      <x:c r="Y342" s="3"/>
      <x:c r="Z342" s="3"/>
    </x:row>
    <x:row r="343" ht="15" customHeight="1">
      <x:c r="A343" s="3"/>
      <x:c r="B343" s="3"/>
      <x:c r="C343" s="3"/>
      <x:c r="D343" s="3"/>
      <x:c r="E343" s="3"/>
      <x:c r="F343" s="3"/>
      <x:c r="G343" s="3"/>
      <x:c r="H343" s="3"/>
      <x:c r="I343" s="3"/>
      <x:c r="J343" s="10" t="n">
        <x:v>46194</x:v>
      </x:c>
      <x:c r="K343" s="8" t="n">
        <x:f>INDEX('Сводка'!$S$3:$S$397,U343)</x:f>
        <x:v>169</x:v>
      </x:c>
      <x:c r="L343" s="8" t="n">
        <x:f>INDEX('Сводка'!$S$3:$S$397,V343)</x:f>
        <x:v>171</x:v>
      </x:c>
      <x:c r="M343" s="8" t="n">
        <x:f>INDEX($K$388:$N$400,W343,1)+INDEX($K$388:$N$400,W343,2)*LN(((J343-$T$405+1)/1000))+INDEX($O$388:$Z$400,W343,MONTH(J343))</x:f>
        <x:v>192.4153056842565</x:v>
      </x:c>
      <x:c r="N343" s="8" t="n">
        <x:f>K343-M343</x:f>
        <x:v>-23.41530568425651</x:v>
      </x:c>
      <x:c r="O343" s="8" t="n">
        <x:f>ABS(N343)</x:f>
        <x:v>23.41530568425651</x:v>
      </x:c>
      <x:c r="P343" s="8" t="n">
        <x:f>N343^2</x:f>
        <x:v>548.2765402871752</x:v>
      </x:c>
      <x:c r="Q343" s="8" t="n">
        <x:f>K343-L343</x:f>
        <x:v>-2</x:v>
      </x:c>
      <x:c r="R343" s="9" t="n">
        <x:f>IF(AND(INDEX('Сводка'!$T$3:$T$397,U343)=0,INDEX('Сводка'!$T$3:$T$397,V343)=0),1,0)</x:f>
        <x:v>1</x:v>
      </x:c>
      <x:c r="S343" s="9" t="n">
        <x:f>IF(AND(R343=1,O343&lt;=$G$13),1,0)</x:f>
        <x:v>0</x:v>
      </x:c>
      <x:c r="T343" s="10" t="n">
        <x:f>EOMONTH(J343-'Сводка'!$B$11,-1)</x:f>
        <x:v>46173</x:v>
      </x:c>
      <x:c r="U343" s="4" t="n">
        <x:f>MATCH(J343,'Сводка'!$R$3:$R$397,0)</x:f>
        <x:v>354</x:v>
      </x:c>
      <x:c r="V343" s="4" t="n">
        <x:f>MATCH(J343-'Сводка'!$B$11,'Сводка'!$R$3:$R$397,0)</x:f>
        <x:v>353</x:v>
      </x:c>
      <x:c r="W343" s="4" t="n">
        <x:f>MATCH(T343,$J$388:$J$400,0)</x:f>
        <x:v>12</x:v>
      </x:c>
      <x:c r="X343" s="3"/>
      <x:c r="Y343" s="3"/>
      <x:c r="Z343" s="3"/>
    </x:row>
    <x:row r="344" ht="15" customHeight="1">
      <x:c r="A344" s="3"/>
      <x:c r="B344" s="3"/>
      <x:c r="C344" s="3"/>
      <x:c r="D344" s="3"/>
      <x:c r="E344" s="3"/>
      <x:c r="F344" s="3"/>
      <x:c r="G344" s="3"/>
      <x:c r="H344" s="3"/>
      <x:c r="I344" s="3"/>
      <x:c r="J344" s="10" t="n">
        <x:v>46195</x:v>
      </x:c>
      <x:c r="K344" s="8" t="n">
        <x:f>INDEX('Сводка'!$S$3:$S$397,U344)</x:f>
        <x:v>168</x:v>
      </x:c>
      <x:c r="L344" s="8" t="n">
        <x:f>INDEX('Сводка'!$S$3:$S$397,V344)</x:f>
        <x:v>169</x:v>
      </x:c>
      <x:c r="M344" s="8" t="n">
        <x:f>INDEX($K$388:$N$400,W344,1)+INDEX($K$388:$N$400,W344,2)*LN(((J344-$T$405+1)/1000))+INDEX($O$388:$Z$400,W344,MONTH(J344))</x:f>
        <x:v>192.4209160035591</x:v>
      </x:c>
      <x:c r="N344" s="8" t="n">
        <x:f>K344-M344</x:f>
        <x:v>-24.420916003559114</x:v>
      </x:c>
      <x:c r="O344" s="8" t="n">
        <x:f>ABS(N344)</x:f>
        <x:v>24.420916003559114</x:v>
      </x:c>
      <x:c r="P344" s="8" t="n">
        <x:f>N344^2</x:f>
        <x:v>596.3811384528897</x:v>
      </x:c>
      <x:c r="Q344" s="8" t="n">
        <x:f>K344-L344</x:f>
        <x:v>-1</x:v>
      </x:c>
      <x:c r="R344" s="9" t="n">
        <x:f>IF(AND(INDEX('Сводка'!$T$3:$T$397,U344)=0,INDEX('Сводка'!$T$3:$T$397,V344)=0),1,0)</x:f>
        <x:v>1</x:v>
      </x:c>
      <x:c r="S344" s="9" t="n">
        <x:f>IF(AND(R344=1,O344&lt;=$G$13),1,0)</x:f>
        <x:v>0</x:v>
      </x:c>
      <x:c r="T344" s="10" t="n">
        <x:f>EOMONTH(J344-'Сводка'!$B$11,-1)</x:f>
        <x:v>46173</x:v>
      </x:c>
      <x:c r="U344" s="4" t="n">
        <x:f>MATCH(J344,'Сводка'!$R$3:$R$397,0)</x:f>
        <x:v>355</x:v>
      </x:c>
      <x:c r="V344" s="4" t="n">
        <x:f>MATCH(J344-'Сводка'!$B$11,'Сводка'!$R$3:$R$397,0)</x:f>
        <x:v>354</x:v>
      </x:c>
      <x:c r="W344" s="4" t="n">
        <x:f>MATCH(T344,$J$388:$J$400,0)</x:f>
        <x:v>12</x:v>
      </x:c>
      <x:c r="X344" s="3"/>
      <x:c r="Y344" s="3"/>
      <x:c r="Z344" s="3"/>
    </x:row>
    <x:row r="345" ht="15" customHeight="1">
      <x:c r="A345" s="3"/>
      <x:c r="B345" s="3"/>
      <x:c r="C345" s="3"/>
      <x:c r="D345" s="3"/>
      <x:c r="E345" s="3"/>
      <x:c r="F345" s="3"/>
      <x:c r="G345" s="3"/>
      <x:c r="H345" s="3"/>
      <x:c r="I345" s="3"/>
      <x:c r="J345" s="10" t="n">
        <x:v>46196</x:v>
      </x:c>
      <x:c r="K345" s="8" t="n">
        <x:f>INDEX('Сводка'!$S$3:$S$397,U345)</x:f>
        <x:v>159</x:v>
      </x:c>
      <x:c r="L345" s="8" t="n">
        <x:f>INDEX('Сводка'!$S$3:$S$397,V345)</x:f>
        <x:v>168</x:v>
      </x:c>
      <x:c r="M345" s="8" t="n">
        <x:f>INDEX($K$388:$N$400,W345,1)+INDEX($K$388:$N$400,W345,2)*LN(((J345-$T$405+1)/1000))+INDEX($O$388:$Z$400,W345,MONTH(J345))</x:f>
        <x:v>192.4265256952741</x:v>
      </x:c>
      <x:c r="N345" s="8" t="n">
        <x:f>K345-M345</x:f>
        <x:v>-33.42652569527411</x:v>
      </x:c>
      <x:c r="O345" s="8" t="n">
        <x:f>ABS(N345)</x:f>
        <x:v>33.42652569527411</x:v>
      </x:c>
      <x:c r="P345" s="8" t="n">
        <x:f>N345^2</x:f>
        <x:v>1117.3326200568201</x:v>
      </x:c>
      <x:c r="Q345" s="8" t="n">
        <x:f>K345-L345</x:f>
        <x:v>-9</x:v>
      </x:c>
      <x:c r="R345" s="9" t="n">
        <x:f>IF(AND(INDEX('Сводка'!$T$3:$T$397,U345)=0,INDEX('Сводка'!$T$3:$T$397,V345)=0),1,0)</x:f>
        <x:v>1</x:v>
      </x:c>
      <x:c r="S345" s="9" t="n">
        <x:f>IF(AND(R345=1,O345&lt;=$G$13),1,0)</x:f>
        <x:v>0</x:v>
      </x:c>
      <x:c r="T345" s="10" t="n">
        <x:f>EOMONTH(J345-'Сводка'!$B$11,-1)</x:f>
        <x:v>46173</x:v>
      </x:c>
      <x:c r="U345" s="4" t="n">
        <x:f>MATCH(J345,'Сводка'!$R$3:$R$397,0)</x:f>
        <x:v>356</x:v>
      </x:c>
      <x:c r="V345" s="4" t="n">
        <x:f>MATCH(J345-'Сводка'!$B$11,'Сводка'!$R$3:$R$397,0)</x:f>
        <x:v>355</x:v>
      </x:c>
      <x:c r="W345" s="4" t="n">
        <x:f>MATCH(T345,$J$388:$J$400,0)</x:f>
        <x:v>12</x:v>
      </x:c>
      <x:c r="X345" s="3"/>
      <x:c r="Y345" s="3"/>
      <x:c r="Z345" s="3"/>
    </x:row>
    <x:row r="346" ht="15" customHeight="1">
      <x:c r="A346" s="3"/>
      <x:c r="B346" s="3"/>
      <x:c r="C346" s="3"/>
      <x:c r="D346" s="3"/>
      <x:c r="E346" s="3"/>
      <x:c r="F346" s="3"/>
      <x:c r="G346" s="3"/>
      <x:c r="H346" s="3"/>
      <x:c r="I346" s="3"/>
      <x:c r="J346" s="10" t="n">
        <x:v>46197</x:v>
      </x:c>
      <x:c r="K346" s="8" t="n">
        <x:f>INDEX('Сводка'!$S$3:$S$397,U346)</x:f>
        <x:v>151</x:v>
      </x:c>
      <x:c r="L346" s="8" t="n">
        <x:f>INDEX('Сводка'!$S$3:$S$397,V346)</x:f>
        <x:v>159</x:v>
      </x:c>
      <x:c r="M346" s="8" t="n">
        <x:f>INDEX($K$388:$N$400,W346,1)+INDEX($K$388:$N$400,W346,2)*LN(((J346-$T$405+1)/1000))+INDEX($O$388:$Z$400,W346,MONTH(J346))</x:f>
        <x:v>192.4321347595419</x:v>
      </x:c>
      <x:c r="N346" s="8" t="n">
        <x:f>K346-M346</x:f>
        <x:v>-41.432134759541896</x:v>
      </x:c>
      <x:c r="O346" s="8" t="n">
        <x:f>ABS(N346)</x:f>
        <x:v>41.432134759541896</x:v>
      </x:c>
      <x:c r="P346" s="8" t="n">
        <x:f>N346^2</x:f>
        <x:v>1716.6217907328398</x:v>
      </x:c>
      <x:c r="Q346" s="8" t="n">
        <x:f>K346-L346</x:f>
        <x:v>-8</x:v>
      </x:c>
      <x:c r="R346" s="9" t="n">
        <x:f>IF(AND(INDEX('Сводка'!$T$3:$T$397,U346)=0,INDEX('Сводка'!$T$3:$T$397,V346)=0),1,0)</x:f>
        <x:v>1</x:v>
      </x:c>
      <x:c r="S346" s="9" t="n">
        <x:f>IF(AND(R346=1,O346&lt;=$G$13),1,0)</x:f>
        <x:v>0</x:v>
      </x:c>
      <x:c r="T346" s="10" t="n">
        <x:f>EOMONTH(J346-'Сводка'!$B$11,-1)</x:f>
        <x:v>46173</x:v>
      </x:c>
      <x:c r="U346" s="4" t="n">
        <x:f>MATCH(J346,'Сводка'!$R$3:$R$397,0)</x:f>
        <x:v>357</x:v>
      </x:c>
      <x:c r="V346" s="4" t="n">
        <x:f>MATCH(J346-'Сводка'!$B$11,'Сводка'!$R$3:$R$397,0)</x:f>
        <x:v>356</x:v>
      </x:c>
      <x:c r="W346" s="4" t="n">
        <x:f>MATCH(T346,$J$388:$J$400,0)</x:f>
        <x:v>12</x:v>
      </x:c>
      <x:c r="X346" s="3"/>
      <x:c r="Y346" s="3"/>
      <x:c r="Z346" s="3"/>
    </x:row>
    <x:row r="347" ht="15" customHeight="1">
      <x:c r="A347" s="3"/>
      <x:c r="B347" s="3"/>
      <x:c r="C347" s="3"/>
      <x:c r="D347" s="3"/>
      <x:c r="E347" s="3"/>
      <x:c r="F347" s="3"/>
      <x:c r="G347" s="3"/>
      <x:c r="H347" s="3"/>
      <x:c r="I347" s="3"/>
      <x:c r="J347" s="10" t="n">
        <x:v>46198</x:v>
      </x:c>
      <x:c r="K347" s="8" t="n">
        <x:f>INDEX('Сводка'!$S$3:$S$397,U347)</x:f>
        <x:v>144</x:v>
      </x:c>
      <x:c r="L347" s="8" t="n">
        <x:f>INDEX('Сводка'!$S$3:$S$397,V347)</x:f>
        <x:v>151</x:v>
      </x:c>
      <x:c r="M347" s="8" t="n">
        <x:f>INDEX($K$388:$N$400,W347,1)+INDEX($K$388:$N$400,W347,2)*LN(((J347-$T$405+1)/1000))+INDEX($O$388:$Z$400,W347,MONTH(J347))</x:f>
        <x:v>192.43774319650282</x:v>
      </x:c>
      <x:c r="N347" s="8" t="n">
        <x:f>K347-M347</x:f>
        <x:v>-48.43774319650282</x:v>
      </x:c>
      <x:c r="O347" s="8" t="n">
        <x:f>ABS(N347)</x:f>
        <x:v>48.43774319650282</x:v>
      </x:c>
      <x:c r="P347" s="8" t="n">
        <x:f>N347^2</x:f>
        <x:v>2346.2149659703555</x:v>
      </x:c>
      <x:c r="Q347" s="8" t="n">
        <x:f>K347-L347</x:f>
        <x:v>-7</x:v>
      </x:c>
      <x:c r="R347" s="9" t="n">
        <x:f>IF(AND(INDEX('Сводка'!$T$3:$T$397,U347)=0,INDEX('Сводка'!$T$3:$T$397,V347)=0),1,0)</x:f>
        <x:v>1</x:v>
      </x:c>
      <x:c r="S347" s="9" t="n">
        <x:f>IF(AND(R347=1,O347&lt;=$G$13),1,0)</x:f>
        <x:v>0</x:v>
      </x:c>
      <x:c r="T347" s="10" t="n">
        <x:f>EOMONTH(J347-'Сводка'!$B$11,-1)</x:f>
        <x:v>46173</x:v>
      </x:c>
      <x:c r="U347" s="4" t="n">
        <x:f>MATCH(J347,'Сводка'!$R$3:$R$397,0)</x:f>
        <x:v>358</x:v>
      </x:c>
      <x:c r="V347" s="4" t="n">
        <x:f>MATCH(J347-'Сводка'!$B$11,'Сводка'!$R$3:$R$397,0)</x:f>
        <x:v>357</x:v>
      </x:c>
      <x:c r="W347" s="4" t="n">
        <x:f>MATCH(T347,$J$388:$J$400,0)</x:f>
        <x:v>12</x:v>
      </x:c>
      <x:c r="X347" s="3"/>
      <x:c r="Y347" s="3"/>
      <x:c r="Z347" s="3"/>
    </x:row>
    <x:row r="348" ht="15" customHeight="1">
      <x:c r="A348" s="3"/>
      <x:c r="B348" s="3"/>
      <x:c r="C348" s="3"/>
      <x:c r="D348" s="3"/>
      <x:c r="E348" s="3"/>
      <x:c r="F348" s="3"/>
      <x:c r="G348" s="3"/>
      <x:c r="H348" s="3"/>
      <x:c r="I348" s="3"/>
      <x:c r="J348" s="10" t="n">
        <x:v>46199</x:v>
      </x:c>
      <x:c r="K348" s="8" t="n">
        <x:f>INDEX('Сводка'!$S$3:$S$397,U348)</x:f>
        <x:v>139</x:v>
      </x:c>
      <x:c r="L348" s="8" t="n">
        <x:f>INDEX('Сводка'!$S$3:$S$397,V348)</x:f>
        <x:v>144</x:v>
      </x:c>
      <x:c r="M348" s="8" t="n">
        <x:f>INDEX($K$388:$N$400,W348,1)+INDEX($K$388:$N$400,W348,2)*LN(((J348-$T$405+1)/1000))+INDEX($O$388:$Z$400,W348,MONTH(J348))</x:f>
        <x:v>192.44335100629718</x:v>
      </x:c>
      <x:c r="N348" s="8" t="n">
        <x:f>K348-M348</x:f>
        <x:v>-53.44335100629718</x:v>
      </x:c>
      <x:c r="O348" s="8" t="n">
        <x:f>ABS(N348)</x:f>
        <x:v>53.44335100629718</x:v>
      </x:c>
      <x:c r="P348" s="8" t="n">
        <x:f>N348^2</x:f>
        <x:v>2856.1917667822854</x:v>
      </x:c>
      <x:c r="Q348" s="8" t="n">
        <x:f>K348-L348</x:f>
        <x:v>-5</x:v>
      </x:c>
      <x:c r="R348" s="9" t="n">
        <x:f>IF(AND(INDEX('Сводка'!$T$3:$T$397,U348)=0,INDEX('Сводка'!$T$3:$T$397,V348)=0),1,0)</x:f>
        <x:v>1</x:v>
      </x:c>
      <x:c r="S348" s="9" t="n">
        <x:f>IF(AND(R348=1,O348&lt;=$G$13),1,0)</x:f>
        <x:v>0</x:v>
      </x:c>
      <x:c r="T348" s="10" t="n">
        <x:f>EOMONTH(J348-'Сводка'!$B$11,-1)</x:f>
        <x:v>46173</x:v>
      </x:c>
      <x:c r="U348" s="4" t="n">
        <x:f>MATCH(J348,'Сводка'!$R$3:$R$397,0)</x:f>
        <x:v>359</x:v>
      </x:c>
      <x:c r="V348" s="4" t="n">
        <x:f>MATCH(J348-'Сводка'!$B$11,'Сводка'!$R$3:$R$397,0)</x:f>
        <x:v>358</x:v>
      </x:c>
      <x:c r="W348" s="4" t="n">
        <x:f>MATCH(T348,$J$388:$J$400,0)</x:f>
        <x:v>12</x:v>
      </x:c>
      <x:c r="X348" s="3"/>
      <x:c r="Y348" s="3"/>
      <x:c r="Z348" s="3"/>
    </x:row>
    <x:row r="349" ht="15" customHeight="1">
      <x:c r="A349" s="3"/>
      <x:c r="B349" s="3"/>
      <x:c r="C349" s="3"/>
      <x:c r="D349" s="3"/>
      <x:c r="E349" s="3"/>
      <x:c r="F349" s="3"/>
      <x:c r="G349" s="3"/>
      <x:c r="H349" s="3"/>
      <x:c r="I349" s="3"/>
      <x:c r="J349" s="10" t="n">
        <x:v>46200</x:v>
      </x:c>
      <x:c r="K349" s="8" t="n">
        <x:f>INDEX('Сводка'!$S$3:$S$397,U349)</x:f>
        <x:v>136</x:v>
      </x:c>
      <x:c r="L349" s="8" t="n">
        <x:f>INDEX('Сводка'!$S$3:$S$397,V349)</x:f>
        <x:v>139</x:v>
      </x:c>
      <x:c r="M349" s="8" t="n">
        <x:f>INDEX($K$388:$N$400,W349,1)+INDEX($K$388:$N$400,W349,2)*LN(((J349-$T$405+1)/1000))+INDEX($O$388:$Z$400,W349,MONTH(J349))</x:f>
        <x:v>192.44895818906525</x:v>
      </x:c>
      <x:c r="N349" s="8" t="n">
        <x:f>K349-M349</x:f>
        <x:v>-56.44895818906525</x:v>
      </x:c>
      <x:c r="O349" s="8" t="n">
        <x:f>ABS(N349)</x:f>
        <x:v>56.44895818906525</x:v>
      </x:c>
      <x:c r="P349" s="8" t="n">
        <x:f>N349^2</x:f>
        <x:v>3186.484880630837</x:v>
      </x:c>
      <x:c r="Q349" s="8" t="n">
        <x:f>K349-L349</x:f>
        <x:v>-3</x:v>
      </x:c>
      <x:c r="R349" s="9" t="n">
        <x:f>IF(AND(INDEX('Сводка'!$T$3:$T$397,U349)=0,INDEX('Сводка'!$T$3:$T$397,V349)=0),1,0)</x:f>
        <x:v>1</x:v>
      </x:c>
      <x:c r="S349" s="9" t="n">
        <x:f>IF(AND(R349=1,O349&lt;=$G$13),1,0)</x:f>
        <x:v>0</x:v>
      </x:c>
      <x:c r="T349" s="10" t="n">
        <x:f>EOMONTH(J349-'Сводка'!$B$11,-1)</x:f>
        <x:v>46173</x:v>
      </x:c>
      <x:c r="U349" s="4" t="n">
        <x:f>MATCH(J349,'Сводка'!$R$3:$R$397,0)</x:f>
        <x:v>360</x:v>
      </x:c>
      <x:c r="V349" s="4" t="n">
        <x:f>MATCH(J349-'Сводка'!$B$11,'Сводка'!$R$3:$R$397,0)</x:f>
        <x:v>359</x:v>
      </x:c>
      <x:c r="W349" s="4" t="n">
        <x:f>MATCH(T349,$J$388:$J$400,0)</x:f>
        <x:v>12</x:v>
      </x:c>
      <x:c r="X349" s="3"/>
      <x:c r="Y349" s="3"/>
      <x:c r="Z349" s="3"/>
    </x:row>
    <x:row r="350" ht="15" customHeight="1">
      <x:c r="A350" s="3"/>
      <x:c r="B350" s="3"/>
      <x:c r="C350" s="3"/>
      <x:c r="D350" s="3"/>
      <x:c r="E350" s="3"/>
      <x:c r="F350" s="3"/>
      <x:c r="G350" s="3"/>
      <x:c r="H350" s="3"/>
      <x:c r="I350" s="3"/>
      <x:c r="J350" s="10" t="n">
        <x:v>46201</x:v>
      </x:c>
      <x:c r="K350" s="8" t="n">
        <x:f>INDEX('Сводка'!$S$3:$S$397,U350)</x:f>
        <x:v>127</x:v>
      </x:c>
      <x:c r="L350" s="8" t="n">
        <x:f>INDEX('Сводка'!$S$3:$S$397,V350)</x:f>
        <x:v>136</x:v>
      </x:c>
      <x:c r="M350" s="8" t="n">
        <x:f>INDEX($K$388:$N$400,W350,1)+INDEX($K$388:$N$400,W350,2)*LN(((J350-$T$405+1)/1000))+INDEX($O$388:$Z$400,W350,MONTH(J350))</x:f>
        <x:v>192.45456474494722</x:v>
      </x:c>
      <x:c r="N350" s="8" t="n">
        <x:f>K350-M350</x:f>
        <x:v>-65.45456474494722</x:v>
      </x:c>
      <x:c r="O350" s="8" t="n">
        <x:f>ABS(N350)</x:f>
        <x:v>65.45456474494722</x:v>
      </x:c>
      <x:c r="P350" s="8" t="n">
        <x:f>N350^2</x:f>
        <x:v>4284.300045950487</x:v>
      </x:c>
      <x:c r="Q350" s="8" t="n">
        <x:f>K350-L350</x:f>
        <x:v>-9</x:v>
      </x:c>
      <x:c r="R350" s="9" t="n">
        <x:f>IF(AND(INDEX('Сводка'!$T$3:$T$397,U350)=0,INDEX('Сводка'!$T$3:$T$397,V350)=0),1,0)</x:f>
        <x:v>1</x:v>
      </x:c>
      <x:c r="S350" s="9" t="n">
        <x:f>IF(AND(R350=1,O350&lt;=$G$13),1,0)</x:f>
        <x:v>0</x:v>
      </x:c>
      <x:c r="T350" s="10" t="n">
        <x:f>EOMONTH(J350-'Сводка'!$B$11,-1)</x:f>
        <x:v>46173</x:v>
      </x:c>
      <x:c r="U350" s="4" t="n">
        <x:f>MATCH(J350,'Сводка'!$R$3:$R$397,0)</x:f>
        <x:v>361</x:v>
      </x:c>
      <x:c r="V350" s="4" t="n">
        <x:f>MATCH(J350-'Сводка'!$B$11,'Сводка'!$R$3:$R$397,0)</x:f>
        <x:v>360</x:v>
      </x:c>
      <x:c r="W350" s="4" t="n">
        <x:f>MATCH(T350,$J$388:$J$400,0)</x:f>
        <x:v>12</x:v>
      </x:c>
      <x:c r="X350" s="3"/>
      <x:c r="Y350" s="3"/>
      <x:c r="Z350" s="3"/>
    </x:row>
    <x:row r="351" ht="15" customHeight="1">
      <x:c r="A351" s="3"/>
      <x:c r="B351" s="3"/>
      <x:c r="C351" s="3"/>
      <x:c r="D351" s="3"/>
      <x:c r="E351" s="3"/>
      <x:c r="F351" s="3"/>
      <x:c r="G351" s="3"/>
      <x:c r="H351" s="3"/>
      <x:c r="I351" s="3"/>
      <x:c r="J351" s="10" t="n">
        <x:v>46202</x:v>
      </x:c>
      <x:c r="K351" s="8" t="n">
        <x:f>INDEX('Сводка'!$S$3:$S$397,U351)</x:f>
        <x:v>122</x:v>
      </x:c>
      <x:c r="L351" s="8" t="n">
        <x:f>INDEX('Сводка'!$S$3:$S$397,V351)</x:f>
        <x:v>127</x:v>
      </x:c>
      <x:c r="M351" s="8" t="n">
        <x:f>INDEX($K$388:$N$400,W351,1)+INDEX($K$388:$N$400,W351,2)*LN(((J351-$T$405+1)/1000))+INDEX($O$388:$Z$400,W351,MONTH(J351))</x:f>
        <x:v>192.4601706740832</x:v>
      </x:c>
      <x:c r="N351" s="8" t="n">
        <x:f>K351-M351</x:f>
        <x:v>-70.4601706740832</x:v>
      </x:c>
      <x:c r="O351" s="8" t="n">
        <x:f>ABS(N351)</x:f>
        <x:v>70.4601706740832</x:v>
      </x:c>
      <x:c r="P351" s="8" t="n">
        <x:f>N351^2</x:f>
        <x:v>4964.635651420935</x:v>
      </x:c>
      <x:c r="Q351" s="8" t="n">
        <x:f>K351-L351</x:f>
        <x:v>-5</x:v>
      </x:c>
      <x:c r="R351" s="9" t="n">
        <x:f>IF(AND(INDEX('Сводка'!$T$3:$T$397,U351)=0,INDEX('Сводка'!$T$3:$T$397,V351)=0),1,0)</x:f>
        <x:v>1</x:v>
      </x:c>
      <x:c r="S351" s="9" t="n">
        <x:f>IF(AND(R351=1,O351&lt;=$G$13),1,0)</x:f>
        <x:v>0</x:v>
      </x:c>
      <x:c r="T351" s="10" t="n">
        <x:f>EOMONTH(J351-'Сводка'!$B$11,-1)</x:f>
        <x:v>46173</x:v>
      </x:c>
      <x:c r="U351" s="4" t="n">
        <x:f>MATCH(J351,'Сводка'!$R$3:$R$397,0)</x:f>
        <x:v>362</x:v>
      </x:c>
      <x:c r="V351" s="4" t="n">
        <x:f>MATCH(J351-'Сводка'!$B$11,'Сводка'!$R$3:$R$397,0)</x:f>
        <x:v>361</x:v>
      </x:c>
      <x:c r="W351" s="4" t="n">
        <x:f>MATCH(T351,$J$388:$J$400,0)</x:f>
        <x:v>12</x:v>
      </x:c>
      <x:c r="X351" s="3"/>
      <x:c r="Y351" s="3"/>
      <x:c r="Z351" s="3"/>
    </x:row>
    <x:row r="352" ht="15" customHeight="1">
      <x:c r="A352" s="3"/>
      <x:c r="B352" s="3"/>
      <x:c r="C352" s="3"/>
      <x:c r="D352" s="3"/>
      <x:c r="E352" s="3"/>
      <x:c r="F352" s="3"/>
      <x:c r="G352" s="3"/>
      <x:c r="H352" s="3"/>
      <x:c r="I352" s="3"/>
      <x:c r="J352" s="10" t="n">
        <x:v>46203</x:v>
      </x:c>
      <x:c r="K352" s="8" t="n">
        <x:f>INDEX('Сводка'!$S$3:$S$397,U352)</x:f>
        <x:v>116</x:v>
      </x:c>
      <x:c r="L352" s="8" t="n">
        <x:f>INDEX('Сводка'!$S$3:$S$397,V352)</x:f>
        <x:v>122</x:v>
      </x:c>
      <x:c r="M352" s="8" t="n">
        <x:f>INDEX($K$388:$N$400,W352,1)+INDEX($K$388:$N$400,W352,2)*LN(((J352-$T$405+1)/1000))+INDEX($O$388:$Z$400,W352,MONTH(J352))</x:f>
        <x:v>192.46577597661337</x:v>
      </x:c>
      <x:c r="N352" s="8" t="n">
        <x:f>K352-M352</x:f>
        <x:v>-76.46577597661337</x:v>
      </x:c>
      <x:c r="O352" s="8" t="n">
        <x:f>ABS(N352)</x:f>
        <x:v>76.46577597661337</x:v>
      </x:c>
      <x:c r="P352" s="8" t="n">
        <x:f>N352^2</x:f>
        <x:v>5847.014895705623</x:v>
      </x:c>
      <x:c r="Q352" s="8" t="n">
        <x:f>K352-L352</x:f>
        <x:v>-6</x:v>
      </x:c>
      <x:c r="R352" s="9" t="n">
        <x:f>IF(AND(INDEX('Сводка'!$T$3:$T$397,U352)=0,INDEX('Сводка'!$T$3:$T$397,V352)=0),1,0)</x:f>
        <x:v>1</x:v>
      </x:c>
      <x:c r="S352" s="9" t="n">
        <x:f>IF(AND(R352=1,O352&lt;=$G$13),1,0)</x:f>
        <x:v>0</x:v>
      </x:c>
      <x:c r="T352" s="10" t="n">
        <x:f>EOMONTH(J352-'Сводка'!$B$11,-1)</x:f>
        <x:v>46173</x:v>
      </x:c>
      <x:c r="U352" s="4" t="n">
        <x:f>MATCH(J352,'Сводка'!$R$3:$R$397,0)</x:f>
        <x:v>363</x:v>
      </x:c>
      <x:c r="V352" s="4" t="n">
        <x:f>MATCH(J352-'Сводка'!$B$11,'Сводка'!$R$3:$R$397,0)</x:f>
        <x:v>362</x:v>
      </x:c>
      <x:c r="W352" s="4" t="n">
        <x:f>MATCH(T352,$J$388:$J$400,0)</x:f>
        <x:v>12</x:v>
      </x:c>
      <x:c r="X352" s="3"/>
      <x:c r="Y352" s="3"/>
      <x:c r="Z352" s="3"/>
    </x:row>
    <x:row r="353" ht="15" customHeight="1">
      <x:c r="A353" s="3"/>
      <x:c r="B353" s="3"/>
      <x:c r="C353" s="3"/>
      <x:c r="D353" s="3"/>
      <x:c r="E353" s="3"/>
      <x:c r="F353" s="3"/>
      <x:c r="G353" s="3"/>
      <x:c r="H353" s="3"/>
      <x:c r="I353" s="3"/>
      <x:c r="J353" s="10" t="n">
        <x:v>46204</x:v>
      </x:c>
      <x:c r="K353" s="8" t="n">
        <x:f>INDEX('Сводка'!$S$3:$S$397,U353)</x:f>
        <x:v>110</x:v>
      </x:c>
      <x:c r="L353" s="8" t="n">
        <x:f>INDEX('Сводка'!$S$3:$S$397,V353)</x:f>
        <x:v>116</x:v>
      </x:c>
      <x:c r="M353" s="8" t="n">
        <x:f>INDEX($K$388:$N$400,W353,1)+INDEX($K$388:$N$400,W353,2)*LN(((J353-$T$405+1)/1000))+INDEX($O$388:$Z$400,W353,MONTH(J353))</x:f>
        <x:v>224.40875379574425</x:v>
      </x:c>
      <x:c r="N353" s="8" t="n">
        <x:f>K353-M353</x:f>
        <x:v>-114.40875379574425</x:v>
      </x:c>
      <x:c r="O353" s="8" t="n">
        <x:f>ABS(N353)</x:f>
        <x:v>114.40875379574425</x:v>
      </x:c>
      <x:c r="P353" s="8" t="n">
        <x:f>N353^2</x:f>
        <x:v>13089.362945095223</x:v>
      </x:c>
      <x:c r="Q353" s="8" t="n">
        <x:f>K353-L353</x:f>
        <x:v>-6</x:v>
      </x:c>
      <x:c r="R353" s="9" t="n">
        <x:f>IF(AND(INDEX('Сводка'!$T$3:$T$397,U353)=0,INDEX('Сводка'!$T$3:$T$397,V353)=0),1,0)</x:f>
        <x:v>1</x:v>
      </x:c>
      <x:c r="S353" s="9" t="n">
        <x:f>IF(AND(R353=1,O353&lt;=$G$13),1,0)</x:f>
        <x:v>0</x:v>
      </x:c>
      <x:c r="T353" s="10" t="n">
        <x:f>EOMONTH(J353-'Сводка'!$B$11,-1)</x:f>
        <x:v>46173</x:v>
      </x:c>
      <x:c r="U353" s="4" t="n">
        <x:f>MATCH(J353,'Сводка'!$R$3:$R$397,0)</x:f>
        <x:v>364</x:v>
      </x:c>
      <x:c r="V353" s="4" t="n">
        <x:f>MATCH(J353-'Сводка'!$B$11,'Сводка'!$R$3:$R$397,0)</x:f>
        <x:v>363</x:v>
      </x:c>
      <x:c r="W353" s="4" t="n">
        <x:f>MATCH(T353,$J$388:$J$400,0)</x:f>
        <x:v>12</x:v>
      </x:c>
      <x:c r="X353" s="3"/>
      <x:c r="Y353" s="3"/>
      <x:c r="Z353" s="3"/>
    </x:row>
    <x:row r="354" ht="15" customHeight="1">
      <x:c r="A354" s="3"/>
      <x:c r="B354" s="3"/>
      <x:c r="C354" s="3"/>
      <x:c r="D354" s="3"/>
      <x:c r="E354" s="3"/>
      <x:c r="F354" s="3"/>
      <x:c r="G354" s="3"/>
      <x:c r="H354" s="3"/>
      <x:c r="I354" s="3"/>
      <x:c r="J354" s="10" t="n">
        <x:v>46205</x:v>
      </x:c>
      <x:c r="K354" s="8" t="n">
        <x:f>INDEX('Сводка'!$S$3:$S$397,U354)</x:f>
        <x:v>105</x:v>
      </x:c>
      <x:c r="L354" s="8" t="n">
        <x:f>INDEX('Сводка'!$S$3:$S$397,V354)</x:f>
        <x:v>110</x:v>
      </x:c>
      <x:c r="M354" s="8" t="n">
        <x:f>INDEX($K$388:$N$400,W354,1)+INDEX($K$388:$N$400,W354,2)*LN(((J354-$T$405+1)/1000))+INDEX($O$388:$Z$400,W354,MONTH(J354))</x:f>
        <x:v>224.2165591025381</x:v>
      </x:c>
      <x:c r="N354" s="8" t="n">
        <x:f>K354-M354</x:f>
        <x:v>-119.2165591025381</x:v>
      </x:c>
      <x:c r="O354" s="8" t="n">
        <x:f>ABS(N354)</x:f>
        <x:v>119.2165591025381</x:v>
      </x:c>
      <x:c r="P354" s="8" t="n">
        <x:f>N354^2</x:f>
        <x:v>14212.58796424896</x:v>
      </x:c>
      <x:c r="Q354" s="8" t="n">
        <x:f>K354-L354</x:f>
        <x:v>-5</x:v>
      </x:c>
      <x:c r="R354" s="9" t="n">
        <x:f>IF(AND(INDEX('Сводка'!$T$3:$T$397,U354)=0,INDEX('Сводка'!$T$3:$T$397,V354)=0),1,0)</x:f>
        <x:v>1</x:v>
      </x:c>
      <x:c r="S354" s="9" t="n">
        <x:f>IF(AND(R354=1,O354&lt;=$G$13),1,0)</x:f>
        <x:v>0</x:v>
      </x:c>
      <x:c r="T354" s="10" t="n">
        <x:f>EOMONTH(J354-'Сводка'!$B$11,-1)</x:f>
        <x:v>46203</x:v>
      </x:c>
      <x:c r="U354" s="4" t="n">
        <x:f>MATCH(J354,'Сводка'!$R$3:$R$397,0)</x:f>
        <x:v>365</x:v>
      </x:c>
      <x:c r="V354" s="4" t="n">
        <x:f>MATCH(J354-'Сводка'!$B$11,'Сводка'!$R$3:$R$397,0)</x:f>
        <x:v>364</x:v>
      </x:c>
      <x:c r="W354" s="4" t="n">
        <x:f>MATCH(T354,$J$388:$J$400,0)</x:f>
        <x:v>13</x:v>
      </x:c>
      <x:c r="X354" s="3"/>
      <x:c r="Y354" s="3"/>
      <x:c r="Z354" s="3"/>
    </x:row>
    <x:row r="355" ht="15" customHeight="1">
      <x:c r="A355" s="3"/>
      <x:c r="B355" s="3"/>
      <x:c r="C355" s="3"/>
      <x:c r="D355" s="3"/>
      <x:c r="E355" s="3"/>
      <x:c r="F355" s="3"/>
      <x:c r="G355" s="3"/>
      <x:c r="H355" s="3"/>
      <x:c r="I355" s="3"/>
      <x:c r="J355" s="10" t="n">
        <x:v>46206</x:v>
      </x:c>
      <x:c r="K355" s="8" t="n">
        <x:f>INDEX('Сводка'!$S$3:$S$397,U355)</x:f>
        <x:v>105</x:v>
      </x:c>
      <x:c r="L355" s="8" t="n">
        <x:f>INDEX('Сводка'!$S$3:$S$397,V355)</x:f>
        <x:v>105</x:v>
      </x:c>
      <x:c r="M355" s="8" t="n">
        <x:f>INDEX($K$388:$N$400,W355,1)+INDEX($K$388:$N$400,W355,2)*LN(((J355-$T$405+1)/1000))+INDEX($O$388:$Z$400,W355,MONTH(J355))</x:f>
        <x:v>224.22213939452206</x:v>
      </x:c>
      <x:c r="N355" s="8" t="n">
        <x:f>K355-M355</x:f>
        <x:v>-119.22213939452206</x:v>
      </x:c>
      <x:c r="O355" s="8" t="n">
        <x:f>ABS(N355)</x:f>
        <x:v>119.22213939452206</x:v>
      </x:c>
      <x:c r="P355" s="8" t="n">
        <x:f>N355^2</x:f>
        <x:v>14213.918521806849</x:v>
      </x:c>
      <x:c r="Q355" s="8" t="n">
        <x:f>K355-L355</x:f>
        <x:v>0</x:v>
      </x:c>
      <x:c r="R355" s="9" t="n">
        <x:f>IF(AND(INDEX('Сводка'!$T$3:$T$397,U355)=0,INDEX('Сводка'!$T$3:$T$397,V355)=0),1,0)</x:f>
        <x:v>1</x:v>
      </x:c>
      <x:c r="S355" s="9" t="n">
        <x:f>IF(AND(R355=1,O355&lt;=$G$13),1,0)</x:f>
        <x:v>0</x:v>
      </x:c>
      <x:c r="T355" s="10" t="n">
        <x:f>EOMONTH(J355-'Сводка'!$B$11,-1)</x:f>
        <x:v>46203</x:v>
      </x:c>
      <x:c r="U355" s="4" t="n">
        <x:f>MATCH(J355,'Сводка'!$R$3:$R$397,0)</x:f>
        <x:v>366</x:v>
      </x:c>
      <x:c r="V355" s="4" t="n">
        <x:f>MATCH(J355-'Сводка'!$B$11,'Сводка'!$R$3:$R$397,0)</x:f>
        <x:v>365</x:v>
      </x:c>
      <x:c r="W355" s="4" t="n">
        <x:f>MATCH(T355,$J$388:$J$400,0)</x:f>
        <x:v>13</x:v>
      </x:c>
      <x:c r="X355" s="3"/>
      <x:c r="Y355" s="3"/>
      <x:c r="Z355" s="3"/>
    </x:row>
    <x:row r="356" ht="15" customHeight="1">
      <x:c r="A356" s="3"/>
      <x:c r="B356" s="3"/>
      <x:c r="C356" s="3"/>
      <x:c r="D356" s="3"/>
      <x:c r="E356" s="3"/>
      <x:c r="F356" s="3"/>
      <x:c r="G356" s="3"/>
      <x:c r="H356" s="3"/>
      <x:c r="I356" s="3"/>
      <x:c r="J356" s="10" t="n">
        <x:v>46207</x:v>
      </x:c>
      <x:c r="K356" s="8" t="n">
        <x:f>INDEX('Сводка'!$S$3:$S$397,U356)</x:f>
        <x:v>121</x:v>
      </x:c>
      <x:c r="L356" s="8" t="n">
        <x:f>INDEX('Сводка'!$S$3:$S$397,V356)</x:f>
        <x:v>105</x:v>
      </x:c>
      <x:c r="M356" s="8" t="n">
        <x:f>INDEX($K$388:$N$400,W356,1)+INDEX($K$388:$N$400,W356,2)*LN(((J356-$T$405+1)/1000))+INDEX($O$388:$Z$400,W356,MONTH(J356))</x:f>
        <x:v>224.2277190630445</x:v>
      </x:c>
      <x:c r="N356" s="8" t="n">
        <x:f>K356-M356</x:f>
        <x:v>-103.2277190630445</x:v>
      </x:c>
      <x:c r="O356" s="8" t="n">
        <x:f>ABS(N356)</x:f>
        <x:v>103.2277190630445</x:v>
      </x:c>
      <x:c r="P356" s="8" t="n">
        <x:f>N356^2</x:f>
        <x:v>10655.961982958841</x:v>
      </x:c>
      <x:c r="Q356" s="8" t="n">
        <x:f>K356-L356</x:f>
        <x:v>16</x:v>
      </x:c>
      <x:c r="R356" s="9" t="n">
        <x:f>IF(AND(INDEX('Сводка'!$T$3:$T$397,U356)=0,INDEX('Сводка'!$T$3:$T$397,V356)=0),1,0)</x:f>
        <x:v>1</x:v>
      </x:c>
      <x:c r="S356" s="9" t="n">
        <x:f>IF(AND(R356=1,O356&lt;=$G$13),1,0)</x:f>
        <x:v>0</x:v>
      </x:c>
      <x:c r="T356" s="10" t="n">
        <x:f>EOMONTH(J356-'Сводка'!$B$11,-1)</x:f>
        <x:v>46203</x:v>
      </x:c>
      <x:c r="U356" s="4" t="n">
        <x:f>MATCH(J356,'Сводка'!$R$3:$R$397,0)</x:f>
        <x:v>367</x:v>
      </x:c>
      <x:c r="V356" s="4" t="n">
        <x:f>MATCH(J356-'Сводка'!$B$11,'Сводка'!$R$3:$R$397,0)</x:f>
        <x:v>366</x:v>
      </x:c>
      <x:c r="W356" s="4" t="n">
        <x:f>MATCH(T356,$J$388:$J$400,0)</x:f>
        <x:v>13</x:v>
      </x:c>
      <x:c r="X356" s="3"/>
      <x:c r="Y356" s="3"/>
      <x:c r="Z356" s="3"/>
    </x:row>
    <x:row r="357" ht="15" customHeight="1">
      <x:c r="A357" s="3"/>
      <x:c r="B357" s="3"/>
      <x:c r="C357" s="3"/>
      <x:c r="D357" s="3"/>
      <x:c r="E357" s="3"/>
      <x:c r="F357" s="3"/>
      <x:c r="G357" s="3"/>
      <x:c r="H357" s="3"/>
      <x:c r="I357" s="3"/>
      <x:c r="J357" s="10" t="n">
        <x:v>46208</x:v>
      </x:c>
      <x:c r="K357" s="8" t="n">
        <x:f>INDEX('Сводка'!$S$3:$S$397,U357)</x:f>
        <x:v>138</x:v>
      </x:c>
      <x:c r="L357" s="8" t="n">
        <x:f>INDEX('Сводка'!$S$3:$S$397,V357)</x:f>
        <x:v>121</x:v>
      </x:c>
      <x:c r="M357" s="8" t="n">
        <x:f>INDEX($K$388:$N$400,W357,1)+INDEX($K$388:$N$400,W357,2)*LN(((J357-$T$405+1)/1000))+INDEX($O$388:$Z$400,W357,MONTH(J357))</x:f>
        <x:v>224.23329810824475</x:v>
      </x:c>
      <x:c r="N357" s="8" t="n">
        <x:f>K357-M357</x:f>
        <x:v>-86.23329810824475</x:v>
      </x:c>
      <x:c r="O357" s="8" t="n">
        <x:f>ABS(N357)</x:f>
        <x:v>86.23329810824475</x:v>
      </x:c>
      <x:c r="P357" s="8" t="n">
        <x:f>N357^2</x:f>
        <x:v>7436.181702625408</x:v>
      </x:c>
      <x:c r="Q357" s="8" t="n">
        <x:f>K357-L357</x:f>
        <x:v>17</x:v>
      </x:c>
      <x:c r="R357" s="9" t="n">
        <x:f>IF(AND(INDEX('Сводка'!$T$3:$T$397,U357)=0,INDEX('Сводка'!$T$3:$T$397,V357)=0),1,0)</x:f>
        <x:v>1</x:v>
      </x:c>
      <x:c r="S357" s="9" t="n">
        <x:f>IF(AND(R357=1,O357&lt;=$G$13),1,0)</x:f>
        <x:v>0</x:v>
      </x:c>
      <x:c r="T357" s="10" t="n">
        <x:f>EOMONTH(J357-'Сводка'!$B$11,-1)</x:f>
        <x:v>46203</x:v>
      </x:c>
      <x:c r="U357" s="4" t="n">
        <x:f>MATCH(J357,'Сводка'!$R$3:$R$397,0)</x:f>
        <x:v>368</x:v>
      </x:c>
      <x:c r="V357" s="4" t="n">
        <x:f>MATCH(J357-'Сводка'!$B$11,'Сводка'!$R$3:$R$397,0)</x:f>
        <x:v>367</x:v>
      </x:c>
      <x:c r="W357" s="4" t="n">
        <x:f>MATCH(T357,$J$388:$J$400,0)</x:f>
        <x:v>13</x:v>
      </x:c>
      <x:c r="X357" s="3"/>
      <x:c r="Y357" s="3"/>
      <x:c r="Z357" s="3"/>
    </x:row>
    <x:row r="358" ht="15" customHeight="1">
      <x:c r="A358" s="3"/>
      <x:c r="B358" s="3"/>
      <x:c r="C358" s="3"/>
      <x:c r="D358" s="3"/>
      <x:c r="E358" s="3"/>
      <x:c r="F358" s="3"/>
      <x:c r="G358" s="3"/>
      <x:c r="H358" s="3"/>
      <x:c r="I358" s="3"/>
      <x:c r="J358" s="10" t="n">
        <x:v>46209</x:v>
      </x:c>
      <x:c r="K358" s="8" t="n">
        <x:f>INDEX('Сводка'!$S$3:$S$397,U358)</x:f>
        <x:v>149</x:v>
      </x:c>
      <x:c r="L358" s="8" t="n">
        <x:f>INDEX('Сводка'!$S$3:$S$397,V358)</x:f>
        <x:v>138</x:v>
      </x:c>
      <x:c r="M358" s="8" t="n">
        <x:f>INDEX($K$388:$N$400,W358,1)+INDEX($K$388:$N$400,W358,2)*LN(((J358-$T$405+1)/1000))+INDEX($O$388:$Z$400,W358,MONTH(J358))</x:f>
        <x:v>224.2388765302621</x:v>
      </x:c>
      <x:c r="N358" s="8" t="n">
        <x:f>K358-M358</x:f>
        <x:v>-75.2388765302621</x:v>
      </x:c>
      <x:c r="O358" s="8" t="n">
        <x:f>ABS(N358)</x:f>
        <x:v>75.2388765302621</x:v>
      </x:c>
      <x:c r="P358" s="8" t="n">
        <x:f>N358^2</x:f>
        <x:v>5660.8885415360255</x:v>
      </x:c>
      <x:c r="Q358" s="8" t="n">
        <x:f>K358-L358</x:f>
        <x:v>11</x:v>
      </x:c>
      <x:c r="R358" s="9" t="n">
        <x:f>IF(AND(INDEX('Сводка'!$T$3:$T$397,U358)=0,INDEX('Сводка'!$T$3:$T$397,V358)=0),1,0)</x:f>
        <x:v>1</x:v>
      </x:c>
      <x:c r="S358" s="9" t="n">
        <x:f>IF(AND(R358=1,O358&lt;=$G$13),1,0)</x:f>
        <x:v>0</x:v>
      </x:c>
      <x:c r="T358" s="10" t="n">
        <x:f>EOMONTH(J358-'Сводка'!$B$11,-1)</x:f>
        <x:v>46203</x:v>
      </x:c>
      <x:c r="U358" s="4" t="n">
        <x:f>MATCH(J358,'Сводка'!$R$3:$R$397,0)</x:f>
        <x:v>369</x:v>
      </x:c>
      <x:c r="V358" s="4" t="n">
        <x:f>MATCH(J358-'Сводка'!$B$11,'Сводка'!$R$3:$R$397,0)</x:f>
        <x:v>368</x:v>
      </x:c>
      <x:c r="W358" s="4" t="n">
        <x:f>MATCH(T358,$J$388:$J$400,0)</x:f>
        <x:v>13</x:v>
      </x:c>
      <x:c r="X358" s="3"/>
      <x:c r="Y358" s="3"/>
      <x:c r="Z358" s="3"/>
    </x:row>
    <x:row r="359" ht="15" customHeight="1">
      <x:c r="A359" s="3"/>
      <x:c r="B359" s="3"/>
      <x:c r="C359" s="3"/>
      <x:c r="D359" s="3"/>
      <x:c r="E359" s="3"/>
      <x:c r="F359" s="3"/>
      <x:c r="G359" s="3"/>
      <x:c r="H359" s="3"/>
      <x:c r="I359" s="3"/>
      <x:c r="J359" s="10" t="n">
        <x:v>46210</x:v>
      </x:c>
      <x:c r="K359" s="8" t="n">
        <x:f>INDEX('Сводка'!$S$3:$S$397,U359)</x:f>
        <x:v>158</x:v>
      </x:c>
      <x:c r="L359" s="8" t="n">
        <x:f>INDEX('Сводка'!$S$3:$S$397,V359)</x:f>
        <x:v>149</x:v>
      </x:c>
      <x:c r="M359" s="8" t="n">
        <x:f>INDEX($K$388:$N$400,W359,1)+INDEX($K$388:$N$400,W359,2)*LN(((J359-$T$405+1)/1000))+INDEX($O$388:$Z$400,W359,MONTH(J359))</x:f>
        <x:v>224.24445432923574</x:v>
      </x:c>
      <x:c r="N359" s="8" t="n">
        <x:f>K359-M359</x:f>
        <x:v>-66.24445432923574</x:v>
      </x:c>
      <x:c r="O359" s="8" t="n">
        <x:f>ABS(N359)</x:f>
        <x:v>66.24445432923574</x:v>
      </x:c>
      <x:c r="P359" s="8" t="n">
        <x:f>N359^2</x:f>
        <x:v>4388.327729378199</x:v>
      </x:c>
      <x:c r="Q359" s="8" t="n">
        <x:f>K359-L359</x:f>
        <x:v>9</x:v>
      </x:c>
      <x:c r="R359" s="9" t="n">
        <x:f>IF(AND(INDEX('Сводка'!$T$3:$T$397,U359)=0,INDEX('Сводка'!$T$3:$T$397,V359)=0),1,0)</x:f>
        <x:v>1</x:v>
      </x:c>
      <x:c r="S359" s="9" t="n">
        <x:f>IF(AND(R359=1,O359&lt;=$G$13),1,0)</x:f>
        <x:v>0</x:v>
      </x:c>
      <x:c r="T359" s="10" t="n">
        <x:f>EOMONTH(J359-'Сводка'!$B$11,-1)</x:f>
        <x:v>46203</x:v>
      </x:c>
      <x:c r="U359" s="4" t="n">
        <x:f>MATCH(J359,'Сводка'!$R$3:$R$397,0)</x:f>
        <x:v>370</x:v>
      </x:c>
      <x:c r="V359" s="4" t="n">
        <x:f>MATCH(J359-'Сводка'!$B$11,'Сводка'!$R$3:$R$397,0)</x:f>
        <x:v>369</x:v>
      </x:c>
      <x:c r="W359" s="4" t="n">
        <x:f>MATCH(T359,$J$388:$J$400,0)</x:f>
        <x:v>13</x:v>
      </x:c>
      <x:c r="X359" s="3"/>
      <x:c r="Y359" s="3"/>
      <x:c r="Z359" s="3"/>
    </x:row>
    <x:row r="360" ht="15" customHeight="1">
      <x:c r="A360" s="3"/>
      <x:c r="B360" s="3"/>
      <x:c r="C360" s="3"/>
      <x:c r="D360" s="3"/>
      <x:c r="E360" s="3"/>
      <x:c r="F360" s="3"/>
      <x:c r="G360" s="3"/>
      <x:c r="H360" s="3"/>
      <x:c r="I360" s="3"/>
      <x:c r="J360" s="10" t="n">
        <x:v>46211</x:v>
      </x:c>
      <x:c r="K360" s="8" t="n">
        <x:f>INDEX('Сводка'!$S$3:$S$397,U360)</x:f>
        <x:v>166</x:v>
      </x:c>
      <x:c r="L360" s="8" t="n">
        <x:f>INDEX('Сводка'!$S$3:$S$397,V360)</x:f>
        <x:v>158</x:v>
      </x:c>
      <x:c r="M360" s="8" t="n">
        <x:f>INDEX($K$388:$N$400,W360,1)+INDEX($K$388:$N$400,W360,2)*LN(((J360-$T$405+1)/1000))+INDEX($O$388:$Z$400,W360,MONTH(J360))</x:f>
        <x:v>224.25003150530478</x:v>
      </x:c>
      <x:c r="N360" s="8" t="n">
        <x:f>K360-M360</x:f>
        <x:v>-58.250031505304776</x:v>
      </x:c>
      <x:c r="O360" s="8" t="n">
        <x:f>ABS(N360)</x:f>
        <x:v>58.250031505304776</x:v>
      </x:c>
      <x:c r="P360" s="8" t="n">
        <x:f>N360^2</x:f>
        <x:v>3393.066170368999</x:v>
      </x:c>
      <x:c r="Q360" s="8" t="n">
        <x:f>K360-L360</x:f>
        <x:v>8</x:v>
      </x:c>
      <x:c r="R360" s="9" t="n">
        <x:f>IF(AND(INDEX('Сводка'!$T$3:$T$397,U360)=0,INDEX('Сводка'!$T$3:$T$397,V360)=0),1,0)</x:f>
        <x:v>1</x:v>
      </x:c>
      <x:c r="S360" s="9" t="n">
        <x:f>IF(AND(R360=1,O360&lt;=$G$13),1,0)</x:f>
        <x:v>0</x:v>
      </x:c>
      <x:c r="T360" s="10" t="n">
        <x:f>EOMONTH(J360-'Сводка'!$B$11,-1)</x:f>
        <x:v>46203</x:v>
      </x:c>
      <x:c r="U360" s="4" t="n">
        <x:f>MATCH(J360,'Сводка'!$R$3:$R$397,0)</x:f>
        <x:v>371</x:v>
      </x:c>
      <x:c r="V360" s="4" t="n">
        <x:f>MATCH(J360-'Сводка'!$B$11,'Сводка'!$R$3:$R$397,0)</x:f>
        <x:v>370</x:v>
      </x:c>
      <x:c r="W360" s="4" t="n">
        <x:f>MATCH(T360,$J$388:$J$400,0)</x:f>
        <x:v>13</x:v>
      </x:c>
      <x:c r="X360" s="3"/>
      <x:c r="Y360" s="3"/>
      <x:c r="Z360" s="3"/>
    </x:row>
    <x:row r="361" ht="15" customHeight="1">
      <x:c r="A361" s="3"/>
      <x:c r="B361" s="3"/>
      <x:c r="C361" s="3"/>
      <x:c r="D361" s="3"/>
      <x:c r="E361" s="3"/>
      <x:c r="F361" s="3"/>
      <x:c r="G361" s="3"/>
      <x:c r="H361" s="3"/>
      <x:c r="I361" s="3"/>
      <x:c r="J361" s="10" t="n">
        <x:v>46212</x:v>
      </x:c>
      <x:c r="K361" s="8" t="n">
        <x:f>INDEX('Сводка'!$S$3:$S$397,U361)</x:f>
        <x:v>174</x:v>
      </x:c>
      <x:c r="L361" s="8" t="n">
        <x:f>INDEX('Сводка'!$S$3:$S$397,V361)</x:f>
        <x:v>166</x:v>
      </x:c>
      <x:c r="M361" s="8" t="n">
        <x:f>INDEX($K$388:$N$400,W361,1)+INDEX($K$388:$N$400,W361,2)*LN(((J361-$T$405+1)/1000))+INDEX($O$388:$Z$400,W361,MONTH(J361))</x:f>
        <x:v>224.25560805860835</x:v>
      </x:c>
      <x:c r="N361" s="8" t="n">
        <x:f>K361-M361</x:f>
        <x:v>-50.255608058608345</x:v>
      </x:c>
      <x:c r="O361" s="8" t="n">
        <x:f>ABS(N361)</x:f>
        <x:v>50.255608058608345</x:v>
      </x:c>
      <x:c r="P361" s="8" t="n">
        <x:f>N361^2</x:f>
        <x:v>2525.62614134046</x:v>
      </x:c>
      <x:c r="Q361" s="8" t="n">
        <x:f>K361-L361</x:f>
        <x:v>8</x:v>
      </x:c>
      <x:c r="R361" s="9" t="n">
        <x:f>IF(AND(INDEX('Сводка'!$T$3:$T$397,U361)=0,INDEX('Сводка'!$T$3:$T$397,V361)=0),1,0)</x:f>
        <x:v>1</x:v>
      </x:c>
      <x:c r="S361" s="9" t="n">
        <x:f>IF(AND(R361=1,O361&lt;=$G$13),1,0)</x:f>
        <x:v>0</x:v>
      </x:c>
      <x:c r="T361" s="10" t="n">
        <x:f>EOMONTH(J361-'Сводка'!$B$11,-1)</x:f>
        <x:v>46203</x:v>
      </x:c>
      <x:c r="U361" s="4" t="n">
        <x:f>MATCH(J361,'Сводка'!$R$3:$R$397,0)</x:f>
        <x:v>372</x:v>
      </x:c>
      <x:c r="V361" s="4" t="n">
        <x:f>MATCH(J361-'Сводка'!$B$11,'Сводка'!$R$3:$R$397,0)</x:f>
        <x:v>371</x:v>
      </x:c>
      <x:c r="W361" s="4" t="n">
        <x:f>MATCH(T361,$J$388:$J$400,0)</x:f>
        <x:v>13</x:v>
      </x:c>
      <x:c r="X361" s="3"/>
      <x:c r="Y361" s="3"/>
      <x:c r="Z361" s="3"/>
    </x:row>
    <x:row r="362" ht="15" customHeight="1">
      <x:c r="A362" s="3"/>
      <x:c r="B362" s="3"/>
      <x:c r="C362" s="3"/>
      <x:c r="D362" s="3"/>
      <x:c r="E362" s="3"/>
      <x:c r="F362" s="3"/>
      <x:c r="G362" s="3"/>
      <x:c r="H362" s="3"/>
      <x:c r="I362" s="3"/>
      <x:c r="J362" s="10" t="n">
        <x:v>46213</x:v>
      </x:c>
      <x:c r="K362" s="8" t="n">
        <x:f>INDEX('Сводка'!$S$3:$S$397,U362)</x:f>
        <x:v>180</x:v>
      </x:c>
      <x:c r="L362" s="8" t="n">
        <x:f>INDEX('Сводка'!$S$3:$S$397,V362)</x:f>
        <x:v>174</x:v>
      </x:c>
      <x:c r="M362" s="8" t="n">
        <x:f>INDEX($K$388:$N$400,W362,1)+INDEX($K$388:$N$400,W362,2)*LN(((J362-$T$405+1)/1000))+INDEX($O$388:$Z$400,W362,MONTH(J362))</x:f>
        <x:v>224.2611839892855</x:v>
      </x:c>
      <x:c r="N362" s="8" t="n">
        <x:f>K362-M362</x:f>
        <x:v>-44.26118398928551</x:v>
      </x:c>
      <x:c r="O362" s="8" t="n">
        <x:f>ABS(N362)</x:f>
        <x:v>44.26118398928551</x:v>
      </x:c>
      <x:c r="P362" s="8" t="n">
        <x:f>N362^2</x:f>
        <x:v>1959.0524081333842</x:v>
      </x:c>
      <x:c r="Q362" s="8" t="n">
        <x:f>K362-L362</x:f>
        <x:v>6</x:v>
      </x:c>
      <x:c r="R362" s="9" t="n">
        <x:f>IF(AND(INDEX('Сводка'!$T$3:$T$397,U362)=0,INDEX('Сводка'!$T$3:$T$397,V362)=0),1,0)</x:f>
        <x:v>1</x:v>
      </x:c>
      <x:c r="S362" s="9" t="n">
        <x:f>IF(AND(R362=1,O362&lt;=$G$13),1,0)</x:f>
        <x:v>0</x:v>
      </x:c>
      <x:c r="T362" s="10" t="n">
        <x:f>EOMONTH(J362-'Сводка'!$B$11,-1)</x:f>
        <x:v>46203</x:v>
      </x:c>
      <x:c r="U362" s="4" t="n">
        <x:f>MATCH(J362,'Сводка'!$R$3:$R$397,0)</x:f>
        <x:v>373</x:v>
      </x:c>
      <x:c r="V362" s="4" t="n">
        <x:f>MATCH(J362-'Сводка'!$B$11,'Сводка'!$R$3:$R$397,0)</x:f>
        <x:v>372</x:v>
      </x:c>
      <x:c r="W362" s="4" t="n">
        <x:f>MATCH(T362,$J$388:$J$400,0)</x:f>
        <x:v>13</x:v>
      </x:c>
      <x:c r="X362" s="3"/>
      <x:c r="Y362" s="3"/>
      <x:c r="Z362" s="3"/>
    </x:row>
    <x:row r="363" ht="15" customHeight="1">
      <x:c r="A363" s="3"/>
      <x:c r="B363" s="3"/>
      <x:c r="C363" s="3"/>
      <x:c r="D363" s="3"/>
      <x:c r="E363" s="3"/>
      <x:c r="F363" s="3"/>
      <x:c r="G363" s="3"/>
      <x:c r="H363" s="3"/>
      <x:c r="I363" s="3"/>
      <x:c r="J363" s="10" t="n">
        <x:v>46214</x:v>
      </x:c>
      <x:c r="K363" s="8" t="n">
        <x:f>INDEX('Сводка'!$S$3:$S$397,U363)</x:f>
        <x:v>181</x:v>
      </x:c>
      <x:c r="L363" s="8" t="n">
        <x:f>INDEX('Сводка'!$S$3:$S$397,V363)</x:f>
        <x:v>180</x:v>
      </x:c>
      <x:c r="M363" s="8" t="n">
        <x:f>INDEX($K$388:$N$400,W363,1)+INDEX($K$388:$N$400,W363,2)*LN(((J363-$T$405+1)/1000))+INDEX($O$388:$Z$400,W363,MONTH(J363))</x:f>
        <x:v>224.26675929747532</x:v>
      </x:c>
      <x:c r="N363" s="8" t="n">
        <x:f>K363-M363</x:f>
        <x:v>-43.26675929747532</x:v>
      </x:c>
      <x:c r="O363" s="8" t="n">
        <x:f>ABS(N363)</x:f>
        <x:v>43.26675929747532</x:v>
      </x:c>
      <x:c r="P363" s="8" t="n">
        <x:f>N363^2</x:f>
        <x:v>1872.0124601056668</x:v>
      </x:c>
      <x:c r="Q363" s="8" t="n">
        <x:f>K363-L363</x:f>
        <x:v>1</x:v>
      </x:c>
      <x:c r="R363" s="9" t="n">
        <x:f>IF(AND(INDEX('Сводка'!$T$3:$T$397,U363)=0,INDEX('Сводка'!$T$3:$T$397,V363)=0),1,0)</x:f>
        <x:v>1</x:v>
      </x:c>
      <x:c r="S363" s="9" t="n">
        <x:f>IF(AND(R363=1,O363&lt;=$G$13),1,0)</x:f>
        <x:v>0</x:v>
      </x:c>
      <x:c r="T363" s="10" t="n">
        <x:f>EOMONTH(J363-'Сводка'!$B$11,-1)</x:f>
        <x:v>46203</x:v>
      </x:c>
      <x:c r="U363" s="4" t="n">
        <x:f>MATCH(J363,'Сводка'!$R$3:$R$397,0)</x:f>
        <x:v>374</x:v>
      </x:c>
      <x:c r="V363" s="4" t="n">
        <x:f>MATCH(J363-'Сводка'!$B$11,'Сводка'!$R$3:$R$397,0)</x:f>
        <x:v>373</x:v>
      </x:c>
      <x:c r="W363" s="4" t="n">
        <x:f>MATCH(T363,$J$388:$J$400,0)</x:f>
        <x:v>13</x:v>
      </x:c>
      <x:c r="X363" s="3"/>
      <x:c r="Y363" s="3"/>
      <x:c r="Z363" s="3"/>
    </x:row>
    <x:row r="364" ht="15" customHeight="1">
      <x:c r="A364" s="3"/>
      <x:c r="B364" s="3"/>
      <x:c r="C364" s="3"/>
      <x:c r="D364" s="3"/>
      <x:c r="E364" s="3"/>
      <x:c r="F364" s="3"/>
      <x:c r="G364" s="3"/>
      <x:c r="H364" s="3"/>
      <x:c r="I364" s="3"/>
      <x:c r="J364" s="10" t="n">
        <x:v>46215</x:v>
      </x:c>
      <x:c r="K364" s="8" t="n">
        <x:f>INDEX('Сводка'!$S$3:$S$397,U364)</x:f>
        <x:v>179</x:v>
      </x:c>
      <x:c r="L364" s="8" t="n">
        <x:f>INDEX('Сводка'!$S$3:$S$397,V364)</x:f>
        <x:v>181</x:v>
      </x:c>
      <x:c r="M364" s="8" t="n">
        <x:f>INDEX($K$388:$N$400,W364,1)+INDEX($K$388:$N$400,W364,2)*LN(((J364-$T$405+1)/1000))+INDEX($O$388:$Z$400,W364,MONTH(J364))</x:f>
        <x:v>224.2723339833167</x:v>
      </x:c>
      <x:c r="N364" s="8" t="n">
        <x:f>K364-M364</x:f>
        <x:v>-45.27233398331671</x:v>
      </x:c>
      <x:c r="O364" s="8" t="n">
        <x:f>ABS(N364)</x:f>
        <x:v>45.27233398331671</x:v>
      </x:c>
      <x:c r="P364" s="8" t="n">
        <x:f>N364^2</x:f>
        <x:v>2049.5842242969734</x:v>
      </x:c>
      <x:c r="Q364" s="8" t="n">
        <x:f>K364-L364</x:f>
        <x:v>-2</x:v>
      </x:c>
      <x:c r="R364" s="9" t="n">
        <x:f>IF(AND(INDEX('Сводка'!$T$3:$T$397,U364)=0,INDEX('Сводка'!$T$3:$T$397,V364)=0),1,0)</x:f>
        <x:v>1</x:v>
      </x:c>
      <x:c r="S364" s="9" t="n">
        <x:f>IF(AND(R364=1,O364&lt;=$G$13),1,0)</x:f>
        <x:v>0</x:v>
      </x:c>
      <x:c r="T364" s="10" t="n">
        <x:f>EOMONTH(J364-'Сводка'!$B$11,-1)</x:f>
        <x:v>46203</x:v>
      </x:c>
      <x:c r="U364" s="4" t="n">
        <x:f>MATCH(J364,'Сводка'!$R$3:$R$397,0)</x:f>
        <x:v>375</x:v>
      </x:c>
      <x:c r="V364" s="4" t="n">
        <x:f>MATCH(J364-'Сводка'!$B$11,'Сводка'!$R$3:$R$397,0)</x:f>
        <x:v>374</x:v>
      </x:c>
      <x:c r="W364" s="4" t="n">
        <x:f>MATCH(T364,$J$388:$J$400,0)</x:f>
        <x:v>13</x:v>
      </x:c>
      <x:c r="X364" s="3"/>
      <x:c r="Y364" s="3"/>
      <x:c r="Z364" s="3"/>
    </x:row>
    <x:row r="365" ht="15" customHeight="1">
      <x:c r="A365" s="3"/>
      <x:c r="B365" s="3"/>
      <x:c r="C365" s="3"/>
      <x:c r="D365" s="3"/>
      <x:c r="E365" s="3"/>
      <x:c r="F365" s="3"/>
      <x:c r="G365" s="3"/>
      <x:c r="H365" s="3"/>
      <x:c r="I365" s="3"/>
      <x:c r="J365" s="10" t="n">
        <x:v>46216</x:v>
      </x:c>
      <x:c r="K365" s="8" t="n">
        <x:f>INDEX('Сводка'!$S$3:$S$397,U365)</x:f>
        <x:v>182</x:v>
      </x:c>
      <x:c r="L365" s="8" t="n">
        <x:f>INDEX('Сводка'!$S$3:$S$397,V365)</x:f>
        <x:v>179</x:v>
      </x:c>
      <x:c r="M365" s="8" t="n">
        <x:f>INDEX($K$388:$N$400,W365,1)+INDEX($K$388:$N$400,W365,2)*LN(((J365-$T$405+1)/1000))+INDEX($O$388:$Z$400,W365,MONTH(J365))</x:f>
        <x:v>224.2779080469486</x:v>
      </x:c>
      <x:c r="N365" s="8" t="n">
        <x:f>K365-M365</x:f>
        <x:v>-42.277908046948596</x:v>
      </x:c>
      <x:c r="O365" s="8" t="n">
        <x:f>ABS(N365)</x:f>
        <x:v>42.277908046948596</x:v>
      </x:c>
      <x:c r="P365" s="8" t="n">
        <x:f>N365^2</x:f>
        <x:v>1787.4215088262408</x:v>
      </x:c>
      <x:c r="Q365" s="8" t="n">
        <x:f>K365-L365</x:f>
        <x:v>3</x:v>
      </x:c>
      <x:c r="R365" s="9" t="n">
        <x:f>IF(AND(INDEX('Сводка'!$T$3:$T$397,U365)=0,INDEX('Сводка'!$T$3:$T$397,V365)=0),1,0)</x:f>
        <x:v>1</x:v>
      </x:c>
      <x:c r="S365" s="9" t="n">
        <x:f>IF(AND(R365=1,O365&lt;=$G$13),1,0)</x:f>
        <x:v>0</x:v>
      </x:c>
      <x:c r="T365" s="10" t="n">
        <x:f>EOMONTH(J365-'Сводка'!$B$11,-1)</x:f>
        <x:v>46203</x:v>
      </x:c>
      <x:c r="U365" s="4" t="n">
        <x:f>MATCH(J365,'Сводка'!$R$3:$R$397,0)</x:f>
        <x:v>376</x:v>
      </x:c>
      <x:c r="V365" s="4" t="n">
        <x:f>MATCH(J365-'Сводка'!$B$11,'Сводка'!$R$3:$R$397,0)</x:f>
        <x:v>375</x:v>
      </x:c>
      <x:c r="W365" s="4" t="n">
        <x:f>MATCH(T365,$J$388:$J$400,0)</x:f>
        <x:v>13</x:v>
      </x:c>
      <x:c r="X365" s="3"/>
      <x:c r="Y365" s="3"/>
      <x:c r="Z365" s="3"/>
    </x:row>
    <x:row r="366" ht="15" customHeight="1">
      <x:c r="A366" s="3"/>
      <x:c r="B366" s="3"/>
      <x:c r="C366" s="3"/>
      <x:c r="D366" s="3"/>
      <x:c r="E366" s="3"/>
      <x:c r="F366" s="3"/>
      <x:c r="G366" s="3"/>
      <x:c r="H366" s="3"/>
      <x:c r="I366" s="3"/>
      <x:c r="J366" s="10" t="n">
        <x:v>46217</x:v>
      </x:c>
      <x:c r="K366" s="8" t="n">
        <x:f>INDEX('Сводка'!$S$3:$S$397,U366)</x:f>
        <x:v>191</x:v>
      </x:c>
      <x:c r="L366" s="8" t="n">
        <x:f>INDEX('Сводка'!$S$3:$S$397,V366)</x:f>
        <x:v>182</x:v>
      </x:c>
      <x:c r="M366" s="8" t="n">
        <x:f>INDEX($K$388:$N$400,W366,1)+INDEX($K$388:$N$400,W366,2)*LN(((J366-$T$405+1)/1000))+INDEX($O$388:$Z$400,W366,MONTH(J366))</x:f>
        <x:v>224.28348148850992</x:v>
      </x:c>
      <x:c r="N366" s="8" t="n">
        <x:f>K366-M366</x:f>
        <x:v>-33.28348148850992</x:v>
      </x:c>
      <x:c r="O366" s="8" t="n">
        <x:f>ABS(N366)</x:f>
        <x:v>33.28348148850992</x:v>
      </x:c>
      <x:c r="P366" s="8" t="n">
        <x:f>N366^2</x:f>
        <x:v>1107.7901399959826</x:v>
      </x:c>
      <x:c r="Q366" s="8" t="n">
        <x:f>K366-L366</x:f>
        <x:v>9</x:v>
      </x:c>
      <x:c r="R366" s="9" t="n">
        <x:f>IF(AND(INDEX('Сводка'!$T$3:$T$397,U366)=0,INDEX('Сводка'!$T$3:$T$397,V366)=0),1,0)</x:f>
        <x:v>1</x:v>
      </x:c>
      <x:c r="S366" s="9" t="n">
        <x:f>IF(AND(R366=1,O366&lt;=$G$13),1,0)</x:f>
        <x:v>0</x:v>
      </x:c>
      <x:c r="T366" s="10" t="n">
        <x:f>EOMONTH(J366-'Сводка'!$B$11,-1)</x:f>
        <x:v>46203</x:v>
      </x:c>
      <x:c r="U366" s="4" t="n">
        <x:f>MATCH(J366,'Сводка'!$R$3:$R$397,0)</x:f>
        <x:v>377</x:v>
      </x:c>
      <x:c r="V366" s="4" t="n">
        <x:f>MATCH(J366-'Сводка'!$B$11,'Сводка'!$R$3:$R$397,0)</x:f>
        <x:v>376</x:v>
      </x:c>
      <x:c r="W366" s="4" t="n">
        <x:f>MATCH(T366,$J$388:$J$400,0)</x:f>
        <x:v>13</x:v>
      </x:c>
      <x:c r="X366" s="3"/>
      <x:c r="Y366" s="3"/>
      <x:c r="Z366" s="3"/>
    </x:row>
    <x:row r="367" ht="15" customHeight="1">
      <x:c r="A367" s="3"/>
      <x:c r="B367" s="3"/>
      <x:c r="C367" s="3"/>
      <x:c r="D367" s="3"/>
      <x:c r="E367" s="3"/>
      <x:c r="F367" s="3"/>
      <x:c r="G367" s="3"/>
      <x:c r="H367" s="3"/>
      <x:c r="I367" s="3"/>
      <x:c r="J367" s="10" t="n">
        <x:v>46218</x:v>
      </x:c>
      <x:c r="K367" s="8" t="n">
        <x:f>INDEX('Сводка'!$S$3:$S$397,U367)</x:f>
        <x:v>206</x:v>
      </x:c>
      <x:c r="L367" s="8" t="n">
        <x:f>INDEX('Сводка'!$S$3:$S$397,V367)</x:f>
        <x:v>191</x:v>
      </x:c>
      <x:c r="M367" s="8" t="n">
        <x:f>INDEX($K$388:$N$400,W367,1)+INDEX($K$388:$N$400,W367,2)*LN(((J367-$T$405+1)/1000))+INDEX($O$388:$Z$400,W367,MONTH(J367))</x:f>
        <x:v>224.28905430813947</x:v>
      </x:c>
      <x:c r="N367" s="8" t="n">
        <x:f>K367-M367</x:f>
        <x:v>-18.28905430813947</x:v>
      </x:c>
      <x:c r="O367" s="8" t="n">
        <x:f>ABS(N367)</x:f>
        <x:v>18.28905430813947</x:v>
      </x:c>
      <x:c r="P367" s="8" t="n">
        <x:f>N367^2</x:f>
        <x:v>334.4895074860749</x:v>
      </x:c>
      <x:c r="Q367" s="8" t="n">
        <x:f>K367-L367</x:f>
        <x:v>15</x:v>
      </x:c>
      <x:c r="R367" s="9" t="n">
        <x:f>IF(AND(INDEX('Сводка'!$T$3:$T$397,U367)=0,INDEX('Сводка'!$T$3:$T$397,V367)=0),1,0)</x:f>
        <x:v>1</x:v>
      </x:c>
      <x:c r="S367" s="9" t="n">
        <x:f>IF(AND(R367=1,O367&lt;=$G$13),1,0)</x:f>
        <x:v>0</x:v>
      </x:c>
      <x:c r="T367" s="10" t="n">
        <x:f>EOMONTH(J367-'Сводка'!$B$11,-1)</x:f>
        <x:v>46203</x:v>
      </x:c>
      <x:c r="U367" s="4" t="n">
        <x:f>MATCH(J367,'Сводка'!$R$3:$R$397,0)</x:f>
        <x:v>378</x:v>
      </x:c>
      <x:c r="V367" s="4" t="n">
        <x:f>MATCH(J367-'Сводка'!$B$11,'Сводка'!$R$3:$R$397,0)</x:f>
        <x:v>377</x:v>
      </x:c>
      <x:c r="W367" s="4" t="n">
        <x:f>MATCH(T367,$J$388:$J$400,0)</x:f>
        <x:v>13</x:v>
      </x:c>
      <x:c r="X367" s="3"/>
      <x:c r="Y367" s="3"/>
      <x:c r="Z367" s="3"/>
    </x:row>
    <x:row r="368" ht="15" customHeight="1">
      <x:c r="A368" s="3"/>
      <x:c r="B368" s="3"/>
      <x:c r="C368" s="3"/>
      <x:c r="D368" s="3"/>
      <x:c r="E368" s="3"/>
      <x:c r="F368" s="3"/>
      <x:c r="G368" s="3"/>
      <x:c r="H368" s="3"/>
      <x:c r="I368" s="3"/>
      <x:c r="J368" s="10" t="n">
        <x:v>46219</x:v>
      </x:c>
      <x:c r="K368" s="8" t="n">
        <x:f>INDEX('Сводка'!$S$3:$S$397,U368)</x:f>
        <x:v>225</x:v>
      </x:c>
      <x:c r="L368" s="8" t="n">
        <x:f>INDEX('Сводка'!$S$3:$S$397,V368)</x:f>
        <x:v>206</x:v>
      </x:c>
      <x:c r="M368" s="8" t="n">
        <x:f>INDEX($K$388:$N$400,W368,1)+INDEX($K$388:$N$400,W368,2)*LN(((J368-$T$405+1)/1000))+INDEX($O$388:$Z$400,W368,MONTH(J368))</x:f>
        <x:v>224.294626505976</x:v>
      </x:c>
      <x:c r="N368" s="8" t="n">
        <x:f>K368-M368</x:f>
        <x:v>0.705373494024002</x:v>
      </x:c>
      <x:c r="O368" s="8" t="n">
        <x:f>ABS(N368)</x:f>
        <x:v>0.705373494024002</x:v>
      </x:c>
      <x:c r="P368" s="8" t="n">
        <x:f>N368^2</x:f>
        <x:v>0.4975517660716287</x:v>
      </x:c>
      <x:c r="Q368" s="8" t="n">
        <x:f>K368-L368</x:f>
        <x:v>19</x:v>
      </x:c>
      <x:c r="R368" s="9" t="n">
        <x:f>IF(AND(INDEX('Сводка'!$T$3:$T$397,U368)=0,INDEX('Сводка'!$T$3:$T$397,V368)=0),1,0)</x:f>
        <x:v>1</x:v>
      </x:c>
      <x:c r="S368" s="9" t="n">
        <x:f>IF(AND(R368=1,O368&lt;=$G$13),1,0)</x:f>
        <x:v>1</x:v>
      </x:c>
      <x:c r="T368" s="10" t="n">
        <x:f>EOMONTH(J368-'Сводка'!$B$11,-1)</x:f>
        <x:v>46203</x:v>
      </x:c>
      <x:c r="U368" s="4" t="n">
        <x:f>MATCH(J368,'Сводка'!$R$3:$R$397,0)</x:f>
        <x:v>379</x:v>
      </x:c>
      <x:c r="V368" s="4" t="n">
        <x:f>MATCH(J368-'Сводка'!$B$11,'Сводка'!$R$3:$R$397,0)</x:f>
        <x:v>378</x:v>
      </x:c>
      <x:c r="W368" s="4" t="n">
        <x:f>MATCH(T368,$J$388:$J$400,0)</x:f>
        <x:v>13</x:v>
      </x:c>
      <x:c r="X368" s="3"/>
      <x:c r="Y368" s="3"/>
      <x:c r="Z368" s="3"/>
    </x:row>
    <x:row r="369" ht="15" customHeight="1">
      <x:c r="A369" s="3"/>
      <x:c r="B369" s="3"/>
      <x:c r="C369" s="3"/>
      <x:c r="D369" s="3"/>
      <x:c r="E369" s="3"/>
      <x:c r="F369" s="3"/>
      <x:c r="G369" s="3"/>
      <x:c r="H369" s="3"/>
      <x:c r="I369" s="3"/>
      <x:c r="J369" s="10" t="n">
        <x:v>46220</x:v>
      </x:c>
      <x:c r="K369" s="8" t="n">
        <x:f>INDEX('Сводка'!$S$3:$S$397,U369)</x:f>
        <x:v>245</x:v>
      </x:c>
      <x:c r="L369" s="8" t="n">
        <x:f>INDEX('Сводка'!$S$3:$S$397,V369)</x:f>
        <x:v>225</x:v>
      </x:c>
      <x:c r="M369" s="8" t="n">
        <x:f>INDEX($K$388:$N$400,W369,1)+INDEX($K$388:$N$400,W369,2)*LN(((J369-$T$405+1)/1000))+INDEX($O$388:$Z$400,W369,MONTH(J369))</x:f>
        <x:v>224.30019808215832</x:v>
      </x:c>
      <x:c r="N369" s="8" t="n">
        <x:f>K369-M369</x:f>
        <x:v>20.699801917841683</x:v>
      </x:c>
      <x:c r="O369" s="8" t="n">
        <x:f>ABS(N369)</x:f>
        <x:v>20.699801917841683</x:v>
      </x:c>
      <x:c r="P369" s="8" t="n">
        <x:f>N369^2</x:f>
        <x:v>428.4817994378822</x:v>
      </x:c>
      <x:c r="Q369" s="8" t="n">
        <x:f>K369-L369</x:f>
        <x:v>20</x:v>
      </x:c>
      <x:c r="R369" s="9" t="n">
        <x:f>IF(AND(INDEX('Сводка'!$T$3:$T$397,U369)=0,INDEX('Сводка'!$T$3:$T$397,V369)=0),1,0)</x:f>
        <x:v>1</x:v>
      </x:c>
      <x:c r="S369" s="9" t="n">
        <x:f>IF(AND(R369=1,O369&lt;=$G$13),1,0)</x:f>
        <x:v>0</x:v>
      </x:c>
      <x:c r="T369" s="10" t="n">
        <x:f>EOMONTH(J369-'Сводка'!$B$11,-1)</x:f>
        <x:v>46203</x:v>
      </x:c>
      <x:c r="U369" s="4" t="n">
        <x:f>MATCH(J369,'Сводка'!$R$3:$R$397,0)</x:f>
        <x:v>380</x:v>
      </x:c>
      <x:c r="V369" s="4" t="n">
        <x:f>MATCH(J369-'Сводка'!$B$11,'Сводка'!$R$3:$R$397,0)</x:f>
        <x:v>379</x:v>
      </x:c>
      <x:c r="W369" s="4" t="n">
        <x:f>MATCH(T369,$J$388:$J$400,0)</x:f>
        <x:v>13</x:v>
      </x:c>
      <x:c r="X369" s="3"/>
      <x:c r="Y369" s="3"/>
      <x:c r="Z369" s="3"/>
    </x:row>
    <x:row r="370" ht="15" customHeight="1">
      <x:c r="A370" s="3"/>
      <x:c r="B370" s="3"/>
      <x:c r="C370" s="3"/>
      <x:c r="D370" s="3"/>
      <x:c r="E370" s="3"/>
      <x:c r="F370" s="3"/>
      <x:c r="G370" s="3"/>
      <x:c r="H370" s="3"/>
      <x:c r="I370" s="3"/>
      <x:c r="J370" s="10" t="n">
        <x:v>46221</x:v>
      </x:c>
      <x:c r="K370" s="8" t="n">
        <x:f>INDEX('Сводка'!$S$3:$S$397,U370)</x:f>
        <x:v>266</x:v>
      </x:c>
      <x:c r="L370" s="8" t="n">
        <x:f>INDEX('Сводка'!$S$3:$S$397,V370)</x:f>
        <x:v>245</x:v>
      </x:c>
      <x:c r="M370" s="8" t="n">
        <x:f>INDEX($K$388:$N$400,W370,1)+INDEX($K$388:$N$400,W370,2)*LN(((J370-$T$405+1)/1000))+INDEX($O$388:$Z$400,W370,MONTH(J370))</x:f>
        <x:v>224.30576903682507</x:v>
      </x:c>
      <x:c r="N370" s="8" t="n">
        <x:f>K370-M370</x:f>
        <x:v>41.69423096317493</x:v>
      </x:c>
      <x:c r="O370" s="8" t="n">
        <x:f>ABS(N370)</x:f>
        <x:v>41.69423096317493</x:v>
      </x:c>
      <x:c r="P370" s="8" t="n">
        <x:f>N370^2</x:f>
        <x:v>1738.4088956105752</x:v>
      </x:c>
      <x:c r="Q370" s="8" t="n">
        <x:f>K370-L370</x:f>
        <x:v>21</x:v>
      </x:c>
      <x:c r="R370" s="9" t="n">
        <x:f>IF(AND(INDEX('Сводка'!$T$3:$T$397,U370)=0,INDEX('Сводка'!$T$3:$T$397,V370)=0),1,0)</x:f>
        <x:v>1</x:v>
      </x:c>
      <x:c r="S370" s="9" t="n">
        <x:f>IF(AND(R370=1,O370&lt;=$G$13),1,0)</x:f>
        <x:v>0</x:v>
      </x:c>
      <x:c r="T370" s="10" t="n">
        <x:f>EOMONTH(J370-'Сводка'!$B$11,-1)</x:f>
        <x:v>46203</x:v>
      </x:c>
      <x:c r="U370" s="4" t="n">
        <x:f>MATCH(J370,'Сводка'!$R$3:$R$397,0)</x:f>
        <x:v>381</x:v>
      </x:c>
      <x:c r="V370" s="4" t="n">
        <x:f>MATCH(J370-'Сводка'!$B$11,'Сводка'!$R$3:$R$397,0)</x:f>
        <x:v>380</x:v>
      </x:c>
      <x:c r="W370" s="4" t="n">
        <x:f>MATCH(T370,$J$388:$J$400,0)</x:f>
        <x:v>13</x:v>
      </x:c>
      <x:c r="X370" s="3"/>
      <x:c r="Y370" s="3"/>
      <x:c r="Z370" s="3"/>
    </x:row>
    <x:row r="371" ht="15" customHeight="1">
      <x:c r="A371" s="3"/>
      <x:c r="B371" s="3"/>
      <x:c r="C371" s="3"/>
      <x:c r="D371" s="3"/>
      <x:c r="E371" s="3"/>
      <x:c r="F371" s="3"/>
      <x:c r="G371" s="3"/>
      <x:c r="H371" s="3"/>
      <x:c r="I371" s="3"/>
      <x:c r="J371" s="10" t="n">
        <x:v>46222</x:v>
      </x:c>
      <x:c r="K371" s="8" t="n">
        <x:f>INDEX('Сводка'!$S$3:$S$397,U371)</x:f>
        <x:v>281</x:v>
      </x:c>
      <x:c r="L371" s="8" t="n">
        <x:f>INDEX('Сводка'!$S$3:$S$397,V371)</x:f>
        <x:v>266</x:v>
      </x:c>
      <x:c r="M371" s="8" t="n">
        <x:f>INDEX($K$388:$N$400,W371,1)+INDEX($K$388:$N$400,W371,2)*LN(((J371-$T$405+1)/1000))+INDEX($O$388:$Z$400,W371,MONTH(J371))</x:f>
        <x:v>224.31133937011492</x:v>
      </x:c>
      <x:c r="N371" s="8" t="n">
        <x:f>K371-M371</x:f>
        <x:v>56.68866062988508</x:v>
      </x:c>
      <x:c r="O371" s="8" t="n">
        <x:f>ABS(N371)</x:f>
        <x:v>56.68866062988508</x:v>
      </x:c>
      <x:c r="P371" s="8" t="n">
        <x:f>N371^2</x:f>
        <x:v>3213.6042440102824</x:v>
      </x:c>
      <x:c r="Q371" s="8" t="n">
        <x:f>K371-L371</x:f>
        <x:v>15</x:v>
      </x:c>
      <x:c r="R371" s="9" t="n">
        <x:f>IF(AND(INDEX('Сводка'!$T$3:$T$397,U371)=0,INDEX('Сводка'!$T$3:$T$397,V371)=0),1,0)</x:f>
        <x:v>1</x:v>
      </x:c>
      <x:c r="S371" s="9" t="n">
        <x:f>IF(AND(R371=1,O371&lt;=$G$13),1,0)</x:f>
        <x:v>0</x:v>
      </x:c>
      <x:c r="T371" s="10" t="n">
        <x:f>EOMONTH(J371-'Сводка'!$B$11,-1)</x:f>
        <x:v>46203</x:v>
      </x:c>
      <x:c r="U371" s="4" t="n">
        <x:f>MATCH(J371,'Сводка'!$R$3:$R$397,0)</x:f>
        <x:v>382</x:v>
      </x:c>
      <x:c r="V371" s="4" t="n">
        <x:f>MATCH(J371-'Сводка'!$B$11,'Сводка'!$R$3:$R$397,0)</x:f>
        <x:v>381</x:v>
      </x:c>
      <x:c r="W371" s="4" t="n">
        <x:f>MATCH(T371,$J$388:$J$400,0)</x:f>
        <x:v>13</x:v>
      </x:c>
      <x:c r="X371" s="3"/>
      <x:c r="Y371" s="3"/>
      <x:c r="Z371" s="3"/>
    </x:row>
    <x:row r="372" ht="15" customHeight="1">
      <x:c r="A372" s="3"/>
      <x:c r="B372" s="3"/>
      <x:c r="C372" s="3"/>
      <x:c r="D372" s="3"/>
      <x:c r="E372" s="3"/>
      <x:c r="F372" s="3"/>
      <x:c r="G372" s="3"/>
      <x:c r="H372" s="3"/>
      <x:c r="I372" s="3"/>
      <x:c r="J372" s="10" t="n">
        <x:v>46223</x:v>
      </x:c>
      <x:c r="K372" s="8" t="n">
        <x:f>INDEX('Сводка'!$S$3:$S$397,U372)</x:f>
        <x:v>292</x:v>
      </x:c>
      <x:c r="L372" s="8" t="n">
        <x:f>INDEX('Сводка'!$S$3:$S$397,V372)</x:f>
        <x:v>281</x:v>
      </x:c>
      <x:c r="M372" s="8" t="n">
        <x:f>INDEX($K$388:$N$400,W372,1)+INDEX($K$388:$N$400,W372,2)*LN(((J372-$T$405+1)/1000))+INDEX($O$388:$Z$400,W372,MONTH(J372))</x:f>
        <x:v>224.31690908216643</x:v>
      </x:c>
      <x:c r="N372" s="8" t="n">
        <x:f>K372-M372</x:f>
        <x:v>67.68309091783357</x:v>
      </x:c>
      <x:c r="O372" s="8" t="n">
        <x:f>ABS(N372)</x:f>
        <x:v>67.68309091783357</x:v>
      </x:c>
      <x:c r="P372" s="8" t="n">
        <x:f>N372^2</x:f>
        <x:v>4581.0007961917245</x:v>
      </x:c>
      <x:c r="Q372" s="8" t="n">
        <x:f>K372-L372</x:f>
        <x:v>11</x:v>
      </x:c>
      <x:c r="R372" s="9" t="n">
        <x:f>IF(AND(INDEX('Сводка'!$T$3:$T$397,U372)=0,INDEX('Сводка'!$T$3:$T$397,V372)=0),1,0)</x:f>
        <x:v>1</x:v>
      </x:c>
      <x:c r="S372" s="9" t="n">
        <x:f>IF(AND(R372=1,O372&lt;=$G$13),1,0)</x:f>
        <x:v>0</x:v>
      </x:c>
      <x:c r="T372" s="10" t="n">
        <x:f>EOMONTH(J372-'Сводка'!$B$11,-1)</x:f>
        <x:v>46203</x:v>
      </x:c>
      <x:c r="U372" s="4" t="n">
        <x:f>MATCH(J372,'Сводка'!$R$3:$R$397,0)</x:f>
        <x:v>383</x:v>
      </x:c>
      <x:c r="V372" s="4" t="n">
        <x:f>MATCH(J372-'Сводка'!$B$11,'Сводка'!$R$3:$R$397,0)</x:f>
        <x:v>382</x:v>
      </x:c>
      <x:c r="W372" s="4" t="n">
        <x:f>MATCH(T372,$J$388:$J$400,0)</x:f>
        <x:v>13</x:v>
      </x:c>
      <x:c r="X372" s="3"/>
      <x:c r="Y372" s="3"/>
      <x:c r="Z372" s="3"/>
    </x:row>
    <x:row r="373" ht="15" customHeight="1">
      <x:c r="A373" s="3"/>
      <x:c r="B373" s="3"/>
      <x:c r="C373" s="3"/>
      <x:c r="D373" s="3"/>
      <x:c r="E373" s="3"/>
      <x:c r="F373" s="3"/>
      <x:c r="G373" s="3"/>
      <x:c r="H373" s="3"/>
      <x:c r="I373" s="3"/>
      <x:c r="J373" s="10" t="n">
        <x:v>46224</x:v>
      </x:c>
      <x:c r="K373" s="8" t="n">
        <x:f>INDEX('Сводка'!$S$3:$S$397,U373)</x:f>
        <x:v>303</x:v>
      </x:c>
      <x:c r="L373" s="8" t="n">
        <x:f>INDEX('Сводка'!$S$3:$S$397,V373)</x:f>
        <x:v>292</x:v>
      </x:c>
      <x:c r="M373" s="8" t="n">
        <x:f>INDEX($K$388:$N$400,W373,1)+INDEX($K$388:$N$400,W373,2)*LN(((J373-$T$405+1)/1000))+INDEX($O$388:$Z$400,W373,MONTH(J373))</x:f>
        <x:v>224.3224781731182</x:v>
      </x:c>
      <x:c r="N373" s="8" t="n">
        <x:f>K373-M373</x:f>
        <x:v>78.67752182688179</x:v>
      </x:c>
      <x:c r="O373" s="8" t="n">
        <x:f>ABS(N373)</x:f>
        <x:v>78.67752182688179</x:v>
      </x:c>
      <x:c r="P373" s="8" t="n">
        <x:f>N373^2</x:f>
        <x:v>6190.15244081946</x:v>
      </x:c>
      <x:c r="Q373" s="8" t="n">
        <x:f>K373-L373</x:f>
        <x:v>11</x:v>
      </x:c>
      <x:c r="R373" s="9" t="n">
        <x:f>IF(AND(INDEX('Сводка'!$T$3:$T$397,U373)=0,INDEX('Сводка'!$T$3:$T$397,V373)=0),1,0)</x:f>
        <x:v>1</x:v>
      </x:c>
      <x:c r="S373" s="9" t="n">
        <x:f>IF(AND(R373=1,O373&lt;=$G$13),1,0)</x:f>
        <x:v>0</x:v>
      </x:c>
      <x:c r="T373" s="10" t="n">
        <x:f>EOMONTH(J373-'Сводка'!$B$11,-1)</x:f>
        <x:v>46203</x:v>
      </x:c>
      <x:c r="U373" s="4" t="n">
        <x:f>MATCH(J373,'Сводка'!$R$3:$R$397,0)</x:f>
        <x:v>384</x:v>
      </x:c>
      <x:c r="V373" s="4" t="n">
        <x:f>MATCH(J373-'Сводка'!$B$11,'Сводка'!$R$3:$R$397,0)</x:f>
        <x:v>383</x:v>
      </x:c>
      <x:c r="W373" s="4" t="n">
        <x:f>MATCH(T373,$J$388:$J$400,0)</x:f>
        <x:v>13</x:v>
      </x:c>
      <x:c r="X373" s="3"/>
      <x:c r="Y373" s="3"/>
      <x:c r="Z373" s="3"/>
    </x:row>
    <x:row r="374" ht="15" customHeight="1">
      <x:c r="A374" s="3"/>
      <x:c r="B374" s="3"/>
      <x:c r="C374" s="3"/>
      <x:c r="D374" s="3"/>
      <x:c r="E374" s="3"/>
      <x:c r="F374" s="3"/>
      <x:c r="G374" s="3"/>
      <x:c r="H374" s="3"/>
      <x:c r="I374" s="3"/>
      <x:c r="J374" s="10" t="n">
        <x:v>46225</x:v>
      </x:c>
      <x:c r="K374" s="8" t="n">
        <x:f>INDEX('Сводка'!$S$3:$S$397,U374)</x:f>
        <x:v>311</x:v>
      </x:c>
      <x:c r="L374" s="8" t="n">
        <x:f>INDEX('Сводка'!$S$3:$S$397,V374)</x:f>
        <x:v>303</x:v>
      </x:c>
      <x:c r="M374" s="8" t="n">
        <x:f>INDEX($K$388:$N$400,W374,1)+INDEX($K$388:$N$400,W374,2)*LN(((J374-$T$405+1)/1000))+INDEX($O$388:$Z$400,W374,MONTH(J374))</x:f>
        <x:v>224.32804664310873</x:v>
      </x:c>
      <x:c r="N374" s="8" t="n">
        <x:f>K374-M374</x:f>
        <x:v>86.67195335689127</x:v>
      </x:c>
      <x:c r="O374" s="8" t="n">
        <x:f>ABS(N374)</x:f>
        <x:v>86.67195335689127</x:v>
      </x:c>
      <x:c r="P374" s="8" t="n">
        <x:f>N374^2</x:f>
        <x:v>7512.027498699135</x:v>
      </x:c>
      <x:c r="Q374" s="8" t="n">
        <x:f>K374-L374</x:f>
        <x:v>8</x:v>
      </x:c>
      <x:c r="R374" s="9" t="n">
        <x:f>IF(AND(INDEX('Сводка'!$T$3:$T$397,U374)=0,INDEX('Сводка'!$T$3:$T$397,V374)=0),1,0)</x:f>
        <x:v>1</x:v>
      </x:c>
      <x:c r="S374" s="9" t="n">
        <x:f>IF(AND(R374=1,O374&lt;=$G$13),1,0)</x:f>
        <x:v>0</x:v>
      </x:c>
      <x:c r="T374" s="10" t="n">
        <x:f>EOMONTH(J374-'Сводка'!$B$11,-1)</x:f>
        <x:v>46203</x:v>
      </x:c>
      <x:c r="U374" s="4" t="n">
        <x:f>MATCH(J374,'Сводка'!$R$3:$R$397,0)</x:f>
        <x:v>385</x:v>
      </x:c>
      <x:c r="V374" s="4" t="n">
        <x:f>MATCH(J374-'Сводка'!$B$11,'Сводка'!$R$3:$R$397,0)</x:f>
        <x:v>384</x:v>
      </x:c>
      <x:c r="W374" s="4" t="n">
        <x:f>MATCH(T374,$J$388:$J$400,0)</x:f>
        <x:v>13</x:v>
      </x:c>
      <x:c r="X374" s="3"/>
      <x:c r="Y374" s="3"/>
      <x:c r="Z374" s="3"/>
    </x:row>
    <x:row r="375" ht="15" customHeight="1">
      <x:c r="A375" s="3"/>
      <x:c r="B375" s="3"/>
      <x:c r="C375" s="3"/>
      <x:c r="D375" s="3"/>
      <x:c r="E375" s="3"/>
      <x:c r="F375" s="3"/>
      <x:c r="G375" s="3"/>
      <x:c r="H375" s="3"/>
      <x:c r="I375" s="3"/>
      <x:c r="J375" s="10" t="n">
        <x:v>46226</x:v>
      </x:c>
      <x:c r="K375" s="8" t="n">
        <x:f>INDEX('Сводка'!$S$3:$S$397,U375)</x:f>
        <x:v>328</x:v>
      </x:c>
      <x:c r="L375" s="8" t="n">
        <x:f>INDEX('Сводка'!$S$3:$S$397,V375)</x:f>
        <x:v>311</x:v>
      </x:c>
      <x:c r="M375" s="8" t="n">
        <x:f>INDEX($K$388:$N$400,W375,1)+INDEX($K$388:$N$400,W375,2)*LN(((J375-$T$405+1)/1000))+INDEX($O$388:$Z$400,W375,MONTH(J375))</x:f>
        <x:v>224.33361449227647</x:v>
      </x:c>
      <x:c r="N375" s="8" t="n">
        <x:f>K375-M375</x:f>
        <x:v>103.66638550772353</x:v>
      </x:c>
      <x:c r="O375" s="8" t="n">
        <x:f>ABS(N375)</x:f>
        <x:v>103.66638550772353</x:v>
      </x:c>
      <x:c r="P375" s="8" t="n">
        <x:f>N375^2</x:f>
        <x:v>10746.719484235951</x:v>
      </x:c>
      <x:c r="Q375" s="8" t="n">
        <x:f>K375-L375</x:f>
        <x:v>17</x:v>
      </x:c>
      <x:c r="R375" s="9" t="n">
        <x:f>IF(AND(INDEX('Сводка'!$T$3:$T$397,U375)=0,INDEX('Сводка'!$T$3:$T$397,V375)=0),1,0)</x:f>
        <x:v>1</x:v>
      </x:c>
      <x:c r="S375" s="9" t="n">
        <x:f>IF(AND(R375=1,O375&lt;=$G$13),1,0)</x:f>
        <x:v>0</x:v>
      </x:c>
      <x:c r="T375" s="10" t="n">
        <x:f>EOMONTH(J375-'Сводка'!$B$11,-1)</x:f>
        <x:v>46203</x:v>
      </x:c>
      <x:c r="U375" s="4" t="n">
        <x:f>MATCH(J375,'Сводка'!$R$3:$R$397,0)</x:f>
        <x:v>386</x:v>
      </x:c>
      <x:c r="V375" s="4" t="n">
        <x:f>MATCH(J375-'Сводка'!$B$11,'Сводка'!$R$3:$R$397,0)</x:f>
        <x:v>385</x:v>
      </x:c>
      <x:c r="W375" s="4" t="n">
        <x:f>MATCH(T375,$J$388:$J$400,0)</x:f>
        <x:v>13</x:v>
      </x:c>
      <x:c r="X375" s="3"/>
      <x:c r="Y375" s="3"/>
      <x:c r="Z375" s="3"/>
    </x:row>
    <x:row r="376" ht="15" customHeight="1">
      <x:c r="A376" s="3"/>
      <x:c r="B376" s="3"/>
      <x:c r="C376" s="3"/>
      <x:c r="D376" s="3"/>
      <x:c r="E376" s="3"/>
      <x:c r="F376" s="3"/>
      <x:c r="G376" s="3"/>
      <x:c r="H376" s="3"/>
      <x:c r="I376" s="3"/>
      <x:c r="J376" s="10" t="n">
        <x:v>46227</x:v>
      </x:c>
      <x:c r="K376" s="8" t="n">
        <x:f>INDEX('Сводка'!$S$3:$S$397,U376)</x:f>
        <x:v>340</x:v>
      </x:c>
      <x:c r="L376" s="8" t="n">
        <x:f>INDEX('Сводка'!$S$3:$S$397,V376)</x:f>
        <x:v>328</x:v>
      </x:c>
      <x:c r="M376" s="8" t="n">
        <x:f>INDEX($K$388:$N$400,W376,1)+INDEX($K$388:$N$400,W376,2)*LN(((J376-$T$405+1)/1000))+INDEX($O$388:$Z$400,W376,MONTH(J376))</x:f>
        <x:v>224.33918172075983</x:v>
      </x:c>
      <x:c r="N376" s="8" t="n">
        <x:f>K376-M376</x:f>
        <x:v>115.66081827924017</x:v>
      </x:c>
      <x:c r="O376" s="8" t="n">
        <x:f>ABS(N376)</x:f>
        <x:v>115.66081827924017</x:v>
      </x:c>
      <x:c r="P376" s="8" t="n">
        <x:f>N376^2</x:f>
        <x:v>13377.424885023418</x:v>
      </x:c>
      <x:c r="Q376" s="8" t="n">
        <x:f>K376-L376</x:f>
        <x:v>12</x:v>
      </x:c>
      <x:c r="R376" s="9" t="n">
        <x:f>IF(AND(INDEX('Сводка'!$T$3:$T$397,U376)=0,INDEX('Сводка'!$T$3:$T$397,V376)=0),1,0)</x:f>
        <x:v>1</x:v>
      </x:c>
      <x:c r="S376" s="9" t="n">
        <x:f>IF(AND(R376=1,O376&lt;=$G$13),1,0)</x:f>
        <x:v>0</x:v>
      </x:c>
      <x:c r="T376" s="10" t="n">
        <x:f>EOMONTH(J376-'Сводка'!$B$11,-1)</x:f>
        <x:v>46203</x:v>
      </x:c>
      <x:c r="U376" s="4" t="n">
        <x:f>MATCH(J376,'Сводка'!$R$3:$R$397,0)</x:f>
        <x:v>387</x:v>
      </x:c>
      <x:c r="V376" s="4" t="n">
        <x:f>MATCH(J376-'Сводка'!$B$11,'Сводка'!$R$3:$R$397,0)</x:f>
        <x:v>386</x:v>
      </x:c>
      <x:c r="W376" s="4" t="n">
        <x:f>MATCH(T376,$J$388:$J$400,0)</x:f>
        <x:v>13</x:v>
      </x:c>
      <x:c r="X376" s="3"/>
      <x:c r="Y376" s="3"/>
      <x:c r="Z376" s="3"/>
    </x:row>
    <x:row r="377" ht="15" customHeight="1">
      <x:c r="A377" s="3"/>
      <x:c r="B377" s="3"/>
      <x:c r="C377" s="3"/>
      <x:c r="D377" s="3"/>
      <x:c r="E377" s="3"/>
      <x:c r="F377" s="3"/>
      <x:c r="G377" s="3"/>
      <x:c r="H377" s="3"/>
      <x:c r="I377" s="3"/>
      <x:c r="J377" s="10" t="n">
        <x:v>46228</x:v>
      </x:c>
      <x:c r="K377" s="8" t="n">
        <x:f>INDEX('Сводка'!$S$3:$S$397,U377)</x:f>
        <x:v>350</x:v>
      </x:c>
      <x:c r="L377" s="8" t="n">
        <x:f>INDEX('Сводка'!$S$3:$S$397,V377)</x:f>
        <x:v>340</x:v>
      </x:c>
      <x:c r="M377" s="8" t="n">
        <x:f>INDEX($K$388:$N$400,W377,1)+INDEX($K$388:$N$400,W377,2)*LN(((J377-$T$405+1)/1000))+INDEX($O$388:$Z$400,W377,MONTH(J377))</x:f>
        <x:v>224.3447483286972</x:v>
      </x:c>
      <x:c r="N377" s="8" t="n">
        <x:f>K377-M377</x:f>
        <x:v>125.6552516713028</x:v>
      </x:c>
      <x:c r="O377" s="8" t="n">
        <x:f>ABS(N377)</x:f>
        <x:v>125.6552516713028</x:v>
      </x:c>
      <x:c r="P377" s="8" t="n">
        <x:f>N377^2</x:f>
        <x:v>15789.242272578447</x:v>
      </x:c>
      <x:c r="Q377" s="8" t="n">
        <x:f>K377-L377</x:f>
        <x:v>10</x:v>
      </x:c>
      <x:c r="R377" s="9" t="n">
        <x:f>IF(AND(INDEX('Сводка'!$T$3:$T$397,U377)=0,INDEX('Сводка'!$T$3:$T$397,V377)=0),1,0)</x:f>
        <x:v>1</x:v>
      </x:c>
      <x:c r="S377" s="9" t="n">
        <x:f>IF(AND(R377=1,O377&lt;=$G$13),1,0)</x:f>
        <x:v>0</x:v>
      </x:c>
      <x:c r="T377" s="10" t="n">
        <x:f>EOMONTH(J377-'Сводка'!$B$11,-1)</x:f>
        <x:v>46203</x:v>
      </x:c>
      <x:c r="U377" s="4" t="n">
        <x:f>MATCH(J377,'Сводка'!$R$3:$R$397,0)</x:f>
        <x:v>388</x:v>
      </x:c>
      <x:c r="V377" s="4" t="n">
        <x:f>MATCH(J377-'Сводка'!$B$11,'Сводка'!$R$3:$R$397,0)</x:f>
        <x:v>387</x:v>
      </x:c>
      <x:c r="W377" s="4" t="n">
        <x:f>MATCH(T377,$J$388:$J$400,0)</x:f>
        <x:v>13</x:v>
      </x:c>
      <x:c r="X377" s="3"/>
      <x:c r="Y377" s="3"/>
      <x:c r="Z377" s="3"/>
    </x:row>
    <x:row r="378" ht="15" customHeight="1">
      <x:c r="A378" s="3"/>
      <x:c r="B378" s="3"/>
      <x:c r="C378" s="3"/>
      <x:c r="D378" s="3"/>
      <x:c r="E378" s="3"/>
      <x:c r="F378" s="3"/>
      <x:c r="G378" s="3"/>
      <x:c r="H378" s="3"/>
      <x:c r="I378" s="3"/>
      <x:c r="J378" s="10" t="n">
        <x:v>46229</x:v>
      </x:c>
      <x:c r="K378" s="8" t="n">
        <x:f>INDEX('Сводка'!$S$3:$S$397,U378)</x:f>
        <x:v>361</x:v>
      </x:c>
      <x:c r="L378" s="8" t="n">
        <x:f>INDEX('Сводка'!$S$3:$S$397,V378)</x:f>
        <x:v>350</x:v>
      </x:c>
      <x:c r="M378" s="8" t="n">
        <x:f>INDEX($K$388:$N$400,W378,1)+INDEX($K$388:$N$400,W378,2)*LN(((J378-$T$405+1)/1000))+INDEX($O$388:$Z$400,W378,MONTH(J378))</x:f>
        <x:v>224.35031431622684</x:v>
      </x:c>
      <x:c r="N378" s="8" t="n">
        <x:f>K378-M378</x:f>
        <x:v>136.64968568377316</x:v>
      </x:c>
      <x:c r="O378" s="8" t="n">
        <x:f>ABS(N378)</x:f>
        <x:v>136.64968568377316</x:v>
      </x:c>
      <x:c r="P378" s="8" t="n">
        <x:f>N378^2</x:f>
        <x:v>18673.136597474</x:v>
      </x:c>
      <x:c r="Q378" s="8" t="n">
        <x:f>K378-L378</x:f>
        <x:v>11</x:v>
      </x:c>
      <x:c r="R378" s="9" t="n">
        <x:f>IF(AND(INDEX('Сводка'!$T$3:$T$397,U378)=0,INDEX('Сводка'!$T$3:$T$397,V378)=0),1,0)</x:f>
        <x:v>1</x:v>
      </x:c>
      <x:c r="S378" s="9" t="n">
        <x:f>IF(AND(R378=1,O378&lt;=$G$13),1,0)</x:f>
        <x:v>0</x:v>
      </x:c>
      <x:c r="T378" s="10" t="n">
        <x:f>EOMONTH(J378-'Сводка'!$B$11,-1)</x:f>
        <x:v>46203</x:v>
      </x:c>
      <x:c r="U378" s="4" t="n">
        <x:f>MATCH(J378,'Сводка'!$R$3:$R$397,0)</x:f>
        <x:v>389</x:v>
      </x:c>
      <x:c r="V378" s="4" t="n">
        <x:f>MATCH(J378-'Сводка'!$B$11,'Сводка'!$R$3:$R$397,0)</x:f>
        <x:v>388</x:v>
      </x:c>
      <x:c r="W378" s="4" t="n">
        <x:f>MATCH(T378,$J$388:$J$400,0)</x:f>
        <x:v>13</x:v>
      </x:c>
      <x:c r="X378" s="3"/>
      <x:c r="Y378" s="3"/>
      <x:c r="Z378" s="3"/>
    </x:row>
    <x:row r="379" ht="15" customHeight="1">
      <x:c r="A379" s="3"/>
      <x:c r="B379" s="3"/>
      <x:c r="C379" s="3"/>
      <x:c r="D379" s="3"/>
      <x:c r="E379" s="3"/>
      <x:c r="F379" s="3"/>
      <x:c r="G379" s="3"/>
      <x:c r="H379" s="3"/>
      <x:c r="I379" s="3"/>
      <x:c r="J379" s="10" t="n">
        <x:v>46230</x:v>
      </x:c>
      <x:c r="K379" s="8" t="n">
        <x:f>INDEX('Сводка'!$S$3:$S$397,U379)</x:f>
        <x:v>369</x:v>
      </x:c>
      <x:c r="L379" s="8" t="n">
        <x:f>INDEX('Сводка'!$S$3:$S$397,V379)</x:f>
        <x:v>361</x:v>
      </x:c>
      <x:c r="M379" s="8" t="n">
        <x:f>INDEX($K$388:$N$400,W379,1)+INDEX($K$388:$N$400,W379,2)*LN(((J379-$T$405+1)/1000))+INDEX($O$388:$Z$400,W379,MONTH(J379))</x:f>
        <x:v>224.3558796834871</x:v>
      </x:c>
      <x:c r="N379" s="8" t="n">
        <x:f>K379-M379</x:f>
        <x:v>144.6441203165129</x:v>
      </x:c>
      <x:c r="O379" s="8" t="n">
        <x:f>ABS(N379)</x:f>
        <x:v>144.6441203165129</x:v>
      </x:c>
      <x:c r="P379" s="8" t="n">
        <x:f>N379^2</x:f>
        <x:v>20921.921542137858</x:v>
      </x:c>
      <x:c r="Q379" s="8" t="n">
        <x:f>K379-L379</x:f>
        <x:v>8</x:v>
      </x:c>
      <x:c r="R379" s="9" t="n">
        <x:f>IF(AND(INDEX('Сводка'!$T$3:$T$397,U379)=0,INDEX('Сводка'!$T$3:$T$397,V379)=0),1,0)</x:f>
        <x:v>1</x:v>
      </x:c>
      <x:c r="S379" s="9" t="n">
        <x:f>IF(AND(R379=1,O379&lt;=$G$13),1,0)</x:f>
        <x:v>0</x:v>
      </x:c>
      <x:c r="T379" s="10" t="n">
        <x:f>EOMONTH(J379-'Сводка'!$B$11,-1)</x:f>
        <x:v>46203</x:v>
      </x:c>
      <x:c r="U379" s="4" t="n">
        <x:f>MATCH(J379,'Сводка'!$R$3:$R$397,0)</x:f>
        <x:v>390</x:v>
      </x:c>
      <x:c r="V379" s="4" t="n">
        <x:f>MATCH(J379-'Сводка'!$B$11,'Сводка'!$R$3:$R$397,0)</x:f>
        <x:v>389</x:v>
      </x:c>
      <x:c r="W379" s="4" t="n">
        <x:f>MATCH(T379,$J$388:$J$400,0)</x:f>
        <x:v>13</x:v>
      </x:c>
      <x:c r="X379" s="3"/>
      <x:c r="Y379" s="3"/>
      <x:c r="Z379" s="3"/>
    </x:row>
    <x:row r="380" ht="15" customHeight="1">
      <x:c r="A380" s="3"/>
      <x:c r="B380" s="3"/>
      <x:c r="C380" s="3"/>
      <x:c r="D380" s="3"/>
      <x:c r="E380" s="3"/>
      <x:c r="F380" s="3"/>
      <x:c r="G380" s="3"/>
      <x:c r="H380" s="3"/>
      <x:c r="I380" s="3"/>
      <x:c r="J380" s="10" t="n">
        <x:v>46231</x:v>
      </x:c>
      <x:c r="K380" s="8" t="n">
        <x:f>INDEX('Сводка'!$S$3:$S$397,U380)</x:f>
        <x:v>377</x:v>
      </x:c>
      <x:c r="L380" s="8" t="n">
        <x:f>INDEX('Сводка'!$S$3:$S$397,V380)</x:f>
        <x:v>369</x:v>
      </x:c>
      <x:c r="M380" s="8" t="n">
        <x:f>INDEX($K$388:$N$400,W380,1)+INDEX($K$388:$N$400,W380,2)*LN(((J380-$T$405+1)/1000))+INDEX($O$388:$Z$400,W380,MONTH(J380))</x:f>
        <x:v>224.3614444306162</x:v>
      </x:c>
      <x:c r="N380" s="8" t="n">
        <x:f>K380-M380</x:f>
        <x:v>152.6385555693838</x:v>
      </x:c>
      <x:c r="O380" s="8" t="n">
        <x:f>ABS(N380)</x:f>
        <x:v>152.6385555693838</x:v>
      </x:c>
      <x:c r="P380" s="8" t="n">
        <x:f>N380^2</x:f>
        <x:v>23298.52864630787</x:v>
      </x:c>
      <x:c r="Q380" s="8" t="n">
        <x:f>K380-L380</x:f>
        <x:v>8</x:v>
      </x:c>
      <x:c r="R380" s="9" t="n">
        <x:f>IF(AND(INDEX('Сводка'!$T$3:$T$397,U380)=0,INDEX('Сводка'!$T$3:$T$397,V380)=0),1,0)</x:f>
        <x:v>1</x:v>
      </x:c>
      <x:c r="S380" s="9" t="n">
        <x:f>IF(AND(R380=1,O380&lt;=$G$13),1,0)</x:f>
        <x:v>0</x:v>
      </x:c>
      <x:c r="T380" s="10" t="n">
        <x:f>EOMONTH(J380-'Сводка'!$B$11,-1)</x:f>
        <x:v>46203</x:v>
      </x:c>
      <x:c r="U380" s="4" t="n">
        <x:f>MATCH(J380,'Сводка'!$R$3:$R$397,0)</x:f>
        <x:v>391</x:v>
      </x:c>
      <x:c r="V380" s="4" t="n">
        <x:f>MATCH(J380-'Сводка'!$B$11,'Сводка'!$R$3:$R$397,0)</x:f>
        <x:v>390</x:v>
      </x:c>
      <x:c r="W380" s="4" t="n">
        <x:f>MATCH(T380,$J$388:$J$400,0)</x:f>
        <x:v>13</x:v>
      </x:c>
      <x:c r="X380" s="3"/>
      <x:c r="Y380" s="3"/>
      <x:c r="Z380" s="3"/>
    </x:row>
    <x:row r="381" ht="15" customHeight="1">
      <x:c r="A381" s="3"/>
      <x:c r="B381" s="3"/>
      <x:c r="C381" s="3"/>
      <x:c r="D381" s="3"/>
      <x:c r="E381" s="3"/>
      <x:c r="F381" s="3"/>
      <x:c r="G381" s="3"/>
      <x:c r="H381" s="3"/>
      <x:c r="I381" s="3"/>
      <x:c r="J381" s="10" t="n">
        <x:v>46232</x:v>
      </x:c>
      <x:c r="K381" s="8" t="n">
        <x:f>INDEX('Сводка'!$S$3:$S$397,U381)</x:f>
        <x:v>385</x:v>
      </x:c>
      <x:c r="L381" s="8" t="n">
        <x:f>INDEX('Сводка'!$S$3:$S$397,V381)</x:f>
        <x:v>377</x:v>
      </x:c>
      <x:c r="M381" s="8" t="n">
        <x:f>INDEX($K$388:$N$400,W381,1)+INDEX($K$388:$N$400,W381,2)*LN(((J381-$T$405+1)/1000))+INDEX($O$388:$Z$400,W381,MONTH(J381))</x:f>
        <x:v>224.36700855775229</x:v>
      </x:c>
      <x:c r="N381" s="8" t="n">
        <x:f>K381-M381</x:f>
        <x:v>160.63299144224771</x:v>
      </x:c>
      <x:c r="O381" s="8" t="n">
        <x:f>ABS(N381)</x:f>
        <x:v>160.63299144224771</x:v>
      </x:c>
      <x:c r="P381" s="8" t="n">
        <x:f>N381^2</x:f>
        <x:v>25802.957939685228</x:v>
      </x:c>
      <x:c r="Q381" s="8" t="n">
        <x:f>K381-L381</x:f>
        <x:v>8</x:v>
      </x:c>
      <x:c r="R381" s="9" t="n">
        <x:f>IF(AND(INDEX('Сводка'!$T$3:$T$397,U381)=0,INDEX('Сводка'!$T$3:$T$397,V381)=0),1,0)</x:f>
        <x:v>1</x:v>
      </x:c>
      <x:c r="S381" s="9" t="n">
        <x:f>IF(AND(R381=1,O381&lt;=$G$13),1,0)</x:f>
        <x:v>0</x:v>
      </x:c>
      <x:c r="T381" s="10" t="n">
        <x:f>EOMONTH(J381-'Сводка'!$B$11,-1)</x:f>
        <x:v>46203</x:v>
      </x:c>
      <x:c r="U381" s="4" t="n">
        <x:f>MATCH(J381,'Сводка'!$R$3:$R$397,0)</x:f>
        <x:v>392</x:v>
      </x:c>
      <x:c r="V381" s="4" t="n">
        <x:f>MATCH(J381-'Сводка'!$B$11,'Сводка'!$R$3:$R$397,0)</x:f>
        <x:v>391</x:v>
      </x:c>
      <x:c r="W381" s="4" t="n">
        <x:f>MATCH(T381,$J$388:$J$400,0)</x:f>
        <x:v>13</x:v>
      </x:c>
      <x:c r="X381" s="3"/>
      <x:c r="Y381" s="3"/>
      <x:c r="Z381" s="3"/>
    </x:row>
    <x:row r="382" ht="15" customHeight="1">
      <x:c r="A382" s="3"/>
      <x:c r="B382" s="3"/>
      <x:c r="C382" s="3"/>
      <x:c r="D382" s="3"/>
      <x:c r="E382" s="3"/>
      <x:c r="F382" s="3"/>
      <x:c r="G382" s="3"/>
      <x:c r="H382" s="3"/>
      <x:c r="I382" s="3"/>
      <x:c r="J382" s="10" t="n">
        <x:v>46233</x:v>
      </x:c>
      <x:c r="K382" s="8" t="n">
        <x:f>INDEX('Сводка'!$S$3:$S$397,U382)</x:f>
        <x:v>389</x:v>
      </x:c>
      <x:c r="L382" s="8" t="n">
        <x:f>INDEX('Сводка'!$S$3:$S$397,V382)</x:f>
        <x:v>385</x:v>
      </x:c>
      <x:c r="M382" s="8" t="n">
        <x:f>INDEX($K$388:$N$400,W382,1)+INDEX($K$388:$N$400,W382,2)*LN(((J382-$T$405+1)/1000))+INDEX($O$388:$Z$400,W382,MONTH(J382))</x:f>
        <x:v>224.37257206503352</x:v>
      </x:c>
      <x:c r="N382" s="8" t="n">
        <x:f>K382-M382</x:f>
        <x:v>164.62742793496648</x:v>
      </x:c>
      <x:c r="O382" s="8" t="n">
        <x:f>ABS(N382)</x:f>
        <x:v>164.62742793496648</x:v>
      </x:c>
      <x:c r="P382" s="8" t="n">
        <x:f>N382^2</x:f>
        <x:v>27102.190028482582</x:v>
      </x:c>
      <x:c r="Q382" s="8" t="n">
        <x:f>K382-L382</x:f>
        <x:v>4</x:v>
      </x:c>
      <x:c r="R382" s="9" t="n">
        <x:f>IF(AND(INDEX('Сводка'!$T$3:$T$397,U382)=0,INDEX('Сводка'!$T$3:$T$397,V382)=0),1,0)</x:f>
        <x:v>1</x:v>
      </x:c>
      <x:c r="S382" s="9" t="n">
        <x:f>IF(AND(R382=1,O382&lt;=$G$13),1,0)</x:f>
        <x:v>0</x:v>
      </x:c>
      <x:c r="T382" s="10" t="n">
        <x:f>EOMONTH(J382-'Сводка'!$B$11,-1)</x:f>
        <x:v>46203</x:v>
      </x:c>
      <x:c r="U382" s="4" t="n">
        <x:f>MATCH(J382,'Сводка'!$R$3:$R$397,0)</x:f>
        <x:v>393</x:v>
      </x:c>
      <x:c r="V382" s="4" t="n">
        <x:f>MATCH(J382-'Сводка'!$B$11,'Сводка'!$R$3:$R$397,0)</x:f>
        <x:v>392</x:v>
      </x:c>
      <x:c r="W382" s="4" t="n">
        <x:f>MATCH(T382,$J$388:$J$400,0)</x:f>
        <x:v>13</x:v>
      </x:c>
      <x:c r="X382" s="3"/>
      <x:c r="Y382" s="3"/>
      <x:c r="Z382" s="3"/>
    </x:row>
    <x:row r="383" ht="15" customHeight="1">
      <x:c r="A383" s="3"/>
      <x:c r="B383" s="3"/>
      <x:c r="C383" s="3"/>
      <x:c r="D383" s="3"/>
      <x:c r="E383" s="3"/>
      <x:c r="F383" s="3"/>
      <x:c r="G383" s="3"/>
      <x:c r="H383" s="3"/>
      <x:c r="I383" s="3"/>
      <x:c r="J383" s="10" t="n">
        <x:v>46234</x:v>
      </x:c>
      <x:c r="K383" s="8" t="n">
        <x:f>INDEX('Сводка'!$S$3:$S$397,U383)</x:f>
        <x:v>399</x:v>
      </x:c>
      <x:c r="L383" s="8" t="n">
        <x:f>INDEX('Сводка'!$S$3:$S$397,V383)</x:f>
        <x:v>389</x:v>
      </x:c>
      <x:c r="M383" s="8" t="n">
        <x:f>INDEX($K$388:$N$400,W383,1)+INDEX($K$388:$N$400,W383,2)*LN(((J383-$T$405+1)/1000))+INDEX($O$388:$Z$400,W383,MONTH(J383))</x:f>
        <x:v>224.37813495259797</x:v>
      </x:c>
      <x:c r="N383" s="8" t="n">
        <x:f>K383-M383</x:f>
        <x:v>174.62186504740203</x:v>
      </x:c>
      <x:c r="O383" s="8" t="n">
        <x:f>ABS(N383)</x:f>
        <x:v>174.62186504740203</x:v>
      </x:c>
      <x:c r="P383" s="8" t="n">
        <x:f>N383^2</x:f>
        <x:v>30492.795752633087</x:v>
      </x:c>
      <x:c r="Q383" s="8" t="n">
        <x:f>K383-L383</x:f>
        <x:v>10</x:v>
      </x:c>
      <x:c r="R383" s="9" t="n">
        <x:f>IF(AND(INDEX('Сводка'!$T$3:$T$397,U383)=0,INDEX('Сводка'!$T$3:$T$397,V383)=0),1,0)</x:f>
        <x:v>1</x:v>
      </x:c>
      <x:c r="S383" s="9" t="n">
        <x:f>IF(AND(R383=1,O383&lt;=$G$13),1,0)</x:f>
        <x:v>0</x:v>
      </x:c>
      <x:c r="T383" s="10" t="n">
        <x:f>EOMONTH(J383-'Сводка'!$B$11,-1)</x:f>
        <x:v>46203</x:v>
      </x:c>
      <x:c r="U383" s="4" t="n">
        <x:f>MATCH(J383,'Сводка'!$R$3:$R$397,0)</x:f>
        <x:v>394</x:v>
      </x:c>
      <x:c r="V383" s="4" t="n">
        <x:f>MATCH(J383-'Сводка'!$B$11,'Сводка'!$R$3:$R$397,0)</x:f>
        <x:v>393</x:v>
      </x:c>
      <x:c r="W383" s="4" t="n">
        <x:f>MATCH(T383,$J$388:$J$400,0)</x:f>
        <x:v>13</x:v>
      </x:c>
      <x:c r="X383" s="3"/>
      <x:c r="Y383" s="3"/>
      <x:c r="Z383" s="3"/>
    </x:row>
    <x:row r="384" ht="15" customHeight="1">
      <x:c r="A384" s="3"/>
      <x:c r="B384" s="3"/>
      <x:c r="C384" s="3"/>
      <x:c r="D384" s="3"/>
      <x:c r="E384" s="3"/>
      <x:c r="F384" s="3"/>
      <x:c r="G384" s="3"/>
      <x:c r="H384" s="3"/>
      <x:c r="I384" s="3"/>
      <x:c r="J384" s="10" t="n">
        <x:v>46235</x:v>
      </x:c>
      <x:c r="K384" s="8" t="n">
        <x:f>INDEX('Сводка'!$S$3:$S$397,U384)</x:f>
        <x:v>405</x:v>
      </x:c>
      <x:c r="L384" s="8" t="n">
        <x:f>INDEX('Сводка'!$S$3:$S$397,V384)</x:f>
        <x:v>399</x:v>
      </x:c>
      <x:c r="M384" s="8" t="n">
        <x:f>INDEX($K$388:$N$400,W384,1)+INDEX($K$388:$N$400,W384,2)*LN(((J384-$T$405+1)/1000))+INDEX($O$388:$Z$400,W384,MONTH(J384))</x:f>
        <x:v>326.1194569308078</x:v>
      </x:c>
      <x:c r="N384" s="8" t="n">
        <x:f>K384-M384</x:f>
        <x:v>78.88054306919219</x:v>
      </x:c>
      <x:c r="O384" s="8" t="n">
        <x:f>ABS(N384)</x:f>
        <x:v>78.88054306919219</x:v>
      </x:c>
      <x:c r="P384" s="8" t="n">
        <x:f>N384^2</x:f>
        <x:v>6222.1400748906835</x:v>
      </x:c>
      <x:c r="Q384" s="8" t="n">
        <x:f>K384-L384</x:f>
        <x:v>6</x:v>
      </x:c>
      <x:c r="R384" s="9" t="n">
        <x:f>IF(AND(INDEX('Сводка'!$T$3:$T$397,U384)=0,INDEX('Сводка'!$T$3:$T$397,V384)=0),1,0)</x:f>
        <x:v>1</x:v>
      </x:c>
      <x:c r="S384" s="9" t="n">
        <x:f>IF(AND(R384=1,O384&lt;=$G$13),1,0)</x:f>
        <x:v>0</x:v>
      </x:c>
      <x:c r="T384" s="10" t="n">
        <x:f>EOMONTH(J384-'Сводка'!$B$11,-1)</x:f>
        <x:v>46203</x:v>
      </x:c>
      <x:c r="U384" s="4" t="n">
        <x:f>MATCH(J384,'Сводка'!$R$3:$R$397,0)</x:f>
        <x:v>395</x:v>
      </x:c>
      <x:c r="V384" s="4" t="n">
        <x:f>MATCH(J384-'Сводка'!$B$11,'Сводка'!$R$3:$R$397,0)</x:f>
        <x:v>394</x:v>
      </x:c>
      <x:c r="W384" s="4" t="n">
        <x:f>MATCH(T384,$J$388:$J$400,0)</x:f>
        <x:v>13</x:v>
      </x:c>
      <x:c r="X384" s="3"/>
      <x:c r="Y384" s="3"/>
      <x:c r="Z384" s="3"/>
    </x:row>
    <x:row r="385" ht="15" customHeight="1">
      <x:c r="A385" s="3"/>
      <x:c r="B385" s="3"/>
      <x:c r="C385" s="3"/>
      <x:c r="D385" s="3"/>
      <x:c r="E385" s="3"/>
      <x:c r="F385" s="3"/>
      <x:c r="G385" s="3"/>
      <x:c r="H385" s="3"/>
      <x:c r="I385" s="3"/>
      <x:c r="J385" s="3"/>
      <x:c r="K385" s="3"/>
      <x:c r="L385" s="3"/>
      <x:c r="M385" s="3"/>
      <x:c r="N385" s="3"/>
      <x:c r="O385" s="3"/>
      <x:c r="P385" s="3"/>
      <x:c r="Q385" s="3"/>
      <x:c r="R385" s="3"/>
      <x:c r="S385" s="3"/>
      <x:c r="T385" s="3"/>
      <x:c r="U385" s="3"/>
      <x:c r="V385" s="3"/>
      <x:c r="W385" s="3"/>
      <x:c r="X385" s="3"/>
      <x:c r="Y385" s="3"/>
      <x:c r="Z385" s="3"/>
    </x:row>
    <x:row r="386" ht="15" customHeight="1">
      <x:c r="A386" s="3"/>
      <x:c r="B386" s="3"/>
      <x:c r="C386" s="3"/>
      <x:c r="D386" s="3"/>
      <x:c r="E386" s="3"/>
      <x:c r="F386" s="3"/>
      <x:c r="G386" s="3"/>
      <x:c r="H386" s="3"/>
      <x:c r="I386" s="3"/>
      <x:c r="J386" s="3"/>
      <x:c r="K386" s="3"/>
      <x:c r="L386" s="3"/>
      <x:c r="M386" s="3"/>
      <x:c r="N386" s="3"/>
      <x:c r="O386" s="3"/>
      <x:c r="P386" s="3"/>
      <x:c r="Q386" s="3"/>
      <x:c r="R386" s="3"/>
      <x:c r="S386" s="3"/>
      <x:c r="T386" s="3"/>
      <x:c r="U386" s="3"/>
      <x:c r="V386" s="3"/>
      <x:c r="W386" s="3"/>
      <x:c r="X386" s="3"/>
      <x:c r="Y386" s="3"/>
      <x:c r="Z386" s="3"/>
    </x:row>
    <x:row r="387" ht="30" customHeight="1">
      <x:c r="A387" s="3"/>
      <x:c r="B387" s="3"/>
      <x:c r="C387" s="3"/>
      <x:c r="D387" s="3"/>
      <x:c r="E387" s="3"/>
      <x:c r="F387" s="3"/>
      <x:c r="G387" s="3"/>
      <x:c r="H387" s="3"/>
      <x:c r="I387" s="3"/>
      <x:c r="J387" s="14" t="str">
        <x:v>Обучение до</x:v>
      </x:c>
      <x:c r="K387" s="14" t="str">
        <x:v>a0/a</x:v>
      </x:c>
      <x:c r="L387" s="14" t="str">
        <x:v>a1/b</x:v>
      </x:c>
      <x:c r="M387" s="14" t="str">
        <x:v>a2</x:v>
      </x:c>
      <x:c r="N387" s="14" t="str">
        <x:v>a3</x:v>
      </x:c>
      <x:c r="O387" s="14" t="str">
        <x:v>c1</x:v>
      </x:c>
      <x:c r="P387" s="14" t="str">
        <x:v>c2</x:v>
      </x:c>
      <x:c r="Q387" s="14" t="str">
        <x:v>c3</x:v>
      </x:c>
      <x:c r="R387" s="14" t="str">
        <x:v>c4</x:v>
      </x:c>
      <x:c r="S387" s="14" t="str">
        <x:v>c5</x:v>
      </x:c>
      <x:c r="T387" s="14" t="str">
        <x:v>c6</x:v>
      </x:c>
      <x:c r="U387" s="14" t="str">
        <x:v>c7</x:v>
      </x:c>
      <x:c r="V387" s="14" t="str">
        <x:v>c8</x:v>
      </x:c>
      <x:c r="W387" s="14" t="str">
        <x:v>c9</x:v>
      </x:c>
      <x:c r="X387" s="14" t="str">
        <x:v>c10</x:v>
      </x:c>
      <x:c r="Y387" s="14" t="str">
        <x:v>c11</x:v>
      </x:c>
      <x:c r="Z387" s="14" t="str">
        <x:v>c12</x:v>
      </x:c>
    </x:row>
    <x:row r="388" ht="15" customHeight="1">
      <x:c r="A388" s="3"/>
      <x:c r="B388" s="3"/>
      <x:c r="C388" s="3"/>
      <x:c r="D388" s="3"/>
      <x:c r="E388" s="3"/>
      <x:c r="F388" s="3"/>
      <x:c r="G388" s="3"/>
      <x:c r="H388" s="3"/>
      <x:c r="I388" s="3"/>
      <x:c r="J388" s="7" t="n">
        <x:v>45838</x:v>
      </x:c>
      <x:c r="K388" s="3" t="n">
        <x:v>4.683112271761572</x:v>
      </x:c>
      <x:c r="L388" s="3" t="n">
        <x:v>51.91303284497857</x:v>
      </x:c>
      <x:c r="M388" s="3" t="n">
        <x:v>0</x:v>
      </x:c>
      <x:c r="N388" s="3" t="n">
        <x:v>0</x:v>
      </x:c>
      <x:c r="O388" s="3" t="n">
        <x:v>-89.44857096286434</x:v>
      </x:c>
      <x:c r="P388" s="3" t="n">
        <x:v>-143.97784430374205</x:v>
      </x:c>
      <x:c r="Q388" s="3" t="n">
        <x:v>-156.78216598186407</x:v>
      </x:c>
      <x:c r="R388" s="3" t="n">
        <x:v>-41.66124960625596</x:v>
      </x:c>
      <x:c r="S388" s="3" t="n">
        <x:v>52.438397886666</x:v>
      </x:c>
      <x:c r="T388" s="3" t="n">
        <x:v>75.74814427872211</x:v>
      </x:c>
      <x:c r="U388" s="3" t="n">
        <x:v>109.15361825456863</x:v>
      </x:c>
      <x:c r="V388" s="3" t="n">
        <x:v>211.94208738475533</x:v>
      </x:c>
      <x:c r="W388" s="3" t="n">
        <x:v>171.57386361076433</x:v>
      </x:c>
      <x:c r="X388" s="3" t="n">
        <x:v>17.747706274356617</x:v>
      </x:c>
      <x:c r="Y388" s="3" t="n">
        <x:v>-120.84220012648383</x:v>
      </x:c>
      <x:c r="Z388" s="3" t="n">
        <x:v>-85.89178670862286</x:v>
      </x:c>
    </x:row>
    <x:row r="389" ht="15" customHeight="1">
      <x:c r="A389" s="3"/>
      <x:c r="B389" s="3"/>
      <x:c r="C389" s="3"/>
      <x:c r="D389" s="3"/>
      <x:c r="E389" s="3"/>
      <x:c r="F389" s="3"/>
      <x:c r="G389" s="3"/>
      <x:c r="H389" s="3"/>
      <x:c r="I389" s="3"/>
      <x:c r="J389" s="7" t="n">
        <x:v>45869</x:v>
      </x:c>
      <x:c r="K389" s="3" t="n">
        <x:v>4.6984701806272176</x:v>
      </x:c>
      <x:c r="L389" s="3" t="n">
        <x:v>51.78853197646715</x:v>
      </x:c>
      <x:c r="M389" s="3" t="n">
        <x:v>0</x:v>
      </x:c>
      <x:c r="N389" s="3" t="n">
        <x:v>0</x:v>
      </x:c>
      <x:c r="O389" s="3" t="n">
        <x:v>-89.3545693424986</x:v>
      </x:c>
      <x:c r="P389" s="3" t="n">
        <x:v>-143.87419458809939</x:v>
      </x:c>
      <x:c r="Q389" s="3" t="n">
        <x:v>-156.66707235506033</x:v>
      </x:c>
      <x:c r="R389" s="3" t="n">
        <x:v>-41.53711445638071</x:v>
      </x:c>
      <x:c r="S389" s="3" t="n">
        <x:v>52.56975415615914</x:v>
      </x:c>
      <x:c r="T389" s="3" t="n">
        <x:v>75.8840501670648</x:v>
      </x:c>
      <x:c r="U389" s="3" t="n">
        <x:v>107.78679768500636</x:v>
      </x:c>
      <x:c r="V389" s="3" t="n">
        <x:v>212.07218067601033</x:v>
      </x:c>
      <x:c r="W389" s="3" t="n">
        <x:v>171.70633081355513</x:v>
      </x:c>
      <x:c r="X389" s="3" t="n">
        <x:v>17.881873980830914</x:v>
      </x:c>
      <x:c r="Y389" s="3" t="n">
        <x:v>-120.70620439568893</x:v>
      </x:c>
      <x:c r="Z389" s="3" t="n">
        <x:v>-85.76183234089872</x:v>
      </x:c>
    </x:row>
    <x:row r="390" ht="15" customHeight="1">
      <x:c r="A390" s="3"/>
      <x:c r="B390" s="3"/>
      <x:c r="C390" s="3"/>
      <x:c r="D390" s="3"/>
      <x:c r="E390" s="3"/>
      <x:c r="F390" s="3"/>
      <x:c r="G390" s="3"/>
      <x:c r="H390" s="3"/>
      <x:c r="I390" s="3"/>
      <x:c r="J390" s="7" t="n">
        <x:v>45900</x:v>
      </x:c>
      <x:c r="K390" s="3" t="n">
        <x:v>4.736189728240484</x:v>
      </x:c>
      <x:c r="L390" s="3" t="n">
        <x:v>51.57159425578684</x:v>
      </x:c>
      <x:c r="M390" s="3" t="n">
        <x:v>0</x:v>
      </x:c>
      <x:c r="N390" s="3" t="n">
        <x:v>0</x:v>
      </x:c>
      <x:c r="O390" s="3" t="n">
        <x:v>-89.20173433985198</x:v>
      </x:c>
      <x:c r="P390" s="3" t="n">
        <x:v>-143.70454817021314</x:v>
      </x:c>
      <x:c r="Q390" s="3" t="n">
        <x:v>-156.47748538549274</x:v>
      </x:c>
      <x:c r="R390" s="3" t="n">
        <x:v>-41.3317729990734</x:v>
      </x:c>
      <x:c r="S390" s="3" t="n">
        <x:v>52.78767812192387</x:v>
      </x:c>
      <x:c r="T390" s="3" t="n">
        <x:v>76.1099016593979</x:v>
      </x:c>
      <x:c r="U390" s="3" t="n">
        <x:v>108.01722748934213</x:v>
      </x:c>
      <x:c r="V390" s="3" t="n">
        <x:v>209.79639381542322</x:v>
      </x:c>
      <x:c r="W390" s="3" t="n">
        <x:v>171.92619053559267</x:v>
      </x:c>
      <x:c r="X390" s="3" t="n">
        <x:v>18.10469676165986</x:v>
      </x:c>
      <x:c r="Y390" s="3" t="n">
        <x:v>-120.48019635652159</x:v>
      </x:c>
      <x:c r="Z390" s="3" t="n">
        <x:v>-85.54635113218683</x:v>
      </x:c>
    </x:row>
    <x:row r="391" ht="15" customHeight="1">
      <x:c r="A391" s="3"/>
      <x:c r="B391" s="3"/>
      <x:c r="C391" s="3"/>
      <x:c r="D391" s="3"/>
      <x:c r="E391" s="3"/>
      <x:c r="F391" s="3"/>
      <x:c r="G391" s="3"/>
      <x:c r="H391" s="3"/>
      <x:c r="I391" s="3"/>
      <x:c r="J391" s="7" t="n">
        <x:v>45930</x:v>
      </x:c>
      <x:c r="K391" s="3" t="n">
        <x:v>4.756041076484646</x:v>
      </x:c>
      <x:c r="L391" s="3" t="n">
        <x:v>51.41319779637566</x:v>
      </x:c>
      <x:c r="M391" s="3" t="n">
        <x:v>0</x:v>
      </x:c>
      <x:c r="N391" s="3" t="n">
        <x:v>0</x:v>
      </x:c>
      <x:c r="O391" s="3" t="n">
        <x:v>-89.08245282548856</x:v>
      </x:c>
      <x:c r="P391" s="3" t="n">
        <x:v>-143.57299184885278</x:v>
      </x:c>
      <x:c r="Q391" s="3" t="n">
        <x:v>-156.33136952706735</x:v>
      </x:c>
      <x:c r="R391" s="3" t="n">
        <x:v>-41.174154046257584</x:v>
      </x:c>
      <x:c r="S391" s="3" t="n">
        <x:v>52.95448415748254</x:v>
      </x:c>
      <x:c r="T391" s="3" t="n">
        <x:v>76.28249595592166</x:v>
      </x:c>
      <x:c r="U391" s="3" t="n">
        <x:v>108.19316462734675</x:v>
      </x:c>
      <x:c r="V391" s="3" t="n">
        <x:v>209.96811487806542</x:v>
      </x:c>
      <x:c r="W391" s="3" t="n">
        <x:v>170.17644540226246</x:v>
      </x:c>
      <x:c r="X391" s="3" t="n">
        <x:v>18.275079653098068</x:v>
      </x:c>
      <x:c r="Y391" s="3" t="n">
        <x:v>-120.30748775777228</x:v>
      </x:c>
      <x:c r="Z391" s="3" t="n">
        <x:v>-85.38132866873835</x:v>
      </x:c>
    </x:row>
    <x:row r="392" ht="15" customHeight="1">
      <x:c r="A392" s="3"/>
      <x:c r="B392" s="3"/>
      <x:c r="C392" s="3"/>
      <x:c r="D392" s="3"/>
      <x:c r="E392" s="3"/>
      <x:c r="F392" s="3"/>
      <x:c r="G392" s="3"/>
      <x:c r="H392" s="3"/>
      <x:c r="I392" s="3"/>
      <x:c r="J392" s="7" t="n">
        <x:v>45961</x:v>
      </x:c>
      <x:c r="K392" s="3" t="n">
        <x:v>4.771794462348933</x:v>
      </x:c>
      <x:c r="L392" s="3" t="n">
        <x:v>51.31055421284095</x:v>
      </x:c>
      <x:c r="M392" s="3" t="n">
        <x:v>0</x:v>
      </x:c>
      <x:c r="N392" s="3" t="n">
        <x:v>0</x:v>
      </x:c>
      <x:c r="O392" s="3" t="n">
        <x:v>-89.00804576421558</x:v>
      </x:c>
      <x:c r="P392" s="3" t="n">
        <x:v>-143.49063050512885</x:v>
      </x:c>
      <x:c r="Q392" s="3" t="n">
        <x:v>-156.239573357183</x:v>
      </x:c>
      <x:c r="R392" s="3" t="n">
        <x:v>-41.07490367673822</x:v>
      </x:c>
      <x:c r="S392" s="3" t="n">
        <x:v>53.05968791193563</x:v>
      </x:c>
      <x:c r="T392" s="3" t="n">
        <x:v>76.39145060133596</x:v>
      </x:c>
      <x:c r="U392" s="3" t="n">
        <x:v>108.30428549055337</x:v>
      </x:c>
      <x:c r="V392" s="3" t="n">
        <x:v>210.07650365316158</x:v>
      </x:c>
      <x:c r="W392" s="3" t="n">
        <x:v>170.28672496625876</x:v>
      </x:c>
      <x:c r="X392" s="3" t="n">
        <x:v>17.170240421769467</x:v>
      </x:c>
      <x:c r="Y392" s="3" t="n">
        <x:v>-120.19845904258364</x:v>
      </x:c>
      <x:c r="Z392" s="3" t="n">
        <x:v>-85.27728069916554</x:v>
      </x:c>
    </x:row>
    <x:row r="393" ht="15" customHeight="1">
      <x:c r="A393" s="3"/>
      <x:c r="B393" s="3"/>
      <x:c r="C393" s="3"/>
      <x:c r="D393" s="3"/>
      <x:c r="E393" s="3"/>
      <x:c r="F393" s="3"/>
      <x:c r="G393" s="3"/>
      <x:c r="H393" s="3"/>
      <x:c r="I393" s="3"/>
      <x:c r="J393" s="7" t="n">
        <x:v>45991</x:v>
      </x:c>
      <x:c r="K393" s="3" t="n">
        <x:v>4.797311081354194</x:v>
      </x:c>
      <x:c r="L393" s="3" t="n">
        <x:v>51.06683179171338</x:v>
      </x:c>
      <x:c r="M393" s="3" t="n">
        <x:v>0</x:v>
      </x:c>
      <x:c r="N393" s="3" t="n">
        <x:v>0</x:v>
      </x:c>
      <x:c r="O393" s="3" t="n">
        <x:v>-88.81948058960529</x:v>
      </x:c>
      <x:c r="P393" s="3" t="n">
        <x:v>-143.2831782563306</x:v>
      </x:c>
      <x:c r="Q393" s="3" t="n">
        <x:v>-156.00971855193086</x:v>
      </x:c>
      <x:c r="R393" s="3" t="n">
        <x:v>-40.827349220712534</x:v>
      </x:c>
      <x:c r="S393" s="3" t="n">
        <x:v>53.32137840394067</x:v>
      </x:c>
      <x:c r="T393" s="3" t="n">
        <x:v>76.66204740969268</x:v>
      </x:c>
      <x:c r="U393" s="3" t="n">
        <x:v>108.58002588243498</x:v>
      </x:c>
      <x:c r="V393" s="3" t="n">
        <x:v>210.34575682873339</x:v>
      </x:c>
      <x:c r="W393" s="3" t="n">
        <x:v>170.56046773224364</x:v>
      </x:c>
      <x:c r="X393" s="3" t="n">
        <x:v>17.447195368877683</x:v>
      </x:c>
      <x:c r="Y393" s="3" t="n">
        <x:v>-122.95881044267298</x:v>
      </x:c>
      <x:c r="Z393" s="3" t="n">
        <x:v>-85.01833456467068</x:v>
      </x:c>
    </x:row>
    <x:row r="394" ht="15" customHeight="1">
      <x:c r="A394" s="3"/>
      <x:c r="B394" s="3"/>
      <x:c r="C394" s="3"/>
      <x:c r="D394" s="3"/>
      <x:c r="E394" s="3"/>
      <x:c r="F394" s="3"/>
      <x:c r="G394" s="3"/>
      <x:c r="H394" s="3"/>
      <x:c r="I394" s="3"/>
      <x:c r="J394" s="7" t="n">
        <x:v>46022</x:v>
      </x:c>
      <x:c r="K394" s="3" t="n">
        <x:v>4.810215888748201</x:v>
      </x:c>
      <x:c r="L394" s="3" t="n">
        <x:v>50.89418114080446</x:v>
      </x:c>
      <x:c r="M394" s="3" t="n">
        <x:v>0</x:v>
      </x:c>
      <x:c r="N394" s="3" t="n">
        <x:v>0</x:v>
      </x:c>
      <x:c r="O394" s="3" t="n">
        <x:v>-88.68073188541636</x:v>
      </x:c>
      <x:c r="P394" s="3" t="n">
        <x:v>-143.13105012796962</x:v>
      </x:c>
      <x:c r="Q394" s="3" t="n">
        <x:v>-155.8417206651135</x:v>
      </x:c>
      <x:c r="R394" s="3" t="n">
        <x:v>-40.64681306920588</x:v>
      </x:c>
      <x:c r="S394" s="3" t="n">
        <x:v>53.51192838922544</x:v>
      </x:c>
      <x:c r="T394" s="3" t="n">
        <x:v>76.85890654498583</x:v>
      </x:c>
      <x:c r="U394" s="3" t="n">
        <x:v>108.78052868349927</x:v>
      </x:c>
      <x:c r="V394" s="3" t="n">
        <x:v>210.54166414730918</x:v>
      </x:c>
      <x:c r="W394" s="3" t="n">
        <x:v>170.7595554340746</x:v>
      </x:c>
      <x:c r="X394" s="3" t="n">
        <x:v>17.648558549341978</x:v>
      </x:c>
      <x:c r="Y394" s="3" t="n">
        <x:v>-122.75521164059957</x:v>
      </x:c>
      <x:c r="Z394" s="3" t="n">
        <x:v>-87.04561436013138</x:v>
      </x:c>
    </x:row>
    <x:row r="395" ht="15" customHeight="1">
      <x:c r="A395" s="3"/>
      <x:c r="B395" s="3"/>
      <x:c r="C395" s="3"/>
      <x:c r="D395" s="3"/>
      <x:c r="E395" s="3"/>
      <x:c r="F395" s="3"/>
      <x:c r="G395" s="3"/>
      <x:c r="H395" s="3"/>
      <x:c r="I395" s="3"/>
      <x:c r="J395" s="7" t="n">
        <x:v>46053</x:v>
      </x:c>
      <x:c r="K395" s="3" t="n">
        <x:v>4.886077106308513</x:v>
      </x:c>
      <x:c r="L395" s="3" t="n">
        <x:v>50.66869113383227</x:v>
      </x:c>
      <x:c r="M395" s="3" t="n">
        <x:v>0</x:v>
      </x:c>
      <x:c r="N395" s="3" t="n">
        <x:v>0</x:v>
      </x:c>
      <x:c r="O395" s="3" t="n">
        <x:v>-90.75337040178012</x:v>
      </x:c>
      <x:c r="P395" s="3" t="n">
        <x:v>-142.99137043885992</x:v>
      </x:c>
      <x:c r="Q395" s="3" t="n">
        <x:v>-155.68131431250092</x:v>
      </x:c>
      <x:c r="R395" s="3" t="n">
        <x:v>-40.470031143275946</x:v>
      </x:c>
      <x:c r="S395" s="3" t="n">
        <x:v>53.70178886097359</x:v>
      </x:c>
      <x:c r="T395" s="3" t="n">
        <x:v>77.05700706837496</x:v>
      </x:c>
      <x:c r="U395" s="3" t="n">
        <x:v>108.98338800864141</x:v>
      </x:c>
      <x:c r="V395" s="3" t="n">
        <x:v>210.73852155254514</x:v>
      </x:c>
      <x:c r="W395" s="3" t="n">
        <x:v>170.96056657194146</x:v>
      </x:c>
      <x:c r="X395" s="3" t="n">
        <x:v>17.8525415711272</x:v>
      </x:c>
      <x:c r="Y395" s="3" t="n">
        <x:v>-122.54830879007578</x:v>
      </x:c>
      <x:c r="Z395" s="3" t="n">
        <x:v>-86.84941854711097</x:v>
      </x:c>
    </x:row>
    <x:row r="396" ht="15" customHeight="1">
      <x:c r="A396" s="3"/>
      <x:c r="B396" s="3"/>
      <x:c r="C396" s="3"/>
      <x:c r="D396" s="3"/>
      <x:c r="E396" s="3"/>
      <x:c r="F396" s="3"/>
      <x:c r="G396" s="3"/>
      <x:c r="H396" s="3"/>
      <x:c r="I396" s="3"/>
      <x:c r="J396" s="7" t="n">
        <x:v>46081</x:v>
      </x:c>
      <x:c r="K396" s="3" t="n">
        <x:v>4.897714226350625</x:v>
      </x:c>
      <x:c r="L396" s="3" t="n">
        <x:v>50.61451597293982</x:v>
      </x:c>
      <x:c r="M396" s="3" t="n">
        <x:v>0</x:v>
      </x:c>
      <x:c r="N396" s="3" t="n">
        <x:v>0</x:v>
      </x:c>
      <x:c r="O396" s="3" t="n">
        <x:v>-90.71423367298637</x:v>
      </x:c>
      <x:c r="P396" s="3" t="n">
        <x:v>-143.56080006597347</x:v>
      </x:c>
      <x:c r="Q396" s="3" t="n">
        <x:v>-155.63618690537052</x:v>
      </x:c>
      <x:c r="R396" s="3" t="n">
        <x:v>-40.42096941847422</x:v>
      </x:c>
      <x:c r="S396" s="3" t="n">
        <x:v>53.753992775237904</x:v>
      </x:c>
      <x:c r="T396" s="3" t="n">
        <x:v>77.11119069841223</x:v>
      </x:c>
      <x:c r="U396" s="3" t="n">
        <x:v>109.03871496584479</x:v>
      </x:c>
      <x:c r="V396" s="3" t="n">
        <x:v>210.79240651690378</x:v>
      </x:c>
      <x:c r="W396" s="3" t="n">
        <x:v>171.01544949242538</x:v>
      </x:c>
      <x:c r="X396" s="3" t="n">
        <x:v>17.908138502363233</x:v>
      </x:c>
      <x:c r="Y396" s="3" t="n">
        <x:v>-122.49201035461894</x:v>
      </x:c>
      <x:c r="Z396" s="3" t="n">
        <x:v>-86.79569253376381</x:v>
      </x:c>
    </x:row>
    <x:row r="397" ht="15" customHeight="1">
      <x:c r="A397" s="3"/>
      <x:c r="B397" s="3"/>
      <x:c r="C397" s="3"/>
      <x:c r="D397" s="3"/>
      <x:c r="E397" s="3"/>
      <x:c r="F397" s="3"/>
      <x:c r="G397" s="3"/>
      <x:c r="H397" s="3"/>
      <x:c r="I397" s="3"/>
      <x:c r="J397" s="7" t="n">
        <x:v>46112</x:v>
      </x:c>
      <x:c r="K397" s="3" t="n">
        <x:v>4.927767574805884</x:v>
      </x:c>
      <x:c r="L397" s="3" t="n">
        <x:v>50.50456031087182</x:v>
      </x:c>
      <x:c r="M397" s="3" t="n">
        <x:v>0</x:v>
      </x:c>
      <x:c r="N397" s="3" t="n">
        <x:v>0</x:v>
      </x:c>
      <x:c r="O397" s="3" t="n">
        <x:v>-90.64123477254141</x:v>
      </x:c>
      <x:c r="P397" s="3" t="n">
        <x:v>-143.47977683376266</x:v>
      </x:c>
      <x:c r="Q397" s="3" t="n">
        <x:v>-156.71700818780027</x:v>
      </x:c>
      <x:c r="R397" s="3" t="n">
        <x:v>-40.327826424517355</x:v>
      </x:c>
      <x:c r="S397" s="3" t="n">
        <x:v>53.85351325875005</x:v>
      </x:c>
      <x:c r="T397" s="3" t="n">
        <x:v>77.21472927720875</x:v>
      </x:c>
      <x:c r="U397" s="3" t="n">
        <x:v>109.14457407850615</x:v>
      </x:c>
      <x:c r="V397" s="3" t="n">
        <x:v>210.89533891416082</x:v>
      </x:c>
      <x:c r="W397" s="3" t="n">
        <x:v>171.12040737377217</x:v>
      </x:c>
      <x:c r="X397" s="3" t="n">
        <x:v>18.0145455630689</x:v>
      </x:c>
      <x:c r="Y397" s="3" t="n">
        <x:v>-122.38417949821425</x:v>
      </x:c>
      <x:c r="Z397" s="3" t="n">
        <x:v>-86.69308274863091</x:v>
      </x:c>
    </x:row>
    <x:row r="398" ht="15" customHeight="1">
      <x:c r="A398" s="3"/>
      <x:c r="B398" s="3"/>
      <x:c r="C398" s="3"/>
      <x:c r="D398" s="3"/>
      <x:c r="E398" s="3"/>
      <x:c r="F398" s="3"/>
      <x:c r="G398" s="3"/>
      <x:c r="H398" s="3"/>
      <x:c r="I398" s="3"/>
      <x:c r="J398" s="7" t="n">
        <x:v>46142</x:v>
      </x:c>
      <x:c r="K398" s="3" t="n">
        <x:v>4.966556457136092</x:v>
      </x:c>
      <x:c r="L398" s="3" t="n">
        <x:v>50.34215894977674</x:v>
      </x:c>
      <x:c r="M398" s="3" t="n">
        <x:v>0</x:v>
      </x:c>
      <x:c r="N398" s="3" t="n">
        <x:v>0</x:v>
      </x:c>
      <x:c r="O398" s="3" t="n">
        <x:v>-90.52781843714511</x:v>
      </x:c>
      <x:c r="P398" s="3" t="n">
        <x:v>-143.35450879035906</x:v>
      </x:c>
      <x:c r="Q398" s="3" t="n">
        <x:v>-156.57774297299383</x:v>
      </x:c>
      <x:c r="R398" s="3" t="n">
        <x:v>-41.98185467935647</x:v>
      </x:c>
      <x:c r="S398" s="3" t="n">
        <x:v>54.006101212119006</x:v>
      </x:c>
      <x:c r="T398" s="3" t="n">
        <x:v>77.37325184213768</x:v>
      </x:c>
      <x:c r="U398" s="3" t="n">
        <x:v>109.30652400543762</x:v>
      </x:c>
      <x:c r="V398" s="3" t="n">
        <x:v>211.05296616633194</x:v>
      </x:c>
      <x:c r="W398" s="3" t="n">
        <x:v>171.2810262078844</x:v>
      </x:c>
      <x:c r="X398" s="3" t="n">
        <x:v>18.177304793555734</x:v>
      </x:c>
      <x:c r="Y398" s="3" t="n">
        <x:v>-122.21931736229216</x:v>
      </x:c>
      <x:c r="Z398" s="3" t="n">
        <x:v>-86.5359319853198</x:v>
      </x:c>
    </x:row>
    <x:row r="399" ht="15" customHeight="1">
      <x:c r="A399" s="3"/>
      <x:c r="B399" s="3"/>
      <x:c r="C399" s="3"/>
      <x:c r="D399" s="3"/>
      <x:c r="E399" s="3"/>
      <x:c r="F399" s="3"/>
      <x:c r="G399" s="3"/>
      <x:c r="H399" s="3"/>
      <x:c r="I399" s="3"/>
      <x:c r="J399" s="7" t="n">
        <x:v>46173</x:v>
      </x:c>
      <x:c r="K399" s="3" t="n">
        <x:v>5.006477433785724</x:v>
      </x:c>
      <x:c r="L399" s="3" t="n">
        <x:v>50.147839033908824</x:v>
      </x:c>
      <x:c r="M399" s="3" t="n">
        <x:v>0</x:v>
      </x:c>
      <x:c r="N399" s="3" t="n">
        <x:v>0</x:v>
      </x:c>
      <x:c r="O399" s="3" t="n">
        <x:v>-90.38561960332162</x:v>
      </x:c>
      <x:c r="P399" s="3" t="n">
        <x:v>-143.1981288998779</x:v>
      </x:c>
      <x:c r="Q399" s="3" t="n">
        <x:v>-156.4046148905573</x:v>
      </x:c>
      <x:c r="R399" s="3" t="n">
        <x:v>-41.79567512055199</x:v>
      </x:c>
      <x:c r="S399" s="3" t="n">
        <x:v>51.95847132375618</x:v>
      </x:c>
      <x:c r="T399" s="3" t="n">
        <x:v>77.56942213696917</x:v>
      </x:c>
      <x:c r="U399" s="3" t="n">
        <x:v>109.50679528003566</x:v>
      </x:c>
      <x:c r="V399" s="3" t="n">
        <x:v>211.2480651825815</x:v>
      </x:c>
      <x:c r="W399" s="3" t="n">
        <x:v>171.4797047751137</x:v>
      </x:c>
      <x:c r="X399" s="3" t="n">
        <x:v>18.37854443318321</x:v>
      </x:c>
      <x:c r="Y399" s="3" t="n">
        <x:v>-122.01556150971832</x:v>
      </x:c>
      <x:c r="Z399" s="3" t="n">
        <x:v>-86.3414031076123</x:v>
      </x:c>
    </x:row>
    <x:row r="400" ht="15" customHeight="1">
      <x:c r="A400" s="3"/>
      <x:c r="B400" s="3"/>
      <x:c r="C400" s="3"/>
      <x:c r="D400" s="3"/>
      <x:c r="E400" s="3"/>
      <x:c r="F400" s="3"/>
      <x:c r="G400" s="3"/>
      <x:c r="H400" s="3"/>
      <x:c r="I400" s="3"/>
      <x:c r="J400" s="7" t="n">
        <x:v>46203</x:v>
      </x:c>
      <x:c r="K400" s="3" t="n">
        <x:v>5.03385337956137</x:v>
      </x:c>
      <x:c r="L400" s="3" t="n">
        <x:v>49.94082305827916</x:v>
      </x:c>
      <x:c r="M400" s="3" t="n">
        <x:v>0</x:v>
      </x:c>
      <x:c r="N400" s="3" t="n">
        <x:v>0</x:v>
      </x:c>
      <x:c r="O400" s="3" t="n">
        <x:v>-90.21897678329942</x:v>
      </x:c>
      <x:c r="P400" s="3" t="n">
        <x:v>-143.01637849159704</x:v>
      </x:c>
      <x:c r="Q400" s="3" t="n">
        <x:v>-156.2050220327153</x:v>
      </x:c>
      <x:c r="R400" s="3" t="n">
        <x:v>-41.582178056845734</x:v>
      </x:c>
      <x:c r="S400" s="3" t="n">
        <x:v>52.183647869619854</x:v>
      </x:c>
      <x:c r="T400" s="3" t="n">
        <x:v>75.22028625969435</x:v>
      </x:c>
      <x:c r="U400" s="3" t="n">
        <x:v>109.7353047539749</x:v>
      </x:c>
      <x:c r="V400" s="3" t="n">
        <x:v>211.471064464199</x:v>
      </x:c>
      <x:c r="W400" s="3" t="n">
        <x:v>171.7065174807701</x:v>
      </x:c>
      <x:c r="X400" s="3" t="n">
        <x:v>18.608085541118157</x:v>
      </x:c>
      <x:c r="Y400" s="3" t="n">
        <x:v>-121.78333978988823</x:v>
      </x:c>
      <x:c r="Z400" s="3" t="n">
        <x:v>-86.11901121503065</x:v>
      </x:c>
    </x:row>
    <x:row r="401" ht="15" customHeight="1">
      <x:c r="A401" s="3"/>
      <x:c r="B401" s="3"/>
      <x:c r="C401" s="3"/>
      <x:c r="D401" s="3"/>
      <x:c r="E401" s="3"/>
      <x:c r="F401" s="3"/>
      <x:c r="G401" s="3"/>
      <x:c r="H401" s="3"/>
      <x:c r="I401" s="3"/>
      <x:c r="J401" s="3"/>
      <x:c r="K401" s="3"/>
      <x:c r="L401" s="3"/>
      <x:c r="M401" s="3"/>
      <x:c r="N401" s="3"/>
      <x:c r="O401" s="3"/>
      <x:c r="P401" s="3"/>
      <x:c r="Q401" s="3"/>
      <x:c r="R401" s="3"/>
      <x:c r="S401" s="3"/>
      <x:c r="T401" s="3"/>
      <x:c r="U401" s="3"/>
      <x:c r="V401" s="3"/>
      <x:c r="W401" s="3"/>
      <x:c r="X401" s="3"/>
      <x:c r="Y401" s="3"/>
      <x:c r="Z401" s="3"/>
    </x:row>
    <x:row r="402" ht="15" customHeight="1">
      <x:c r="A402" s="3"/>
      <x:c r="B402" s="3"/>
      <x:c r="C402" s="3"/>
      <x:c r="D402" s="3"/>
      <x:c r="E402" s="3"/>
      <x:c r="F402" s="3"/>
      <x:c r="G402" s="3"/>
      <x:c r="H402" s="3"/>
      <x:c r="I402" s="3"/>
      <x:c r="J402" s="3"/>
      <x:c r="K402" s="3"/>
      <x:c r="L402" s="3"/>
      <x:c r="M402" s="3"/>
      <x:c r="N402" s="3"/>
      <x:c r="O402" s="3"/>
      <x:c r="P402" s="3"/>
      <x:c r="Q402" s="3"/>
      <x:c r="R402" s="3"/>
      <x:c r="S402" s="3"/>
      <x:c r="T402" s="3"/>
      <x:c r="U402" s="3"/>
      <x:c r="V402" s="3"/>
      <x:c r="W402" s="3"/>
      <x:c r="X402" s="3"/>
      <x:c r="Y402" s="3"/>
      <x:c r="Z402" s="3"/>
    </x:row>
    <x:row r="403" ht="15" customHeight="1">
      <x:c r="A403" s="3"/>
      <x:c r="B403" s="3"/>
      <x:c r="C403" s="3"/>
      <x:c r="D403" s="3"/>
      <x:c r="E403" s="3"/>
      <x:c r="F403" s="3"/>
      <x:c r="G403" s="3"/>
      <x:c r="H403" s="3"/>
      <x:c r="I403" s="3"/>
      <x:c r="J403" s="3" t="str">
        <x:v>n</x:v>
      </x:c>
      <x:c r="K403" s="3" t="n">
        <x:f>G11</x:f>
        <x:v>355</x:v>
      </x:c>
      <x:c r="L403" s="3"/>
      <x:c r="M403" s="3"/>
      <x:c r="N403" s="3"/>
      <x:c r="O403" s="3"/>
      <x:c r="P403" s="3"/>
      <x:c r="Q403" s="3"/>
      <x:c r="R403" s="3"/>
      <x:c r="S403" s="3" t="str">
        <x:v>s остатков</x:v>
      </x:c>
      <x:c r="T403" s="3" t="n">
        <x:v>110.2947840303473</x:v>
      </x:c>
      <x:c r="U403" s="3"/>
      <x:c r="V403" s="3"/>
      <x:c r="W403" s="3"/>
      <x:c r="X403" s="3"/>
      <x:c r="Y403" s="3"/>
      <x:c r="Z403" s="3"/>
    </x:row>
    <x:row r="404" ht="15" customHeight="1">
      <x:c r="A404" s="3"/>
      <x:c r="B404" s="3"/>
      <x:c r="C404" s="3"/>
      <x:c r="D404" s="3"/>
      <x:c r="E404" s="3"/>
      <x:c r="F404" s="3"/>
      <x:c r="G404" s="3"/>
      <x:c r="H404" s="3"/>
      <x:c r="I404" s="3"/>
      <x:c r="J404" s="3" t="str">
        <x:v>ΣH</x:v>
      </x:c>
      <x:c r="K404" s="3" t="n">
        <x:f>SUMPRODUCT($R$20:$R$384,$K$20:$K$384)</x:f>
        <x:v>28150</x:v>
      </x:c>
      <x:c r="L404" s="3"/>
      <x:c r="M404" s="3"/>
      <x:c r="N404" s="3"/>
      <x:c r="O404" s="3"/>
      <x:c r="P404" s="3"/>
      <x:c r="Q404" s="3"/>
      <x:c r="R404" s="3"/>
      <x:c r="S404" s="3" t="str">
        <x:v>t95</x:v>
      </x:c>
      <x:c r="T404" s="3" t="n">
        <x:v>1.9602404469207206</x:v>
      </x:c>
      <x:c r="U404" s="3"/>
      <x:c r="V404" s="3"/>
      <x:c r="W404" s="3"/>
      <x:c r="X404" s="3"/>
      <x:c r="Y404" s="3"/>
      <x:c r="Z404" s="3"/>
    </x:row>
    <x:row r="405" ht="15" customHeight="1">
      <x:c r="A405" s="3"/>
      <x:c r="B405" s="3"/>
      <x:c r="C405" s="3"/>
      <x:c r="D405" s="3"/>
      <x:c r="E405" s="3"/>
      <x:c r="F405" s="3"/>
      <x:c r="G405" s="3"/>
      <x:c r="H405" s="3"/>
      <x:c r="I405" s="3"/>
      <x:c r="J405" s="3" t="str">
        <x:v>SST</x:v>
      </x:c>
      <x:c r="K405" s="3" t="n">
        <x:f>SUMPRODUCT($R$20:$R$384,$K$20:$K$384,$K$20:$K$384)-K404^2/G11</x:f>
        <x:v>6276929.943661972</x:v>
      </x:c>
      <x:c r="L405" s="3"/>
      <x:c r="M405" s="3"/>
      <x:c r="N405" s="3"/>
      <x:c r="O405" s="3"/>
      <x:c r="P405" s="3"/>
      <x:c r="Q405" s="3"/>
      <x:c r="R405" s="3"/>
      <x:c r="S405" s="3" t="str">
        <x:v>Начало ряда</x:v>
      </x:c>
      <x:c r="T405" s="7" t="n">
        <x:v>37257</x:v>
      </x:c>
      <x:c r="U405" s="3"/>
      <x:c r="V405" s="3"/>
      <x:c r="W405" s="3"/>
      <x:c r="X405" s="3"/>
      <x:c r="Y405" s="3"/>
      <x:c r="Z405" s="3"/>
    </x:row>
    <x:row r="406" ht="15" customHeight="1">
      <x:c r="A406" s="3"/>
      <x:c r="B406" s="3"/>
      <x:c r="C406" s="3"/>
      <x:c r="D406" s="3"/>
      <x:c r="E406" s="3"/>
      <x:c r="F406" s="3"/>
      <x:c r="G406" s="3"/>
      <x:c r="H406" s="3"/>
      <x:c r="I406" s="3"/>
      <x:c r="J406" s="3" t="str">
        <x:v>ΣΔ</x:v>
      </x:c>
      <x:c r="K406" s="3" t="n">
        <x:f>SUMPRODUCT($R$20:$R$384,$Q$20:$Q$384)</x:f>
        <x:v>137</x:v>
      </x:c>
      <x:c r="L406" s="3"/>
      <x:c r="M406" s="3"/>
      <x:c r="N406" s="3"/>
      <x:c r="O406" s="3"/>
      <x:c r="P406" s="3"/>
      <x:c r="Q406" s="3"/>
      <x:c r="R406" s="3"/>
      <x:c r="S406" s="3" t="str">
        <x:v>Длина ряда</x:v>
      </x:c>
      <x:c r="T406" s="3" t="n">
        <x:v>8978</x:v>
      </x:c>
      <x:c r="U406" s="3"/>
      <x:c r="V406" s="3"/>
      <x:c r="W406" s="3"/>
      <x:c r="X406" s="3"/>
      <x:c r="Y406" s="3"/>
      <x:c r="Z406" s="3"/>
    </x:row>
    <x:row r="407" ht="15" customHeight="1">
      <x:c r="A407" s="3"/>
      <x:c r="B407" s="3"/>
      <x:c r="C407" s="3"/>
      <x:c r="D407" s="3"/>
      <x:c r="E407" s="3"/>
      <x:c r="F407" s="3"/>
      <x:c r="G407" s="3"/>
      <x:c r="H407" s="3"/>
      <x:c r="I407" s="3"/>
      <x:c r="J407" s="3" t="str">
        <x:v>SSΔ</x:v>
      </x:c>
      <x:c r="K407" s="3" t="n">
        <x:f>SUMPRODUCT($R$20:$R$384,$Q$20:$Q$384,$Q$20:$Q$384)-K406^2/G11</x:f>
        <x:v>42404.12957746479</x:v>
      </x:c>
      <x:c r="L407" s="3"/>
      <x:c r="M407" s="3"/>
      <x:c r="N407" s="3"/>
      <x:c r="O407" s="3"/>
      <x:c r="P407" s="3"/>
      <x:c r="Q407" s="3"/>
      <x:c r="R407" s="3"/>
      <x:c r="S407" s="3"/>
      <x:c r="T407" s="3"/>
      <x:c r="U407" s="3"/>
      <x:c r="V407" s="3"/>
      <x:c r="W407" s="3"/>
      <x:c r="X407" s="3"/>
      <x:c r="Y407" s="3"/>
      <x:c r="Z407" s="3"/>
    </x:row>
    <x:row r="408" ht="15" customHeight="1">
      <x:c r="A408" s="3"/>
      <x:c r="B408" s="3"/>
      <x:c r="C408" s="3"/>
      <x:c r="D408" s="3"/>
      <x:c r="E408" s="3"/>
      <x:c r="F408" s="3"/>
      <x:c r="G408" s="3"/>
      <x:c r="H408" s="3"/>
      <x:c r="I408" s="3"/>
      <x:c r="J408" s="3" t="str">
        <x:v>SSE</x:v>
      </x:c>
      <x:c r="K408" s="3" t="n">
        <x:f>SUMPRODUCT($R$20:$R$384,$P$20:$P$384)</x:f>
        <x:v>1668635.7343646388</x:v>
      </x:c>
      <x:c r="L408" s="3"/>
      <x:c r="M408" s="3"/>
      <x:c r="N408" s="3"/>
      <x:c r="O408" s="3"/>
      <x:c r="P408" s="3"/>
      <x:c r="Q408" s="3"/>
      <x:c r="R408" s="3"/>
      <x:c r="S408" s="3" t="str">
        <x:v>Cov базовых коэффициентов</x:v>
      </x:c>
      <x:c r="T408" s="3"/>
      <x:c r="U408" s="3"/>
      <x:c r="V408" s="3"/>
      <x:c r="W408" s="3"/>
      <x:c r="X408" s="3"/>
      <x:c r="Y408" s="3"/>
      <x:c r="Z408" s="3"/>
    </x:row>
    <x:row r="409" ht="15" customHeight="1">
      <x:c r="A409" s="3"/>
      <x:c r="B409" s="3"/>
      <x:c r="C409" s="3"/>
      <x:c r="D409" s="3"/>
      <x:c r="E409" s="3"/>
      <x:c r="F409" s="3"/>
      <x:c r="G409" s="3"/>
      <x:c r="H409" s="3"/>
      <x:c r="I409" s="3"/>
      <x:c r="J409" s="3"/>
      <x:c r="K409" s="3"/>
      <x:c r="L409" s="3"/>
      <x:c r="M409" s="3"/>
      <x:c r="N409" s="3"/>
      <x:c r="O409" s="3"/>
      <x:c r="P409" s="3"/>
      <x:c r="Q409" s="3"/>
      <x:c r="R409" s="3"/>
      <x:c r="S409" s="3" t="n">
        <x:v>3.406738329351525</x:v>
      </x:c>
      <x:c r="T409" s="3" t="n">
        <x:v>-1.691477216714962</x:v>
      </x:c>
      <x:c r="U409" s="3"/>
      <x:c r="V409" s="3"/>
      <x:c r="W409" s="3"/>
      <x:c r="X409" s="3"/>
      <x:c r="Y409" s="3"/>
      <x:c r="Z409" s="3"/>
    </x:row>
    <x:row r="410" ht="15" customHeight="1">
      <x:c r="A410" s="3"/>
      <x:c r="B410" s="3"/>
      <x:c r="C410" s="3"/>
      <x:c r="D410" s="3"/>
      <x:c r="E410" s="3"/>
      <x:c r="F410" s="3"/>
      <x:c r="G410" s="3"/>
      <x:c r="H410" s="3"/>
      <x:c r="I410" s="3"/>
      <x:c r="J410" s="3"/>
      <x:c r="K410" s="3"/>
      <x:c r="L410" s="3"/>
      <x:c r="M410" s="3"/>
      <x:c r="N410" s="3"/>
      <x:c r="O410" s="3"/>
      <x:c r="P410" s="3"/>
      <x:c r="Q410" s="3"/>
      <x:c r="R410" s="3"/>
      <x:c r="S410" s="3" t="n">
        <x:v>-1.6914772167149619</x:v>
      </x:c>
      <x:c r="T410" s="3" t="n">
        <x:v>1.4397568836491181</x:v>
      </x:c>
      <x:c r="U410" s="3"/>
      <x:c r="V410" s="3"/>
      <x:c r="W410" s="3"/>
      <x:c r="X410" s="3"/>
      <x:c r="Y410" s="3"/>
      <x:c r="Z410" s="3"/>
    </x:row>
    <x:row r="411" ht="15" customHeight="1">
      <x:c r="A411" s="3"/>
      <x:c r="B411" s="3"/>
      <x:c r="C411" s="3"/>
      <x:c r="D411" s="3"/>
      <x:c r="E411" s="3"/>
      <x:c r="F411" s="3"/>
      <x:c r="G411" s="3"/>
      <x:c r="H411" s="3"/>
      <x:c r="I411" s="3"/>
      <x:c r="J411" s="3"/>
      <x:c r="K411" s="3"/>
      <x:c r="L411" s="3"/>
      <x:c r="M411" s="3"/>
      <x:c r="N411" s="3"/>
      <x:c r="O411" s="3"/>
      <x:c r="P411" s="3"/>
      <x:c r="Q411" s="3"/>
      <x:c r="R411" s="3"/>
      <x:c r="S411" s="3"/>
      <x:c r="T411" s="3"/>
      <x:c r="U411" s="3"/>
      <x:c r="V411" s="3"/>
      <x:c r="W411" s="3"/>
      <x:c r="X411" s="3"/>
      <x:c r="Y411" s="3"/>
      <x:c r="Z411" s="3"/>
    </x:row>
    <x:row r="412" ht="15" customHeight="1">
      <x:c r="A412" s="3"/>
      <x:c r="B412" s="3"/>
      <x:c r="C412" s="3"/>
      <x:c r="D412" s="3"/>
      <x:c r="E412" s="3"/>
      <x:c r="F412" s="3"/>
      <x:c r="G412" s="3"/>
      <x:c r="H412" s="3"/>
      <x:c r="I412" s="3"/>
      <x:c r="J412" s="3"/>
      <x:c r="K412" s="3"/>
      <x:c r="L412" s="3"/>
      <x:c r="M412" s="3"/>
      <x:c r="N412" s="3"/>
      <x:c r="O412" s="3"/>
      <x:c r="P412" s="3"/>
      <x:c r="Q412" s="3"/>
      <x:c r="R412" s="3"/>
      <x:c r="S412" s="3"/>
      <x:c r="T412" s="3"/>
      <x:c r="U412" s="3"/>
      <x:c r="V412" s="3"/>
      <x:c r="W412" s="3"/>
      <x:c r="X412" s="3"/>
      <x:c r="Y412" s="3"/>
      <x:c r="Z412" s="3"/>
    </x:row>
    <x:row r="413" ht="15" customHeight="1">
      <x:c r="A413" s="3"/>
      <x:c r="B413" s="3"/>
      <x:c r="C413" s="3"/>
      <x:c r="D413" s="3"/>
      <x:c r="E413" s="3"/>
      <x:c r="F413" s="3"/>
      <x:c r="G413" s="3"/>
      <x:c r="H413" s="3"/>
      <x:c r="I413" s="3"/>
      <x:c r="J413" s="3"/>
      <x:c r="K413" s="3"/>
      <x:c r="L413" s="3"/>
      <x:c r="M413" s="3"/>
      <x:c r="N413" s="3"/>
      <x:c r="O413" s="3"/>
      <x:c r="P413" s="3"/>
      <x:c r="Q413" s="3"/>
      <x:c r="R413" s="3"/>
      <x:c r="S413" s="3"/>
      <x:c r="T413" s="3"/>
      <x:c r="U413" s="3"/>
      <x:c r="V413" s="3"/>
      <x:c r="W413" s="3"/>
      <x:c r="X413" s="3"/>
      <x:c r="Y413" s="3"/>
      <x:c r="Z413" s="3"/>
    </x:row>
    <x:row r="414" ht="15" customHeight="1">
      <x:c r="A414" s="3"/>
      <x:c r="B414" s="3"/>
      <x:c r="C414" s="3"/>
      <x:c r="D414" s="3"/>
      <x:c r="E414" s="3"/>
      <x:c r="F414" s="3"/>
      <x:c r="G414" s="3"/>
      <x:c r="H414" s="3"/>
      <x:c r="I414" s="3"/>
      <x:c r="J414" s="3"/>
      <x:c r="K414" s="3"/>
      <x:c r="L414" s="3"/>
      <x:c r="M414" s="3"/>
      <x:c r="N414" s="3"/>
      <x:c r="O414" s="3"/>
      <x:c r="P414" s="3"/>
      <x:c r="Q414" s="3"/>
      <x:c r="R414" s="3"/>
      <x:c r="S414" s="3"/>
      <x:c r="T414" s="3"/>
      <x:c r="U414" s="3"/>
      <x:c r="V414" s="3"/>
      <x:c r="W414" s="3"/>
      <x:c r="X414" s="3"/>
      <x:c r="Y414" s="3"/>
      <x:c r="Z414" s="3"/>
    </x:row>
    <x:row r="415" ht="30" customHeight="1">
      <x:c r="A415" s="3"/>
      <x:c r="B415" s="3"/>
      <x:c r="C415" s="3"/>
      <x:c r="D415" s="3"/>
      <x:c r="E415" s="3"/>
      <x:c r="F415" s="3"/>
      <x:c r="G415" s="3"/>
      <x:c r="H415" s="3"/>
      <x:c r="I415" s="3"/>
      <x:c r="J415" s="3"/>
      <x:c r="K415" s="3"/>
      <x:c r="L415" s="3"/>
      <x:c r="M415" s="3"/>
      <x:c r="N415" s="3"/>
      <x:c r="O415" s="3"/>
      <x:c r="P415" s="3"/>
      <x:c r="Q415" s="3"/>
      <x:c r="R415" s="3"/>
      <x:c r="S415" s="14" t="str">
        <x:v>Cov a0,cₘ</x:v>
      </x:c>
      <x:c r="T415" s="14" t="str">
        <x:v>Cov a1,cₘ</x:v>
      </x:c>
      <x:c r="U415" s="14" t="str">
        <x:v>Cov a2,cₘ</x:v>
      </x:c>
      <x:c r="V415" s="14" t="str">
        <x:v>Cov a3,cₘ</x:v>
      </x:c>
      <x:c r="W415" s="14" t="str">
        <x:v>Var cₘ</x:v>
      </x:c>
      <x:c r="X415" s="3"/>
      <x:c r="Y415" s="3"/>
      <x:c r="Z415" s="3"/>
    </x:row>
    <x:row r="416" ht="15" customHeight="1">
      <x:c r="A416" s="3"/>
      <x:c r="B416" s="3"/>
      <x:c r="C416" s="3"/>
      <x:c r="D416" s="3"/>
      <x:c r="E416" s="3"/>
      <x:c r="F416" s="3"/>
      <x:c r="G416" s="3"/>
      <x:c r="H416" s="3"/>
      <x:c r="I416" s="3"/>
      <x:c r="J416" s="3"/>
      <x:c r="K416" s="3"/>
      <x:c r="L416" s="3"/>
      <x:c r="M416" s="3"/>
      <x:c r="N416" s="3"/>
      <x:c r="O416" s="3"/>
      <x:c r="P416" s="3"/>
      <x:c r="Q416" s="3"/>
      <x:c r="R416" s="3"/>
      <x:c r="S416" s="3" t="n">
        <x:v>-0.3350286113562352</x:v>
      </x:c>
      <x:c r="T416" s="3" t="n">
        <x:v>0.34211346464354003</x:v>
      </x:c>
      <x:c r="U416" s="3" t="n">
        <x:v>0</x:v>
      </x:c>
      <x:c r="V416" s="3" t="n">
        <x:v>0</x:v>
      </x:c>
      <x:c r="W416" s="3" t="n">
        <x:v>16.365119243215098</x:v>
      </x:c>
      <x:c r="X416" s="3"/>
      <x:c r="Y416" s="3"/>
      <x:c r="Z416" s="3"/>
    </x:row>
    <x:row r="417" ht="15" customHeight="1">
      <x:c r="A417" s="3"/>
      <x:c r="B417" s="3"/>
      <x:c r="C417" s="3"/>
      <x:c r="D417" s="3"/>
      <x:c r="E417" s="3"/>
      <x:c r="F417" s="3"/>
      <x:c r="G417" s="3"/>
      <x:c r="H417" s="3"/>
      <x:c r="I417" s="3"/>
      <x:c r="J417" s="3"/>
      <x:c r="K417" s="3"/>
      <x:c r="L417" s="3"/>
      <x:c r="M417" s="3"/>
      <x:c r="N417" s="3"/>
      <x:c r="O417" s="3"/>
      <x:c r="P417" s="3"/>
      <x:c r="Q417" s="3"/>
      <x:c r="R417" s="3"/>
      <x:c r="S417" s="3" t="n">
        <x:v>-0.08634053955945215</x:v>
      </x:c>
      <x:c r="T417" s="3" t="n">
        <x:v>0.2370430509971439</x:v>
      </x:c>
      <x:c r="U417" s="3" t="n">
        <x:v>0</x:v>
      </x:c>
      <x:c r="V417" s="3" t="n">
        <x:v>0</x:v>
      </x:c>
      <x:c r="W417" s="3" t="n">
        <x:v>17.575330029004796</x:v>
      </x:c>
      <x:c r="X417" s="3"/>
      <x:c r="Y417" s="3"/>
      <x:c r="Z417" s="3"/>
    </x:row>
    <x:row r="418" ht="15" customHeight="1">
      <x:c r="A418" s="3"/>
      <x:c r="B418" s="3"/>
      <x:c r="C418" s="3"/>
      <x:c r="D418" s="3"/>
      <x:c r="E418" s="3"/>
      <x:c r="F418" s="3"/>
      <x:c r="G418" s="3"/>
      <x:c r="H418" s="3"/>
      <x:c r="I418" s="3"/>
      <x:c r="J418" s="3"/>
      <x:c r="K418" s="3"/>
      <x:c r="L418" s="3"/>
      <x:c r="M418" s="3"/>
      <x:c r="N418" s="3"/>
      <x:c r="O418" s="3"/>
      <x:c r="P418" s="3"/>
      <x:c r="Q418" s="3"/>
      <x:c r="R418" s="3"/>
      <x:c r="S418" s="3" t="n">
        <x:v>-0.14815252885008756</x:v>
      </x:c>
      <x:c r="T418" s="3" t="n">
        <x:v>0.11295219521144266</x:v>
      </x:c>
      <x:c r="U418" s="3" t="n">
        <x:v>0</x:v>
      </x:c>
      <x:c r="V418" s="3" t="n">
        <x:v>0</x:v>
      </x:c>
      <x:c r="W418" s="3" t="n">
        <x:v>15.469181297622107</x:v>
      </x:c>
      <x:c r="X418" s="3"/>
      <x:c r="Y418" s="3"/>
      <x:c r="Z418" s="3"/>
    </x:row>
    <x:row r="419" ht="15" customHeight="1">
      <x:c r="A419" s="3"/>
      <x:c r="B419" s="3"/>
      <x:c r="C419" s="3"/>
      <x:c r="D419" s="3"/>
      <x:c r="E419" s="3"/>
      <x:c r="F419" s="3"/>
      <x:c r="G419" s="3"/>
      <x:c r="H419" s="3"/>
      <x:c r="I419" s="3"/>
      <x:c r="J419" s="3"/>
      <x:c r="K419" s="3"/>
      <x:c r="L419" s="3"/>
      <x:c r="M419" s="3"/>
      <x:c r="N419" s="3"/>
      <x:c r="O419" s="3"/>
      <x:c r="P419" s="3"/>
      <x:c r="Q419" s="3"/>
      <x:c r="R419" s="3"/>
      <x:c r="S419" s="3" t="n">
        <x:v>-0.06684415655155954</x:v>
      </x:c>
      <x:c r="T419" s="3" t="n">
        <x:v>0.016251078094122642</x:v>
      </x:c>
      <x:c r="U419" s="3" t="n">
        <x:v>0</x:v>
      </x:c>
      <x:c r="V419" s="3" t="n">
        <x:v>0</x:v>
      </x:c>
      <x:c r="W419" s="3" t="n">
        <x:v>15.137508232895536</x:v>
      </x:c>
      <x:c r="X419" s="3"/>
      <x:c r="Y419" s="3"/>
      <x:c r="Z419" s="3"/>
    </x:row>
    <x:row r="420" ht="15" customHeight="1">
      <x:c r="A420" s="3"/>
      <x:c r="B420" s="3"/>
      <x:c r="C420" s="3"/>
      <x:c r="D420" s="3"/>
      <x:c r="E420" s="3"/>
      <x:c r="F420" s="3"/>
      <x:c r="G420" s="3"/>
      <x:c r="H420" s="3"/>
      <x:c r="I420" s="3"/>
      <x:c r="J420" s="3"/>
      <x:c r="K420" s="3"/>
      <x:c r="L420" s="3"/>
      <x:c r="M420" s="3"/>
      <x:c r="N420" s="3"/>
      <x:c r="O420" s="3"/>
      <x:c r="P420" s="3"/>
      <x:c r="Q420" s="3"/>
      <x:c r="R420" s="3"/>
      <x:c r="S420" s="3" t="n">
        <x:v>0.004871782290730578</x:v>
      </x:c>
      <x:c r="T420" s="3" t="n">
        <x:v>-0.06497750719924289</x:v>
      </x:c>
      <x:c r="U420" s="3" t="n">
        <x:v>0</x:v>
      </x:c>
      <x:c r="V420" s="3" t="n">
        <x:v>0</x:v>
      </x:c>
      <x:c r="W420" s="3" t="n">
        <x:v>14.903114584584754</x:v>
      </x:c>
      <x:c r="X420" s="3"/>
      <x:c r="Y420" s="3"/>
      <x:c r="Z420" s="3"/>
    </x:row>
    <x:row r="421" ht="15" customHeight="1">
      <x:c r="A421" s="3"/>
      <x:c r="B421" s="3"/>
      <x:c r="C421" s="3"/>
      <x:c r="D421" s="3"/>
      <x:c r="E421" s="3"/>
      <x:c r="F421" s="3"/>
      <x:c r="G421" s="3"/>
      <x:c r="H421" s="3"/>
      <x:c r="I421" s="3"/>
      <x:c r="J421" s="3"/>
      <x:c r="K421" s="3"/>
      <x:c r="L421" s="3"/>
      <x:c r="M421" s="3"/>
      <x:c r="N421" s="3"/>
      <x:c r="O421" s="3"/>
      <x:c r="P421" s="3"/>
      <x:c r="Q421" s="3"/>
      <x:c r="R421" s="3"/>
      <x:c r="S421" s="3" t="n">
        <x:v>0.1188911713784746</x:v>
      </x:c>
      <x:c r="T421" s="3" t="n">
        <x:v>-0.11600391210214075</x:v>
      </x:c>
      <x:c r="U421" s="3" t="n">
        <x:v>0</x:v>
      </x:c>
      <x:c r="V421" s="3" t="n">
        <x:v>0</x:v>
      </x:c>
      <x:c r="W421" s="3" t="n">
        <x:v>15.450246416195686</x:v>
      </x:c>
      <x:c r="X421" s="3"/>
      <x:c r="Y421" s="3"/>
      <x:c r="Z421" s="3"/>
    </x:row>
    <x:row r="422" ht="15" customHeight="1">
      <x:c r="A422" s="3"/>
      <x:c r="B422" s="3"/>
      <x:c r="C422" s="3"/>
      <x:c r="D422" s="3"/>
      <x:c r="E422" s="3"/>
      <x:c r="F422" s="3"/>
      <x:c r="G422" s="3"/>
      <x:c r="H422" s="3"/>
      <x:c r="I422" s="3"/>
      <x:c r="J422" s="3"/>
      <x:c r="K422" s="3"/>
      <x:c r="L422" s="3"/>
      <x:c r="M422" s="3"/>
      <x:c r="N422" s="3"/>
      <x:c r="O422" s="3"/>
      <x:c r="P422" s="3"/>
      <x:c r="Q422" s="3"/>
      <x:c r="R422" s="3"/>
      <x:c r="S422" s="3" t="n">
        <x:v>0.08394452430736282</x:v>
      </x:c>
      <x:c r="T422" s="3" t="n">
        <x:v>-0.14436131573887043</x:v>
      </x:c>
      <x:c r="U422" s="3" t="n">
        <x:v>0</x:v>
      </x:c>
      <x:c r="V422" s="3" t="n">
        <x:v>0</x:v>
      </x:c>
      <x:c r="W422" s="3" t="n">
        <x:v>14.772755300996446</x:v>
      </x:c>
      <x:c r="X422" s="3"/>
      <x:c r="Y422" s="3"/>
      <x:c r="Z422" s="3"/>
    </x:row>
    <x:row r="423" ht="15" customHeight="1">
      <x:c r="A423" s="3"/>
      <x:c r="B423" s="3"/>
      <x:c r="C423" s="3"/>
      <x:c r="D423" s="3"/>
      <x:c r="E423" s="3"/>
      <x:c r="F423" s="3"/>
      <x:c r="G423" s="3"/>
      <x:c r="H423" s="3"/>
      <x:c r="I423" s="3"/>
      <x:c r="J423" s="3"/>
      <x:c r="K423" s="3"/>
      <x:c r="L423" s="3"/>
      <x:c r="M423" s="3"/>
      <x:c r="N423" s="3"/>
      <x:c r="O423" s="3"/>
      <x:c r="P423" s="3"/>
      <x:c r="Q423" s="3"/>
      <x:c r="R423" s="3"/>
      <x:c r="S423" s="3" t="n">
        <x:v>0.0038175971030937755</x:v>
      </x:c>
      <x:c r="T423" s="3" t="n">
        <x:v>-0.05174202756070524</x:v>
      </x:c>
      <x:c r="U423" s="3" t="n">
        <x:v>0</x:v>
      </x:c>
      <x:c r="V423" s="3" t="n">
        <x:v>0</x:v>
      </x:c>
      <x:c r="W423" s="3" t="n">
        <x:v>15.046994834181218</x:v>
      </x:c>
      <x:c r="X423" s="3"/>
      <x:c r="Y423" s="3"/>
      <x:c r="Z423" s="3"/>
    </x:row>
    <x:row r="424" ht="15" customHeight="1">
      <x:c r="A424" s="3"/>
      <x:c r="B424" s="3"/>
      <x:c r="C424" s="3"/>
      <x:c r="D424" s="3"/>
      <x:c r="E424" s="3"/>
      <x:c r="F424" s="3"/>
      <x:c r="G424" s="3"/>
      <x:c r="H424" s="3"/>
      <x:c r="I424" s="3"/>
      <x:c r="J424" s="3"/>
      <x:c r="K424" s="3"/>
      <x:c r="L424" s="3"/>
      <x:c r="M424" s="3"/>
      <x:c r="N424" s="3"/>
      <x:c r="O424" s="3"/>
      <x:c r="P424" s="3"/>
      <x:c r="Q424" s="3"/>
      <x:c r="R424" s="3"/>
      <x:c r="S424" s="3" t="n">
        <x:v>0.0801126966167667</x:v>
      </x:c>
      <x:c r="T424" s="3" t="n">
        <x:v>-0.0763566885260496</x:v>
      </x:c>
      <x:c r="U424" s="3" t="n">
        <x:v>0</x:v>
      </x:c>
      <x:c r="V424" s="3" t="n">
        <x:v>0</x:v>
      </x:c>
      <x:c r="W424" s="3" t="n">
        <x:v>15.522954129242446</x:v>
      </x:c>
      <x:c r="X424" s="3"/>
      <x:c r="Y424" s="3"/>
      <x:c r="Z424" s="3"/>
    </x:row>
    <x:row r="425" ht="15" customHeight="1">
      <x:c r="A425" s="3"/>
      <x:c r="B425" s="3"/>
      <x:c r="C425" s="3"/>
      <x:c r="D425" s="3"/>
      <x:c r="E425" s="3"/>
      <x:c r="F425" s="3"/>
      <x:c r="G425" s="3"/>
      <x:c r="H425" s="3"/>
      <x:c r="I425" s="3"/>
      <x:c r="J425" s="3"/>
      <x:c r="K425" s="3"/>
      <x:c r="L425" s="3"/>
      <x:c r="M425" s="3"/>
      <x:c r="N425" s="3"/>
      <x:c r="O425" s="3"/>
      <x:c r="P425" s="3"/>
      <x:c r="Q425" s="3"/>
      <x:c r="R425" s="3"/>
      <x:c r="S425" s="3" t="n">
        <x:v>0.055028881626855534</x:v>
      </x:c>
      <x:c r="T425" s="3" t="n">
        <x:v>-0.09533220937633435</x:v>
      </x:c>
      <x:c r="U425" s="3" t="n">
        <x:v>0</x:v>
      </x:c>
      <x:c r="V425" s="3" t="n">
        <x:v>0</x:v>
      </x:c>
      <x:c r="W425" s="3" t="n">
        <x:v>15.051447664239742</x:v>
      </x:c>
      <x:c r="X425" s="3"/>
      <x:c r="Y425" s="3"/>
      <x:c r="Z425" s="3"/>
    </x:row>
    <x:row r="426" ht="15" customHeight="1">
      <x:c r="A426" s="3"/>
      <x:c r="B426" s="3"/>
      <x:c r="C426" s="3"/>
      <x:c r="D426" s="3"/>
      <x:c r="E426" s="3"/>
      <x:c r="F426" s="3"/>
      <x:c r="G426" s="3"/>
      <x:c r="H426" s="3"/>
      <x:c r="I426" s="3"/>
      <x:c r="J426" s="3"/>
      <x:c r="K426" s="3"/>
      <x:c r="L426" s="3"/>
      <x:c r="M426" s="3"/>
      <x:c r="N426" s="3"/>
      <x:c r="O426" s="3"/>
      <x:c r="P426" s="3"/>
      <x:c r="Q426" s="3"/>
      <x:c r="R426" s="3"/>
      <x:c r="S426" s="3" t="n">
        <x:v>0.1243084366414645</x:v>
      </x:c>
      <x:c r="T426" s="3" t="n">
        <x:v>-0.1139753571665319</x:v>
      </x:c>
      <x:c r="U426" s="3" t="n">
        <x:v>0</x:v>
      </x:c>
      <x:c r="V426" s="3" t="n">
        <x:v>0</x:v>
      </x:c>
      <x:c r="W426" s="3" t="n">
        <x:v>15.52792721757416</x:v>
      </x:c>
      <x:c r="X426" s="3"/>
      <x:c r="Y426" s="3"/>
      <x:c r="Z426" s="3"/>
    </x:row>
    <x:row r="427" ht="15" customHeight="1">
      <x:c r="A427" s="3"/>
      <x:c r="B427" s="3"/>
      <x:c r="C427" s="3"/>
      <x:c r="D427" s="3"/>
      <x:c r="E427" s="3"/>
      <x:c r="F427" s="3"/>
      <x:c r="G427" s="3"/>
      <x:c r="H427" s="3"/>
      <x:c r="I427" s="3"/>
      <x:c r="J427" s="3"/>
      <x:c r="K427" s="3"/>
      <x:c r="L427" s="3"/>
      <x:c r="M427" s="3"/>
      <x:c r="N427" s="3"/>
      <x:c r="O427" s="3"/>
      <x:c r="P427" s="3"/>
      <x:c r="Q427" s="3"/>
      <x:c r="R427" s="3"/>
      <x:c r="S427" s="3" t="n">
        <x:v>0.1653907463525859</x:v>
      </x:c>
      <x:c r="T427" s="3" t="n">
        <x:v>-0.045610771276374064</x:v>
      </x:c>
      <x:c r="U427" s="3" t="n">
        <x:v>0</x:v>
      </x:c>
      <x:c r="V427" s="3" t="n">
        <x:v>0</x:v>
      </x:c>
      <x:c r="W427" s="3" t="n">
        <x:v>16.734343909727283</x:v>
      </x:c>
      <x:c r="X427" s="3"/>
      <x:c r="Y427" s="3"/>
      <x:c r="Z427" s="3"/>
    </x:row>
  </x:sheetData>
  <x:pageMargins left="0.7" right="0.7" top="0.75" bottom="0.75" header="0.3" footer="0.3"/>
  <x:drawing xmlns:r="http://schemas.openxmlformats.org/officeDocument/2006/relationships" r:id="Rfa1e1a032e724faf"/>
</x:worksheet>
</file>

<file path=xl/worksheets/sheet6.xml><?xml version="1.0" encoding="utf-8"?>
<x:worksheet xmlns:x="http://schemas.openxmlformats.org/spreadsheetml/2006/main">
  <x:sheetPr>
    <x:tabColor rgb="FFFFFFFF"/>
  </x:sheetPr>
  <x:sheetViews>
    <x:sheetView showGridLines="1"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8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6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</x:cols>
  <x:sheetData>
    <x:row r="1" ht="15" customHeight="1">
      <x:c r="A1" s="3" t="str">
        <x:v>Экспоненциальная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15" customHeight="1">
      <x:c r="A2" s="3" t="str">
        <x:v>H=a·exp(b·x)+cₘ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</x:row>
    <x:row r="3" ht="30" customHeight="1">
      <x:c r="A3" s="14" t="str">
        <x:v>Коэф.</x:v>
      </x:c>
      <x:c r="B3" s="14" t="str">
        <x:v>Оценка</x:v>
      </x:c>
      <x:c r="C3" s="14" t="str">
        <x:v>SE</x:v>
      </x:c>
      <x:c r="D3" s="14" t="str">
        <x:v>Месяц</x:v>
      </x:c>
      <x:c r="E3" s="14" t="str">
        <x:v>cₘ, см</x:v>
      </x:c>
      <x:c r="F3" s="14" t="str">
        <x:v>Показатель</x:v>
      </x:c>
      <x:c r="G3" s="14" t="str">
        <x:v>Значение</x:v>
      </x:c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15" customHeight="1">
      <x:c r="A4" s="8" t="str">
        <x:v>a</x:v>
      </x:c>
      <x:c r="B4" s="16" t="n">
        <x:v>24.000946204906196</x:v>
      </x:c>
      <x:c r="C4" s="16" t="n">
        <x:f>SQRT(S409)</x:f>
        <x:v>1.3491164539842826</x:v>
      </x:c>
      <x:c r="D4" s="9" t="n">
        <x:v>1</x:v>
      </x:c>
      <x:c r="E4" s="16" t="n">
        <x:v>-96.69166671112922</x:v>
      </x:c>
      <x:c r="F4" s="8" t="str">
        <x:v>R² обучения</x:v>
      </x:c>
      <x:c r="G4" s="12" t="n">
        <x:v>0.5653986090851157</x:v>
      </x:c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</x:row>
    <x:row r="5" ht="15" customHeight="1">
      <x:c r="A5" s="8" t="str">
        <x:v>b</x:v>
      </x:c>
      <x:c r="B5" s="16" t="n">
        <x:v>0.20468090537722486</x:v>
      </x:c>
      <x:c r="C5" s="16" t="n">
        <x:f>SQRT(T410)</x:f>
        <x:v>0.008035591383629175</x:v>
      </x:c>
      <x:c r="D5" s="9" t="n">
        <x:v>2</x:v>
      </x:c>
      <x:c r="E5" s="16" t="n">
        <x:v>-146.15862454104317</x:v>
      </x:c>
      <x:c r="F5" s="8" t="str">
        <x:v>MAE, см</x:v>
      </x:c>
      <x:c r="G5" s="8" t="n">
        <x:f>SUMPRODUCT($R$20:$R$384,$O$20:$O$384)/G11</x:f>
        <x:v>93.01275464007968</x:v>
      </x:c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</x:row>
    <x:row r="6" ht="15" customHeight="1">
      <x:c r="A6" s="3"/>
      <x:c r="B6" s="3"/>
      <x:c r="C6" s="3"/>
      <x:c r="D6" s="9" t="n">
        <x:v>3</x:v>
      </x:c>
      <x:c r="E6" s="16" t="n">
        <x:v>-158.54702476873382</x:v>
      </x:c>
      <x:c r="F6" s="8" t="str">
        <x:v>S (RMSE), см</x:v>
      </x:c>
      <x:c r="G6" s="8" t="n">
        <x:f>SQRT(K408/G11)</x:f>
        <x:v>100.81652702456745</x:v>
      </x:c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 ht="15" customHeight="1">
      <x:c r="A7" s="3"/>
      <x:c r="B7" s="3"/>
      <x:c r="C7" s="3"/>
      <x:c r="D7" s="9" t="n">
        <x:v>4</x:v>
      </x:c>
      <x:c r="E7" s="16" t="n">
        <x:v>-43.321394535213784</x:v>
      </x:c>
      <x:c r="F7" s="8" t="str">
        <x:v>NSE</x:v>
      </x:c>
      <x:c r="G7" s="12" t="n">
        <x:f>IF(K405=0,"н.д.",1-K408/K405)</x:f>
        <x:v>0.42516323498190756</x:v>
      </x:c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</x:row>
    <x:row r="8" ht="15" customHeight="1">
      <x:c r="A8" s="3"/>
      <x:c r="B8" s="3"/>
      <x:c r="C8" s="3"/>
      <x:c r="D8" s="9" t="n">
        <x:v>5</x:v>
      </x:c>
      <x:c r="E8" s="16" t="n">
        <x:v>51.34709654147916</x:v>
      </x:c>
      <x:c r="F8" s="8" t="str">
        <x:v>S/σΔ</x:v>
      </x:c>
      <x:c r="G8" s="12" t="n">
        <x:f>IF(G10=0,"н.д.",G6/G10)</x:f>
        <x:v>9.211477319471593</x:v>
      </x:c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</x:row>
    <x:row r="9" ht="15" customHeight="1">
      <x:c r="A9" s="3"/>
      <x:c r="B9" s="3"/>
      <x:c r="C9" s="3"/>
      <x:c r="D9" s="9" t="n">
        <x:v>6</x:v>
      </x:c>
      <x:c r="E9" s="16" t="n">
        <x:v>75.56771104503662</x:v>
      </x:c>
      <x:c r="F9" s="8" t="str">
        <x:v>P%</x:v>
      </x:c>
      <x:c r="G9" s="18" t="n">
        <x:f>SUM($S$20:$S$384)/G11</x:f>
        <x:v>0.005633802816901409</x:v>
      </x:c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  <x:c r="V9" s="3"/>
      <x:c r="W9" s="3"/>
      <x:c r="X9" s="3"/>
      <x:c r="Y9" s="3"/>
      <x:c r="Z9" s="3"/>
    </x:row>
    <x:row r="10" ht="15" customHeight="1">
      <x:c r="A10" s="3"/>
      <x:c r="B10" s="3"/>
      <x:c r="C10" s="3"/>
      <x:c r="D10" s="9" t="n">
        <x:v>7</x:v>
      </x:c>
      <x:c r="E10" s="16" t="n">
        <x:v>111.57922208805566</x:v>
      </x:c>
      <x:c r="F10" s="8" t="str">
        <x:v>σΔ, см</x:v>
      </x:c>
      <x:c r="G10" s="8" t="n">
        <x:f>IF(G11&gt;1,SQRT(MAX(0,K407)/(G11-1)),"н.д.")</x:f>
        <x:v>10.944664306067107</x:v>
      </x:c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</x:row>
    <x:row r="11" ht="15" customHeight="1">
      <x:c r="A11" s="3"/>
      <x:c r="B11" s="3"/>
      <x:c r="C11" s="3"/>
      <x:c r="D11" s="9" t="n">
        <x:v>8</x:v>
      </x:c>
      <x:c r="E11" s="16" t="n">
        <x:v>213.05600418374158</x:v>
      </x:c>
      <x:c r="F11" s="8" t="str">
        <x:v>n проверки</x:v>
      </x:c>
      <x:c r="G11" s="9" t="n">
        <x:f>SUM($R$20:$R$384)</x:f>
        <x:v>355</x:v>
      </x:c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3"/>
      <x:c r="S11" s="3"/>
      <x:c r="T11" s="3"/>
      <x:c r="U11" s="3"/>
      <x:c r="V11" s="3"/>
      <x:c r="W11" s="3"/>
      <x:c r="X11" s="3"/>
      <x:c r="Y11" s="3"/>
      <x:c r="Z11" s="3"/>
    </x:row>
    <x:row r="12" ht="15" customHeight="1">
      <x:c r="A12" s="3"/>
      <x:c r="B12" s="3"/>
      <x:c r="C12" s="3"/>
      <x:c r="D12" s="9" t="n">
        <x:v>9</x:v>
      </x:c>
      <x:c r="E12" s="16" t="n">
        <x:v>173.75408917927513</x:v>
      </x:c>
      <x:c r="F12" s="8" t="str">
        <x:v>Оценка, суток</x:v>
      </x:c>
      <x:c r="G12" s="9" t="n">
        <x:f>'Сводка'!$B$11</x:f>
        <x:v>1</x:v>
      </x:c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3"/>
      <x:c r="T12" s="3"/>
      <x:c r="U12" s="3"/>
      <x:c r="V12" s="3"/>
      <x:c r="W12" s="3"/>
      <x:c r="X12" s="3"/>
      <x:c r="Y12" s="3"/>
      <x:c r="Z12" s="3"/>
    </x:row>
    <x:row r="13" ht="15" customHeight="1">
      <x:c r="A13" s="3"/>
      <x:c r="B13" s="3"/>
      <x:c r="C13" s="3"/>
      <x:c r="D13" s="9" t="n">
        <x:v>10</x:v>
      </x:c>
      <x:c r="E13" s="16" t="n">
        <x:v>20.811176600618907</x:v>
      </x:c>
      <x:c r="F13" s="8" t="str">
        <x:v>δдоп, см</x:v>
      </x:c>
      <x:c r="G13" s="8" t="n">
        <x:f>'Сводка'!$B$14*G10</x:f>
        <x:v>7.376703742289231</x:v>
      </x:c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</x:row>
    <x:row r="14" ht="15" customHeight="1">
      <x:c r="A14" s="3"/>
      <x:c r="B14" s="3"/>
      <x:c r="C14" s="3"/>
      <x:c r="D14" s="9" t="n">
        <x:v>11</x:v>
      </x:c>
      <x:c r="E14" s="16" t="n">
        <x:v>-119.129439804469</x:v>
      </x:c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</x:row>
    <x:row r="15" ht="15" customHeight="1">
      <x:c r="A15" s="3"/>
      <x:c r="B15" s="3"/>
      <x:c r="C15" s="3"/>
      <x:c r="D15" s="9" t="n">
        <x:v>12</x:v>
      </x:c>
      <x:c r="E15" s="16" t="n">
        <x:v>-82.26714927761805</x:v>
      </x:c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</x:row>
    <x:row r="16" ht="15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</x:row>
    <x:row r="17" ht="15" customHeight="1">
      <x:c r="A17" s="3" t="str">
        <x:v>Прогноз</x:v>
      </x:c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</x:row>
    <x:row r="18" ht="30" customHeight="1">
      <x:c r="A18" s="15" t="str">
        <x:v>Дата</x:v>
      </x:c>
      <x:c r="B18" s="15" t="str">
        <x:v>x</x:v>
      </x:c>
      <x:c r="C18" s="15" t="str">
        <x:v>u</x:v>
      </x:c>
      <x:c r="D18" s="15" t="str">
        <x:v>Прогноз, см</x:v>
      </x:c>
      <x:c r="E18" s="15" t="str">
        <x:v>SE прогноза</x:v>
      </x:c>
      <x:c r="F18" s="15" t="str">
        <x:v>Нижняя 95%</x:v>
      </x:c>
      <x:c r="G18" s="15" t="str">
        <x:v>Верхняя 95%</x:v>
      </x:c>
      <x:c r="H18" s="15" t="str">
        <x:v>SE среднего</x:v>
      </x:c>
      <x:c r="I18" s="3"/>
      <x:c r="J18" s="3" t="str">
        <x:v>Проверочные прогнозы</x:v>
      </x:c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</x:row>
    <x:row r="19" ht="30" customHeight="1">
      <x:c r="A19" s="10" t="n">
        <x:f>IF(1&lt;='Сводка'!$B$3,'Сводка'!$B$4+1,"")</x:f>
        <x:v>46236</x:v>
      </x:c>
      <x:c r="B19" s="19" t="n">
        <x:f>IF($A19="","",(A19-$T$405+1)/1000)</x:f>
        <x:v>8.98</x:v>
      </x:c>
      <x:c r="C19" s="19" t="n">
        <x:f>IF($A19="","",2*(A19-$T$405)/$T$406-1)</x:f>
        <x:v>1.000222766763199</x:v>
      </x:c>
      <x:c r="D19" s="8" t="n">
        <x:f>IF($A19="","",$B$4*EXP($B$5*B19)+INDEX($E$4:$E$15,MONTH(A19)))</x:f>
        <x:v>363.88214453604036</x:v>
      </x:c>
      <x:c r="E19" s="8" t="n">
        <x:f>IF($A19="","",SQRT($T$403^2+H19^2))</x:f>
        <x:v>113.64111532534854</x:v>
      </x:c>
      <x:c r="F19" s="8" t="n">
        <x:f>IF($A19="","",D19-$T$404*E19)</x:f>
        <x:v>141.11823384211</x:v>
      </x:c>
      <x:c r="G19" s="8" t="n">
        <x:f>IF($A19="","",D19+$T$404*E19)</x:f>
        <x:v>586.6460552299707</x:v>
      </x:c>
      <x:c r="H19" s="8" t="n">
        <x:f>IF($A19="","",SQRT(MAX(0,(EXP($B$5*B19))*$S$409*(EXP($B$5*B19))+(EXP($B$5*B19))*$T$409*($B$4*EXP($B$5*B19)*B19)+($B$4*EXP($B$5*B19)*B19)*$S$410*(EXP($B$5*B19))+($B$4*EXP($B$5*B19)*B19)*$T$410*($B$4*EXP($B$5*B19)*B19)+2*((EXP($B$5*B19))*INDEX($S$416:$V$427,MONTH(A19),1)+($B$4*EXP($B$5*B19)*B19)*INDEX($S$416:$V$427,MONTH(A19),2))+INDEX($W$416:$W$427,MONTH(A19)))))</x:f>
        <x:v>5.4222463886524706</x:v>
      </x:c>
      <x:c r="I19" s="3"/>
      <x:c r="J19" s="15" t="str">
        <x:v>Дата</x:v>
      </x:c>
      <x:c r="K19" s="15" t="str">
        <x:v>Факт, см</x:v>
      </x:c>
      <x:c r="L19" s="15" t="str">
        <x:v>H начала</x:v>
      </x:c>
      <x:c r="M19" s="15" t="str">
        <x:v>Прогноз, см</x:v>
      </x:c>
      <x:c r="N19" s="15" t="str">
        <x:v>Ошибка</x:v>
      </x:c>
      <x:c r="O19" s="15" t="str">
        <x:v>|Ошибка|</x:v>
      </x:c>
      <x:c r="P19" s="15" t="str">
        <x:v>Ошибка²</x:v>
      </x:c>
      <x:c r="Q19" s="15" t="str">
        <x:v>ΔH</x:v>
      </x:c>
      <x:c r="R19" s="15" t="str">
        <x:v>Вес</x:v>
      </x:c>
      <x:c r="S19" s="15" t="str">
        <x:v>Оправдался</x:v>
      </x:c>
      <x:c r="T19" s="15" t="str">
        <x:v>Обучение до</x:v>
      </x:c>
      <x:c r="U19" s="14" t="str">
        <x:v>i факт</x:v>
      </x:c>
      <x:c r="V19" s="14" t="str">
        <x:v>i начало</x:v>
      </x:c>
      <x:c r="W19" s="14" t="str">
        <x:v>i fit</x:v>
      </x:c>
      <x:c r="X19" s="3"/>
      <x:c r="Y19" s="3"/>
      <x:c r="Z19" s="3"/>
    </x:row>
    <x:row r="20" ht="15" customHeight="1">
      <x:c r="A20" s="10" t="n">
        <x:f>IF(2&lt;='Сводка'!$B$3,'Сводка'!$B$4+2,"")</x:f>
        <x:v>46237</x:v>
      </x:c>
      <x:c r="B20" s="19" t="n">
        <x:f>IF($A20="","",(A20-$T$405+1)/1000)</x:f>
        <x:v>8.981</x:v>
      </x:c>
      <x:c r="C20" s="19" t="n">
        <x:f>IF($A20="","",2*(A20-$T$405)/$T$406-1)</x:f>
        <x:v>1.0004455335263978</x:v>
      </x:c>
      <x:c r="D20" s="8" t="n">
        <x:f>IF($A20="","",$B$4*EXP($B$5*B20)+INDEX($E$4:$E$15,MONTH(A20)))</x:f>
        <x:v>363.9130189265935</x:v>
      </x:c>
      <x:c r="E20" s="8" t="n">
        <x:f>IF($A20="","",SQRT($T$403^2+H20^2))</x:f>
        <x:v>113.64116941904338</x:v>
      </x:c>
      <x:c r="F20" s="8" t="n">
        <x:f>IF($A20="","",D20-$T$404*E20)</x:f>
        <x:v>141.14900219601458</x:v>
      </x:c>
      <x:c r="G20" s="8" t="n">
        <x:f>IF($A20="","",D20+$T$404*E20)</x:f>
        <x:v>586.6770356571724</x:v>
      </x:c>
      <x:c r="H20" s="8" t="n">
        <x:f>IF($A20="","",SQRT(MAX(0,(EXP($B$5*B20))*$S$409*(EXP($B$5*B20))+(EXP($B$5*B20))*$T$409*($B$4*EXP($B$5*B20)*B20)+($B$4*EXP($B$5*B20)*B20)*$S$410*(EXP($B$5*B20))+($B$4*EXP($B$5*B20)*B20)*$T$410*($B$4*EXP($B$5*B20)*B20)+2*((EXP($B$5*B20))*INDEX($S$416:$V$427,MONTH(A20),1)+($B$4*EXP($B$5*B20)*B20)*INDEX($S$416:$V$427,MONTH(A20),2))+INDEX($W$416:$W$427,MONTH(A20)))))</x:f>
        <x:v>5.423379982797605</x:v>
      </x:c>
      <x:c r="I20" s="3"/>
      <x:c r="J20" s="10" t="n">
        <x:v>45871</x:v>
      </x:c>
      <x:c r="K20" s="8" t="n">
        <x:f>INDEX('Сводка'!$S$3:$S$397,U20)</x:f>
        <x:v>211</x:v>
      </x:c>
      <x:c r="L20" s="8" t="n">
        <x:f>INDEX('Сводка'!$S$3:$S$397,V20)</x:f>
        <x:v>193</x:v>
      </x:c>
      <x:c r="M20" s="8" t="n">
        <x:f>INDEX($K$388:$N$400,W20,1)*EXP(INDEX($K$388:$N$400,W20,2)*((J20-$T$405+1)/1000))+INDEX($O$388:$Z$400,W20,MONTH(J20))</x:f>
        <x:v>378.82120114241366</x:v>
      </x:c>
      <x:c r="N20" s="8" t="n">
        <x:f>K20-M20</x:f>
        <x:v>-167.82120114241366</x:v>
      </x:c>
      <x:c r="O20" s="8" t="n">
        <x:f>ABS(N20)</x:f>
        <x:v>167.82120114241366</x:v>
      </x:c>
      <x:c r="P20" s="8" t="n">
        <x:f>N20^2</x:f>
        <x:v>28163.955552882464</x:v>
      </x:c>
      <x:c r="Q20" s="8" t="n">
        <x:f>K20-L20</x:f>
        <x:v>18</x:v>
      </x:c>
      <x:c r="R20" s="9" t="n">
        <x:f>IF(AND(INDEX('Сводка'!$T$3:$T$397,U20)=0,INDEX('Сводка'!$T$3:$T$397,V20)=0),1,0)</x:f>
        <x:v>1</x:v>
      </x:c>
      <x:c r="S20" s="9" t="n">
        <x:f>IF(AND(R20=1,O20&lt;=$G$13),1,0)</x:f>
        <x:v>0</x:v>
      </x:c>
      <x:c r="T20" s="10" t="n">
        <x:f>EOMONTH(J20-'Сводка'!$B$11,-1)</x:f>
        <x:v>45869</x:v>
      </x:c>
      <x:c r="U20" s="4" t="n">
        <x:f>MATCH(J20,'Сводка'!$R$3:$R$397,0)</x:f>
        <x:v>31</x:v>
      </x:c>
      <x:c r="V20" s="4" t="n">
        <x:f>MATCH(J20-'Сводка'!$B$11,'Сводка'!$R$3:$R$397,0)</x:f>
        <x:v>30</x:v>
      </x:c>
      <x:c r="W20" s="4" t="n">
        <x:f>MATCH(T20,$J$388:$J$400,0)</x:f>
        <x:v>2</x:v>
      </x:c>
      <x:c r="X20" s="3"/>
      <x:c r="Y20" s="3"/>
      <x:c r="Z20" s="3"/>
    </x:row>
    <x:row r="21" ht="15" customHeight="1">
      <x:c r="A21" s="10" t="n">
        <x:f>IF(3&lt;='Сводка'!$B$3,'Сводка'!$B$4+3,"")</x:f>
        <x:v>46238</x:v>
      </x:c>
      <x:c r="B21" s="19" t="n">
        <x:f>IF($A21="","",(A21-$T$405+1)/1000)</x:f>
        <x:v>8.982</x:v>
      </x:c>
      <x:c r="C21" s="19" t="n">
        <x:f>IF($A21="","",2*(A21-$T$405)/$T$406-1)</x:f>
        <x:v>1.0006683002895969</x:v>
      </x:c>
      <x:c r="D21" s="8" t="n">
        <x:f>IF($A21="","",$B$4*EXP($B$5*B21)+INDEX($E$4:$E$15,MONTH(A21)))</x:f>
        <x:v>363.94389963719163</x:v>
      </x:c>
      <x:c r="E21" s="8" t="n">
        <x:f>IF($A21="","",SQRT($T$403^2+H21^2))</x:f>
        <x:v>113.64122355986271</x:v>
      </x:c>
      <x:c r="F21" s="8" t="n">
        <x:f>IF($A21="","",D21-$T$404*E21)</x:f>
        <x:v>141.17977677758884</x:v>
      </x:c>
      <x:c r="G21" s="8" t="n">
        <x:f>IF($A21="","",D21+$T$404*E21)</x:f>
        <x:v>586.7080224967945</x:v>
      </x:c>
      <x:c r="H21" s="8" t="n">
        <x:f>IF($A21="","",SQRT(MAX(0,(EXP($B$5*B21))*$S$409*(EXP($B$5*B21))+(EXP($B$5*B21))*$T$409*($B$4*EXP($B$5*B21)*B21)+($B$4*EXP($B$5*B21)*B21)*$S$410*(EXP($B$5*B21))+($B$4*EXP($B$5*B21)*B21)*$T$410*($B$4*EXP($B$5*B21)*B21)+2*((EXP($B$5*B21))*INDEX($S$416:$V$427,MONTH(A21),1)+($B$4*EXP($B$5*B21)*B21)*INDEX($S$416:$V$427,MONTH(A21),2))+INDEX($W$416:$W$427,MONTH(A21)))))</x:f>
        <x:v>5.424514327825522</x:v>
      </x:c>
      <x:c r="I21" s="3"/>
      <x:c r="J21" s="10" t="n">
        <x:v>45872</x:v>
      </x:c>
      <x:c r="K21" s="8" t="n">
        <x:f>INDEX('Сводка'!$S$3:$S$397,U21)</x:f>
        <x:v>229</x:v>
      </x:c>
      <x:c r="L21" s="8" t="n">
        <x:f>INDEX('Сводка'!$S$3:$S$397,V21)</x:f>
        <x:v>211</x:v>
      </x:c>
      <x:c r="M21" s="8" t="n">
        <x:f>INDEX($K$388:$N$400,W21,1)*EXP(INDEX($K$388:$N$400,W21,2)*((J21-$T$405+1)/1000))+INDEX($O$388:$Z$400,W21,MONTH(J21))</x:f>
        <x:v>378.86110407337515</x:v>
      </x:c>
      <x:c r="N21" s="8" t="n">
        <x:f>K21-M21</x:f>
        <x:v>-149.86110407337515</x:v>
      </x:c>
      <x:c r="O21" s="8" t="n">
        <x:f>ABS(N21)</x:f>
        <x:v>149.86110407337515</x:v>
      </x:c>
      <x:c r="P21" s="8" t="n">
        <x:f>N21^2</x:f>
        <x:v>22458.350514090977</x:v>
      </x:c>
      <x:c r="Q21" s="8" t="n">
        <x:f>K21-L21</x:f>
        <x:v>18</x:v>
      </x:c>
      <x:c r="R21" s="9" t="n">
        <x:f>IF(AND(INDEX('Сводка'!$T$3:$T$397,U21)=0,INDEX('Сводка'!$T$3:$T$397,V21)=0),1,0)</x:f>
        <x:v>1</x:v>
      </x:c>
      <x:c r="S21" s="9" t="n">
        <x:f>IF(AND(R21=1,O21&lt;=$G$13),1,0)</x:f>
        <x:v>0</x:v>
      </x:c>
      <x:c r="T21" s="10" t="n">
        <x:f>EOMONTH(J21-'Сводка'!$B$11,-1)</x:f>
        <x:v>45869</x:v>
      </x:c>
      <x:c r="U21" s="4" t="n">
        <x:f>MATCH(J21,'Сводка'!$R$3:$R$397,0)</x:f>
        <x:v>32</x:v>
      </x:c>
      <x:c r="V21" s="4" t="n">
        <x:f>MATCH(J21-'Сводка'!$B$11,'Сводка'!$R$3:$R$397,0)</x:f>
        <x:v>31</x:v>
      </x:c>
      <x:c r="W21" s="4" t="n">
        <x:f>MATCH(T21,$J$388:$J$400,0)</x:f>
        <x:v>2</x:v>
      </x:c>
      <x:c r="X21" s="3"/>
      <x:c r="Y21" s="3"/>
      <x:c r="Z21" s="3"/>
    </x:row>
    <x:row r="22" ht="15" customHeight="1">
      <x:c r="A22" s="10" t="n">
        <x:f>IF(4&lt;='Сводка'!$B$3,'Сводка'!$B$4+4,"")</x:f>
        <x:v>46239</x:v>
      </x:c>
      <x:c r="B22" s="19" t="n">
        <x:f>IF($A22="","",(A22-$T$405+1)/1000)</x:f>
        <x:v>8.983</x:v>
      </x:c>
      <x:c r="C22" s="19" t="n">
        <x:f>IF($A22="","",2*(A22-$T$405)/$T$406-1)</x:f>
        <x:v>1.0008910670527955</x:v>
      </x:c>
      <x:c r="D22" s="8" t="n">
        <x:f>IF($A22="","",$B$4*EXP($B$5*B22)+INDEX($E$4:$E$15,MONTH(A22)))</x:f>
        <x:v>363.97478666912855</x:v>
      </x:c>
      <x:c r="E22" s="8" t="n">
        <x:f>IF($A22="","",SQRT($T$403^2+H22^2))</x:f>
        <x:v>113.64127774784127</x:v>
      </x:c>
      <x:c r="F22" s="8" t="n">
        <x:f>IF($A22="","",D22-$T$404*E22)</x:f>
        <x:v>141.21055758805844</x:v>
      </x:c>
      <x:c r="G22" s="8" t="n">
        <x:f>IF($A22="","",D22+$T$404*E22)</x:f>
        <x:v>586.7390157501986</x:v>
      </x:c>
      <x:c r="H22" s="8" t="n">
        <x:f>IF($A22="","",SQRT(MAX(0,(EXP($B$5*B22))*$S$409*(EXP($B$5*B22))+(EXP($B$5*B22))*$T$409*($B$4*EXP($B$5*B22)*B22)+($B$4*EXP($B$5*B22)*B22)*$S$410*(EXP($B$5*B22))+($B$4*EXP($B$5*B22)*B22)*$T$410*($B$4*EXP($B$5*B22)*B22)+2*((EXP($B$5*B22))*INDEX($S$416:$V$427,MONTH(A22),1)+($B$4*EXP($B$5*B22)*B22)*INDEX($S$416:$V$427,MONTH(A22),2))+INDEX($W$416:$W$427,MONTH(A22)))))</x:f>
        <x:v>5.425649423994632</x:v>
      </x:c>
      <x:c r="I22" s="3"/>
      <x:c r="J22" s="10" t="n">
        <x:v>45873</x:v>
      </x:c>
      <x:c r="K22" s="8" t="n">
        <x:f>INDEX('Сводка'!$S$3:$S$397,U22)</x:f>
        <x:v>243</x:v>
      </x:c>
      <x:c r="L22" s="8" t="n">
        <x:f>INDEX('Сводка'!$S$3:$S$397,V22)</x:f>
        <x:v>229</x:v>
      </x:c>
      <x:c r="M22" s="8" t="n">
        <x:f>INDEX($K$388:$N$400,W22,1)*EXP(INDEX($K$388:$N$400,W22,2)*((J22-$T$405+1)/1000))+INDEX($O$388:$Z$400,W22,MONTH(J22))</x:f>
        <x:v>378.9010166435639</x:v>
      </x:c>
      <x:c r="N22" s="8" t="n">
        <x:f>K22-M22</x:f>
        <x:v>-135.90101664356388</x:v>
      </x:c>
      <x:c r="O22" s="8" t="n">
        <x:f>ABS(N22)</x:f>
        <x:v>135.90101664356388</x:v>
      </x:c>
      <x:c r="P22" s="8" t="n">
        <x:f>N22^2</x:f>
        <x:v>18469.086324754226</x:v>
      </x:c>
      <x:c r="Q22" s="8" t="n">
        <x:f>K22-L22</x:f>
        <x:v>14</x:v>
      </x:c>
      <x:c r="R22" s="9" t="n">
        <x:f>IF(AND(INDEX('Сводка'!$T$3:$T$397,U22)=0,INDEX('Сводка'!$T$3:$T$397,V22)=0),1,0)</x:f>
        <x:v>1</x:v>
      </x:c>
      <x:c r="S22" s="9" t="n">
        <x:f>IF(AND(R22=1,O22&lt;=$G$13),1,0)</x:f>
        <x:v>0</x:v>
      </x:c>
      <x:c r="T22" s="10" t="n">
        <x:f>EOMONTH(J22-'Сводка'!$B$11,-1)</x:f>
        <x:v>45869</x:v>
      </x:c>
      <x:c r="U22" s="4" t="n">
        <x:f>MATCH(J22,'Сводка'!$R$3:$R$397,0)</x:f>
        <x:v>33</x:v>
      </x:c>
      <x:c r="V22" s="4" t="n">
        <x:f>MATCH(J22-'Сводка'!$B$11,'Сводка'!$R$3:$R$397,0)</x:f>
        <x:v>32</x:v>
      </x:c>
      <x:c r="W22" s="4" t="n">
        <x:f>MATCH(T22,$J$388:$J$400,0)</x:f>
        <x:v>2</x:v>
      </x:c>
      <x:c r="X22" s="3"/>
      <x:c r="Y22" s="3"/>
      <x:c r="Z22" s="3"/>
    </x:row>
    <x:row r="23" ht="15" customHeight="1">
      <x:c r="A23" s="10" t="n">
        <x:f>IF(5&lt;='Сводка'!$B$3,'Сводка'!$B$4+5,"")</x:f>
        <x:v>46240</x:v>
      </x:c>
      <x:c r="B23" s="19" t="n">
        <x:f>IF($A23="","",(A23-$T$405+1)/1000)</x:f>
        <x:v>8.984</x:v>
      </x:c>
      <x:c r="C23" s="19" t="n">
        <x:f>IF($A23="","",2*(A23-$T$405)/$T$406-1)</x:f>
        <x:v>1.0011138338159946</x:v>
      </x:c>
      <x:c r="D23" s="8" t="n">
        <x:f>IF($A23="","",$B$4*EXP($B$5*B23)+INDEX($E$4:$E$15,MONTH(A23)))</x:f>
        <x:v>364.0056800236981</x:v>
      </x:c>
      <x:c r="E23" s="8" t="n">
        <x:f>IF($A23="","",SQRT($T$403^2+H23^2))</x:f>
        <x:v>113.64133198301386</x:v>
      </x:c>
      <x:c r="F23" s="8" t="n">
        <x:f>IF($A23="","",D23-$T$404*E23)</x:f>
        <x:v>141.24134462864905</x:v>
      </x:c>
      <x:c r="G23" s="8" t="n">
        <x:f>IF($A23="","",D23+$T$404*E23)</x:f>
        <x:v>586.7700154187472</x:v>
      </x:c>
      <x:c r="H23" s="8" t="n">
        <x:f>IF($A23="","",SQRT(MAX(0,(EXP($B$5*B23))*$S$409*(EXP($B$5*B23))+(EXP($B$5*B23))*$T$409*($B$4*EXP($B$5*B23)*B23)+($B$4*EXP($B$5*B23)*B23)*$S$410*(EXP($B$5*B23))+($B$4*EXP($B$5*B23)*B23)*$T$410*($B$4*EXP($B$5*B23)*B23)+2*((EXP($B$5*B23))*INDEX($S$416:$V$427,MONTH(A23),1)+($B$4*EXP($B$5*B23)*B23)*INDEX($S$416:$V$427,MONTH(A23),2))+INDEX($W$416:$W$427,MONTH(A23)))))</x:f>
        <x:v>5.426785271563289</x:v>
      </x:c>
      <x:c r="I23" s="3"/>
      <x:c r="J23" s="10" t="n">
        <x:v>45874</x:v>
      </x:c>
      <x:c r="K23" s="8" t="n">
        <x:f>INDEX('Сводка'!$S$3:$S$397,U23)</x:f>
        <x:v>249</x:v>
      </x:c>
      <x:c r="L23" s="8" t="n">
        <x:f>INDEX('Сводка'!$S$3:$S$397,V23)</x:f>
        <x:v>243</x:v>
      </x:c>
      <x:c r="M23" s="8" t="n">
        <x:f>INDEX($K$388:$N$400,W23,1)*EXP(INDEX($K$388:$N$400,W23,2)*((J23-$T$405+1)/1000))+INDEX($O$388:$Z$400,W23,MONTH(J23))</x:f>
        <x:v>378.9409388553082</x:v>
      </x:c>
      <x:c r="N23" s="8" t="n">
        <x:f>K23-M23</x:f>
        <x:v>-129.94093885530822</x:v>
      </x:c>
      <x:c r="O23" s="8" t="n">
        <x:f>ABS(N23)</x:f>
        <x:v>129.94093885530822</x:v>
      </x:c>
      <x:c r="P23" s="8" t="n">
        <x:f>N23^2</x:f>
        <x:v>16884.64759059895</x:v>
      </x:c>
      <x:c r="Q23" s="8" t="n">
        <x:f>K23-L23</x:f>
        <x:v>6</x:v>
      </x:c>
      <x:c r="R23" s="9" t="n">
        <x:f>IF(AND(INDEX('Сводка'!$T$3:$T$397,U23)=0,INDEX('Сводка'!$T$3:$T$397,V23)=0),1,0)</x:f>
        <x:v>1</x:v>
      </x:c>
      <x:c r="S23" s="9" t="n">
        <x:f>IF(AND(R23=1,O23&lt;=$G$13),1,0)</x:f>
        <x:v>0</x:v>
      </x:c>
      <x:c r="T23" s="10" t="n">
        <x:f>EOMONTH(J23-'Сводка'!$B$11,-1)</x:f>
        <x:v>45869</x:v>
      </x:c>
      <x:c r="U23" s="4" t="n">
        <x:f>MATCH(J23,'Сводка'!$R$3:$R$397,0)</x:f>
        <x:v>34</x:v>
      </x:c>
      <x:c r="V23" s="4" t="n">
        <x:f>MATCH(J23-'Сводка'!$B$11,'Сводка'!$R$3:$R$397,0)</x:f>
        <x:v>33</x:v>
      </x:c>
      <x:c r="W23" s="4" t="n">
        <x:f>MATCH(T23,$J$388:$J$400,0)</x:f>
        <x:v>2</x:v>
      </x:c>
      <x:c r="X23" s="3"/>
      <x:c r="Y23" s="3"/>
      <x:c r="Z23" s="3"/>
    </x:row>
    <x:row r="24" ht="15" customHeight="1">
      <x:c r="A24" s="10" t="n">
        <x:f>IF(6&lt;='Сводка'!$B$3,'Сводка'!$B$4+6,"")</x:f>
        <x:v>46241</x:v>
      </x:c>
      <x:c r="B24" s="19" t="n">
        <x:f>IF($A24="","",(A24-$T$405+1)/1000)</x:f>
        <x:v>8.985</x:v>
      </x:c>
      <x:c r="C24" s="19" t="n">
        <x:f>IF($A24="","",2*(A24-$T$405)/$T$406-1)</x:f>
        <x:v>1.0013366005791937</x:v>
      </x:c>
      <x:c r="D24" s="8" t="n">
        <x:f>IF($A24="","",$B$4*EXP($B$5*B24)+INDEX($E$4:$E$15,MONTH(A24)))</x:f>
        <x:v>364.0365797021946</x:v>
      </x:c>
      <x:c r="E24" s="8" t="n">
        <x:f>IF($A24="","",SQRT($T$403^2+H24^2))</x:f>
        <x:v>113.64138626541525</x:v>
      </x:c>
      <x:c r="F24" s="8" t="n">
        <x:f>IF($A24="","",D24-$T$404*E24)</x:f>
        <x:v>141.27213790058678</x:v>
      </x:c>
      <x:c r="G24" s="8" t="n">
        <x:f>IF($A24="","",D24+$T$404*E24)</x:f>
        <x:v>586.8010215038024</x:v>
      </x:c>
      <x:c r="H24" s="8" t="n">
        <x:f>IF($A24="","",SQRT(MAX(0,(EXP($B$5*B24))*$S$409*(EXP($B$5*B24))+(EXP($B$5*B24))*$T$409*($B$4*EXP($B$5*B24)*B24)+($B$4*EXP($B$5*B24)*B24)*$S$410*(EXP($B$5*B24))+($B$4*EXP($B$5*B24)*B24)*$T$410*($B$4*EXP($B$5*B24)*B24)+2*((EXP($B$5*B24))*INDEX($S$416:$V$427,MONTH(A24),1)+($B$4*EXP($B$5*B24)*B24)*INDEX($S$416:$V$427,MONTH(A24),2))+INDEX($W$416:$W$427,MONTH(A24)))))</x:f>
        <x:v>5.427921870789804</x:v>
      </x:c>
      <x:c r="I24" s="3"/>
      <x:c r="J24" s="10" t="n">
        <x:v>45875</x:v>
      </x:c>
      <x:c r="K24" s="8" t="n">
        <x:f>INDEX('Сводка'!$S$3:$S$397,U24)</x:f>
        <x:v>253</x:v>
      </x:c>
      <x:c r="L24" s="8" t="n">
        <x:f>INDEX('Сводка'!$S$3:$S$397,V24)</x:f>
        <x:v>249</x:v>
      </x:c>
      <x:c r="M24" s="8" t="n">
        <x:f>INDEX($K$388:$N$400,W24,1)*EXP(INDEX($K$388:$N$400,W24,2)*((J24-$T$405+1)/1000))+INDEX($O$388:$Z$400,W24,MONTH(J24))</x:f>
        <x:v>378.9808707109373</x:v>
      </x:c>
      <x:c r="N24" s="8" t="n">
        <x:f>K24-M24</x:f>
        <x:v>-125.98087071093732</x:v>
      </x:c>
      <x:c r="O24" s="8" t="n">
        <x:f>ABS(N24)</x:f>
        <x:v>125.98087071093732</x:v>
      </x:c>
      <x:c r="P24" s="8" t="n">
        <x:f>N24^2</x:f>
        <x:v>15871.179785085906</x:v>
      </x:c>
      <x:c r="Q24" s="8" t="n">
        <x:f>K24-L24</x:f>
        <x:v>4</x:v>
      </x:c>
      <x:c r="R24" s="9" t="n">
        <x:f>IF(AND(INDEX('Сводка'!$T$3:$T$397,U24)=0,INDEX('Сводка'!$T$3:$T$397,V24)=0),1,0)</x:f>
        <x:v>1</x:v>
      </x:c>
      <x:c r="S24" s="9" t="n">
        <x:f>IF(AND(R24=1,O24&lt;=$G$13),1,0)</x:f>
        <x:v>0</x:v>
      </x:c>
      <x:c r="T24" s="10" t="n">
        <x:f>EOMONTH(J24-'Сводка'!$B$11,-1)</x:f>
        <x:v>45869</x:v>
      </x:c>
      <x:c r="U24" s="4" t="n">
        <x:f>MATCH(J24,'Сводка'!$R$3:$R$397,0)</x:f>
        <x:v>35</x:v>
      </x:c>
      <x:c r="V24" s="4" t="n">
        <x:f>MATCH(J24-'Сводка'!$B$11,'Сводка'!$R$3:$R$397,0)</x:f>
        <x:v>34</x:v>
      </x:c>
      <x:c r="W24" s="4" t="n">
        <x:f>MATCH(T24,$J$388:$J$400,0)</x:f>
        <x:v>2</x:v>
      </x:c>
      <x:c r="X24" s="3"/>
      <x:c r="Y24" s="3"/>
      <x:c r="Z24" s="3"/>
    </x:row>
    <x:row r="25" ht="15" customHeight="1">
      <x:c r="A25" s="10" t="n">
        <x:f>IF(7&lt;='Сводка'!$B$3,'Сводка'!$B$4+7,"")</x:f>
        <x:v>46242</x:v>
      </x:c>
      <x:c r="B25" s="19" t="n">
        <x:f>IF($A25="","",(A25-$T$405+1)/1000)</x:f>
        <x:v>8.986</x:v>
      </x:c>
      <x:c r="C25" s="19" t="n">
        <x:f>IF($A25="","",2*(A25-$T$405)/$T$406-1)</x:f>
        <x:v>1.0015593673423924</x:v>
      </x:c>
      <x:c r="D25" s="8" t="n">
        <x:f>IF($A25="","",$B$4*EXP($B$5*B25)+INDEX($E$4:$E$15,MONTH(A25)))</x:f>
        <x:v>364.06748570591265</x:v>
      </x:c>
      <x:c r="E25" s="8" t="n">
        <x:f>IF($A25="","",SQRT($T$403^2+H25^2))</x:f>
        <x:v>113.64144059508028</x:v>
      </x:c>
      <x:c r="F25" s="8" t="n">
        <x:f>IF($A25="","",D25-$T$404*E25)</x:f>
        <x:v>141.30293740509794</x:v>
      </x:c>
      <x:c r="G25" s="8" t="n">
        <x:f>IF($A25="","",D25+$T$404*E25)</x:f>
        <x:v>586.8320340067273</x:v>
      </x:c>
      <x:c r="H25" s="8" t="n">
        <x:f>IF($A25="","",SQRT(MAX(0,(EXP($B$5*B25))*$S$409*(EXP($B$5*B25))+(EXP($B$5*B25))*$T$409*($B$4*EXP($B$5*B25)*B25)+($B$4*EXP($B$5*B25)*B25)*$S$410*(EXP($B$5*B25))+($B$4*EXP($B$5*B25)*B25)*$T$410*($B$4*EXP($B$5*B25)*B25)+2*((EXP($B$5*B25))*INDEX($S$416:$V$427,MONTH(A25),1)+($B$4*EXP($B$5*B25)*B25)*INDEX($S$416:$V$427,MONTH(A25),2))+INDEX($W$416:$W$427,MONTH(A25)))))</x:f>
        <x:v>5.4290592219324285</x:v>
      </x:c>
      <x:c r="I25" s="3"/>
      <x:c r="J25" s="10" t="n">
        <x:v>45876</x:v>
      </x:c>
      <x:c r="K25" s="8" t="n">
        <x:f>INDEX('Сводка'!$S$3:$S$397,U25)</x:f>
        <x:v>259</x:v>
      </x:c>
      <x:c r="L25" s="8" t="n">
        <x:f>INDEX('Сводка'!$S$3:$S$397,V25)</x:f>
        <x:v>253</x:v>
      </x:c>
      <x:c r="M25" s="8" t="n">
        <x:f>INDEX($K$388:$N$400,W25,1)*EXP(INDEX($K$388:$N$400,W25,2)*((J25-$T$405+1)/1000))+INDEX($O$388:$Z$400,W25,MONTH(J25))</x:f>
        <x:v>379.0208122127809</x:v>
      </x:c>
      <x:c r="N25" s="8" t="n">
        <x:f>K25-M25</x:f>
        <x:v>-120.02081221278092</x:v>
      </x:c>
      <x:c r="O25" s="8" t="n">
        <x:f>ABS(N25)</x:f>
        <x:v>120.02081221278092</x:v>
      </x:c>
      <x:c r="P25" s="8" t="n">
        <x:f>N25^2</x:f>
        <x:v>14404.995364215623</x:v>
      </x:c>
      <x:c r="Q25" s="8" t="n">
        <x:f>K25-L25</x:f>
        <x:v>6</x:v>
      </x:c>
      <x:c r="R25" s="9" t="n">
        <x:f>IF(AND(INDEX('Сводка'!$T$3:$T$397,U25)=0,INDEX('Сводка'!$T$3:$T$397,V25)=0),1,0)</x:f>
        <x:v>1</x:v>
      </x:c>
      <x:c r="S25" s="9" t="n">
        <x:f>IF(AND(R25=1,O25&lt;=$G$13),1,0)</x:f>
        <x:v>0</x:v>
      </x:c>
      <x:c r="T25" s="10" t="n">
        <x:f>EOMONTH(J25-'Сводка'!$B$11,-1)</x:f>
        <x:v>45869</x:v>
      </x:c>
      <x:c r="U25" s="4" t="n">
        <x:f>MATCH(J25,'Сводка'!$R$3:$R$397,0)</x:f>
        <x:v>36</x:v>
      </x:c>
      <x:c r="V25" s="4" t="n">
        <x:f>MATCH(J25-'Сводка'!$B$11,'Сводка'!$R$3:$R$397,0)</x:f>
        <x:v>35</x:v>
      </x:c>
      <x:c r="W25" s="4" t="n">
        <x:f>MATCH(T25,$J$388:$J$400,0)</x:f>
        <x:v>2</x:v>
      </x:c>
      <x:c r="X25" s="3"/>
      <x:c r="Y25" s="3"/>
      <x:c r="Z25" s="3"/>
    </x:row>
    <x:row r="26" ht="15" customHeight="1">
      <x:c r="A26" s="10" t="n">
        <x:f>IF(8&lt;='Сводка'!$B$3,'Сводка'!$B$4+8,"")</x:f>
        <x:v>46243</x:v>
      </x:c>
      <x:c r="B26" s="19" t="n">
        <x:f>IF($A26="","",(A26-$T$405+1)/1000)</x:f>
        <x:v>8.987</x:v>
      </x:c>
      <x:c r="C26" s="19" t="n">
        <x:f>IF($A26="","",2*(A26-$T$405)/$T$406-1)</x:f>
        <x:v>1.0017821341055915</x:v>
      </x:c>
      <x:c r="D26" s="8" t="n">
        <x:f>IF($A26="","",$B$4*EXP($B$5*B26)+INDEX($E$4:$E$15,MONTH(A26)))</x:f>
        <x:v>364.09839803614693</x:v>
      </x:c>
      <x:c r="E26" s="8" t="n">
        <x:f>IF($A26="","",SQRT($T$403^2+H26^2))</x:f>
        <x:v>113.6414949720438</x:v>
      </x:c>
      <x:c r="F26" s="8" t="n">
        <x:f>IF($A26="","",D26-$T$404*E26)</x:f>
        <x:v>141.33374314340895</x:v>
      </x:c>
      <x:c r="G26" s="8" t="n">
        <x:f>IF($A26="","",D26+$T$404*E26)</x:f>
        <x:v>586.8630529288849</x:v>
      </x:c>
      <x:c r="H26" s="8" t="n">
        <x:f>IF($A26="","",SQRT(MAX(0,(EXP($B$5*B26))*$S$409*(EXP($B$5*B26))+(EXP($B$5*B26))*$T$409*($B$4*EXP($B$5*B26)*B26)+($B$4*EXP($B$5*B26)*B26)*$S$410*(EXP($B$5*B26))+($B$4*EXP($B$5*B26)*B26)*$T$410*($B$4*EXP($B$5*B26)*B26)+2*((EXP($B$5*B26))*INDEX($S$416:$V$427,MONTH(A26),1)+($B$4*EXP($B$5*B26)*B26)*INDEX($S$416:$V$427,MONTH(A26),2))+INDEX($W$416:$W$427,MONTH(A26)))))</x:f>
        <x:v>5.4301973252493685</x:v>
      </x:c>
      <x:c r="I26" s="3"/>
      <x:c r="J26" s="10" t="n">
        <x:v>45877</x:v>
      </x:c>
      <x:c r="K26" s="8" t="n">
        <x:f>INDEX('Сводка'!$S$3:$S$397,U26)</x:f>
        <x:v>265</x:v>
      </x:c>
      <x:c r="L26" s="8" t="n">
        <x:f>INDEX('Сводка'!$S$3:$S$397,V26)</x:f>
        <x:v>259</x:v>
      </x:c>
      <x:c r="M26" s="8" t="n">
        <x:f>INDEX($K$388:$N$400,W26,1)*EXP(INDEX($K$388:$N$400,W26,2)*((J26-$T$405+1)/1000))+INDEX($O$388:$Z$400,W26,MONTH(J26))</x:f>
        <x:v>379.06076336316926</x:v>
      </x:c>
      <x:c r="N26" s="8" t="n">
        <x:f>K26-M26</x:f>
        <x:v>-114.06076336316926</x:v>
      </x:c>
      <x:c r="O26" s="8" t="n">
        <x:f>ABS(N26)</x:f>
        <x:v>114.06076336316926</x:v>
      </x:c>
      <x:c r="P26" s="8" t="n">
        <x:f>N26^2</x:f>
        <x:v>13009.857738988894</x:v>
      </x:c>
      <x:c r="Q26" s="8" t="n">
        <x:f>K26-L26</x:f>
        <x:v>6</x:v>
      </x:c>
      <x:c r="R26" s="9" t="n">
        <x:f>IF(AND(INDEX('Сводка'!$T$3:$T$397,U26)=0,INDEX('Сводка'!$T$3:$T$397,V26)=0),1,0)</x:f>
        <x:v>1</x:v>
      </x:c>
      <x:c r="S26" s="9" t="n">
        <x:f>IF(AND(R26=1,O26&lt;=$G$13),1,0)</x:f>
        <x:v>0</x:v>
      </x:c>
      <x:c r="T26" s="10" t="n">
        <x:f>EOMONTH(J26-'Сводка'!$B$11,-1)</x:f>
        <x:v>45869</x:v>
      </x:c>
      <x:c r="U26" s="4" t="n">
        <x:f>MATCH(J26,'Сводка'!$R$3:$R$397,0)</x:f>
        <x:v>37</x:v>
      </x:c>
      <x:c r="V26" s="4" t="n">
        <x:f>MATCH(J26-'Сводка'!$B$11,'Сводка'!$R$3:$R$397,0)</x:f>
        <x:v>36</x:v>
      </x:c>
      <x:c r="W26" s="4" t="n">
        <x:f>MATCH(T26,$J$388:$J$400,0)</x:f>
        <x:v>2</x:v>
      </x:c>
      <x:c r="X26" s="3"/>
      <x:c r="Y26" s="3"/>
      <x:c r="Z26" s="3"/>
    </x:row>
    <x:row r="27" ht="15" customHeight="1">
      <x:c r="A27" s="10" t="n">
        <x:f>IF(9&lt;='Сводка'!$B$3,'Сводка'!$B$4+9,"")</x:f>
        <x:v>46244</x:v>
      </x:c>
      <x:c r="B27" s="19" t="n">
        <x:f>IF($A27="","",(A27-$T$405+1)/1000)</x:f>
        <x:v>8.988</x:v>
      </x:c>
      <x:c r="C27" s="19" t="n">
        <x:f>IF($A27="","",2*(A27-$T$405)/$T$406-1)</x:f>
        <x:v>1.0020049008687906</x:v>
      </x:c>
      <x:c r="D27" s="8" t="n">
        <x:f>IF($A27="","",$B$4*EXP($B$5*B27)+INDEX($E$4:$E$15,MONTH(A27)))</x:f>
        <x:v>364.1293166941924</x:v>
      </x:c>
      <x:c r="E27" s="8" t="n">
        <x:f>IF($A27="","",SQRT($T$403^2+H27^2))</x:f>
        <x:v>113.64154939634068</x:v>
      </x:c>
      <x:c r="F27" s="8" t="n">
        <x:f>IF($A27="","",D27-$T$404*E27)</x:f>
        <x:v>141.36455511674643</x:v>
      </x:c>
      <x:c r="G27" s="8" t="n">
        <x:f>IF($A27="","",D27+$T$404*E27)</x:f>
        <x:v>586.8940782716384</x:v>
      </x:c>
      <x:c r="H27" s="8" t="n">
        <x:f>IF($A27="","",SQRT(MAX(0,(EXP($B$5*B27))*$S$409*(EXP($B$5*B27))+(EXP($B$5*B27))*$T$409*($B$4*EXP($B$5*B27)*B27)+($B$4*EXP($B$5*B27)*B27)*$S$410*(EXP($B$5*B27))+($B$4*EXP($B$5*B27)*B27)*$T$410*($B$4*EXP($B$5*B27)*B27)+2*((EXP($B$5*B27))*INDEX($S$416:$V$427,MONTH(A27),1)+($B$4*EXP($B$5*B27)*B27)*INDEX($S$416:$V$427,MONTH(A27),2))+INDEX($W$416:$W$427,MONTH(A27)))))</x:f>
        <x:v>5.431336180998776</x:v>
      </x:c>
      <x:c r="I27" s="3"/>
      <x:c r="J27" s="10" t="n">
        <x:v>45878</x:v>
      </x:c>
      <x:c r="K27" s="8" t="n">
        <x:f>INDEX('Сводка'!$S$3:$S$397,U27)</x:f>
        <x:v>276</x:v>
      </x:c>
      <x:c r="L27" s="8" t="n">
        <x:f>INDEX('Сводка'!$S$3:$S$397,V27)</x:f>
        <x:v>265</x:v>
      </x:c>
      <x:c r="M27" s="8" t="n">
        <x:f>INDEX($K$388:$N$400,W27,1)*EXP(INDEX($K$388:$N$400,W27,2)*((J27-$T$405+1)/1000))+INDEX($O$388:$Z$400,W27,MONTH(J27))</x:f>
        <x:v>379.1007241644329</x:v>
      </x:c>
      <x:c r="N27" s="8" t="n">
        <x:f>K27-M27</x:f>
        <x:v>-103.1007241644329</x:v>
      </x:c>
      <x:c r="O27" s="8" t="n">
        <x:f>ABS(N27)</x:f>
        <x:v>103.1007241644329</x:v>
      </x:c>
      <x:c r="P27" s="8" t="n">
        <x:f>N27^2</x:f>
        <x:v>10629.759323230479</x:v>
      </x:c>
      <x:c r="Q27" s="8" t="n">
        <x:f>K27-L27</x:f>
        <x:v>11</x:v>
      </x:c>
      <x:c r="R27" s="9" t="n">
        <x:f>IF(AND(INDEX('Сводка'!$T$3:$T$397,U27)=0,INDEX('Сводка'!$T$3:$T$397,V27)=0),1,0)</x:f>
        <x:v>1</x:v>
      </x:c>
      <x:c r="S27" s="9" t="n">
        <x:f>IF(AND(R27=1,O27&lt;=$G$13),1,0)</x:f>
        <x:v>0</x:v>
      </x:c>
      <x:c r="T27" s="10" t="n">
        <x:f>EOMONTH(J27-'Сводка'!$B$11,-1)</x:f>
        <x:v>45869</x:v>
      </x:c>
      <x:c r="U27" s="4" t="n">
        <x:f>MATCH(J27,'Сводка'!$R$3:$R$397,0)</x:f>
        <x:v>38</x:v>
      </x:c>
      <x:c r="V27" s="4" t="n">
        <x:f>MATCH(J27-'Сводка'!$B$11,'Сводка'!$R$3:$R$397,0)</x:f>
        <x:v>37</x:v>
      </x:c>
      <x:c r="W27" s="4" t="n">
        <x:f>MATCH(T27,$J$388:$J$400,0)</x:f>
        <x:v>2</x:v>
      </x:c>
      <x:c r="X27" s="3"/>
      <x:c r="Y27" s="3"/>
      <x:c r="Z27" s="3"/>
    </x:row>
    <x:row r="28" ht="15" customHeight="1">
      <x:c r="A28" s="10" t="n">
        <x:f>IF(10&lt;='Сводка'!$B$3,'Сводка'!$B$4+10,"")</x:f>
        <x:v>46245</x:v>
      </x:c>
      <x:c r="B28" s="19" t="n">
        <x:f>IF($A28="","",(A28-$T$405+1)/1000)</x:f>
        <x:v>8.989</x:v>
      </x:c>
      <x:c r="C28" s="19" t="n">
        <x:f>IF($A28="","",2*(A28-$T$405)/$T$406-1)</x:f>
        <x:v>1.0022276676319892</x:v>
      </x:c>
      <x:c r="D28" s="8" t="n">
        <x:f>IF($A28="","",$B$4*EXP($B$5*B28)+INDEX($E$4:$E$15,MONTH(A28)))</x:f>
        <x:v>364.1602416813447</x:v>
      </x:c>
      <x:c r="E28" s="8" t="n">
        <x:f>IF($A28="","",SQRT($T$403^2+H28^2))</x:f>
        <x:v>113.6416038680058</x:v>
      </x:c>
      <x:c r="F28" s="8" t="n">
        <x:f>IF($A28="","",D28-$T$404*E28)</x:f>
        <x:v>141.3953733263375</x:v>
      </x:c>
      <x:c r="G28" s="8" t="n">
        <x:f>IF($A28="","",D28+$T$404*E28)</x:f>
        <x:v>586.925110036352</x:v>
      </x:c>
      <x:c r="H28" s="8" t="n">
        <x:f>IF($A28="","",SQRT(MAX(0,(EXP($B$5*B28))*$S$409*(EXP($B$5*B28))+(EXP($B$5*B28))*$T$409*($B$4*EXP($B$5*B28)*B28)+($B$4*EXP($B$5*B28)*B28)*$S$410*(EXP($B$5*B28))+($B$4*EXP($B$5*B28)*B28)*$T$410*($B$4*EXP($B$5*B28)*B28)+2*((EXP($B$5*B28))*INDEX($S$416:$V$427,MONTH(A28),1)+($B$4*EXP($B$5*B28)*B28)*INDEX($S$416:$V$427,MONTH(A28),2))+INDEX($W$416:$W$427,MONTH(A28)))))</x:f>
        <x:v>5.432475789438757</x:v>
      </x:c>
      <x:c r="I28" s="3"/>
      <x:c r="J28" s="10" t="n">
        <x:v>45879</x:v>
      </x:c>
      <x:c r="K28" s="8" t="n">
        <x:f>INDEX('Сводка'!$S$3:$S$397,U28)</x:f>
        <x:v>290</x:v>
      </x:c>
      <x:c r="L28" s="8" t="n">
        <x:f>INDEX('Сводка'!$S$3:$S$397,V28)</x:f>
        <x:v>276</x:v>
      </x:c>
      <x:c r="M28" s="8" t="n">
        <x:f>INDEX($K$388:$N$400,W28,1)*EXP(INDEX($K$388:$N$400,W28,2)*((J28-$T$405+1)/1000))+INDEX($O$388:$Z$400,W28,MONTH(J28))</x:f>
        <x:v>379.1406946189033</x:v>
      </x:c>
      <x:c r="N28" s="8" t="n">
        <x:f>K28-M28</x:f>
        <x:v>-89.1406946189033</x:v>
      </x:c>
      <x:c r="O28" s="8" t="n">
        <x:f>ABS(N28)</x:f>
        <x:v>89.1406946189033</x:v>
      </x:c>
      <x:c r="P28" s="8" t="n">
        <x:f>N28^2</x:f>
        <x:v>7946.063437140575</x:v>
      </x:c>
      <x:c r="Q28" s="8" t="n">
        <x:f>K28-L28</x:f>
        <x:v>14</x:v>
      </x:c>
      <x:c r="R28" s="9" t="n">
        <x:f>IF(AND(INDEX('Сводка'!$T$3:$T$397,U28)=0,INDEX('Сводка'!$T$3:$T$397,V28)=0),1,0)</x:f>
        <x:v>1</x:v>
      </x:c>
      <x:c r="S28" s="9" t="n">
        <x:f>IF(AND(R28=1,O28&lt;=$G$13),1,0)</x:f>
        <x:v>0</x:v>
      </x:c>
      <x:c r="T28" s="10" t="n">
        <x:f>EOMONTH(J28-'Сводка'!$B$11,-1)</x:f>
        <x:v>45869</x:v>
      </x:c>
      <x:c r="U28" s="4" t="n">
        <x:f>MATCH(J28,'Сводка'!$R$3:$R$397,0)</x:f>
        <x:v>39</x:v>
      </x:c>
      <x:c r="V28" s="4" t="n">
        <x:f>MATCH(J28-'Сводка'!$B$11,'Сводка'!$R$3:$R$397,0)</x:f>
        <x:v>38</x:v>
      </x:c>
      <x:c r="W28" s="4" t="n">
        <x:f>MATCH(T28,$J$388:$J$400,0)</x:f>
        <x:v>2</x:v>
      </x:c>
      <x:c r="X28" s="3"/>
      <x:c r="Y28" s="3"/>
      <x:c r="Z28" s="3"/>
    </x:row>
    <x:row r="29" ht="15" customHeight="1">
      <x:c r="A29" s="10" t="n">
        <x:f>IF(11&lt;='Сводка'!$B$3,'Сводка'!$B$4+11,"")</x:f>
        <x:v>46246</x:v>
      </x:c>
      <x:c r="B29" s="19" t="n">
        <x:f>IF($A29="","",(A29-$T$405+1)/1000)</x:f>
        <x:v>8.99</x:v>
      </x:c>
      <x:c r="C29" s="19" t="n">
        <x:f>IF($A29="","",2*(A29-$T$405)/$T$406-1)</x:f>
        <x:v>1.0024504343951883</x:v>
      </x:c>
      <x:c r="D29" s="8" t="n">
        <x:f>IF($A29="","",$B$4*EXP($B$5*B29)+INDEX($E$4:$E$15,MONTH(A29)))</x:f>
        <x:v>364.1911729988991</x:v>
      </x:c>
      <x:c r="E29" s="8" t="n">
        <x:f>IF($A29="","",SQRT($T$403^2+H29^2))</x:f>
        <x:v>113.64165838707407</x:v>
      </x:c>
      <x:c r="F29" s="8" t="n">
        <x:f>IF($A29="","",D29-$T$404*E29)</x:f>
        <x:v>141.42619777340917</x:v>
      </x:c>
      <x:c r="G29" s="8" t="n">
        <x:f>IF($A29="","",D29+$T$404*E29)</x:f>
        <x:v>586.956148224389</x:v>
      </x:c>
      <x:c r="H29" s="8" t="n">
        <x:f>IF($A29="","",SQRT(MAX(0,(EXP($B$5*B29))*$S$409*(EXP($B$5*B29))+(EXP($B$5*B29))*$T$409*($B$4*EXP($B$5*B29)*B29)+($B$4*EXP($B$5*B29)*B29)*$S$410*(EXP($B$5*B29))+($B$4*EXP($B$5*B29)*B29)*$T$410*($B$4*EXP($B$5*B29)*B29)+2*((EXP($B$5*B29))*INDEX($S$416:$V$427,MONTH(A29),1)+($B$4*EXP($B$5*B29)*B29)*INDEX($S$416:$V$427,MONTH(A29),2))+INDEX($W$416:$W$427,MONTH(A29)))))</x:f>
        <x:v>5.433616150827358</x:v>
      </x:c>
      <x:c r="I29" s="3"/>
      <x:c r="J29" s="10" t="n">
        <x:v>45880</x:v>
      </x:c>
      <x:c r="K29" s="8" t="n">
        <x:f>INDEX('Сводка'!$S$3:$S$397,U29)</x:f>
        <x:v>303</x:v>
      </x:c>
      <x:c r="L29" s="8" t="n">
        <x:f>INDEX('Сводка'!$S$3:$S$397,V29)</x:f>
        <x:v>290</x:v>
      </x:c>
      <x:c r="M29" s="8" t="n">
        <x:f>INDEX($K$388:$N$400,W29,1)*EXP(INDEX($K$388:$N$400,W29,2)*((J29-$T$405+1)/1000))+INDEX($O$388:$Z$400,W29,MONTH(J29))</x:f>
        <x:v>379.18067472891244</x:v>
      </x:c>
      <x:c r="N29" s="8" t="n">
        <x:f>K29-M29</x:f>
        <x:v>-76.18067472891244</x:v>
      </x:c>
      <x:c r="O29" s="8" t="n">
        <x:f>ABS(N29)</x:f>
        <x:v>76.18067472891244</x:v>
      </x:c>
      <x:c r="P29" s="8" t="n">
        <x:f>N29^2</x:f>
        <x:v>5803.495202152358</x:v>
      </x:c>
      <x:c r="Q29" s="8" t="n">
        <x:f>K29-L29</x:f>
        <x:v>13</x:v>
      </x:c>
      <x:c r="R29" s="9" t="n">
        <x:f>IF(AND(INDEX('Сводка'!$T$3:$T$397,U29)=0,INDEX('Сводка'!$T$3:$T$397,V29)=0),1,0)</x:f>
        <x:v>1</x:v>
      </x:c>
      <x:c r="S29" s="9" t="n">
        <x:f>IF(AND(R29=1,O29&lt;=$G$13),1,0)</x:f>
        <x:v>0</x:v>
      </x:c>
      <x:c r="T29" s="10" t="n">
        <x:f>EOMONTH(J29-'Сводка'!$B$11,-1)</x:f>
        <x:v>45869</x:v>
      </x:c>
      <x:c r="U29" s="4" t="n">
        <x:f>MATCH(J29,'Сводка'!$R$3:$R$397,0)</x:f>
        <x:v>40</x:v>
      </x:c>
      <x:c r="V29" s="4" t="n">
        <x:f>MATCH(J29-'Сводка'!$B$11,'Сводка'!$R$3:$R$397,0)</x:f>
        <x:v>39</x:v>
      </x:c>
      <x:c r="W29" s="4" t="n">
        <x:f>MATCH(T29,$J$388:$J$400,0)</x:f>
        <x:v>2</x:v>
      </x:c>
      <x:c r="X29" s="3"/>
      <x:c r="Y29" s="3"/>
      <x:c r="Z29" s="3"/>
    </x:row>
    <x:row r="30" ht="15" customHeight="1">
      <x:c r="A30" s="10" t="n">
        <x:f>IF(12&lt;='Сводка'!$B$3,'Сводка'!$B$4+12,"")</x:f>
        <x:v>46247</x:v>
      </x:c>
      <x:c r="B30" s="19" t="n">
        <x:f>IF($A30="","",(A30-$T$405+1)/1000)</x:f>
        <x:v>8.991</x:v>
      </x:c>
      <x:c r="C30" s="19" t="n">
        <x:f>IF($A30="","",2*(A30-$T$405)/$T$406-1)</x:f>
        <x:v>1.002673201158387</x:v>
      </x:c>
      <x:c r="D30" s="8" t="n">
        <x:f>IF($A30="","",$B$4*EXP($B$5*B30)+INDEX($E$4:$E$15,MONTH(A30)))</x:f>
        <x:v>364.22211064815156</x:v>
      </x:c>
      <x:c r="E30" s="8" t="n">
        <x:f>IF($A30="","",SQRT($T$403^2+H30^2))</x:f>
        <x:v>113.64171295358045</x:v>
      </x:c>
      <x:c r="F30" s="8" t="n">
        <x:f>IF($A30="","",D30-$T$404*E30)</x:f>
        <x:v>141.45702845918876</x:v>
      </x:c>
      <x:c r="G30" s="8" t="n">
        <x:f>IF($A30="","",D30+$T$404*E30)</x:f>
        <x:v>586.9871928371143</x:v>
      </x:c>
      <x:c r="H30" s="8" t="n">
        <x:f>IF($A30="","",SQRT(MAX(0,(EXP($B$5*B30))*$S$409*(EXP($B$5*B30))+(EXP($B$5*B30))*$T$409*($B$4*EXP($B$5*B30)*B30)+($B$4*EXP($B$5*B30)*B30)*$S$410*(EXP($B$5*B30))+($B$4*EXP($B$5*B30)*B30)*$T$410*($B$4*EXP($B$5*B30)*B30)+2*((EXP($B$5*B30))*INDEX($S$416:$V$427,MONTH(A30),1)+($B$4*EXP($B$5*B30)*B30)*INDEX($S$416:$V$427,MONTH(A30),2))+INDEX($W$416:$W$427,MONTH(A30)))))</x:f>
        <x:v>5.434757265422582</x:v>
      </x:c>
      <x:c r="I30" s="3"/>
      <x:c r="J30" s="10" t="n">
        <x:v>45881</x:v>
      </x:c>
      <x:c r="K30" s="8" t="n">
        <x:f>INDEX('Сводка'!$S$3:$S$397,U30)</x:f>
        <x:v>315</x:v>
      </x:c>
      <x:c r="L30" s="8" t="n">
        <x:f>INDEX('Сводка'!$S$3:$S$397,V30)</x:f>
        <x:v>303</x:v>
      </x:c>
      <x:c r="M30" s="8" t="n">
        <x:f>INDEX($K$388:$N$400,W30,1)*EXP(INDEX($K$388:$N$400,W30,2)*((J30-$T$405+1)/1000))+INDEX($O$388:$Z$400,W30,MONTH(J30))</x:f>
        <x:v>379.22066449679255</x:v>
      </x:c>
      <x:c r="N30" s="8" t="n">
        <x:f>K30-M30</x:f>
        <x:v>-64.22066449679255</x:v>
      </x:c>
      <x:c r="O30" s="8" t="n">
        <x:f>ABS(N30)</x:f>
        <x:v>64.22066449679255</x:v>
      </x:c>
      <x:c r="P30" s="8" t="n">
        <x:f>N30^2</x:f>
        <x:v>4124.293748409591</x:v>
      </x:c>
      <x:c r="Q30" s="8" t="n">
        <x:f>K30-L30</x:f>
        <x:v>12</x:v>
      </x:c>
      <x:c r="R30" s="9" t="n">
        <x:f>IF(AND(INDEX('Сводка'!$T$3:$T$397,U30)=0,INDEX('Сводка'!$T$3:$T$397,V30)=0),1,0)</x:f>
        <x:v>1</x:v>
      </x:c>
      <x:c r="S30" s="9" t="n">
        <x:f>IF(AND(R30=1,O30&lt;=$G$13),1,0)</x:f>
        <x:v>0</x:v>
      </x:c>
      <x:c r="T30" s="10" t="n">
        <x:f>EOMONTH(J30-'Сводка'!$B$11,-1)</x:f>
        <x:v>45869</x:v>
      </x:c>
      <x:c r="U30" s="4" t="n">
        <x:f>MATCH(J30,'Сводка'!$R$3:$R$397,0)</x:f>
        <x:v>41</x:v>
      </x:c>
      <x:c r="V30" s="4" t="n">
        <x:f>MATCH(J30-'Сводка'!$B$11,'Сводка'!$R$3:$R$397,0)</x:f>
        <x:v>40</x:v>
      </x:c>
      <x:c r="W30" s="4" t="n">
        <x:f>MATCH(T30,$J$388:$J$400,0)</x:f>
        <x:v>2</x:v>
      </x:c>
      <x:c r="X30" s="3"/>
      <x:c r="Y30" s="3"/>
      <x:c r="Z30" s="3"/>
    </x:row>
    <x:row r="31" ht="15" customHeight="1">
      <x:c r="A31" s="10" t="n">
        <x:f>IF(13&lt;='Сводка'!$B$3,'Сводка'!$B$4+13,"")</x:f>
        <x:v>46248</x:v>
      </x:c>
      <x:c r="B31" s="19" t="n">
        <x:f>IF($A31="","",(A31-$T$405+1)/1000)</x:f>
        <x:v>8.992</x:v>
      </x:c>
      <x:c r="C31" s="19" t="n">
        <x:f>IF($A31="","",2*(A31-$T$405)/$T$406-1)</x:f>
        <x:v>1.002895967921586</x:v>
      </x:c>
      <x:c r="D31" s="8" t="n">
        <x:f>IF($A31="","",$B$4*EXP($B$5*B31)+INDEX($E$4:$E$15,MONTH(A31)))</x:f>
        <x:v>364.2530546303982</x:v>
      </x:c>
      <x:c r="E31" s="8" t="n">
        <x:f>IF($A31="","",SQRT($T$403^2+H31^2))</x:f>
        <x:v>113.64176756755988</x:v>
      </x:c>
      <x:c r="F31" s="8" t="n">
        <x:f>IF($A31="","",D31-$T$404*E31)</x:f>
        <x:v>141.48786538490396</x:v>
      </x:c>
      <x:c r="G31" s="8" t="n">
        <x:f>IF($A31="","",D31+$T$404*E31)</x:f>
        <x:v>587.0182438758925</x:v>
      </x:c>
      <x:c r="H31" s="8" t="n">
        <x:f>IF($A31="","",SQRT(MAX(0,(EXP($B$5*B31))*$S$409*(EXP($B$5*B31))+(EXP($B$5*B31))*$T$409*($B$4*EXP($B$5*B31)*B31)+($B$4*EXP($B$5*B31)*B31)*$S$410*(EXP($B$5*B31))+($B$4*EXP($B$5*B31)*B31)*$T$410*($B$4*EXP($B$5*B31)*B31)+2*((EXP($B$5*B31))*INDEX($S$416:$V$427,MONTH(A31),1)+($B$4*EXP($B$5*B31)*B31)*INDEX($S$416:$V$427,MONTH(A31),2))+INDEX($W$416:$W$427,MONTH(A31)))))</x:f>
        <x:v>5.435899133482378</x:v>
      </x:c>
      <x:c r="I31" s="3"/>
      <x:c r="J31" s="10" t="n">
        <x:v>45882</x:v>
      </x:c>
      <x:c r="K31" s="8" t="n">
        <x:f>INDEX('Сводка'!$S$3:$S$397,U31)</x:f>
        <x:v>323</x:v>
      </x:c>
      <x:c r="L31" s="8" t="n">
        <x:f>INDEX('Сводка'!$S$3:$S$397,V31)</x:f>
        <x:v>315</x:v>
      </x:c>
      <x:c r="M31" s="8" t="n">
        <x:f>INDEX($K$388:$N$400,W31,1)*EXP(INDEX($K$388:$N$400,W31,2)*((J31-$T$405+1)/1000))+INDEX($O$388:$Z$400,W31,MONTH(J31))</x:f>
        <x:v>379.26066392487684</x:v>
      </x:c>
      <x:c r="N31" s="8" t="n">
        <x:f>K31-M31</x:f>
        <x:v>-56.26066392487684</x:v>
      </x:c>
      <x:c r="O31" s="8" t="n">
        <x:f>ABS(N31)</x:f>
        <x:v>56.26066392487684</x:v>
      </x:c>
      <x:c r="P31" s="8" t="n">
        <x:f>N31^2</x:f>
        <x:v>3165.262305267938</x:v>
      </x:c>
      <x:c r="Q31" s="8" t="n">
        <x:f>K31-L31</x:f>
        <x:v>8</x:v>
      </x:c>
      <x:c r="R31" s="9" t="n">
        <x:f>IF(AND(INDEX('Сводка'!$T$3:$T$397,U31)=0,INDEX('Сводка'!$T$3:$T$397,V31)=0),1,0)</x:f>
        <x:v>1</x:v>
      </x:c>
      <x:c r="S31" s="9" t="n">
        <x:f>IF(AND(R31=1,O31&lt;=$G$13),1,0)</x:f>
        <x:v>0</x:v>
      </x:c>
      <x:c r="T31" s="10" t="n">
        <x:f>EOMONTH(J31-'Сводка'!$B$11,-1)</x:f>
        <x:v>45869</x:v>
      </x:c>
      <x:c r="U31" s="4" t="n">
        <x:f>MATCH(J31,'Сводка'!$R$3:$R$397,0)</x:f>
        <x:v>42</x:v>
      </x:c>
      <x:c r="V31" s="4" t="n">
        <x:f>MATCH(J31-'Сводка'!$B$11,'Сводка'!$R$3:$R$397,0)</x:f>
        <x:v>41</x:v>
      </x:c>
      <x:c r="W31" s="4" t="n">
        <x:f>MATCH(T31,$J$388:$J$400,0)</x:f>
        <x:v>2</x:v>
      </x:c>
      <x:c r="X31" s="3"/>
      <x:c r="Y31" s="3"/>
      <x:c r="Z31" s="3"/>
    </x:row>
    <x:row r="32" ht="15" customHeight="1">
      <x:c r="A32" s="10" t="n">
        <x:f>IF(14&lt;='Сводка'!$B$3,'Сводка'!$B$4+14,"")</x:f>
        <x:v>46249</x:v>
      </x:c>
      <x:c r="B32" s="19" t="n">
        <x:f>IF($A32="","",(A32-$T$405+1)/1000)</x:f>
        <x:v>8.993</x:v>
      </x:c>
      <x:c r="C32" s="19" t="n">
        <x:f>IF($A32="","",2*(A32-$T$405)/$T$406-1)</x:f>
        <x:v>1.0031187346847852</x:v>
      </x:c>
      <x:c r="D32" s="8" t="n">
        <x:f>IF($A32="","",$B$4*EXP($B$5*B32)+INDEX($E$4:$E$15,MONTH(A32)))</x:f>
        <x:v>364.2840049469353</x:v>
      </x:c>
      <x:c r="E32" s="8" t="n">
        <x:f>IF($A32="","",SQRT($T$403^2+H32^2))</x:f>
        <x:v>113.64182222904736</x:v>
      </x:c>
      <x:c r="F32" s="8" t="n">
        <x:f>IF($A32="","",D32-$T$404*E32)</x:f>
        <x:v>141.5187085517824</x:v>
      </x:c>
      <x:c r="G32" s="8" t="n">
        <x:f>IF($A32="","",D32+$T$404*E32)</x:f>
        <x:v>587.0493013420881</x:v>
      </x:c>
      <x:c r="H32" s="8" t="n">
        <x:f>IF($A32="","",SQRT(MAX(0,(EXP($B$5*B32))*$S$409*(EXP($B$5*B32))+(EXP($B$5*B32))*$T$409*($B$4*EXP($B$5*B32)*B32)+($B$4*EXP($B$5*B32)*B32)*$S$410*(EXP($B$5*B32))+($B$4*EXP($B$5*B32)*B32)*$T$410*($B$4*EXP($B$5*B32)*B32)+2*((EXP($B$5*B32))*INDEX($S$416:$V$427,MONTH(A32),1)+($B$4*EXP($B$5*B32)*B32)*INDEX($S$416:$V$427,MONTH(A32),2))+INDEX($W$416:$W$427,MONTH(A32)))))</x:f>
        <x:v>5.437041755264643</x:v>
      </x:c>
      <x:c r="I32" s="3"/>
      <x:c r="J32" s="10" t="n">
        <x:v>45883</x:v>
      </x:c>
      <x:c r="K32" s="8" t="n">
        <x:f>INDEX('Сводка'!$S$3:$S$397,U32)</x:f>
        <x:v>327</x:v>
      </x:c>
      <x:c r="L32" s="8" t="n">
        <x:f>INDEX('Сводка'!$S$3:$S$397,V32)</x:f>
        <x:v>323</x:v>
      </x:c>
      <x:c r="M32" s="8" t="n">
        <x:f>INDEX($K$388:$N$400,W32,1)*EXP(INDEX($K$388:$N$400,W32,2)*((J32-$T$405+1)/1000))+INDEX($O$388:$Z$400,W32,MONTH(J32))</x:f>
        <x:v>379.3006730154989</x:v>
      </x:c>
      <x:c r="N32" s="8" t="n">
        <x:f>K32-M32</x:f>
        <x:v>-52.30067301549889</x:v>
      </x:c>
      <x:c r="O32" s="8" t="n">
        <x:f>ABS(N32)</x:f>
        <x:v>52.30067301549889</x:v>
      </x:c>
      <x:c r="P32" s="8" t="n">
        <x:f>N32^2</x:f>
        <x:v>2735.3603978741335</x:v>
      </x:c>
      <x:c r="Q32" s="8" t="n">
        <x:f>K32-L32</x:f>
        <x:v>4</x:v>
      </x:c>
      <x:c r="R32" s="9" t="n">
        <x:f>IF(AND(INDEX('Сводка'!$T$3:$T$397,U32)=0,INDEX('Сводка'!$T$3:$T$397,V32)=0),1,0)</x:f>
        <x:v>1</x:v>
      </x:c>
      <x:c r="S32" s="9" t="n">
        <x:f>IF(AND(R32=1,O32&lt;=$G$13),1,0)</x:f>
        <x:v>0</x:v>
      </x:c>
      <x:c r="T32" s="10" t="n">
        <x:f>EOMONTH(J32-'Сводка'!$B$11,-1)</x:f>
        <x:v>45869</x:v>
      </x:c>
      <x:c r="U32" s="4" t="n">
        <x:f>MATCH(J32,'Сводка'!$R$3:$R$397,0)</x:f>
        <x:v>43</x:v>
      </x:c>
      <x:c r="V32" s="4" t="n">
        <x:f>MATCH(J32-'Сводка'!$B$11,'Сводка'!$R$3:$R$397,0)</x:f>
        <x:v>42</x:v>
      </x:c>
      <x:c r="W32" s="4" t="n">
        <x:f>MATCH(T32,$J$388:$J$400,0)</x:f>
        <x:v>2</x:v>
      </x:c>
      <x:c r="X32" s="3"/>
      <x:c r="Y32" s="3"/>
      <x:c r="Z32" s="3"/>
    </x:row>
    <x:row r="33" ht="15" customHeight="1">
      <x:c r="A33" s="10" t="n">
        <x:f>IF(15&lt;='Сводка'!$B$3,'Сводка'!$B$4+15,"")</x:f>
        <x:v>46250</x:v>
      </x:c>
      <x:c r="B33" s="19" t="n">
        <x:f>IF($A33="","",(A33-$T$405+1)/1000)</x:f>
        <x:v>8.994</x:v>
      </x:c>
      <x:c r="C33" s="19" t="n">
        <x:f>IF($A33="","",2*(A33-$T$405)/$T$406-1)</x:f>
        <x:v>1.0033415014479838</x:v>
      </x:c>
      <x:c r="D33" s="8" t="n">
        <x:f>IF($A33="","",$B$4*EXP($B$5*B33)+INDEX($E$4:$E$15,MONTH(A33)))</x:f>
        <x:v>364.31496159905953</x:v>
      </x:c>
      <x:c r="E33" s="8" t="n">
        <x:f>IF($A33="","",SQRT($T$403^2+H33^2))</x:f>
        <x:v>113.64187693807789</x:v>
      </x:c>
      <x:c r="F33" s="8" t="n">
        <x:f>IF($A33="","",D33-$T$404*E33)</x:f>
        <x:v>141.5495579610522</x:v>
      </x:c>
      <x:c r="G33" s="8" t="n">
        <x:f>IF($A33="","",D33+$T$404*E33)</x:f>
        <x:v>587.0803652370669</x:v>
      </x:c>
      <x:c r="H33" s="8" t="n">
        <x:f>IF($A33="","",SQRT(MAX(0,(EXP($B$5*B33))*$S$409*(EXP($B$5*B33))+(EXP($B$5*B33))*$T$409*($B$4*EXP($B$5*B33)*B33)+($B$4*EXP($B$5*B33)*B33)*$S$410*(EXP($B$5*B33))+($B$4*EXP($B$5*B33)*B33)*$T$410*($B$4*EXP($B$5*B33)*B33)+2*((EXP($B$5*B33))*INDEX($S$416:$V$427,MONTH(A33),1)+($B$4*EXP($B$5*B33)*B33)*INDEX($S$416:$V$427,MONTH(A33),2))+INDEX($W$416:$W$427,MONTH(A33)))))</x:f>
        <x:v>5.438185131027222</x:v>
      </x:c>
      <x:c r="I33" s="3"/>
      <x:c r="J33" s="10" t="n">
        <x:v>45884</x:v>
      </x:c>
      <x:c r="K33" s="8" t="n">
        <x:f>INDEX('Сводка'!$S$3:$S$397,U33)</x:f>
        <x:v>329</x:v>
      </x:c>
      <x:c r="L33" s="8" t="n">
        <x:f>INDEX('Сводка'!$S$3:$S$397,V33)</x:f>
        <x:v>327</x:v>
      </x:c>
      <x:c r="M33" s="8" t="n">
        <x:f>INDEX($K$388:$N$400,W33,1)*EXP(INDEX($K$388:$N$400,W33,2)*((J33-$T$405+1)/1000))+INDEX($O$388:$Z$400,W33,MONTH(J33))</x:f>
        <x:v>379.3406917709927</x:v>
      </x:c>
      <x:c r="N33" s="8" t="n">
        <x:f>K33-M33</x:f>
        <x:v>-50.34069177099269</x:v>
      </x:c>
      <x:c r="O33" s="8" t="n">
        <x:f>ABS(N33)</x:f>
        <x:v>50.34069177099269</x:v>
      </x:c>
      <x:c r="P33" s="8" t="n">
        <x:f>N33^2</x:f>
        <x:v>2534.1852479820914</x:v>
      </x:c>
      <x:c r="Q33" s="8" t="n">
        <x:f>K33-L33</x:f>
        <x:v>2</x:v>
      </x:c>
      <x:c r="R33" s="9" t="n">
        <x:f>IF(AND(INDEX('Сводка'!$T$3:$T$397,U33)=0,INDEX('Сводка'!$T$3:$T$397,V33)=0),1,0)</x:f>
        <x:v>1</x:v>
      </x:c>
      <x:c r="S33" s="9" t="n">
        <x:f>IF(AND(R33=1,O33&lt;=$G$13),1,0)</x:f>
        <x:v>0</x:v>
      </x:c>
      <x:c r="T33" s="10" t="n">
        <x:f>EOMONTH(J33-'Сводка'!$B$11,-1)</x:f>
        <x:v>45869</x:v>
      </x:c>
      <x:c r="U33" s="4" t="n">
        <x:f>MATCH(J33,'Сводка'!$R$3:$R$397,0)</x:f>
        <x:v>44</x:v>
      </x:c>
      <x:c r="V33" s="4" t="n">
        <x:f>MATCH(J33-'Сводка'!$B$11,'Сводка'!$R$3:$R$397,0)</x:f>
        <x:v>43</x:v>
      </x:c>
      <x:c r="W33" s="4" t="n">
        <x:f>MATCH(T33,$J$388:$J$400,0)</x:f>
        <x:v>2</x:v>
      </x:c>
      <x:c r="X33" s="3"/>
      <x:c r="Y33" s="3"/>
      <x:c r="Z33" s="3"/>
    </x:row>
    <x:row r="34" ht="15" customHeight="1">
      <x:c r="A34" s="10" t="n">
        <x:f>IF(16&lt;='Сводка'!$B$3,'Сводка'!$B$4+16,"")</x:f>
        <x:v>46251</x:v>
      </x:c>
      <x:c r="B34" s="19" t="n">
        <x:f>IF($A34="","",(A34-$T$405+1)/1000)</x:f>
        <x:v>8.995</x:v>
      </x:c>
      <x:c r="C34" s="19" t="n">
        <x:f>IF($A34="","",2*(A34-$T$405)/$T$406-1)</x:f>
        <x:v>1.003564268211183</x:v>
      </x:c>
      <x:c r="D34" s="8" t="n">
        <x:f>IF($A34="","",$B$4*EXP($B$5*B34)+INDEX($E$4:$E$15,MONTH(A34)))</x:f>
        <x:v>364.34592458806793</x:v>
      </x:c>
      <x:c r="E34" s="8" t="n">
        <x:f>IF($A34="","",SQRT($T$403^2+H34^2))</x:f>
        <x:v>113.64193169468646</x:v>
      </x:c>
      <x:c r="F34" s="8" t="n">
        <x:f>IF($A34="","",D34-$T$404*E34)</x:f>
        <x:v>141.58041361394174</x:v>
      </x:c>
      <x:c r="G34" s="8" t="n">
        <x:f>IF($A34="","",D34+$T$404*E34)</x:f>
        <x:v>587.1114355621942</x:v>
      </x:c>
      <x:c r="H34" s="8" t="n">
        <x:f>IF($A34="","",SQRT(MAX(0,(EXP($B$5*B34))*$S$409*(EXP($B$5*B34))+(EXP($B$5*B34))*$T$409*($B$4*EXP($B$5*B34)*B34)+($B$4*EXP($B$5*B34)*B34)*$S$410*(EXP($B$5*B34))+($B$4*EXP($B$5*B34)*B34)*$T$410*($B$4*EXP($B$5*B34)*B34)+2*((EXP($B$5*B34))*INDEX($S$416:$V$427,MONTH(A34),1)+($B$4*EXP($B$5*B34)*B34)*INDEX($S$416:$V$427,MONTH(A34),2))+INDEX($W$416:$W$427,MONTH(A34)))))</x:f>
        <x:v>5.439329261027913</x:v>
      </x:c>
      <x:c r="I34" s="3"/>
      <x:c r="J34" s="10" t="n">
        <x:v>45885</x:v>
      </x:c>
      <x:c r="K34" s="8" t="n">
        <x:f>INDEX('Сводка'!$S$3:$S$397,U34)</x:f>
        <x:v>329</x:v>
      </x:c>
      <x:c r="L34" s="8" t="n">
        <x:f>INDEX('Сводка'!$S$3:$S$397,V34)</x:f>
        <x:v>329</x:v>
      </x:c>
      <x:c r="M34" s="8" t="n">
        <x:f>INDEX($K$388:$N$400,W34,1)*EXP(INDEX($K$388:$N$400,W34,2)*((J34-$T$405+1)/1000))+INDEX($O$388:$Z$400,W34,MONTH(J34))</x:f>
        <x:v>379.38072019369315</x:v>
      </x:c>
      <x:c r="N34" s="8" t="n">
        <x:f>K34-M34</x:f>
        <x:v>-50.38072019369315</x:v>
      </x:c>
      <x:c r="O34" s="8" t="n">
        <x:f>ABS(N34)</x:f>
        <x:v>50.38072019369315</x:v>
      </x:c>
      <x:c r="P34" s="8" t="n">
        <x:f>N34^2</x:f>
        <x:v>2538.2169672352006</x:v>
      </x:c>
      <x:c r="Q34" s="8" t="n">
        <x:f>K34-L34</x:f>
        <x:v>0</x:v>
      </x:c>
      <x:c r="R34" s="9" t="n">
        <x:f>IF(AND(INDEX('Сводка'!$T$3:$T$397,U34)=0,INDEX('Сводка'!$T$3:$T$397,V34)=0),1,0)</x:f>
        <x:v>1</x:v>
      </x:c>
      <x:c r="S34" s="9" t="n">
        <x:f>IF(AND(R34=1,O34&lt;=$G$13),1,0)</x:f>
        <x:v>0</x:v>
      </x:c>
      <x:c r="T34" s="10" t="n">
        <x:f>EOMONTH(J34-'Сводка'!$B$11,-1)</x:f>
        <x:v>45869</x:v>
      </x:c>
      <x:c r="U34" s="4" t="n">
        <x:f>MATCH(J34,'Сводка'!$R$3:$R$397,0)</x:f>
        <x:v>45</x:v>
      </x:c>
      <x:c r="V34" s="4" t="n">
        <x:f>MATCH(J34-'Сводка'!$B$11,'Сводка'!$R$3:$R$397,0)</x:f>
        <x:v>44</x:v>
      </x:c>
      <x:c r="W34" s="4" t="n">
        <x:f>MATCH(T34,$J$388:$J$400,0)</x:f>
        <x:v>2</x:v>
      </x:c>
      <x:c r="X34" s="3"/>
      <x:c r="Y34" s="3"/>
      <x:c r="Z34" s="3"/>
    </x:row>
    <x:row r="35" ht="15" customHeight="1">
      <x:c r="A35" s="10" t="n">
        <x:f>IF(17&lt;='Сводка'!$B$3,'Сводка'!$B$4+17,"")</x:f>
        <x:v>46252</x:v>
      </x:c>
      <x:c r="B35" s="19" t="n">
        <x:f>IF($A35="","",(A35-$T$405+1)/1000)</x:f>
        <x:v>8.996</x:v>
      </x:c>
      <x:c r="C35" s="19" t="n">
        <x:f>IF($A35="","",2*(A35-$T$405)/$T$406-1)</x:f>
        <x:v>1.003787034974382</x:v>
      </x:c>
      <x:c r="D35" s="8" t="n">
        <x:f>IF($A35="","",$B$4*EXP($B$5*B35)+INDEX($E$4:$E$15,MONTH(A35)))</x:f>
        <x:v>364.3768939152576</x:v>
      </x:c>
      <x:c r="E35" s="8" t="n">
        <x:f>IF($A35="","",SQRT($T$403^2+H35^2))</x:f>
        <x:v>113.64198649890818</x:v>
      </x:c>
      <x:c r="F35" s="8" t="n">
        <x:f>IF($A35="","",D35-$T$404*E35)</x:f>
        <x:v>141.6112755116793</x:v>
      </x:c>
      <x:c r="G35" s="8" t="n">
        <x:f>IF($A35="","",D35+$T$404*E35)</x:f>
        <x:v>587.1425123188359</x:v>
      </x:c>
      <x:c r="H35" s="8" t="n">
        <x:f>IF($A35="","",SQRT(MAX(0,(EXP($B$5*B35))*$S$409*(EXP($B$5*B35))+(EXP($B$5*B35))*$T$409*($B$4*EXP($B$5*B35)*B35)+($B$4*EXP($B$5*B35)*B35)*$S$410*(EXP($B$5*B35))+($B$4*EXP($B$5*B35)*B35)*$T$410*($B$4*EXP($B$5*B35)*B35)+2*((EXP($B$5*B35))*INDEX($S$416:$V$427,MONTH(A35),1)+($B$4*EXP($B$5*B35)*B35)*INDEX($S$416:$V$427,MONTH(A35),2))+INDEX($W$416:$W$427,MONTH(A35)))))</x:f>
        <x:v>5.44047414552446</x:v>
      </x:c>
      <x:c r="I35" s="3"/>
      <x:c r="J35" s="10" t="n">
        <x:v>45886</x:v>
      </x:c>
      <x:c r="K35" s="8" t="n">
        <x:f>INDEX('Сводка'!$S$3:$S$397,U35)</x:f>
        <x:v>325</x:v>
      </x:c>
      <x:c r="L35" s="8" t="n">
        <x:f>INDEX('Сводка'!$S$3:$S$397,V35)</x:f>
        <x:v>329</x:v>
      </x:c>
      <x:c r="M35" s="8" t="n">
        <x:f>INDEX($K$388:$N$400,W35,1)*EXP(INDEX($K$388:$N$400,W35,2)*((J35-$T$405+1)/1000))+INDEX($O$388:$Z$400,W35,MONTH(J35))</x:f>
        <x:v>379.42075828593545</x:v>
      </x:c>
      <x:c r="N35" s="8" t="n">
        <x:f>K35-M35</x:f>
        <x:v>-54.42075828593545</x:v>
      </x:c>
      <x:c r="O35" s="8" t="n">
        <x:f>ABS(N35)</x:f>
        <x:v>54.42075828593545</x:v>
      </x:c>
      <x:c r="P35" s="8" t="n">
        <x:f>N35^2</x:f>
        <x:v>2961.618932416212</x:v>
      </x:c>
      <x:c r="Q35" s="8" t="n">
        <x:f>K35-L35</x:f>
        <x:v>-4</x:v>
      </x:c>
      <x:c r="R35" s="9" t="n">
        <x:f>IF(AND(INDEX('Сводка'!$T$3:$T$397,U35)=0,INDEX('Сводка'!$T$3:$T$397,V35)=0),1,0)</x:f>
        <x:v>1</x:v>
      </x:c>
      <x:c r="S35" s="9" t="n">
        <x:f>IF(AND(R35=1,O35&lt;=$G$13),1,0)</x:f>
        <x:v>0</x:v>
      </x:c>
      <x:c r="T35" s="10" t="n">
        <x:f>EOMONTH(J35-'Сводка'!$B$11,-1)</x:f>
        <x:v>45869</x:v>
      </x:c>
      <x:c r="U35" s="4" t="n">
        <x:f>MATCH(J35,'Сводка'!$R$3:$R$397,0)</x:f>
        <x:v>46</x:v>
      </x:c>
      <x:c r="V35" s="4" t="n">
        <x:f>MATCH(J35-'Сводка'!$B$11,'Сводка'!$R$3:$R$397,0)</x:f>
        <x:v>45</x:v>
      </x:c>
      <x:c r="W35" s="4" t="n">
        <x:f>MATCH(T35,$J$388:$J$400,0)</x:f>
        <x:v>2</x:v>
      </x:c>
      <x:c r="X35" s="3"/>
      <x:c r="Y35" s="3"/>
      <x:c r="Z35" s="3"/>
    </x:row>
    <x:row r="36" ht="15" customHeight="1">
      <x:c r="A36" s="10" t="n">
        <x:f>IF(18&lt;='Сводка'!$B$3,'Сводка'!$B$4+18,"")</x:f>
        <x:v>46253</x:v>
      </x:c>
      <x:c r="B36" s="19" t="n">
        <x:f>IF($A36="","",(A36-$T$405+1)/1000)</x:f>
        <x:v>8.997</x:v>
      </x:c>
      <x:c r="C36" s="19" t="n">
        <x:f>IF($A36="","",2*(A36-$T$405)/$T$406-1)</x:f>
        <x:v>1.0040098017375807</x:v>
      </x:c>
      <x:c r="D36" s="8" t="n">
        <x:f>IF($A36="","",$B$4*EXP($B$5*B36)+INDEX($E$4:$E$15,MONTH(A36)))</x:f>
        <x:v>364.407869581926</x:v>
      </x:c>
      <x:c r="E36" s="8" t="n">
        <x:f>IF($A36="","",SQRT($T$403^2+H36^2))</x:f>
        <x:v>113.64204135077811</x:v>
      </x:c>
      <x:c r="F36" s="8" t="n">
        <x:f>IF($A36="","",D36-$T$404*E36)</x:f>
        <x:v>141.64214365549367</x:v>
      </x:c>
      <x:c r="G36" s="8" t="n">
        <x:f>IF($A36="","",D36+$T$404*E36)</x:f>
        <x:v>587.1735955083583</x:v>
      </x:c>
      <x:c r="H36" s="8" t="n">
        <x:f>IF($A36="","",SQRT(MAX(0,(EXP($B$5*B36))*$S$409*(EXP($B$5*B36))+(EXP($B$5*B36))*$T$409*($B$4*EXP($B$5*B36)*B36)+($B$4*EXP($B$5*B36)*B36)*$S$410*(EXP($B$5*B36))+($B$4*EXP($B$5*B36)*B36)*$T$410*($B$4*EXP($B$5*B36)*B36)+2*((EXP($B$5*B36))*INDEX($S$416:$V$427,MONTH(A36),1)+($B$4*EXP($B$5*B36)*B36)*INDEX($S$416:$V$427,MONTH(A36),2))+INDEX($W$416:$W$427,MONTH(A36)))))</x:f>
        <x:v>5.441619784774553</x:v>
      </x:c>
      <x:c r="I36" s="3"/>
      <x:c r="J36" s="10" t="n">
        <x:v>45887</x:v>
      </x:c>
      <x:c r="K36" s="8" t="n">
        <x:f>INDEX('Сводка'!$S$3:$S$397,U36)</x:f>
        <x:v>320</x:v>
      </x:c>
      <x:c r="L36" s="8" t="n">
        <x:f>INDEX('Сводка'!$S$3:$S$397,V36)</x:f>
        <x:v>325</x:v>
      </x:c>
      <x:c r="M36" s="8" t="n">
        <x:f>INDEX($K$388:$N$400,W36,1)*EXP(INDEX($K$388:$N$400,W36,2)*((J36-$T$405+1)/1000))+INDEX($O$388:$Z$400,W36,MONTH(J36))</x:f>
        <x:v>379.46080605005534</x:v>
      </x:c>
      <x:c r="N36" s="8" t="n">
        <x:f>K36-M36</x:f>
        <x:v>-59.46080605005534</x:v>
      </x:c>
      <x:c r="O36" s="8" t="n">
        <x:f>ABS(N36)</x:f>
        <x:v>59.46080605005534</x:v>
      </x:c>
      <x:c r="P36" s="8" t="n">
        <x:f>N36^2</x:f>
        <x:v>3535.5874561222977</x:v>
      </x:c>
      <x:c r="Q36" s="8" t="n">
        <x:f>K36-L36</x:f>
        <x:v>-5</x:v>
      </x:c>
      <x:c r="R36" s="9" t="n">
        <x:f>IF(AND(INDEX('Сводка'!$T$3:$T$397,U36)=0,INDEX('Сводка'!$T$3:$T$397,V36)=0),1,0)</x:f>
        <x:v>1</x:v>
      </x:c>
      <x:c r="S36" s="9" t="n">
        <x:f>IF(AND(R36=1,O36&lt;=$G$13),1,0)</x:f>
        <x:v>0</x:v>
      </x:c>
      <x:c r="T36" s="10" t="n">
        <x:f>EOMONTH(J36-'Сводка'!$B$11,-1)</x:f>
        <x:v>45869</x:v>
      </x:c>
      <x:c r="U36" s="4" t="n">
        <x:f>MATCH(J36,'Сводка'!$R$3:$R$397,0)</x:f>
        <x:v>47</x:v>
      </x:c>
      <x:c r="V36" s="4" t="n">
        <x:f>MATCH(J36-'Сводка'!$B$11,'Сводка'!$R$3:$R$397,0)</x:f>
        <x:v>46</x:v>
      </x:c>
      <x:c r="W36" s="4" t="n">
        <x:f>MATCH(T36,$J$388:$J$400,0)</x:f>
        <x:v>2</x:v>
      </x:c>
      <x:c r="X36" s="3"/>
      <x:c r="Y36" s="3"/>
      <x:c r="Z36" s="3"/>
    </x:row>
    <x:row r="37" ht="15" customHeight="1">
      <x:c r="A37" s="10" t="n">
        <x:f>IF(19&lt;='Сводка'!$B$3,'Сводка'!$B$4+19,"")</x:f>
        <x:v>46254</x:v>
      </x:c>
      <x:c r="B37" s="19" t="n">
        <x:f>IF($A37="","",(A37-$T$405+1)/1000)</x:f>
        <x:v>8.998</x:v>
      </x:c>
      <x:c r="C37" s="19" t="n">
        <x:f>IF($A37="","",2*(A37-$T$405)/$T$406-1)</x:f>
        <x:v>1.0042325685007798</x:v>
      </x:c>
      <x:c r="D37" s="8" t="n">
        <x:f>IF($A37="","",$B$4*EXP($B$5*B37)+INDEX($E$4:$E$15,MONTH(A37)))</x:f>
        <x:v>364.43885158937064</x:v>
      </x:c>
      <x:c r="E37" s="8" t="n">
        <x:f>IF($A37="","",SQRT($T$403^2+H37^2))</x:f>
        <x:v>113.64209625033132</x:v>
      </x:c>
      <x:c r="F37" s="8" t="n">
        <x:f>IF($A37="","",D37-$T$404*E37)</x:f>
        <x:v>141.67301804661363</x:v>
      </x:c>
      <x:c r="G37" s="8" t="n">
        <x:f>IF($A37="","",D37+$T$404*E37)</x:f>
        <x:v>587.2046851321277</x:v>
      </x:c>
      <x:c r="H37" s="8" t="n">
        <x:f>IF($A37="","",SQRT(MAX(0,(EXP($B$5*B37))*$S$409*(EXP($B$5*B37))+(EXP($B$5*B37))*$T$409*($B$4*EXP($B$5*B37)*B37)+($B$4*EXP($B$5*B37)*B37)*$S$410*(EXP($B$5*B37))+($B$4*EXP($B$5*B37)*B37)*$T$410*($B$4*EXP($B$5*B37)*B37)+2*((EXP($B$5*B37))*INDEX($S$416:$V$427,MONTH(A37),1)+($B$4*EXP($B$5*B37)*B37)*INDEX($S$416:$V$427,MONTH(A37),2))+INDEX($W$416:$W$427,MONTH(A37)))))</x:f>
        <x:v>5.4427661790358375</x:v>
      </x:c>
      <x:c r="I37" s="3"/>
      <x:c r="J37" s="10" t="n">
        <x:v>45888</x:v>
      </x:c>
      <x:c r="K37" s="8" t="n">
        <x:f>INDEX('Сводка'!$S$3:$S$397,U37)</x:f>
        <x:v>309</x:v>
      </x:c>
      <x:c r="L37" s="8" t="n">
        <x:f>INDEX('Сводка'!$S$3:$S$397,V37)</x:f>
        <x:v>320</x:v>
      </x:c>
      <x:c r="M37" s="8" t="n">
        <x:f>INDEX($K$388:$N$400,W37,1)*EXP(INDEX($K$388:$N$400,W37,2)*((J37-$T$405+1)/1000))+INDEX($O$388:$Z$400,W37,MONTH(J37))</x:f>
        <x:v>379.50086348838937</x:v>
      </x:c>
      <x:c r="N37" s="8" t="n">
        <x:f>K37-M37</x:f>
        <x:v>-70.50086348838937</x:v>
      </x:c>
      <x:c r="O37" s="8" t="n">
        <x:f>ABS(N37)</x:f>
        <x:v>70.50086348838937</x:v>
      </x:c>
      <x:c r="P37" s="8" t="n">
        <x:f>N37^2</x:f>
        <x:v>4970.371752608514</x:v>
      </x:c>
      <x:c r="Q37" s="8" t="n">
        <x:f>K37-L37</x:f>
        <x:v>-11</x:v>
      </x:c>
      <x:c r="R37" s="9" t="n">
        <x:f>IF(AND(INDEX('Сводка'!$T$3:$T$397,U37)=0,INDEX('Сводка'!$T$3:$T$397,V37)=0),1,0)</x:f>
        <x:v>1</x:v>
      </x:c>
      <x:c r="S37" s="9" t="n">
        <x:f>IF(AND(R37=1,O37&lt;=$G$13),1,0)</x:f>
        <x:v>0</x:v>
      </x:c>
      <x:c r="T37" s="10" t="n">
        <x:f>EOMONTH(J37-'Сводка'!$B$11,-1)</x:f>
        <x:v>45869</x:v>
      </x:c>
      <x:c r="U37" s="4" t="n">
        <x:f>MATCH(J37,'Сводка'!$R$3:$R$397,0)</x:f>
        <x:v>48</x:v>
      </x:c>
      <x:c r="V37" s="4" t="n">
        <x:f>MATCH(J37-'Сводка'!$B$11,'Сводка'!$R$3:$R$397,0)</x:f>
        <x:v>47</x:v>
      </x:c>
      <x:c r="W37" s="4" t="n">
        <x:f>MATCH(T37,$J$388:$J$400,0)</x:f>
        <x:v>2</x:v>
      </x:c>
      <x:c r="X37" s="3"/>
      <x:c r="Y37" s="3"/>
      <x:c r="Z37" s="3"/>
    </x:row>
    <x:row r="38" ht="15" customHeight="1">
      <x:c r="A38" s="10" t="n">
        <x:f>IF(20&lt;='Сводка'!$B$3,'Сводка'!$B$4+20,"")</x:f>
        <x:v>46255</x:v>
      </x:c>
      <x:c r="B38" s="19" t="n">
        <x:f>IF($A38="","",(A38-$T$405+1)/1000)</x:f>
        <x:v>8.999</x:v>
      </x:c>
      <x:c r="C38" s="19" t="n">
        <x:f>IF($A38="","",2*(A38-$T$405)/$T$406-1)</x:f>
        <x:v>1.0044553352639785</x:v>
      </x:c>
      <x:c r="D38" s="8" t="n">
        <x:f>IF($A38="","",$B$4*EXP($B$5*B38)+INDEX($E$4:$E$15,MONTH(A38)))</x:f>
        <x:v>364.4698399388898</x:v>
      </x:c>
      <x:c r="E38" s="8" t="n">
        <x:f>IF($A38="","",SQRT($T$403^2+H38^2))</x:f>
        <x:v>113.64215119760294</x:v>
      </x:c>
      <x:c r="F38" s="8" t="n">
        <x:f>IF($A38="","",D38-$T$404*E38)</x:f>
        <x:v>141.70389868626847</x:v>
      </x:c>
      <x:c r="G38" s="8" t="n">
        <x:f>IF($A38="","",D38+$T$404*E38)</x:f>
        <x:v>587.235781191511</x:v>
      </x:c>
      <x:c r="H38" s="8" t="n">
        <x:f>IF($A38="","",SQRT(MAX(0,(EXP($B$5*B38))*$S$409*(EXP($B$5*B38))+(EXP($B$5*B38))*$T$409*($B$4*EXP($B$5*B38)*B38)+($B$4*EXP($B$5*B38)*B38)*$S$410*(EXP($B$5*B38))+($B$4*EXP($B$5*B38)*B38)*$T$410*($B$4*EXP($B$5*B38)*B38)+2*((EXP($B$5*B38))*INDEX($S$416:$V$427,MONTH(A38),1)+($B$4*EXP($B$5*B38)*B38)*INDEX($S$416:$V$427,MONTH(A38),2))+INDEX($W$416:$W$427,MONTH(A38)))))</x:f>
        <x:v>5.443913328565902</x:v>
      </x:c>
      <x:c r="I38" s="3"/>
      <x:c r="J38" s="10" t="n">
        <x:v>45889</x:v>
      </x:c>
      <x:c r="K38" s="8" t="n">
        <x:f>INDEX('Сводка'!$S$3:$S$397,U38)</x:f>
        <x:v>296</x:v>
      </x:c>
      <x:c r="L38" s="8" t="n">
        <x:f>INDEX('Сводка'!$S$3:$S$397,V38)</x:f>
        <x:v>309</x:v>
      </x:c>
      <x:c r="M38" s="8" t="n">
        <x:f>INDEX($K$388:$N$400,W38,1)*EXP(INDEX($K$388:$N$400,W38,2)*((J38-$T$405+1)/1000))+INDEX($O$388:$Z$400,W38,MONTH(J38))</x:f>
        <x:v>379.54093060327443</x:v>
      </x:c>
      <x:c r="N38" s="8" t="n">
        <x:f>K38-M38</x:f>
        <x:v>-83.54093060327443</x:v>
      </x:c>
      <x:c r="O38" s="8" t="n">
        <x:f>ABS(N38)</x:f>
        <x:v>83.54093060327443</x:v>
      </x:c>
      <x:c r="P38" s="8" t="n">
        <x:f>N38^2</x:f>
        <x:v>6979.087086061115</x:v>
      </x:c>
      <x:c r="Q38" s="8" t="n">
        <x:f>K38-L38</x:f>
        <x:v>-13</x:v>
      </x:c>
      <x:c r="R38" s="9" t="n">
        <x:f>IF(AND(INDEX('Сводка'!$T$3:$T$397,U38)=0,INDEX('Сводка'!$T$3:$T$397,V38)=0),1,0)</x:f>
        <x:v>1</x:v>
      </x:c>
      <x:c r="S38" s="9" t="n">
        <x:f>IF(AND(R38=1,O38&lt;=$G$13),1,0)</x:f>
        <x:v>0</x:v>
      </x:c>
      <x:c r="T38" s="10" t="n">
        <x:f>EOMONTH(J38-'Сводка'!$B$11,-1)</x:f>
        <x:v>45869</x:v>
      </x:c>
      <x:c r="U38" s="4" t="n">
        <x:f>MATCH(J38,'Сводка'!$R$3:$R$397,0)</x:f>
        <x:v>49</x:v>
      </x:c>
      <x:c r="V38" s="4" t="n">
        <x:f>MATCH(J38-'Сводка'!$B$11,'Сводка'!$R$3:$R$397,0)</x:f>
        <x:v>48</x:v>
      </x:c>
      <x:c r="W38" s="4" t="n">
        <x:f>MATCH(T38,$J$388:$J$400,0)</x:f>
        <x:v>2</x:v>
      </x:c>
      <x:c r="X38" s="3"/>
      <x:c r="Y38" s="3"/>
      <x:c r="Z38" s="3"/>
    </x:row>
    <x:row r="39" ht="15" customHeight="1">
      <x:c r="A39" s="10" t="n">
        <x:f>IF(21&lt;='Сводка'!$B$3,'Сводка'!$B$4+21,"")</x:f>
        <x:v>46256</x:v>
      </x:c>
      <x:c r="B39" s="19" t="n">
        <x:f>IF($A39="","",(A39-$T$405+1)/1000)</x:f>
        <x:v>9</x:v>
      </x:c>
      <x:c r="C39" s="19" t="n">
        <x:f>IF($A39="","",2*(A39-$T$405)/$T$406-1)</x:f>
        <x:v>1.0046781020271776</x:v>
      </x:c>
      <x:c r="D39" s="8" t="n">
        <x:f>IF($A39="","",$B$4*EXP($B$5*B39)+INDEX($E$4:$E$15,MONTH(A39)))</x:f>
        <x:v>364.5008346317815</x:v>
      </x:c>
      <x:c r="E39" s="8" t="n">
        <x:f>IF($A39="","",SQRT($T$403^2+H39^2))</x:f>
        <x:v>113.64220619262812</x:v>
      </x:c>
      <x:c r="F39" s="8" t="n">
        <x:f>IF($A39="","",D39-$T$404*E39)</x:f>
        <x:v>141.73478557568748</x:v>
      </x:c>
      <x:c r="G39" s="8" t="n">
        <x:f>IF($A39="","",D39+$T$404*E39)</x:f>
        <x:v>587.2668836878755</x:v>
      </x:c>
      <x:c r="H39" s="8" t="n">
        <x:f>IF($A39="","",SQRT(MAX(0,(EXP($B$5*B39))*$S$409*(EXP($B$5*B39))+(EXP($B$5*B39))*$T$409*($B$4*EXP($B$5*B39)*B39)+($B$4*EXP($B$5*B39)*B39)*$S$410*(EXP($B$5*B39))+($B$4*EXP($B$5*B39)*B39)*$T$410*($B$4*EXP($B$5*B39)*B39)+2*((EXP($B$5*B39))*INDEX($S$416:$V$427,MONTH(A39),1)+($B$4*EXP($B$5*B39)*B39)*INDEX($S$416:$V$427,MONTH(A39),2))+INDEX($W$416:$W$427,MONTH(A39)))))</x:f>
        <x:v>5.4450612336222886</x:v>
      </x:c>
      <x:c r="I39" s="3"/>
      <x:c r="J39" s="10" t="n">
        <x:v>45890</x:v>
      </x:c>
      <x:c r="K39" s="8" t="n">
        <x:f>INDEX('Сводка'!$S$3:$S$397,U39)</x:f>
        <x:v>282</x:v>
      </x:c>
      <x:c r="L39" s="8" t="n">
        <x:f>INDEX('Сводка'!$S$3:$S$397,V39)</x:f>
        <x:v>296</x:v>
      </x:c>
      <x:c r="M39" s="8" t="n">
        <x:f>INDEX($K$388:$N$400,W39,1)*EXP(INDEX($K$388:$N$400,W39,2)*((J39-$T$405+1)/1000))+INDEX($O$388:$Z$400,W39,MONTH(J39))</x:f>
        <x:v>379.5810073970482</x:v>
      </x:c>
      <x:c r="N39" s="8" t="n">
        <x:f>K39-M39</x:f>
        <x:v>-97.58100739704821</x:v>
      </x:c>
      <x:c r="O39" s="8" t="n">
        <x:f>ABS(N39)</x:f>
        <x:v>97.58100739704821</x:v>
      </x:c>
      <x:c r="P39" s="8" t="n">
        <x:f>N39^2</x:f>
        <x:v>9522.053004622778</x:v>
      </x:c>
      <x:c r="Q39" s="8" t="n">
        <x:f>K39-L39</x:f>
        <x:v>-14</x:v>
      </x:c>
      <x:c r="R39" s="9" t="n">
        <x:f>IF(AND(INDEX('Сводка'!$T$3:$T$397,U39)=0,INDEX('Сводка'!$T$3:$T$397,V39)=0),1,0)</x:f>
        <x:v>1</x:v>
      </x:c>
      <x:c r="S39" s="9" t="n">
        <x:f>IF(AND(R39=1,O39&lt;=$G$13),1,0)</x:f>
        <x:v>0</x:v>
      </x:c>
      <x:c r="T39" s="10" t="n">
        <x:f>EOMONTH(J39-'Сводка'!$B$11,-1)</x:f>
        <x:v>45869</x:v>
      </x:c>
      <x:c r="U39" s="4" t="n">
        <x:f>MATCH(J39,'Сводка'!$R$3:$R$397,0)</x:f>
        <x:v>50</x:v>
      </x:c>
      <x:c r="V39" s="4" t="n">
        <x:f>MATCH(J39-'Сводка'!$B$11,'Сводка'!$R$3:$R$397,0)</x:f>
        <x:v>49</x:v>
      </x:c>
      <x:c r="W39" s="4" t="n">
        <x:f>MATCH(T39,$J$388:$J$400,0)</x:f>
        <x:v>2</x:v>
      </x:c>
      <x:c r="X39" s="3"/>
      <x:c r="Y39" s="3"/>
      <x:c r="Z39" s="3"/>
    </x:row>
    <x:row r="40" ht="15" customHeight="1">
      <x:c r="A40" s="10" t="n">
        <x:f>IF(22&lt;='Сводка'!$B$3,'Сводка'!$B$4+22,"")</x:f>
        <x:v>46257</x:v>
      </x:c>
      <x:c r="B40" s="19" t="n">
        <x:f>IF($A40="","",(A40-$T$405+1)/1000)</x:f>
        <x:v>9.001</x:v>
      </x:c>
      <x:c r="C40" s="19" t="n">
        <x:f>IF($A40="","",2*(A40-$T$405)/$T$406-1)</x:f>
        <x:v>1.0049008687903767</x:v>
      </x:c>
      <x:c r="D40" s="8" t="n">
        <x:f>IF($A40="","",$B$4*EXP($B$5*B40)+INDEX($E$4:$E$15,MONTH(A40)))</x:f>
        <x:v>364.5318356693443</x:v>
      </x:c>
      <x:c r="E40" s="8" t="n">
        <x:f>IF($A40="","",SQRT($T$403^2+H40^2))</x:f>
        <x:v>113.64226123544205</x:v>
      </x:c>
      <x:c r="F40" s="8" t="n">
        <x:f>IF($A40="","",D40-$T$404*E40)</x:f>
        <x:v>141.76567871610007</x:v>
      </x:c>
      <x:c r="G40" s="8" t="n">
        <x:f>IF($A40="","",D40+$T$404*E40)</x:f>
        <x:v>587.2979926225885</x:v>
      </x:c>
      <x:c r="H40" s="8" t="n">
        <x:f>IF($A40="","",SQRT(MAX(0,(EXP($B$5*B40))*$S$409*(EXP($B$5*B40))+(EXP($B$5*B40))*$T$409*($B$4*EXP($B$5*B40)*B40)+($B$4*EXP($B$5*B40)*B40)*$S$410*(EXP($B$5*B40))+($B$4*EXP($B$5*B40)*B40)*$T$410*($B$4*EXP($B$5*B40)*B40)+2*((EXP($B$5*B40))*INDEX($S$416:$V$427,MONTH(A40),1)+($B$4*EXP($B$5*B40)*B40)*INDEX($S$416:$V$427,MONTH(A40),2))+INDEX($W$416:$W$427,MONTH(A40)))))</x:f>
        <x:v>5.446209894462481</x:v>
      </x:c>
      <x:c r="I40" s="3"/>
      <x:c r="J40" s="10" t="n">
        <x:v>45891</x:v>
      </x:c>
      <x:c r="K40" s="8" t="n">
        <x:f>INDEX('Сводка'!$S$3:$S$397,U40)</x:f>
        <x:v>270</x:v>
      </x:c>
      <x:c r="L40" s="8" t="n">
        <x:f>INDEX('Сводка'!$S$3:$S$397,V40)</x:f>
        <x:v>282</x:v>
      </x:c>
      <x:c r="M40" s="8" t="n">
        <x:f>INDEX($K$388:$N$400,W40,1)*EXP(INDEX($K$388:$N$400,W40,2)*((J40-$T$405+1)/1000))+INDEX($O$388:$Z$400,W40,MONTH(J40))</x:f>
        <x:v>379.6210938720485</x:v>
      </x:c>
      <x:c r="N40" s="8" t="n">
        <x:f>K40-M40</x:f>
        <x:v>-109.6210938720485</x:v>
      </x:c>
      <x:c r="O40" s="8" t="n">
        <x:f>ABS(N40)</x:f>
        <x:v>109.6210938720485</x:v>
      </x:c>
      <x:c r="P40" s="8" t="n">
        <x:f>N40^2</x:f>
        <x:v>12016.78422170447</x:v>
      </x:c>
      <x:c r="Q40" s="8" t="n">
        <x:f>K40-L40</x:f>
        <x:v>-12</x:v>
      </x:c>
      <x:c r="R40" s="9" t="n">
        <x:f>IF(AND(INDEX('Сводка'!$T$3:$T$397,U40)=0,INDEX('Сводка'!$T$3:$T$397,V40)=0),1,0)</x:f>
        <x:v>1</x:v>
      </x:c>
      <x:c r="S40" s="9" t="n">
        <x:f>IF(AND(R40=1,O40&lt;=$G$13),1,0)</x:f>
        <x:v>0</x:v>
      </x:c>
      <x:c r="T40" s="10" t="n">
        <x:f>EOMONTH(J40-'Сводка'!$B$11,-1)</x:f>
        <x:v>45869</x:v>
      </x:c>
      <x:c r="U40" s="4" t="n">
        <x:f>MATCH(J40,'Сводка'!$R$3:$R$397,0)</x:f>
        <x:v>51</x:v>
      </x:c>
      <x:c r="V40" s="4" t="n">
        <x:f>MATCH(J40-'Сводка'!$B$11,'Сводка'!$R$3:$R$397,0)</x:f>
        <x:v>50</x:v>
      </x:c>
      <x:c r="W40" s="4" t="n">
        <x:f>MATCH(T40,$J$388:$J$400,0)</x:f>
        <x:v>2</x:v>
      </x:c>
      <x:c r="X40" s="3"/>
      <x:c r="Y40" s="3"/>
      <x:c r="Z40" s="3"/>
    </x:row>
    <x:row r="41" ht="15" customHeight="1">
      <x:c r="A41" s="10" t="n">
        <x:f>IF(23&lt;='Сводка'!$B$3,'Сводка'!$B$4+23,"")</x:f>
        <x:v>46258</x:v>
      </x:c>
      <x:c r="B41" s="19" t="n">
        <x:f>IF($A41="","",(A41-$T$405+1)/1000)</x:f>
        <x:v>9.002</x:v>
      </x:c>
      <x:c r="C41" s="19" t="n">
        <x:f>IF($A41="","",2*(A41-$T$405)/$T$406-1)</x:f>
        <x:v>1.0051236355535753</x:v>
      </x:c>
      <x:c r="D41" s="8" t="n">
        <x:f>IF($A41="","",$B$4*EXP($B$5*B41)+INDEX($E$4:$E$15,MONTH(A41)))</x:f>
        <x:v>364.56284305287693</x:v>
      </x:c>
      <x:c r="E41" s="8" t="n">
        <x:f>IF($A41="","",SQRT($T$403^2+H41^2))</x:f>
        <x:v>113.64231632607986</x:v>
      </x:c>
      <x:c r="F41" s="8" t="n">
        <x:f>IF($A41="","",D41-$T$404*E41)</x:f>
        <x:v>141.79657810873624</x:v>
      </x:c>
      <x:c r="G41" s="8" t="n">
        <x:f>IF($A41="","",D41+$T$404*E41)</x:f>
        <x:v>587.3291079970177</x:v>
      </x:c>
      <x:c r="H41" s="8" t="n">
        <x:f>IF($A41="","",SQRT(MAX(0,(EXP($B$5*B41))*$S$409*(EXP($B$5*B41))+(EXP($B$5*B41))*$T$409*($B$4*EXP($B$5*B41)*B41)+($B$4*EXP($B$5*B41)*B41)*$S$410*(EXP($B$5*B41))+($B$4*EXP($B$5*B41)*B41)*$T$410*($B$4*EXP($B$5*B41)*B41)+2*((EXP($B$5*B41))*INDEX($S$416:$V$427,MONTH(A41),1)+($B$4*EXP($B$5*B41)*B41)*INDEX($S$416:$V$427,MONTH(A41),2))+INDEX($W$416:$W$427,MONTH(A41)))))</x:f>
        <x:v>5.447359311343919</x:v>
      </x:c>
      <x:c r="I41" s="3"/>
      <x:c r="J41" s="10" t="n">
        <x:v>45892</x:v>
      </x:c>
      <x:c r="K41" s="8" t="n">
        <x:f>INDEX('Сводка'!$S$3:$S$397,U41)</x:f>
        <x:v>255</x:v>
      </x:c>
      <x:c r="L41" s="8" t="n">
        <x:f>INDEX('Сводка'!$S$3:$S$397,V41)</x:f>
        <x:v>270</x:v>
      </x:c>
      <x:c r="M41" s="8" t="n">
        <x:f>INDEX($K$388:$N$400,W41,1)*EXP(INDEX($K$388:$N$400,W41,2)*((J41-$T$405+1)/1000))+INDEX($O$388:$Z$400,W41,MONTH(J41))</x:f>
        <x:v>379.6611900306143</x:v>
      </x:c>
      <x:c r="N41" s="8" t="n">
        <x:f>K41-M41</x:f>
        <x:v>-124.6611900306143</x:v>
      </x:c>
      <x:c r="O41" s="8" t="n">
        <x:f>ABS(N41)</x:f>
        <x:v>124.6611900306143</x:v>
      </x:c>
      <x:c r="P41" s="8" t="n">
        <x:f>N41^2</x:f>
        <x:v>15540.412299848931</x:v>
      </x:c>
      <x:c r="Q41" s="8" t="n">
        <x:f>K41-L41</x:f>
        <x:v>-15</x:v>
      </x:c>
      <x:c r="R41" s="9" t="n">
        <x:f>IF(AND(INDEX('Сводка'!$T$3:$T$397,U41)=0,INDEX('Сводка'!$T$3:$T$397,V41)=0),1,0)</x:f>
        <x:v>1</x:v>
      </x:c>
      <x:c r="S41" s="9" t="n">
        <x:f>IF(AND(R41=1,O41&lt;=$G$13),1,0)</x:f>
        <x:v>0</x:v>
      </x:c>
      <x:c r="T41" s="10" t="n">
        <x:f>EOMONTH(J41-'Сводка'!$B$11,-1)</x:f>
        <x:v>45869</x:v>
      </x:c>
      <x:c r="U41" s="4" t="n">
        <x:f>MATCH(J41,'Сводка'!$R$3:$R$397,0)</x:f>
        <x:v>52</x:v>
      </x:c>
      <x:c r="V41" s="4" t="n">
        <x:f>MATCH(J41-'Сводка'!$B$11,'Сводка'!$R$3:$R$397,0)</x:f>
        <x:v>51</x:v>
      </x:c>
      <x:c r="W41" s="4" t="n">
        <x:f>MATCH(T41,$J$388:$J$400,0)</x:f>
        <x:v>2</x:v>
      </x:c>
      <x:c r="X41" s="3"/>
      <x:c r="Y41" s="3"/>
      <x:c r="Z41" s="3"/>
    </x:row>
    <x:row r="42" ht="15" customHeight="1">
      <x:c r="A42" s="10" t="n">
        <x:f>IF(24&lt;='Сводка'!$B$3,'Сводка'!$B$4+24,"")</x:f>
        <x:v>46259</x:v>
      </x:c>
      <x:c r="B42" s="19" t="n">
        <x:f>IF($A42="","",(A42-$T$405+1)/1000)</x:f>
        <x:v>9.003</x:v>
      </x:c>
      <x:c r="C42" s="19" t="n">
        <x:f>IF($A42="","",2*(A42-$T$405)/$T$406-1)</x:f>
        <x:v>1.0053464023167744</x:v>
      </x:c>
      <x:c r="D42" s="8" t="n">
        <x:f>IF($A42="","",$B$4*EXP($B$5*B42)+INDEX($E$4:$E$15,MONTH(A42)))</x:f>
        <x:v>364.59385678367846</x:v>
      </x:c>
      <x:c r="E42" s="8" t="n">
        <x:f>IF($A42="","",SQRT($T$403^2+H42^2))</x:f>
        <x:v>113.6423714645768</x:v>
      </x:c>
      <x:c r="F42" s="8" t="n">
        <x:f>IF($A42="","",D42-$T$404*E42)</x:f>
        <x:v>141.8274837548259</x:v>
      </x:c>
      <x:c r="G42" s="8" t="n">
        <x:f>IF($A42="","",D42+$T$404*E42)</x:f>
        <x:v>587.3602298125311</x:v>
      </x:c>
      <x:c r="H42" s="8" t="n">
        <x:f>IF($A42="","",SQRT(MAX(0,(EXP($B$5*B42))*$S$409*(EXP($B$5*B42))+(EXP($B$5*B42))*$T$409*($B$4*EXP($B$5*B42)*B42)+($B$4*EXP($B$5*B42)*B42)*$S$410*(EXP($B$5*B42))+($B$4*EXP($B$5*B42)*B42)*$T$410*($B$4*EXP($B$5*B42)*B42)+2*((EXP($B$5*B42))*INDEX($S$416:$V$427,MONTH(A42),1)+($B$4*EXP($B$5*B42)*B42)*INDEX($S$416:$V$427,MONTH(A42),2))+INDEX($W$416:$W$427,MONTH(A42)))))</x:f>
        <x:v>5.448509484523984</x:v>
      </x:c>
      <x:c r="I42" s="3"/>
      <x:c r="J42" s="10" t="n">
        <x:v>45893</x:v>
      </x:c>
      <x:c r="K42" s="8" t="n">
        <x:f>INDEX('Сводка'!$S$3:$S$397,U42)</x:f>
        <x:v>245</x:v>
      </x:c>
      <x:c r="L42" s="8" t="n">
        <x:f>INDEX('Сводка'!$S$3:$S$397,V42)</x:f>
        <x:v>255</x:v>
      </x:c>
      <x:c r="M42" s="8" t="n">
        <x:f>INDEX($K$388:$N$400,W42,1)*EXP(INDEX($K$388:$N$400,W42,2)*((J42-$T$405+1)/1000))+INDEX($O$388:$Z$400,W42,MONTH(J42))</x:f>
        <x:v>379.70129587508467</x:v>
      </x:c>
      <x:c r="N42" s="8" t="n">
        <x:f>K42-M42</x:f>
        <x:v>-134.70129587508467</x:v>
      </x:c>
      <x:c r="O42" s="8" t="n">
        <x:f>ABS(N42)</x:f>
        <x:v>134.70129587508467</x:v>
      </x:c>
      <x:c r="P42" s="8" t="n">
        <x:f>N42^2</x:f>
        <x:v>18144.4391104271</x:v>
      </x:c>
      <x:c r="Q42" s="8" t="n">
        <x:f>K42-L42</x:f>
        <x:v>-10</x:v>
      </x:c>
      <x:c r="R42" s="9" t="n">
        <x:f>IF(AND(INDEX('Сводка'!$T$3:$T$397,U42)=0,INDEX('Сводка'!$T$3:$T$397,V42)=0),1,0)</x:f>
        <x:v>1</x:v>
      </x:c>
      <x:c r="S42" s="9" t="n">
        <x:f>IF(AND(R42=1,O42&lt;=$G$13),1,0)</x:f>
        <x:v>0</x:v>
      </x:c>
      <x:c r="T42" s="10" t="n">
        <x:f>EOMONTH(J42-'Сводка'!$B$11,-1)</x:f>
        <x:v>45869</x:v>
      </x:c>
      <x:c r="U42" s="4" t="n">
        <x:f>MATCH(J42,'Сводка'!$R$3:$R$397,0)</x:f>
        <x:v>53</x:v>
      </x:c>
      <x:c r="V42" s="4" t="n">
        <x:f>MATCH(J42-'Сводка'!$B$11,'Сводка'!$R$3:$R$397,0)</x:f>
        <x:v>52</x:v>
      </x:c>
      <x:c r="W42" s="4" t="n">
        <x:f>MATCH(T42,$J$388:$J$400,0)</x:f>
        <x:v>2</x:v>
      </x:c>
      <x:c r="X42" s="3"/>
      <x:c r="Y42" s="3"/>
      <x:c r="Z42" s="3"/>
    </x:row>
    <x:row r="43" ht="15" customHeight="1">
      <x:c r="A43" s="10" t="n">
        <x:f>IF(25&lt;='Сводка'!$B$3,'Сводка'!$B$4+25,"")</x:f>
        <x:v>46260</x:v>
      </x:c>
      <x:c r="B43" s="19" t="n">
        <x:f>IF($A43="","",(A43-$T$405+1)/1000)</x:f>
        <x:v>9.004</x:v>
      </x:c>
      <x:c r="C43" s="19" t="n">
        <x:f>IF($A43="","",2*(A43-$T$405)/$T$406-1)</x:f>
        <x:v>1.005569169079973</x:v>
      </x:c>
      <x:c r="D43" s="8" t="n">
        <x:f>IF($A43="","",$B$4*EXP($B$5*B43)+INDEX($E$4:$E$15,MONTH(A43)))</x:f>
        <x:v>364.62487686304826</x:v>
      </x:c>
      <x:c r="E43" s="8" t="n">
        <x:f>IF($A43="","",SQRT($T$403^2+H43^2))</x:f>
        <x:v>113.64242665096809</x:v>
      </x:c>
      <x:c r="F43" s="8" t="n">
        <x:f>IF($A43="","",D43-$T$404*E43)</x:f>
        <x:v>141.85839565559937</x:v>
      </x:c>
      <x:c r="G43" s="8" t="n">
        <x:f>IF($A43="","",D43+$T$404*E43)</x:f>
        <x:v>587.3913580704972</x:v>
      </x:c>
      <x:c r="H43" s="8" t="n">
        <x:f>IF($A43="","",SQRT(MAX(0,(EXP($B$5*B43))*$S$409*(EXP($B$5*B43))+(EXP($B$5*B43))*$T$409*($B$4*EXP($B$5*B43)*B43)+($B$4*EXP($B$5*B43)*B43)*$S$410*(EXP($B$5*B43))+($B$4*EXP($B$5*B43)*B43)*$T$410*($B$4*EXP($B$5*B43)*B43)+2*((EXP($B$5*B43))*INDEX($S$416:$V$427,MONTH(A43),1)+($B$4*EXP($B$5*B43)*B43)*INDEX($S$416:$V$427,MONTH(A43),2))+INDEX($W$416:$W$427,MONTH(A43)))))</x:f>
        <x:v>5.449660414260019</x:v>
      </x:c>
      <x:c r="I43" s="3"/>
      <x:c r="J43" s="10" t="n">
        <x:v>45894</x:v>
      </x:c>
      <x:c r="K43" s="8" t="n">
        <x:f>INDEX('Сводка'!$S$3:$S$397,U43)</x:f>
        <x:v>235</x:v>
      </x:c>
      <x:c r="L43" s="8" t="n">
        <x:f>INDEX('Сводка'!$S$3:$S$397,V43)</x:f>
        <x:v>245</x:v>
      </x:c>
      <x:c r="M43" s="8" t="n">
        <x:f>INDEX($K$388:$N$400,W43,1)*EXP(INDEX($K$388:$N$400,W43,2)*((J43-$T$405+1)/1000))+INDEX($O$388:$Z$400,W43,MONTH(J43))</x:f>
        <x:v>379.7414114077994</x:v>
      </x:c>
      <x:c r="N43" s="8" t="n">
        <x:f>K43-M43</x:f>
        <x:v>-144.74141140779938</x:v>
      </x:c>
      <x:c r="O43" s="8" t="n">
        <x:f>ABS(N43)</x:f>
        <x:v>144.74141140779938</x:v>
      </x:c>
      <x:c r="P43" s="8" t="n">
        <x:f>N43^2</x:f>
        <x:v>20950.076176321836</x:v>
      </x:c>
      <x:c r="Q43" s="8" t="n">
        <x:f>K43-L43</x:f>
        <x:v>-10</x:v>
      </x:c>
      <x:c r="R43" s="9" t="n">
        <x:f>IF(AND(INDEX('Сводка'!$T$3:$T$397,U43)=0,INDEX('Сводка'!$T$3:$T$397,V43)=0),1,0)</x:f>
        <x:v>1</x:v>
      </x:c>
      <x:c r="S43" s="9" t="n">
        <x:f>IF(AND(R43=1,O43&lt;=$G$13),1,0)</x:f>
        <x:v>0</x:v>
      </x:c>
      <x:c r="T43" s="10" t="n">
        <x:f>EOMONTH(J43-'Сводка'!$B$11,-1)</x:f>
        <x:v>45869</x:v>
      </x:c>
      <x:c r="U43" s="4" t="n">
        <x:f>MATCH(J43,'Сводка'!$R$3:$R$397,0)</x:f>
        <x:v>54</x:v>
      </x:c>
      <x:c r="V43" s="4" t="n">
        <x:f>MATCH(J43-'Сводка'!$B$11,'Сводка'!$R$3:$R$397,0)</x:f>
        <x:v>53</x:v>
      </x:c>
      <x:c r="W43" s="4" t="n">
        <x:f>MATCH(T43,$J$388:$J$400,0)</x:f>
        <x:v>2</x:v>
      </x:c>
      <x:c r="X43" s="3"/>
      <x:c r="Y43" s="3"/>
      <x:c r="Z43" s="3"/>
    </x:row>
    <x:row r="44" ht="15" customHeight="1">
      <x:c r="A44" s="10" t="n">
        <x:f>IF(26&lt;='Сводка'!$B$3,'Сводка'!$B$4+26,"")</x:f>
        <x:v>46261</x:v>
      </x:c>
      <x:c r="B44" s="19" t="n">
        <x:f>IF($A44="","",(A44-$T$405+1)/1000)</x:f>
        <x:v>9.005</x:v>
      </x:c>
      <x:c r="C44" s="19" t="n">
        <x:f>IF($A44="","",2*(A44-$T$405)/$T$406-1)</x:f>
        <x:v>1.0057919358431722</x:v>
      </x:c>
      <x:c r="D44" s="8" t="n">
        <x:f>IF($A44="","",$B$4*EXP($B$5*B44)+INDEX($E$4:$E$15,MONTH(A44)))</x:f>
        <x:v>364.65590329228576</x:v>
      </x:c>
      <x:c r="E44" s="8" t="n">
        <x:f>IF($A44="","",SQRT($T$403^2+H44^2))</x:f>
        <x:v>113.64248188528902</x:v>
      </x:c>
      <x:c r="F44" s="8" t="n">
        <x:f>IF($A44="","",D44-$T$404*E44)</x:f>
        <x:v>141.88931381228693</x:v>
      </x:c>
      <x:c r="G44" s="8" t="n">
        <x:f>IF($A44="","",D44+$T$404*E44)</x:f>
        <x:v>587.4224927722846</x:v>
      </x:c>
      <x:c r="H44" s="8" t="n">
        <x:f>IF($A44="","",SQRT(MAX(0,(EXP($B$5*B44))*$S$409*(EXP($B$5*B44))+(EXP($B$5*B44))*$T$409*($B$4*EXP($B$5*B44)*B44)+($B$4*EXP($B$5*B44)*B44)*$S$410*(EXP($B$5*B44))+($B$4*EXP($B$5*B44)*B44)*$T$410*($B$4*EXP($B$5*B44)*B44)+2*((EXP($B$5*B44))*INDEX($S$416:$V$427,MONTH(A44),1)+($B$4*EXP($B$5*B44)*B44)*INDEX($S$416:$V$427,MONTH(A44),2))+INDEX($W$416:$W$427,MONTH(A44)))))</x:f>
        <x:v>5.450812100809298</x:v>
      </x:c>
      <x:c r="I44" s="3"/>
      <x:c r="J44" s="10" t="n">
        <x:v>45895</x:v>
      </x:c>
      <x:c r="K44" s="8" t="n">
        <x:f>INDEX('Сводка'!$S$3:$S$397,U44)</x:f>
        <x:v>227</x:v>
      </x:c>
      <x:c r="L44" s="8" t="n">
        <x:f>INDEX('Сводка'!$S$3:$S$397,V44)</x:f>
        <x:v>235</x:v>
      </x:c>
      <x:c r="M44" s="8" t="n">
        <x:f>INDEX($K$388:$N$400,W44,1)*EXP(INDEX($K$388:$N$400,W44,2)*((J44-$T$405+1)/1000))+INDEX($O$388:$Z$400,W44,MONTH(J44))</x:f>
        <x:v>379.7815366310988</x:v>
      </x:c>
      <x:c r="N44" s="8" t="n">
        <x:f>K44-M44</x:f>
        <x:v>-152.7815366310988</x:v>
      </x:c>
      <x:c r="O44" s="8" t="n">
        <x:f>ABS(N44)</x:f>
        <x:v>152.7815366310988</x:v>
      </x:c>
      <x:c r="P44" s="8" t="n">
        <x:f>N44^2</x:f>
        <x:v>23342.19793535978</x:v>
      </x:c>
      <x:c r="Q44" s="8" t="n">
        <x:f>K44-L44</x:f>
        <x:v>-8</x:v>
      </x:c>
      <x:c r="R44" s="9" t="n">
        <x:f>IF(AND(INDEX('Сводка'!$T$3:$T$397,U44)=0,INDEX('Сводка'!$T$3:$T$397,V44)=0),1,0)</x:f>
        <x:v>1</x:v>
      </x:c>
      <x:c r="S44" s="9" t="n">
        <x:f>IF(AND(R44=1,O44&lt;=$G$13),1,0)</x:f>
        <x:v>0</x:v>
      </x:c>
      <x:c r="T44" s="10" t="n">
        <x:f>EOMONTH(J44-'Сводка'!$B$11,-1)</x:f>
        <x:v>45869</x:v>
      </x:c>
      <x:c r="U44" s="4" t="n">
        <x:f>MATCH(J44,'Сводка'!$R$3:$R$397,0)</x:f>
        <x:v>55</x:v>
      </x:c>
      <x:c r="V44" s="4" t="n">
        <x:f>MATCH(J44-'Сводка'!$B$11,'Сводка'!$R$3:$R$397,0)</x:f>
        <x:v>54</x:v>
      </x:c>
      <x:c r="W44" s="4" t="n">
        <x:f>MATCH(T44,$J$388:$J$400,0)</x:f>
        <x:v>2</x:v>
      </x:c>
      <x:c r="X44" s="3"/>
      <x:c r="Y44" s="3"/>
      <x:c r="Z44" s="3"/>
    </x:row>
    <x:row r="45" ht="15" customHeight="1">
      <x:c r="A45" s="10" t="n">
        <x:f>IF(27&lt;='Сводка'!$B$3,'Сводка'!$B$4+27,"")</x:f>
        <x:v>46262</x:v>
      </x:c>
      <x:c r="B45" s="19" t="n">
        <x:f>IF($A45="","",(A45-$T$405+1)/1000)</x:f>
        <x:v>9.006</x:v>
      </x:c>
      <x:c r="C45" s="19" t="n">
        <x:f>IF($A45="","",2*(A45-$T$405)/$T$406-1)</x:f>
        <x:v>1.0060147026063713</x:v>
      </x:c>
      <x:c r="D45" s="8" t="n">
        <x:f>IF($A45="","",$B$4*EXP($B$5*B45)+INDEX($E$4:$E$15,MONTH(A45)))</x:f>
        <x:v>364.68693607269086</x:v>
      </x:c>
      <x:c r="E45" s="8" t="n">
        <x:f>IF($A45="","",SQRT($T$403^2+H45^2))</x:f>
        <x:v>113.64253716757482</x:v>
      </x:c>
      <x:c r="F45" s="8" t="n">
        <x:f>IF($A45="","",D45-$T$404*E45)</x:f>
        <x:v>141.92023822611938</x:v>
      </x:c>
      <x:c r="G45" s="8" t="n">
        <x:f>IF($A45="","",D45+$T$404*E45)</x:f>
        <x:v>587.4536339192623</x:v>
      </x:c>
      <x:c r="H45" s="8" t="n">
        <x:f>IF($A45="","",SQRT(MAX(0,(EXP($B$5*B45))*$S$409*(EXP($B$5*B45))+(EXP($B$5*B45))*$T$409*($B$4*EXP($B$5*B45)*B45)+($B$4*EXP($B$5*B45)*B45)*$S$410*(EXP($B$5*B45))+($B$4*EXP($B$5*B45)*B45)*$T$410*($B$4*EXP($B$5*B45)*B45)+2*((EXP($B$5*B45))*INDEX($S$416:$V$427,MONTH(A45),1)+($B$4*EXP($B$5*B45)*B45)*INDEX($S$416:$V$427,MONTH(A45),2))+INDEX($W$416:$W$427,MONTH(A45)))))</x:f>
        <x:v>5.451964544429056</x:v>
      </x:c>
      <x:c r="I45" s="3"/>
      <x:c r="J45" s="10" t="n">
        <x:v>45896</x:v>
      </x:c>
      <x:c r="K45" s="8" t="n">
        <x:f>INDEX('Сводка'!$S$3:$S$397,U45)</x:f>
        <x:v>226</x:v>
      </x:c>
      <x:c r="L45" s="8" t="n">
        <x:f>INDEX('Сводка'!$S$3:$S$397,V45)</x:f>
        <x:v>227</x:v>
      </x:c>
      <x:c r="M45" s="8" t="n">
        <x:f>INDEX($K$388:$N$400,W45,1)*EXP(INDEX($K$388:$N$400,W45,2)*((J45-$T$405+1)/1000))+INDEX($O$388:$Z$400,W45,MONTH(J45))</x:f>
        <x:v>379.82167154732406</x:v>
      </x:c>
      <x:c r="N45" s="8" t="n">
        <x:f>K45-M45</x:f>
        <x:v>-153.82167154732406</x:v>
      </x:c>
      <x:c r="O45" s="8" t="n">
        <x:f>ABS(N45)</x:f>
        <x:v>153.82167154732406</x:v>
      </x:c>
      <x:c r="P45" s="8" t="n">
        <x:f>N45^2</x:f>
        <x:v>23661.106637612844</x:v>
      </x:c>
      <x:c r="Q45" s="8" t="n">
        <x:f>K45-L45</x:f>
        <x:v>-1</x:v>
      </x:c>
      <x:c r="R45" s="9" t="n">
        <x:f>IF(AND(INDEX('Сводка'!$T$3:$T$397,U45)=0,INDEX('Сводка'!$T$3:$T$397,V45)=0),1,0)</x:f>
        <x:v>1</x:v>
      </x:c>
      <x:c r="S45" s="9" t="n">
        <x:f>IF(AND(R45=1,O45&lt;=$G$13),1,0)</x:f>
        <x:v>0</x:v>
      </x:c>
      <x:c r="T45" s="10" t="n">
        <x:f>EOMONTH(J45-'Сводка'!$B$11,-1)</x:f>
        <x:v>45869</x:v>
      </x:c>
      <x:c r="U45" s="4" t="n">
        <x:f>MATCH(J45,'Сводка'!$R$3:$R$397,0)</x:f>
        <x:v>56</x:v>
      </x:c>
      <x:c r="V45" s="4" t="n">
        <x:f>MATCH(J45-'Сводка'!$B$11,'Сводка'!$R$3:$R$397,0)</x:f>
        <x:v>55</x:v>
      </x:c>
      <x:c r="W45" s="4" t="n">
        <x:f>MATCH(T45,$J$388:$J$400,0)</x:f>
        <x:v>2</x:v>
      </x:c>
      <x:c r="X45" s="3"/>
      <x:c r="Y45" s="3"/>
      <x:c r="Z45" s="3"/>
    </x:row>
    <x:row r="46" ht="15" customHeight="1">
      <x:c r="A46" s="10" t="n">
        <x:f>IF(28&lt;='Сводка'!$B$3,'Сводка'!$B$4+28,"")</x:f>
        <x:v>46263</x:v>
      </x:c>
      <x:c r="B46" s="19" t="n">
        <x:f>IF($A46="","",(A46-$T$405+1)/1000)</x:f>
        <x:v>9.007</x:v>
      </x:c>
      <x:c r="C46" s="19" t="n">
        <x:f>IF($A46="","",2*(A46-$T$405)/$T$406-1)</x:f>
        <x:v>1.00623746936957</x:v>
      </x:c>
      <x:c r="D46" s="8" t="n">
        <x:f>IF($A46="","",$B$4*EXP($B$5*B46)+INDEX($E$4:$E$15,MONTH(A46)))</x:f>
        <x:v>364.71797520556356</x:v>
      </x:c>
      <x:c r="E46" s="8" t="n">
        <x:f>IF($A46="","",SQRT($T$403^2+H46^2))</x:f>
        <x:v>113.64259249786082</x:v>
      </x:c>
      <x:c r="F46" s="8" t="n">
        <x:f>IF($A46="","",D46-$T$404*E46)</x:f>
        <x:v>141.95116889832755</x:v>
      </x:c>
      <x:c r="G46" s="8" t="n">
        <x:f>IF($A46="","",D46+$T$404*E46)</x:f>
        <x:v>587.4847815127996</x:v>
      </x:c>
      <x:c r="H46" s="8" t="n">
        <x:f>IF($A46="","",SQRT(MAX(0,(EXP($B$5*B46))*$S$409*(EXP($B$5*B46))+(EXP($B$5*B46))*$T$409*($B$4*EXP($B$5*B46)*B46)+($B$4*EXP($B$5*B46)*B46)*$S$410*(EXP($B$5*B46))+($B$4*EXP($B$5*B46)*B46)*$T$410*($B$4*EXP($B$5*B46)*B46)+2*((EXP($B$5*B46))*INDEX($S$416:$V$427,MONTH(A46),1)+($B$4*EXP($B$5*B46)*B46)*INDEX($S$416:$V$427,MONTH(A46),2))+INDEX($W$416:$W$427,MONTH(A46)))))</x:f>
        <x:v>5.453117745376473</x:v>
      </x:c>
      <x:c r="I46" s="3"/>
      <x:c r="J46" s="10" t="n">
        <x:v>45897</x:v>
      </x:c>
      <x:c r="K46" s="8" t="n">
        <x:f>INDEX('Сводка'!$S$3:$S$397,U46)</x:f>
        <x:v>229</x:v>
      </x:c>
      <x:c r="L46" s="8" t="n">
        <x:f>INDEX('Сводка'!$S$3:$S$397,V46)</x:f>
        <x:v>226</x:v>
      </x:c>
      <x:c r="M46" s="8" t="n">
        <x:f>INDEX($K$388:$N$400,W46,1)*EXP(INDEX($K$388:$N$400,W46,2)*((J46-$T$405+1)/1000))+INDEX($O$388:$Z$400,W46,MONTH(J46))</x:f>
        <x:v>379.8618161588163</x:v>
      </x:c>
      <x:c r="N46" s="8" t="n">
        <x:f>K46-M46</x:f>
        <x:v>-150.86181615881628</x:v>
      </x:c>
      <x:c r="O46" s="8" t="n">
        <x:f>ABS(N46)</x:f>
        <x:v>150.86181615881628</x:v>
      </x:c>
      <x:c r="P46" s="8" t="n">
        <x:f>N46^2</x:f>
        <x:v>22759.28757473648</x:v>
      </x:c>
      <x:c r="Q46" s="8" t="n">
        <x:f>K46-L46</x:f>
        <x:v>3</x:v>
      </x:c>
      <x:c r="R46" s="9" t="n">
        <x:f>IF(AND(INDEX('Сводка'!$T$3:$T$397,U46)=0,INDEX('Сводка'!$T$3:$T$397,V46)=0),1,0)</x:f>
        <x:v>1</x:v>
      </x:c>
      <x:c r="S46" s="9" t="n">
        <x:f>IF(AND(R46=1,O46&lt;=$G$13),1,0)</x:f>
        <x:v>0</x:v>
      </x:c>
      <x:c r="T46" s="10" t="n">
        <x:f>EOMONTH(J46-'Сводка'!$B$11,-1)</x:f>
        <x:v>45869</x:v>
      </x:c>
      <x:c r="U46" s="4" t="n">
        <x:f>MATCH(J46,'Сводка'!$R$3:$R$397,0)</x:f>
        <x:v>57</x:v>
      </x:c>
      <x:c r="V46" s="4" t="n">
        <x:f>MATCH(J46-'Сводка'!$B$11,'Сводка'!$R$3:$R$397,0)</x:f>
        <x:v>56</x:v>
      </x:c>
      <x:c r="W46" s="4" t="n">
        <x:f>MATCH(T46,$J$388:$J$400,0)</x:f>
        <x:v>2</x:v>
      </x:c>
      <x:c r="X46" s="3"/>
      <x:c r="Y46" s="3"/>
      <x:c r="Z46" s="3"/>
    </x:row>
    <x:row r="47" ht="15" customHeight="1">
      <x:c r="A47" s="10" t="n">
        <x:f>IF(29&lt;='Сводка'!$B$3,'Сводка'!$B$4+29,"")</x:f>
        <x:v>46264</x:v>
      </x:c>
      <x:c r="B47" s="19" t="n">
        <x:f>IF($A47="","",(A47-$T$405+1)/1000)</x:f>
        <x:v>9.008</x:v>
      </x:c>
      <x:c r="C47" s="19" t="n">
        <x:f>IF($A47="","",2*(A47-$T$405)/$T$406-1)</x:f>
        <x:v>1.006460236132769</x:v>
      </x:c>
      <x:c r="D47" s="8" t="n">
        <x:f>IF($A47="","",$B$4*EXP($B$5*B47)+INDEX($E$4:$E$15,MONTH(A47)))</x:f>
        <x:v>364.74902069220434</x:v>
      </x:c>
      <x:c r="E47" s="8" t="n">
        <x:f>IF($A47="","",SQRT($T$403^2+H47^2))</x:f>
        <x:v>113.64264787618234</x:v>
      </x:c>
      <x:c r="F47" s="8" t="n">
        <x:f>IF($A47="","",D47-$T$404*E47)</x:f>
        <x:v>141.9821058301426</x:v>
      </x:c>
      <x:c r="G47" s="8" t="n">
        <x:f>IF($A47="","",D47+$T$404*E47)</x:f>
        <x:v>587.5159355542661</x:v>
      </x:c>
      <x:c r="H47" s="8" t="n">
        <x:f>IF($A47="","",SQRT(MAX(0,(EXP($B$5*B47))*$S$409*(EXP($B$5*B47))+(EXP($B$5*B47))*$T$409*($B$4*EXP($B$5*B47)*B47)+($B$4*EXP($B$5*B47)*B47)*$S$410*(EXP($B$5*B47))+($B$4*EXP($B$5*B47)*B47)*$T$410*($B$4*EXP($B$5*B47)*B47)+2*((EXP($B$5*B47))*INDEX($S$416:$V$427,MONTH(A47),1)+($B$4*EXP($B$5*B47)*B47)*INDEX($S$416:$V$427,MONTH(A47),2))+INDEX($W$416:$W$427,MONTH(A47)))))</x:f>
        <x:v>5.454271703908672</x:v>
      </x:c>
      <x:c r="I47" s="3"/>
      <x:c r="J47" s="10" t="n">
        <x:v>45898</x:v>
      </x:c>
      <x:c r="K47" s="8" t="n">
        <x:f>INDEX('Сводка'!$S$3:$S$397,U47)</x:f>
        <x:v>233</x:v>
      </x:c>
      <x:c r="L47" s="8" t="n">
        <x:f>INDEX('Сводка'!$S$3:$S$397,V47)</x:f>
        <x:v>229</x:v>
      </x:c>
      <x:c r="M47" s="8" t="n">
        <x:f>INDEX($K$388:$N$400,W47,1)*EXP(INDEX($K$388:$N$400,W47,2)*((J47-$T$405+1)/1000))+INDEX($O$388:$Z$400,W47,MONTH(J47))</x:f>
        <x:v>379.9019704679178</x:v>
      </x:c>
      <x:c r="N47" s="8" t="n">
        <x:f>K47-M47</x:f>
        <x:v>-146.9019704679178</x:v>
      </x:c>
      <x:c r="O47" s="8" t="n">
        <x:f>ABS(N47)</x:f>
        <x:v>146.9019704679178</x:v>
      </x:c>
      <x:c r="P47" s="8" t="n">
        <x:f>N47^2</x:f>
        <x:v>21580.188927356994</x:v>
      </x:c>
      <x:c r="Q47" s="8" t="n">
        <x:f>K47-L47</x:f>
        <x:v>4</x:v>
      </x:c>
      <x:c r="R47" s="9" t="n">
        <x:f>IF(AND(INDEX('Сводка'!$T$3:$T$397,U47)=0,INDEX('Сводка'!$T$3:$T$397,V47)=0),1,0)</x:f>
        <x:v>1</x:v>
      </x:c>
      <x:c r="S47" s="9" t="n">
        <x:f>IF(AND(R47=1,O47&lt;=$G$13),1,0)</x:f>
        <x:v>0</x:v>
      </x:c>
      <x:c r="T47" s="10" t="n">
        <x:f>EOMONTH(J47-'Сводка'!$B$11,-1)</x:f>
        <x:v>45869</x:v>
      </x:c>
      <x:c r="U47" s="4" t="n">
        <x:f>MATCH(J47,'Сводка'!$R$3:$R$397,0)</x:f>
        <x:v>58</x:v>
      </x:c>
      <x:c r="V47" s="4" t="n">
        <x:f>MATCH(J47-'Сводка'!$B$11,'Сводка'!$R$3:$R$397,0)</x:f>
        <x:v>57</x:v>
      </x:c>
      <x:c r="W47" s="4" t="n">
        <x:f>MATCH(T47,$J$388:$J$400,0)</x:f>
        <x:v>2</x:v>
      </x:c>
      <x:c r="X47" s="3"/>
      <x:c r="Y47" s="3"/>
      <x:c r="Z47" s="3"/>
    </x:row>
    <x:row r="48" ht="15" customHeight="1">
      <x:c r="A48" s="10" t="n">
        <x:f>IF(30&lt;='Сводка'!$B$3,'Сводка'!$B$4+30,"")</x:f>
        <x:v>46265</x:v>
      </x:c>
      <x:c r="B48" s="19" t="n">
        <x:f>IF($A48="","",(A48-$T$405+1)/1000)</x:f>
        <x:v>9.009</x:v>
      </x:c>
      <x:c r="C48" s="19" t="n">
        <x:f>IF($A48="","",2*(A48-$T$405)/$T$406-1)</x:f>
        <x:v>1.0066830028959681</x:v>
      </x:c>
      <x:c r="D48" s="8" t="n">
        <x:f>IF($A48="","",$B$4*EXP($B$5*B48)+INDEX($E$4:$E$15,MONTH(A48)))</x:f>
        <x:v>364.7800725339139</x:v>
      </x:c>
      <x:c r="E48" s="8" t="n">
        <x:f>IF($A48="","",SQRT($T$403^2+H48^2))</x:f>
        <x:v>113.64270330257473</x:v>
      </x:c>
      <x:c r="F48" s="8" t="n">
        <x:f>IF($A48="","",D48-$T$404*E48)</x:f>
        <x:v>142.01304902279594</x:v>
      </x:c>
      <x:c r="G48" s="8" t="n">
        <x:f>IF($A48="","",D48+$T$404*E48)</x:f>
        <x:v>587.5470960450318</x:v>
      </x:c>
      <x:c r="H48" s="8" t="n">
        <x:f>IF($A48="","",SQRT(MAX(0,(EXP($B$5*B48))*$S$409*(EXP($B$5*B48))+(EXP($B$5*B48))*$T$409*($B$4*EXP($B$5*B48)*B48)+($B$4*EXP($B$5*B48)*B48)*$S$410*(EXP($B$5*B48))+($B$4*EXP($B$5*B48)*B48)*$T$410*($B$4*EXP($B$5*B48)*B48)+2*((EXP($B$5*B48))*INDEX($S$416:$V$427,MONTH(A48),1)+($B$4*EXP($B$5*B48)*B48)*INDEX($S$416:$V$427,MONTH(A48),2))+INDEX($W$416:$W$427,MONTH(A48)))))</x:f>
        <x:v>5.455426420282742</x:v>
      </x:c>
      <x:c r="I48" s="3"/>
      <x:c r="J48" s="10" t="n">
        <x:v>45899</x:v>
      </x:c>
      <x:c r="K48" s="8" t="n">
        <x:f>INDEX('Сводка'!$S$3:$S$397,U48)</x:f>
        <x:v>238</x:v>
      </x:c>
      <x:c r="L48" s="8" t="n">
        <x:f>INDEX('Сводка'!$S$3:$S$397,V48)</x:f>
        <x:v>233</x:v>
      </x:c>
      <x:c r="M48" s="8" t="n">
        <x:f>INDEX($K$388:$N$400,W48,1)*EXP(INDEX($K$388:$N$400,W48,2)*((J48-$T$405+1)/1000))+INDEX($O$388:$Z$400,W48,MONTH(J48))</x:f>
        <x:v>379.9421344769712</x:v>
      </x:c>
      <x:c r="N48" s="8" t="n">
        <x:f>K48-M48</x:f>
        <x:v>-141.9421344769712</x:v>
      </x:c>
      <x:c r="O48" s="8" t="n">
        <x:f>ABS(N48)</x:f>
        <x:v>141.9421344769712</x:v>
      </x:c>
      <x:c r="P48" s="8" t="n">
        <x:f>N48^2</x:f>
        <x:v>20147.56953987858</x:v>
      </x:c>
      <x:c r="Q48" s="8" t="n">
        <x:f>K48-L48</x:f>
        <x:v>5</x:v>
      </x:c>
      <x:c r="R48" s="9" t="n">
        <x:f>IF(AND(INDEX('Сводка'!$T$3:$T$397,U48)=0,INDEX('Сводка'!$T$3:$T$397,V48)=0),1,0)</x:f>
        <x:v>1</x:v>
      </x:c>
      <x:c r="S48" s="9" t="n">
        <x:f>IF(AND(R48=1,O48&lt;=$G$13),1,0)</x:f>
        <x:v>0</x:v>
      </x:c>
      <x:c r="T48" s="10" t="n">
        <x:f>EOMONTH(J48-'Сводка'!$B$11,-1)</x:f>
        <x:v>45869</x:v>
      </x:c>
      <x:c r="U48" s="4" t="n">
        <x:f>MATCH(J48,'Сводка'!$R$3:$R$397,0)</x:f>
        <x:v>59</x:v>
      </x:c>
      <x:c r="V48" s="4" t="n">
        <x:f>MATCH(J48-'Сводка'!$B$11,'Сводка'!$R$3:$R$397,0)</x:f>
        <x:v>58</x:v>
      </x:c>
      <x:c r="W48" s="4" t="n">
        <x:f>MATCH(T48,$J$388:$J$400,0)</x:f>
        <x:v>2</x:v>
      </x:c>
      <x:c r="X48" s="3"/>
      <x:c r="Y48" s="3"/>
      <x:c r="Z48" s="3"/>
    </x:row>
    <x:row r="49" ht="15" customHeight="1">
      <x:c r="A49" s="7" t="str">
        <x:f>IF(31&lt;='Сводка'!$B$3,'Сводка'!$B$4+31,"")</x:f>
      </x:c>
      <x:c r="B49" s="20" t="str">
        <x:f>IF($A49="","",(A49-$T$405+1)/1000)</x:f>
      </x:c>
      <x:c r="C49" s="20" t="str">
        <x:f>IF($A49="","",2*(A49-$T$405)/$T$406-1)</x:f>
      </x:c>
      <x:c r="D49" s="3" t="str">
        <x:f>IF($A49="","",$B$4*EXP($B$5*B49)+INDEX($E$4:$E$15,MONTH(A49)))</x:f>
      </x:c>
      <x:c r="E49" s="3" t="str">
        <x:f>IF($A49="","",SQRT($T$403^2+H49^2))</x:f>
      </x:c>
      <x:c r="F49" s="3" t="str">
        <x:f>IF($A49="","",D49-$T$404*E49)</x:f>
      </x:c>
      <x:c r="G49" s="3" t="str">
        <x:f>IF($A49="","",D49+$T$404*E49)</x:f>
      </x:c>
      <x:c r="H49" s="3" t="str">
        <x:f>IF($A49="","",SQRT(MAX(0,(EXP($B$5*B49))*$S$409*(EXP($B$5*B49))+(EXP($B$5*B49))*$T$409*($B$4*EXP($B$5*B49)*B49)+($B$4*EXP($B$5*B49)*B49)*$S$410*(EXP($B$5*B49))+($B$4*EXP($B$5*B49)*B49)*$T$410*($B$4*EXP($B$5*B49)*B49)+2*((EXP($B$5*B49))*INDEX($S$416:$V$427,MONTH(A49),1)+($B$4*EXP($B$5*B49)*B49)*INDEX($S$416:$V$427,MONTH(A49),2))+INDEX($W$416:$W$427,MONTH(A49)))))</x:f>
      </x:c>
      <x:c r="I49" s="3"/>
      <x:c r="J49" s="10" t="n">
        <x:v>45900</x:v>
      </x:c>
      <x:c r="K49" s="8" t="n">
        <x:f>INDEX('Сводка'!$S$3:$S$397,U49)</x:f>
        <x:v>238</x:v>
      </x:c>
      <x:c r="L49" s="8" t="n">
        <x:f>INDEX('Сводка'!$S$3:$S$397,V49)</x:f>
        <x:v>238</x:v>
      </x:c>
      <x:c r="M49" s="8" t="n">
        <x:f>INDEX($K$388:$N$400,W49,1)*EXP(INDEX($K$388:$N$400,W49,2)*((J49-$T$405+1)/1000))+INDEX($O$388:$Z$400,W49,MONTH(J49))</x:f>
        <x:v>379.9823081883195</x:v>
      </x:c>
      <x:c r="N49" s="8" t="n">
        <x:f>K49-M49</x:f>
        <x:v>-141.9823081883195</x:v>
      </x:c>
      <x:c r="O49" s="8" t="n">
        <x:f>ABS(N49)</x:f>
        <x:v>141.9823081883195</x:v>
      </x:c>
      <x:c r="P49" s="8" t="n">
        <x:f>N49^2</x:f>
        <x:v>20158.97583848294</x:v>
      </x:c>
      <x:c r="Q49" s="8" t="n">
        <x:f>K49-L49</x:f>
        <x:v>0</x:v>
      </x:c>
      <x:c r="R49" s="9" t="n">
        <x:f>IF(AND(INDEX('Сводка'!$T$3:$T$397,U49)=0,INDEX('Сводка'!$T$3:$T$397,V49)=0),1,0)</x:f>
        <x:v>1</x:v>
      </x:c>
      <x:c r="S49" s="9" t="n">
        <x:f>IF(AND(R49=1,O49&lt;=$G$13),1,0)</x:f>
        <x:v>0</x:v>
      </x:c>
      <x:c r="T49" s="10" t="n">
        <x:f>EOMONTH(J49-'Сводка'!$B$11,-1)</x:f>
        <x:v>45869</x:v>
      </x:c>
      <x:c r="U49" s="4" t="n">
        <x:f>MATCH(J49,'Сводка'!$R$3:$R$397,0)</x:f>
        <x:v>60</x:v>
      </x:c>
      <x:c r="V49" s="4" t="n">
        <x:f>MATCH(J49-'Сводка'!$B$11,'Сводка'!$R$3:$R$397,0)</x:f>
        <x:v>59</x:v>
      </x:c>
      <x:c r="W49" s="4" t="n">
        <x:f>MATCH(T49,$J$388:$J$400,0)</x:f>
        <x:v>2</x:v>
      </x:c>
      <x:c r="X49" s="3"/>
      <x:c r="Y49" s="3"/>
      <x:c r="Z49" s="3"/>
    </x:row>
    <x:row r="50" ht="15" customHeight="1">
      <x:c r="A50" s="7" t="str">
        <x:f>IF(32&lt;='Сводка'!$B$3,'Сводка'!$B$4+32,"")</x:f>
      </x:c>
      <x:c r="B50" s="20" t="str">
        <x:f>IF($A50="","",(A50-$T$405+1)/1000)</x:f>
      </x:c>
      <x:c r="C50" s="20" t="str">
        <x:f>IF($A50="","",2*(A50-$T$405)/$T$406-1)</x:f>
      </x:c>
      <x:c r="D50" s="3" t="str">
        <x:f>IF($A50="","",$B$4*EXP($B$5*B50)+INDEX($E$4:$E$15,MONTH(A50)))</x:f>
      </x:c>
      <x:c r="E50" s="3" t="str">
        <x:f>IF($A50="","",SQRT($T$403^2+H50^2))</x:f>
      </x:c>
      <x:c r="F50" s="3" t="str">
        <x:f>IF($A50="","",D50-$T$404*E50)</x:f>
      </x:c>
      <x:c r="G50" s="3" t="str">
        <x:f>IF($A50="","",D50+$T$404*E50)</x:f>
      </x:c>
      <x:c r="H50" s="3" t="str">
        <x:f>IF($A50="","",SQRT(MAX(0,(EXP($B$5*B50))*$S$409*(EXP($B$5*B50))+(EXP($B$5*B50))*$T$409*($B$4*EXP($B$5*B50)*B50)+($B$4*EXP($B$5*B50)*B50)*$S$410*(EXP($B$5*B50))+($B$4*EXP($B$5*B50)*B50)*$T$410*($B$4*EXP($B$5*B50)*B50)+2*((EXP($B$5*B50))*INDEX($S$416:$V$427,MONTH(A50),1)+($B$4*EXP($B$5*B50)*B50)*INDEX($S$416:$V$427,MONTH(A50),2))+INDEX($W$416:$W$427,MONTH(A50)))))</x:f>
      </x:c>
      <x:c r="I50" s="3"/>
      <x:c r="J50" s="10" t="n">
        <x:v>45901</x:v>
      </x:c>
      <x:c r="K50" s="8" t="n">
        <x:f>INDEX('Сводка'!$S$3:$S$397,U50)</x:f>
        <x:v>238</x:v>
      </x:c>
      <x:c r="L50" s="8" t="n">
        <x:f>INDEX('Сводка'!$S$3:$S$397,V50)</x:f>
        <x:v>238</x:v>
      </x:c>
      <x:c r="M50" s="8" t="n">
        <x:f>INDEX($K$388:$N$400,W50,1)*EXP(INDEX($K$388:$N$400,W50,2)*((J50-$T$405+1)/1000))+INDEX($O$388:$Z$400,W50,MONTH(J50))</x:f>
        <x:v>340.15154305231545</x:v>
      </x:c>
      <x:c r="N50" s="8" t="n">
        <x:f>K50-M50</x:f>
        <x:v>-102.15154305231545</x:v>
      </x:c>
      <x:c r="O50" s="8" t="n">
        <x:f>ABS(N50)</x:f>
        <x:v>102.15154305231545</x:v>
      </x:c>
      <x:c r="P50" s="8" t="n">
        <x:f>N50^2</x:f>
        <x:v>10434.937747969056</x:v>
      </x:c>
      <x:c r="Q50" s="8" t="n">
        <x:f>K50-L50</x:f>
        <x:v>0</x:v>
      </x:c>
      <x:c r="R50" s="9" t="n">
        <x:f>IF(AND(INDEX('Сводка'!$T$3:$T$397,U50)=0,INDEX('Сводка'!$T$3:$T$397,V50)=0),1,0)</x:f>
        <x:v>1</x:v>
      </x:c>
      <x:c r="S50" s="9" t="n">
        <x:f>IF(AND(R50=1,O50&lt;=$G$13),1,0)</x:f>
        <x:v>0</x:v>
      </x:c>
      <x:c r="T50" s="10" t="n">
        <x:f>EOMONTH(J50-'Сводка'!$B$11,-1)</x:f>
        <x:v>45869</x:v>
      </x:c>
      <x:c r="U50" s="4" t="n">
        <x:f>MATCH(J50,'Сводка'!$R$3:$R$397,0)</x:f>
        <x:v>61</x:v>
      </x:c>
      <x:c r="V50" s="4" t="n">
        <x:f>MATCH(J50-'Сводка'!$B$11,'Сводка'!$R$3:$R$397,0)</x:f>
        <x:v>60</x:v>
      </x:c>
      <x:c r="W50" s="4" t="n">
        <x:f>MATCH(T50,$J$388:$J$400,0)</x:f>
        <x:v>2</x:v>
      </x:c>
      <x:c r="X50" s="3"/>
      <x:c r="Y50" s="3"/>
      <x:c r="Z50" s="3"/>
    </x:row>
    <x:row r="51" ht="15" customHeight="1">
      <x:c r="A51" s="7" t="str">
        <x:f>IF(33&lt;='Сводка'!$B$3,'Сводка'!$B$4+33,"")</x:f>
      </x:c>
      <x:c r="B51" s="20" t="str">
        <x:f>IF($A51="","",(A51-$T$405+1)/1000)</x:f>
      </x:c>
      <x:c r="C51" s="20" t="str">
        <x:f>IF($A51="","",2*(A51-$T$405)/$T$406-1)</x:f>
      </x:c>
      <x:c r="D51" s="3" t="str">
        <x:f>IF($A51="","",$B$4*EXP($B$5*B51)+INDEX($E$4:$E$15,MONTH(A51)))</x:f>
      </x:c>
      <x:c r="E51" s="3" t="str">
        <x:f>IF($A51="","",SQRT($T$403^2+H51^2))</x:f>
      </x:c>
      <x:c r="F51" s="3" t="str">
        <x:f>IF($A51="","",D51-$T$404*E51)</x:f>
      </x:c>
      <x:c r="G51" s="3" t="str">
        <x:f>IF($A51="","",D51+$T$404*E51)</x:f>
      </x:c>
      <x:c r="H51" s="3" t="str">
        <x:f>IF($A51="","",SQRT(MAX(0,(EXP($B$5*B51))*$S$409*(EXP($B$5*B51))+(EXP($B$5*B51))*$T$409*($B$4*EXP($B$5*B51)*B51)+($B$4*EXP($B$5*B51)*B51)*$S$410*(EXP($B$5*B51))+($B$4*EXP($B$5*B51)*B51)*$T$410*($B$4*EXP($B$5*B51)*B51)+2*((EXP($B$5*B51))*INDEX($S$416:$V$427,MONTH(A51),1)+($B$4*EXP($B$5*B51)*B51)*INDEX($S$416:$V$427,MONTH(A51),2))+INDEX($W$416:$W$427,MONTH(A51)))))</x:f>
      </x:c>
      <x:c r="I51" s="3"/>
      <x:c r="J51" s="10" t="n">
        <x:v>45902</x:v>
      </x:c>
      <x:c r="K51" s="8" t="n">
        <x:f>INDEX('Сводка'!$S$3:$S$397,U51)</x:f>
        <x:v>233</x:v>
      </x:c>
      <x:c r="L51" s="8" t="n">
        <x:f>INDEX('Сводка'!$S$3:$S$397,V51)</x:f>
        <x:v>238</x:v>
      </x:c>
      <x:c r="M51" s="8" t="n">
        <x:f>INDEX($K$388:$N$400,W51,1)*EXP(INDEX($K$388:$N$400,W51,2)*((J51-$T$405+1)/1000))+INDEX($O$388:$Z$400,W51,MONTH(J51))</x:f>
        <x:v>337.3018260809579</x:v>
      </x:c>
      <x:c r="N51" s="8" t="n">
        <x:f>K51-M51</x:f>
        <x:v>-104.30182608095788</x:v>
      </x:c>
      <x:c r="O51" s="8" t="n">
        <x:f>ABS(N51)</x:f>
        <x:v>104.30182608095788</x:v>
      </x:c>
      <x:c r="P51" s="8" t="n">
        <x:f>N51^2</x:f>
        <x:v>10878.870923822386</x:v>
      </x:c>
      <x:c r="Q51" s="8" t="n">
        <x:f>K51-L51</x:f>
        <x:v>-5</x:v>
      </x:c>
      <x:c r="R51" s="9" t="n">
        <x:f>IF(AND(INDEX('Сводка'!$T$3:$T$397,U51)=0,INDEX('Сводка'!$T$3:$T$397,V51)=0),1,0)</x:f>
        <x:v>1</x:v>
      </x:c>
      <x:c r="S51" s="9" t="n">
        <x:f>IF(AND(R51=1,O51&lt;=$G$13),1,0)</x:f>
        <x:v>0</x:v>
      </x:c>
      <x:c r="T51" s="10" t="n">
        <x:f>EOMONTH(J51-'Сводка'!$B$11,-1)</x:f>
        <x:v>45900</x:v>
      </x:c>
      <x:c r="U51" s="4" t="n">
        <x:f>MATCH(J51,'Сводка'!$R$3:$R$397,0)</x:f>
        <x:v>62</x:v>
      </x:c>
      <x:c r="V51" s="4" t="n">
        <x:f>MATCH(J51-'Сводка'!$B$11,'Сводка'!$R$3:$R$397,0)</x:f>
        <x:v>61</x:v>
      </x:c>
      <x:c r="W51" s="4" t="n">
        <x:f>MATCH(T51,$J$388:$J$400,0)</x:f>
        <x:v>3</x:v>
      </x:c>
      <x:c r="X51" s="3"/>
      <x:c r="Y51" s="3"/>
      <x:c r="Z51" s="3"/>
    </x:row>
    <x:row r="52" ht="15" customHeight="1">
      <x:c r="A52" s="7" t="str">
        <x:f>IF(34&lt;='Сводка'!$B$3,'Сводка'!$B$4+34,"")</x:f>
      </x:c>
      <x:c r="B52" s="20" t="str">
        <x:f>IF($A52="","",(A52-$T$405+1)/1000)</x:f>
      </x:c>
      <x:c r="C52" s="20" t="str">
        <x:f>IF($A52="","",2*(A52-$T$405)/$T$406-1)</x:f>
      </x:c>
      <x:c r="D52" s="3" t="str">
        <x:f>IF($A52="","",$B$4*EXP($B$5*B52)+INDEX($E$4:$E$15,MONTH(A52)))</x:f>
      </x:c>
      <x:c r="E52" s="3" t="str">
        <x:f>IF($A52="","",SQRT($T$403^2+H52^2))</x:f>
      </x:c>
      <x:c r="F52" s="3" t="str">
        <x:f>IF($A52="","",D52-$T$404*E52)</x:f>
      </x:c>
      <x:c r="G52" s="3" t="str">
        <x:f>IF($A52="","",D52+$T$404*E52)</x:f>
      </x:c>
      <x:c r="H52" s="3" t="str">
        <x:f>IF($A52="","",SQRT(MAX(0,(EXP($B$5*B52))*$S$409*(EXP($B$5*B52))+(EXP($B$5*B52))*$T$409*($B$4*EXP($B$5*B52)*B52)+($B$4*EXP($B$5*B52)*B52)*$S$410*(EXP($B$5*B52))+($B$4*EXP($B$5*B52)*B52)*$T$410*($B$4*EXP($B$5*B52)*B52)+2*((EXP($B$5*B52))*INDEX($S$416:$V$427,MONTH(A52),1)+($B$4*EXP($B$5*B52)*B52)*INDEX($S$416:$V$427,MONTH(A52),2))+INDEX($W$416:$W$427,MONTH(A52)))))</x:f>
      </x:c>
      <x:c r="I52" s="3"/>
      <x:c r="J52" s="10" t="n">
        <x:v>45903</x:v>
      </x:c>
      <x:c r="K52" s="8" t="n">
        <x:f>INDEX('Сводка'!$S$3:$S$397,U52)</x:f>
        <x:v>228</x:v>
      </x:c>
      <x:c r="L52" s="8" t="n">
        <x:f>INDEX('Сводка'!$S$3:$S$397,V52)</x:f>
        <x:v>233</x:v>
      </x:c>
      <x:c r="M52" s="8" t="n">
        <x:f>INDEX($K$388:$N$400,W52,1)*EXP(INDEX($K$388:$N$400,W52,2)*((J52-$T$405+1)/1000))+INDEX($O$388:$Z$400,W52,MONTH(J52))</x:f>
        <x:v>337.34049255416187</x:v>
      </x:c>
      <x:c r="N52" s="8" t="n">
        <x:f>K52-M52</x:f>
        <x:v>-109.34049255416187</x:v>
      </x:c>
      <x:c r="O52" s="8" t="n">
        <x:f>ABS(N52)</x:f>
        <x:v>109.34049255416187</x:v>
      </x:c>
      <x:c r="P52" s="8" t="n">
        <x:f>N52^2</x:f>
        <x:v>11955.343311986728</x:v>
      </x:c>
      <x:c r="Q52" s="8" t="n">
        <x:f>K52-L52</x:f>
        <x:v>-5</x:v>
      </x:c>
      <x:c r="R52" s="9" t="n">
        <x:f>IF(AND(INDEX('Сводка'!$T$3:$T$397,U52)=0,INDEX('Сводка'!$T$3:$T$397,V52)=0),1,0)</x:f>
        <x:v>1</x:v>
      </x:c>
      <x:c r="S52" s="9" t="n">
        <x:f>IF(AND(R52=1,O52&lt;=$G$13),1,0)</x:f>
        <x:v>0</x:v>
      </x:c>
      <x:c r="T52" s="10" t="n">
        <x:f>EOMONTH(J52-'Сводка'!$B$11,-1)</x:f>
        <x:v>45900</x:v>
      </x:c>
      <x:c r="U52" s="4" t="n">
        <x:f>MATCH(J52,'Сводка'!$R$3:$R$397,0)</x:f>
        <x:v>63</x:v>
      </x:c>
      <x:c r="V52" s="4" t="n">
        <x:f>MATCH(J52-'Сводка'!$B$11,'Сводка'!$R$3:$R$397,0)</x:f>
        <x:v>62</x:v>
      </x:c>
      <x:c r="W52" s="4" t="n">
        <x:f>MATCH(T52,$J$388:$J$400,0)</x:f>
        <x:v>3</x:v>
      </x:c>
      <x:c r="X52" s="3"/>
      <x:c r="Y52" s="3"/>
      <x:c r="Z52" s="3"/>
    </x:row>
    <x:row r="53" ht="15" customHeight="1">
      <x:c r="A53" s="7" t="str">
        <x:f>IF(35&lt;='Сводка'!$B$3,'Сводка'!$B$4+35,"")</x:f>
      </x:c>
      <x:c r="B53" s="20" t="str">
        <x:f>IF($A53="","",(A53-$T$405+1)/1000)</x:f>
      </x:c>
      <x:c r="C53" s="20" t="str">
        <x:f>IF($A53="","",2*(A53-$T$405)/$T$406-1)</x:f>
      </x:c>
      <x:c r="D53" s="3" t="str">
        <x:f>IF($A53="","",$B$4*EXP($B$5*B53)+INDEX($E$4:$E$15,MONTH(A53)))</x:f>
      </x:c>
      <x:c r="E53" s="3" t="str">
        <x:f>IF($A53="","",SQRT($T$403^2+H53^2))</x:f>
      </x:c>
      <x:c r="F53" s="3" t="str">
        <x:f>IF($A53="","",D53-$T$404*E53)</x:f>
      </x:c>
      <x:c r="G53" s="3" t="str">
        <x:f>IF($A53="","",D53+$T$404*E53)</x:f>
      </x:c>
      <x:c r="H53" s="3" t="str">
        <x:f>IF($A53="","",SQRT(MAX(0,(EXP($B$5*B53))*$S$409*(EXP($B$5*B53))+(EXP($B$5*B53))*$T$409*($B$4*EXP($B$5*B53)*B53)+($B$4*EXP($B$5*B53)*B53)*$S$410*(EXP($B$5*B53))+($B$4*EXP($B$5*B53)*B53)*$T$410*($B$4*EXP($B$5*B53)*B53)+2*((EXP($B$5*B53))*INDEX($S$416:$V$427,MONTH(A53),1)+($B$4*EXP($B$5*B53)*B53)*INDEX($S$416:$V$427,MONTH(A53),2))+INDEX($W$416:$W$427,MONTH(A53)))))</x:f>
      </x:c>
      <x:c r="I53" s="3"/>
      <x:c r="J53" s="10" t="n">
        <x:v>45904</x:v>
      </x:c>
      <x:c r="K53" s="8" t="n">
        <x:f>INDEX('Сводка'!$S$3:$S$397,U53)</x:f>
        <x:v>226</x:v>
      </x:c>
      <x:c r="L53" s="8" t="n">
        <x:f>INDEX('Сводка'!$S$3:$S$397,V53)</x:f>
        <x:v>228</x:v>
      </x:c>
      <x:c r="M53" s="8" t="n">
        <x:f>INDEX($K$388:$N$400,W53,1)*EXP(INDEX($K$388:$N$400,W53,2)*((J53-$T$405+1)/1000))+INDEX($O$388:$Z$400,W53,MONTH(J53))</x:f>
        <x:v>337.3791681915005</x:v>
      </x:c>
      <x:c r="N53" s="8" t="n">
        <x:f>K53-M53</x:f>
        <x:v>-111.37916819150053</x:v>
      </x:c>
      <x:c r="O53" s="8" t="n">
        <x:f>ABS(N53)</x:f>
        <x:v>111.37916819150053</x:v>
      </x:c>
      <x:c r="P53" s="8" t="n">
        <x:f>N53^2</x:f>
        <x:v>12405.319107030562</x:v>
      </x:c>
      <x:c r="Q53" s="8" t="n">
        <x:f>K53-L53</x:f>
        <x:v>-2</x:v>
      </x:c>
      <x:c r="R53" s="9" t="n">
        <x:f>IF(AND(INDEX('Сводка'!$T$3:$T$397,U53)=0,INDEX('Сводка'!$T$3:$T$397,V53)=0),1,0)</x:f>
        <x:v>1</x:v>
      </x:c>
      <x:c r="S53" s="9" t="n">
        <x:f>IF(AND(R53=1,O53&lt;=$G$13),1,0)</x:f>
        <x:v>0</x:v>
      </x:c>
      <x:c r="T53" s="10" t="n">
        <x:f>EOMONTH(J53-'Сводка'!$B$11,-1)</x:f>
        <x:v>45900</x:v>
      </x:c>
      <x:c r="U53" s="4" t="n">
        <x:f>MATCH(J53,'Сводка'!$R$3:$R$397,0)</x:f>
        <x:v>64</x:v>
      </x:c>
      <x:c r="V53" s="4" t="n">
        <x:f>MATCH(J53-'Сводка'!$B$11,'Сводка'!$R$3:$R$397,0)</x:f>
        <x:v>63</x:v>
      </x:c>
      <x:c r="W53" s="4" t="n">
        <x:f>MATCH(T53,$J$388:$J$400,0)</x:f>
        <x:v>3</x:v>
      </x:c>
      <x:c r="X53" s="3"/>
      <x:c r="Y53" s="3"/>
      <x:c r="Z53" s="3"/>
    </x:row>
    <x:row r="54" ht="15" customHeight="1">
      <x:c r="A54" s="7" t="str">
        <x:f>IF(36&lt;='Сводка'!$B$3,'Сводка'!$B$4+36,"")</x:f>
      </x:c>
      <x:c r="B54" s="20" t="str">
        <x:f>IF($A54="","",(A54-$T$405+1)/1000)</x:f>
      </x:c>
      <x:c r="C54" s="20" t="str">
        <x:f>IF($A54="","",2*(A54-$T$405)/$T$406-1)</x:f>
      </x:c>
      <x:c r="D54" s="3" t="str">
        <x:f>IF($A54="","",$B$4*EXP($B$5*B54)+INDEX($E$4:$E$15,MONTH(A54)))</x:f>
      </x:c>
      <x:c r="E54" s="3" t="str">
        <x:f>IF($A54="","",SQRT($T$403^2+H54^2))</x:f>
      </x:c>
      <x:c r="F54" s="3" t="str">
        <x:f>IF($A54="","",D54-$T$404*E54)</x:f>
      </x:c>
      <x:c r="G54" s="3" t="str">
        <x:f>IF($A54="","",D54+$T$404*E54)</x:f>
      </x:c>
      <x:c r="H54" s="3" t="str">
        <x:f>IF($A54="","",SQRT(MAX(0,(EXP($B$5*B54))*$S$409*(EXP($B$5*B54))+(EXP($B$5*B54))*$T$409*($B$4*EXP($B$5*B54)*B54)+($B$4*EXP($B$5*B54)*B54)*$S$410*(EXP($B$5*B54))+($B$4*EXP($B$5*B54)*B54)*$T$410*($B$4*EXP($B$5*B54)*B54)+2*((EXP($B$5*B54))*INDEX($S$416:$V$427,MONTH(A54),1)+($B$4*EXP($B$5*B54)*B54)*INDEX($S$416:$V$427,MONTH(A54),2))+INDEX($W$416:$W$427,MONTH(A54)))))</x:f>
      </x:c>
      <x:c r="I54" s="3"/>
      <x:c r="J54" s="10" t="n">
        <x:v>45905</x:v>
      </x:c>
      <x:c r="K54" s="8" t="n">
        <x:f>INDEX('Сводка'!$S$3:$S$397,U54)</x:f>
        <x:v>226</x:v>
      </x:c>
      <x:c r="L54" s="8" t="n">
        <x:f>INDEX('Сводка'!$S$3:$S$397,V54)</x:f>
        <x:v>226</x:v>
      </x:c>
      <x:c r="M54" s="8" t="n">
        <x:f>INDEX($K$388:$N$400,W54,1)*EXP(INDEX($K$388:$N$400,W54,2)*((J54-$T$405+1)/1000))+INDEX($O$388:$Z$400,W54,MONTH(J54))</x:f>
        <x:v>337.41785299514584</x:v>
      </x:c>
      <x:c r="N54" s="8" t="n">
        <x:f>K54-M54</x:f>
        <x:v>-111.41785299514584</x:v>
      </x:c>
      <x:c r="O54" s="8" t="n">
        <x:f>ABS(N54)</x:f>
        <x:v>111.41785299514584</x:v>
      </x:c>
      <x:c r="P54" s="8" t="n">
        <x:f>N54^2</x:f>
        <x:v>12413.937966047928</x:v>
      </x:c>
      <x:c r="Q54" s="8" t="n">
        <x:f>K54-L54</x:f>
        <x:v>0</x:v>
      </x:c>
      <x:c r="R54" s="9" t="n">
        <x:f>IF(AND(INDEX('Сводка'!$T$3:$T$397,U54)=0,INDEX('Сводка'!$T$3:$T$397,V54)=0),1,0)</x:f>
        <x:v>1</x:v>
      </x:c>
      <x:c r="S54" s="9" t="n">
        <x:f>IF(AND(R54=1,O54&lt;=$G$13),1,0)</x:f>
        <x:v>0</x:v>
      </x:c>
      <x:c r="T54" s="10" t="n">
        <x:f>EOMONTH(J54-'Сводка'!$B$11,-1)</x:f>
        <x:v>45900</x:v>
      </x:c>
      <x:c r="U54" s="4" t="n">
        <x:f>MATCH(J54,'Сводка'!$R$3:$R$397,0)</x:f>
        <x:v>65</x:v>
      </x:c>
      <x:c r="V54" s="4" t="n">
        <x:f>MATCH(J54-'Сводка'!$B$11,'Сводка'!$R$3:$R$397,0)</x:f>
        <x:v>64</x:v>
      </x:c>
      <x:c r="W54" s="4" t="n">
        <x:f>MATCH(T54,$J$388:$J$400,0)</x:f>
        <x:v>3</x:v>
      </x:c>
      <x:c r="X54" s="3"/>
      <x:c r="Y54" s="3"/>
      <x:c r="Z54" s="3"/>
    </x:row>
    <x:row r="55" ht="15" customHeight="1">
      <x:c r="A55" s="7" t="str">
        <x:f>IF(37&lt;='Сводка'!$B$3,'Сводка'!$B$4+37,"")</x:f>
      </x:c>
      <x:c r="B55" s="20" t="str">
        <x:f>IF($A55="","",(A55-$T$405+1)/1000)</x:f>
      </x:c>
      <x:c r="C55" s="20" t="str">
        <x:f>IF($A55="","",2*(A55-$T$405)/$T$406-1)</x:f>
      </x:c>
      <x:c r="D55" s="3" t="str">
        <x:f>IF($A55="","",$B$4*EXP($B$5*B55)+INDEX($E$4:$E$15,MONTH(A55)))</x:f>
      </x:c>
      <x:c r="E55" s="3" t="str">
        <x:f>IF($A55="","",SQRT($T$403^2+H55^2))</x:f>
      </x:c>
      <x:c r="F55" s="3" t="str">
        <x:f>IF($A55="","",D55-$T$404*E55)</x:f>
      </x:c>
      <x:c r="G55" s="3" t="str">
        <x:f>IF($A55="","",D55+$T$404*E55)</x:f>
      </x:c>
      <x:c r="H55" s="3" t="str">
        <x:f>IF($A55="","",SQRT(MAX(0,(EXP($B$5*B55))*$S$409*(EXP($B$5*B55))+(EXP($B$5*B55))*$T$409*($B$4*EXP($B$5*B55)*B55)+($B$4*EXP($B$5*B55)*B55)*$S$410*(EXP($B$5*B55))+($B$4*EXP($B$5*B55)*B55)*$T$410*($B$4*EXP($B$5*B55)*B55)+2*((EXP($B$5*B55))*INDEX($S$416:$V$427,MONTH(A55),1)+($B$4*EXP($B$5*B55)*B55)*INDEX($S$416:$V$427,MONTH(A55),2))+INDEX($W$416:$W$427,MONTH(A55)))))</x:f>
      </x:c>
      <x:c r="I55" s="3"/>
      <x:c r="J55" s="10" t="n">
        <x:v>45906</x:v>
      </x:c>
      <x:c r="K55" s="8" t="n">
        <x:f>INDEX('Сводка'!$S$3:$S$397,U55)</x:f>
        <x:v>226</x:v>
      </x:c>
      <x:c r="L55" s="8" t="n">
        <x:f>INDEX('Сводка'!$S$3:$S$397,V55)</x:f>
        <x:v>226</x:v>
      </x:c>
      <x:c r="M55" s="8" t="n">
        <x:f>INDEX($K$388:$N$400,W55,1)*EXP(INDEX($K$388:$N$400,W55,2)*((J55-$T$405+1)/1000))+INDEX($O$388:$Z$400,W55,MONTH(J55))</x:f>
        <x:v>337.45654696727</x:v>
      </x:c>
      <x:c r="N55" s="8" t="n">
        <x:f>K55-M55</x:f>
        <x:v>-111.45654696727001</x:v>
      </x:c>
      <x:c r="O55" s="8" t="n">
        <x:f>ABS(N55)</x:f>
        <x:v>111.45654696727001</x:v>
      </x:c>
      <x:c r="P55" s="8" t="n">
        <x:f>N55^2</x:f>
        <x:v>12422.561861867267</x:v>
      </x:c>
      <x:c r="Q55" s="8" t="n">
        <x:f>K55-L55</x:f>
        <x:v>0</x:v>
      </x:c>
      <x:c r="R55" s="9" t="n">
        <x:f>IF(AND(INDEX('Сводка'!$T$3:$T$397,U55)=0,INDEX('Сводка'!$T$3:$T$397,V55)=0),1,0)</x:f>
        <x:v>1</x:v>
      </x:c>
      <x:c r="S55" s="9" t="n">
        <x:f>IF(AND(R55=1,O55&lt;=$G$13),1,0)</x:f>
        <x:v>0</x:v>
      </x:c>
      <x:c r="T55" s="10" t="n">
        <x:f>EOMONTH(J55-'Сводка'!$B$11,-1)</x:f>
        <x:v>45900</x:v>
      </x:c>
      <x:c r="U55" s="4" t="n">
        <x:f>MATCH(J55,'Сводка'!$R$3:$R$397,0)</x:f>
        <x:v>66</x:v>
      </x:c>
      <x:c r="V55" s="4" t="n">
        <x:f>MATCH(J55-'Сводка'!$B$11,'Сводка'!$R$3:$R$397,0)</x:f>
        <x:v>65</x:v>
      </x:c>
      <x:c r="W55" s="4" t="n">
        <x:f>MATCH(T55,$J$388:$J$400,0)</x:f>
        <x:v>3</x:v>
      </x:c>
      <x:c r="X55" s="3"/>
      <x:c r="Y55" s="3"/>
      <x:c r="Z55" s="3"/>
    </x:row>
    <x:row r="56" ht="15" customHeight="1">
      <x:c r="A56" s="7" t="str">
        <x:f>IF(38&lt;='Сводка'!$B$3,'Сводка'!$B$4+38,"")</x:f>
      </x:c>
      <x:c r="B56" s="20" t="str">
        <x:f>IF($A56="","",(A56-$T$405+1)/1000)</x:f>
      </x:c>
      <x:c r="C56" s="20" t="str">
        <x:f>IF($A56="","",2*(A56-$T$405)/$T$406-1)</x:f>
      </x:c>
      <x:c r="D56" s="3" t="str">
        <x:f>IF($A56="","",$B$4*EXP($B$5*B56)+INDEX($E$4:$E$15,MONTH(A56)))</x:f>
      </x:c>
      <x:c r="E56" s="3" t="str">
        <x:f>IF($A56="","",SQRT($T$403^2+H56^2))</x:f>
      </x:c>
      <x:c r="F56" s="3" t="str">
        <x:f>IF($A56="","",D56-$T$404*E56)</x:f>
      </x:c>
      <x:c r="G56" s="3" t="str">
        <x:f>IF($A56="","",D56+$T$404*E56)</x:f>
      </x:c>
      <x:c r="H56" s="3" t="str">
        <x:f>IF($A56="","",SQRT(MAX(0,(EXP($B$5*B56))*$S$409*(EXP($B$5*B56))+(EXP($B$5*B56))*$T$409*($B$4*EXP($B$5*B56)*B56)+($B$4*EXP($B$5*B56)*B56)*$S$410*(EXP($B$5*B56))+($B$4*EXP($B$5*B56)*B56)*$T$410*($B$4*EXP($B$5*B56)*B56)+2*((EXP($B$5*B56))*INDEX($S$416:$V$427,MONTH(A56),1)+($B$4*EXP($B$5*B56)*B56)*INDEX($S$416:$V$427,MONTH(A56),2))+INDEX($W$416:$W$427,MONTH(A56)))))</x:f>
      </x:c>
      <x:c r="I56" s="3"/>
      <x:c r="J56" s="10" t="n">
        <x:v>45907</x:v>
      </x:c>
      <x:c r="K56" s="8" t="n">
        <x:f>INDEX('Сводка'!$S$3:$S$397,U56)</x:f>
        <x:v>226</x:v>
      </x:c>
      <x:c r="L56" s="8" t="n">
        <x:f>INDEX('Сводка'!$S$3:$S$397,V56)</x:f>
        <x:v>226</x:v>
      </x:c>
      <x:c r="M56" s="8" t="n">
        <x:f>INDEX($K$388:$N$400,W56,1)*EXP(INDEX($K$388:$N$400,W56,2)*((J56-$T$405+1)/1000))+INDEX($O$388:$Z$400,W56,MONTH(J56))</x:f>
        <x:v>337.4952501100463</x:v>
      </x:c>
      <x:c r="N56" s="8" t="n">
        <x:f>K56-M56</x:f>
        <x:v>-111.4952501100463</x:v>
      </x:c>
      <x:c r="O56" s="8" t="n">
        <x:f>ABS(N56)</x:f>
        <x:v>111.4952501100463</x:v>
      </x:c>
      <x:c r="P56" s="8" t="n">
        <x:f>N56^2</x:f>
        <x:v>12431.190797101779</x:v>
      </x:c>
      <x:c r="Q56" s="8" t="n">
        <x:f>K56-L56</x:f>
        <x:v>0</x:v>
      </x:c>
      <x:c r="R56" s="9" t="n">
        <x:f>IF(AND(INDEX('Сводка'!$T$3:$T$397,U56)=0,INDEX('Сводка'!$T$3:$T$397,V56)=0),1,0)</x:f>
        <x:v>1</x:v>
      </x:c>
      <x:c r="S56" s="9" t="n">
        <x:f>IF(AND(R56=1,O56&lt;=$G$13),1,0)</x:f>
        <x:v>0</x:v>
      </x:c>
      <x:c r="T56" s="10" t="n">
        <x:f>EOMONTH(J56-'Сводка'!$B$11,-1)</x:f>
        <x:v>45900</x:v>
      </x:c>
      <x:c r="U56" s="4" t="n">
        <x:f>MATCH(J56,'Сводка'!$R$3:$R$397,0)</x:f>
        <x:v>67</x:v>
      </x:c>
      <x:c r="V56" s="4" t="n">
        <x:f>MATCH(J56-'Сводка'!$B$11,'Сводка'!$R$3:$R$397,0)</x:f>
        <x:v>66</x:v>
      </x:c>
      <x:c r="W56" s="4" t="n">
        <x:f>MATCH(T56,$J$388:$J$400,0)</x:f>
        <x:v>3</x:v>
      </x:c>
      <x:c r="X56" s="3"/>
      <x:c r="Y56" s="3"/>
      <x:c r="Z56" s="3"/>
    </x:row>
    <x:row r="57" ht="15" customHeight="1">
      <x:c r="A57" s="7" t="str">
        <x:f>IF(39&lt;='Сводка'!$B$3,'Сводка'!$B$4+39,"")</x:f>
      </x:c>
      <x:c r="B57" s="20" t="str">
        <x:f>IF($A57="","",(A57-$T$405+1)/1000)</x:f>
      </x:c>
      <x:c r="C57" s="20" t="str">
        <x:f>IF($A57="","",2*(A57-$T$405)/$T$406-1)</x:f>
      </x:c>
      <x:c r="D57" s="3" t="str">
        <x:f>IF($A57="","",$B$4*EXP($B$5*B57)+INDEX($E$4:$E$15,MONTH(A57)))</x:f>
      </x:c>
      <x:c r="E57" s="3" t="str">
        <x:f>IF($A57="","",SQRT($T$403^2+H57^2))</x:f>
      </x:c>
      <x:c r="F57" s="3" t="str">
        <x:f>IF($A57="","",D57-$T$404*E57)</x:f>
      </x:c>
      <x:c r="G57" s="3" t="str">
        <x:f>IF($A57="","",D57+$T$404*E57)</x:f>
      </x:c>
      <x:c r="H57" s="3" t="str">
        <x:f>IF($A57="","",SQRT(MAX(0,(EXP($B$5*B57))*$S$409*(EXP($B$5*B57))+(EXP($B$5*B57))*$T$409*($B$4*EXP($B$5*B57)*B57)+($B$4*EXP($B$5*B57)*B57)*$S$410*(EXP($B$5*B57))+($B$4*EXP($B$5*B57)*B57)*$T$410*($B$4*EXP($B$5*B57)*B57)+2*((EXP($B$5*B57))*INDEX($S$416:$V$427,MONTH(A57),1)+($B$4*EXP($B$5*B57)*B57)*INDEX($S$416:$V$427,MONTH(A57),2))+INDEX($W$416:$W$427,MONTH(A57)))))</x:f>
      </x:c>
      <x:c r="I57" s="3"/>
      <x:c r="J57" s="10" t="n">
        <x:v>45908</x:v>
      </x:c>
      <x:c r="K57" s="8" t="n">
        <x:f>INDEX('Сводка'!$S$3:$S$397,U57)</x:f>
        <x:v>222</x:v>
      </x:c>
      <x:c r="L57" s="8" t="n">
        <x:f>INDEX('Сводка'!$S$3:$S$397,V57)</x:f>
        <x:v>226</x:v>
      </x:c>
      <x:c r="M57" s="8" t="n">
        <x:f>INDEX($K$388:$N$400,W57,1)*EXP(INDEX($K$388:$N$400,W57,2)*((J57-$T$405+1)/1000))+INDEX($O$388:$Z$400,W57,MONTH(J57))</x:f>
        <x:v>337.53396242564804</x:v>
      </x:c>
      <x:c r="N57" s="8" t="n">
        <x:f>K57-M57</x:f>
        <x:v>-115.53396242564804</x:v>
      </x:c>
      <x:c r="O57" s="8" t="n">
        <x:f>ABS(N57)</x:f>
        <x:v>115.53396242564804</x:v>
      </x:c>
      <x:c r="P57" s="8" t="n">
        <x:f>N57^2</x:f>
        <x:v>13348.096473771053</x:v>
      </x:c>
      <x:c r="Q57" s="8" t="n">
        <x:f>K57-L57</x:f>
        <x:v>-4</x:v>
      </x:c>
      <x:c r="R57" s="9" t="n">
        <x:f>IF(AND(INDEX('Сводка'!$T$3:$T$397,U57)=0,INDEX('Сводка'!$T$3:$T$397,V57)=0),1,0)</x:f>
        <x:v>1</x:v>
      </x:c>
      <x:c r="S57" s="9" t="n">
        <x:f>IF(AND(R57=1,O57&lt;=$G$13),1,0)</x:f>
        <x:v>0</x:v>
      </x:c>
      <x:c r="T57" s="10" t="n">
        <x:f>EOMONTH(J57-'Сводка'!$B$11,-1)</x:f>
        <x:v>45900</x:v>
      </x:c>
      <x:c r="U57" s="4" t="n">
        <x:f>MATCH(J57,'Сводка'!$R$3:$R$397,0)</x:f>
        <x:v>68</x:v>
      </x:c>
      <x:c r="V57" s="4" t="n">
        <x:f>MATCH(J57-'Сводка'!$B$11,'Сводка'!$R$3:$R$397,0)</x:f>
        <x:v>67</x:v>
      </x:c>
      <x:c r="W57" s="4" t="n">
        <x:f>MATCH(T57,$J$388:$J$400,0)</x:f>
        <x:v>3</x:v>
      </x:c>
      <x:c r="X57" s="3"/>
      <x:c r="Y57" s="3"/>
      <x:c r="Z57" s="3"/>
    </x:row>
    <x:row r="58" ht="15" customHeight="1">
      <x:c r="A58" s="7" t="str">
        <x:f>IF(40&lt;='Сводка'!$B$3,'Сводка'!$B$4+40,"")</x:f>
      </x:c>
      <x:c r="B58" s="20" t="str">
        <x:f>IF($A58="","",(A58-$T$405+1)/1000)</x:f>
      </x:c>
      <x:c r="C58" s="20" t="str">
        <x:f>IF($A58="","",2*(A58-$T$405)/$T$406-1)</x:f>
      </x:c>
      <x:c r="D58" s="3" t="str">
        <x:f>IF($A58="","",$B$4*EXP($B$5*B58)+INDEX($E$4:$E$15,MONTH(A58)))</x:f>
      </x:c>
      <x:c r="E58" s="3" t="str">
        <x:f>IF($A58="","",SQRT($T$403^2+H58^2))</x:f>
      </x:c>
      <x:c r="F58" s="3" t="str">
        <x:f>IF($A58="","",D58-$T$404*E58)</x:f>
      </x:c>
      <x:c r="G58" s="3" t="str">
        <x:f>IF($A58="","",D58+$T$404*E58)</x:f>
      </x:c>
      <x:c r="H58" s="3" t="str">
        <x:f>IF($A58="","",SQRT(MAX(0,(EXP($B$5*B58))*$S$409*(EXP($B$5*B58))+(EXP($B$5*B58))*$T$409*($B$4*EXP($B$5*B58)*B58)+($B$4*EXP($B$5*B58)*B58)*$S$410*(EXP($B$5*B58))+($B$4*EXP($B$5*B58)*B58)*$T$410*($B$4*EXP($B$5*B58)*B58)+2*((EXP($B$5*B58))*INDEX($S$416:$V$427,MONTH(A58),1)+($B$4*EXP($B$5*B58)*B58)*INDEX($S$416:$V$427,MONTH(A58),2))+INDEX($W$416:$W$427,MONTH(A58)))))</x:f>
      </x:c>
      <x:c r="I58" s="3"/>
      <x:c r="J58" s="10" t="n">
        <x:v>45909</x:v>
      </x:c>
      <x:c r="K58" s="8" t="n">
        <x:f>INDEX('Сводка'!$S$3:$S$397,U58)</x:f>
        <x:v>218</x:v>
      </x:c>
      <x:c r="L58" s="8" t="n">
        <x:f>INDEX('Сводка'!$S$3:$S$397,V58)</x:f>
        <x:v>222</x:v>
      </x:c>
      <x:c r="M58" s="8" t="n">
        <x:f>INDEX($K$388:$N$400,W58,1)*EXP(INDEX($K$388:$N$400,W58,2)*((J58-$T$405+1)/1000))+INDEX($O$388:$Z$400,W58,MONTH(J58))</x:f>
        <x:v>337.5726839162493</x:v>
      </x:c>
      <x:c r="N58" s="8" t="n">
        <x:f>K58-M58</x:f>
        <x:v>-119.57268391624928</x:v>
      </x:c>
      <x:c r="O58" s="8" t="n">
        <x:f>ABS(N58)</x:f>
        <x:v>119.57268391624928</x:v>
      </x:c>
      <x:c r="P58" s="8" t="n">
        <x:f>N58^2</x:f>
        <x:v>14297.626738935258</x:v>
      </x:c>
      <x:c r="Q58" s="8" t="n">
        <x:f>K58-L58</x:f>
        <x:v>-4</x:v>
      </x:c>
      <x:c r="R58" s="9" t="n">
        <x:f>IF(AND(INDEX('Сводка'!$T$3:$T$397,U58)=0,INDEX('Сводка'!$T$3:$T$397,V58)=0),1,0)</x:f>
        <x:v>1</x:v>
      </x:c>
      <x:c r="S58" s="9" t="n">
        <x:f>IF(AND(R58=1,O58&lt;=$G$13),1,0)</x:f>
        <x:v>0</x:v>
      </x:c>
      <x:c r="T58" s="10" t="n">
        <x:f>EOMONTH(J58-'Сводка'!$B$11,-1)</x:f>
        <x:v>45900</x:v>
      </x:c>
      <x:c r="U58" s="4" t="n">
        <x:f>MATCH(J58,'Сводка'!$R$3:$R$397,0)</x:f>
        <x:v>69</x:v>
      </x:c>
      <x:c r="V58" s="4" t="n">
        <x:f>MATCH(J58-'Сводка'!$B$11,'Сводка'!$R$3:$R$397,0)</x:f>
        <x:v>68</x:v>
      </x:c>
      <x:c r="W58" s="4" t="n">
        <x:f>MATCH(T58,$J$388:$J$400,0)</x:f>
        <x:v>3</x:v>
      </x:c>
      <x:c r="X58" s="3"/>
      <x:c r="Y58" s="3"/>
      <x:c r="Z58" s="3"/>
    </x:row>
    <x:row r="59" ht="15" customHeight="1">
      <x:c r="A59" s="7" t="str">
        <x:f>IF(41&lt;='Сводка'!$B$3,'Сводка'!$B$4+41,"")</x:f>
      </x:c>
      <x:c r="B59" s="20" t="str">
        <x:f>IF($A59="","",(A59-$T$405+1)/1000)</x:f>
      </x:c>
      <x:c r="C59" s="20" t="str">
        <x:f>IF($A59="","",2*(A59-$T$405)/$T$406-1)</x:f>
      </x:c>
      <x:c r="D59" s="3" t="str">
        <x:f>IF($A59="","",$B$4*EXP($B$5*B59)+INDEX($E$4:$E$15,MONTH(A59)))</x:f>
      </x:c>
      <x:c r="E59" s="3" t="str">
        <x:f>IF($A59="","",SQRT($T$403^2+H59^2))</x:f>
      </x:c>
      <x:c r="F59" s="3" t="str">
        <x:f>IF($A59="","",D59-$T$404*E59)</x:f>
      </x:c>
      <x:c r="G59" s="3" t="str">
        <x:f>IF($A59="","",D59+$T$404*E59)</x:f>
      </x:c>
      <x:c r="H59" s="3" t="str">
        <x:f>IF($A59="","",SQRT(MAX(0,(EXP($B$5*B59))*$S$409*(EXP($B$5*B59))+(EXP($B$5*B59))*$T$409*($B$4*EXP($B$5*B59)*B59)+($B$4*EXP($B$5*B59)*B59)*$S$410*(EXP($B$5*B59))+($B$4*EXP($B$5*B59)*B59)*$T$410*($B$4*EXP($B$5*B59)*B59)+2*((EXP($B$5*B59))*INDEX($S$416:$V$427,MONTH(A59),1)+($B$4*EXP($B$5*B59)*B59)*INDEX($S$416:$V$427,MONTH(A59),2))+INDEX($W$416:$W$427,MONTH(A59)))))</x:f>
      </x:c>
      <x:c r="I59" s="3"/>
      <x:c r="J59" s="10" t="n">
        <x:v>45910</x:v>
      </x:c>
      <x:c r="K59" s="8" t="n">
        <x:f>INDEX('Сводка'!$S$3:$S$397,U59)</x:f>
        <x:v>209</x:v>
      </x:c>
      <x:c r="L59" s="8" t="n">
        <x:f>INDEX('Сводка'!$S$3:$S$397,V59)</x:f>
        <x:v>218</x:v>
      </x:c>
      <x:c r="M59" s="8" t="n">
        <x:f>INDEX($K$388:$N$400,W59,1)*EXP(INDEX($K$388:$N$400,W59,2)*((J59-$T$405+1)/1000))+INDEX($O$388:$Z$400,W59,MONTH(J59))</x:f>
        <x:v>337.6114145840245</x:v>
      </x:c>
      <x:c r="N59" s="8" t="n">
        <x:f>K59-M59</x:f>
        <x:v>-128.6114145840245</x:v>
      </x:c>
      <x:c r="O59" s="8" t="n">
        <x:f>ABS(N59)</x:f>
        <x:v>128.6114145840245</x:v>
      </x:c>
      <x:c r="P59" s="8" t="n">
        <x:f>N59^2</x:f>
        <x:v>16540.895961303828</x:v>
      </x:c>
      <x:c r="Q59" s="8" t="n">
        <x:f>K59-L59</x:f>
        <x:v>-9</x:v>
      </x:c>
      <x:c r="R59" s="9" t="n">
        <x:f>IF(AND(INDEX('Сводка'!$T$3:$T$397,U59)=0,INDEX('Сводка'!$T$3:$T$397,V59)=0),1,0)</x:f>
        <x:v>1</x:v>
      </x:c>
      <x:c r="S59" s="9" t="n">
        <x:f>IF(AND(R59=1,O59&lt;=$G$13),1,0)</x:f>
        <x:v>0</x:v>
      </x:c>
      <x:c r="T59" s="10" t="n">
        <x:f>EOMONTH(J59-'Сводка'!$B$11,-1)</x:f>
        <x:v>45900</x:v>
      </x:c>
      <x:c r="U59" s="4" t="n">
        <x:f>MATCH(J59,'Сводка'!$R$3:$R$397,0)</x:f>
        <x:v>70</x:v>
      </x:c>
      <x:c r="V59" s="4" t="n">
        <x:f>MATCH(J59-'Сводка'!$B$11,'Сводка'!$R$3:$R$397,0)</x:f>
        <x:v>69</x:v>
      </x:c>
      <x:c r="W59" s="4" t="n">
        <x:f>MATCH(T59,$J$388:$J$400,0)</x:f>
        <x:v>3</x:v>
      </x:c>
      <x:c r="X59" s="3"/>
      <x:c r="Y59" s="3"/>
      <x:c r="Z59" s="3"/>
    </x:row>
    <x:row r="60" ht="15" customHeight="1">
      <x:c r="A60" s="7" t="str">
        <x:f>IF(42&lt;='Сводка'!$B$3,'Сводка'!$B$4+42,"")</x:f>
      </x:c>
      <x:c r="B60" s="20" t="str">
        <x:f>IF($A60="","",(A60-$T$405+1)/1000)</x:f>
      </x:c>
      <x:c r="C60" s="20" t="str">
        <x:f>IF($A60="","",2*(A60-$T$405)/$T$406-1)</x:f>
      </x:c>
      <x:c r="D60" s="3" t="str">
        <x:f>IF($A60="","",$B$4*EXP($B$5*B60)+INDEX($E$4:$E$15,MONTH(A60)))</x:f>
      </x:c>
      <x:c r="E60" s="3" t="str">
        <x:f>IF($A60="","",SQRT($T$403^2+H60^2))</x:f>
      </x:c>
      <x:c r="F60" s="3" t="str">
        <x:f>IF($A60="","",D60-$T$404*E60)</x:f>
      </x:c>
      <x:c r="G60" s="3" t="str">
        <x:f>IF($A60="","",D60+$T$404*E60)</x:f>
      </x:c>
      <x:c r="H60" s="3" t="str">
        <x:f>IF($A60="","",SQRT(MAX(0,(EXP($B$5*B60))*$S$409*(EXP($B$5*B60))+(EXP($B$5*B60))*$T$409*($B$4*EXP($B$5*B60)*B60)+($B$4*EXP($B$5*B60)*B60)*$S$410*(EXP($B$5*B60))+($B$4*EXP($B$5*B60)*B60)*$T$410*($B$4*EXP($B$5*B60)*B60)+2*((EXP($B$5*B60))*INDEX($S$416:$V$427,MONTH(A60),1)+($B$4*EXP($B$5*B60)*B60)*INDEX($S$416:$V$427,MONTH(A60),2))+INDEX($W$416:$W$427,MONTH(A60)))))</x:f>
      </x:c>
      <x:c r="I60" s="3"/>
      <x:c r="J60" s="10" t="n">
        <x:v>45911</x:v>
      </x:c>
      <x:c r="K60" s="8" t="n">
        <x:f>INDEX('Сводка'!$S$3:$S$397,U60)</x:f>
        <x:v>207</x:v>
      </x:c>
      <x:c r="L60" s="8" t="n">
        <x:f>INDEX('Сводка'!$S$3:$S$397,V60)</x:f>
        <x:v>209</x:v>
      </x:c>
      <x:c r="M60" s="8" t="n">
        <x:f>INDEX($K$388:$N$400,W60,1)*EXP(INDEX($K$388:$N$400,W60,2)*((J60-$T$405+1)/1000))+INDEX($O$388:$Z$400,W60,MONTH(J60))</x:f>
        <x:v>337.65015443114874</x:v>
      </x:c>
      <x:c r="N60" s="8" t="n">
        <x:f>K60-M60</x:f>
        <x:v>-130.65015443114874</x:v>
      </x:c>
      <x:c r="O60" s="8" t="n">
        <x:f>ABS(N60)</x:f>
        <x:v>130.65015443114874</x:v>
      </x:c>
      <x:c r="P60" s="8" t="n">
        <x:f>N60^2</x:f>
        <x:v>17069.462852883014</x:v>
      </x:c>
      <x:c r="Q60" s="8" t="n">
        <x:f>K60-L60</x:f>
        <x:v>-2</x:v>
      </x:c>
      <x:c r="R60" s="9" t="n">
        <x:f>IF(AND(INDEX('Сводка'!$T$3:$T$397,U60)=0,INDEX('Сводка'!$T$3:$T$397,V60)=0),1,0)</x:f>
        <x:v>1</x:v>
      </x:c>
      <x:c r="S60" s="9" t="n">
        <x:f>IF(AND(R60=1,O60&lt;=$G$13),1,0)</x:f>
        <x:v>0</x:v>
      </x:c>
      <x:c r="T60" s="10" t="n">
        <x:f>EOMONTH(J60-'Сводка'!$B$11,-1)</x:f>
        <x:v>45900</x:v>
      </x:c>
      <x:c r="U60" s="4" t="n">
        <x:f>MATCH(J60,'Сводка'!$R$3:$R$397,0)</x:f>
        <x:v>71</x:v>
      </x:c>
      <x:c r="V60" s="4" t="n">
        <x:f>MATCH(J60-'Сводка'!$B$11,'Сводка'!$R$3:$R$397,0)</x:f>
        <x:v>70</x:v>
      </x:c>
      <x:c r="W60" s="4" t="n">
        <x:f>MATCH(T60,$J$388:$J$400,0)</x:f>
        <x:v>3</x:v>
      </x:c>
      <x:c r="X60" s="3"/>
      <x:c r="Y60" s="3"/>
      <x:c r="Z60" s="3"/>
    </x:row>
    <x:row r="61" ht="15" customHeight="1">
      <x:c r="A61" s="7" t="str">
        <x:f>IF(43&lt;='Сводка'!$B$3,'Сводка'!$B$4+43,"")</x:f>
      </x:c>
      <x:c r="B61" s="20" t="str">
        <x:f>IF($A61="","",(A61-$T$405+1)/1000)</x:f>
      </x:c>
      <x:c r="C61" s="20" t="str">
        <x:f>IF($A61="","",2*(A61-$T$405)/$T$406-1)</x:f>
      </x:c>
      <x:c r="D61" s="3" t="str">
        <x:f>IF($A61="","",$B$4*EXP($B$5*B61)+INDEX($E$4:$E$15,MONTH(A61)))</x:f>
      </x:c>
      <x:c r="E61" s="3" t="str">
        <x:f>IF($A61="","",SQRT($T$403^2+H61^2))</x:f>
      </x:c>
      <x:c r="F61" s="3" t="str">
        <x:f>IF($A61="","",D61-$T$404*E61)</x:f>
      </x:c>
      <x:c r="G61" s="3" t="str">
        <x:f>IF($A61="","",D61+$T$404*E61)</x:f>
      </x:c>
      <x:c r="H61" s="3" t="str">
        <x:f>IF($A61="","",SQRT(MAX(0,(EXP($B$5*B61))*$S$409*(EXP($B$5*B61))+(EXP($B$5*B61))*$T$409*($B$4*EXP($B$5*B61)*B61)+($B$4*EXP($B$5*B61)*B61)*$S$410*(EXP($B$5*B61))+($B$4*EXP($B$5*B61)*B61)*$T$410*($B$4*EXP($B$5*B61)*B61)+2*((EXP($B$5*B61))*INDEX($S$416:$V$427,MONTH(A61),1)+($B$4*EXP($B$5*B61)*B61)*INDEX($S$416:$V$427,MONTH(A61),2))+INDEX($W$416:$W$427,MONTH(A61)))))</x:f>
      </x:c>
      <x:c r="I61" s="3"/>
      <x:c r="J61" s="10" t="n">
        <x:v>45912</x:v>
      </x:c>
      <x:c r="K61" s="8" t="n">
        <x:f>INDEX('Сводка'!$S$3:$S$397,U61)</x:f>
        <x:v>204</x:v>
      </x:c>
      <x:c r="L61" s="8" t="n">
        <x:f>INDEX('Сводка'!$S$3:$S$397,V61)</x:f>
        <x:v>207</x:v>
      </x:c>
      <x:c r="M61" s="8" t="n">
        <x:f>INDEX($K$388:$N$400,W61,1)*EXP(INDEX($K$388:$N$400,W61,2)*((J61-$T$405+1)/1000))+INDEX($O$388:$Z$400,W61,MONTH(J61))</x:f>
        <x:v>337.68890345979764</x:v>
      </x:c>
      <x:c r="N61" s="8" t="n">
        <x:f>K61-M61</x:f>
        <x:v>-133.68890345979764</x:v>
      </x:c>
      <x:c r="O61" s="8" t="n">
        <x:f>ABS(N61)</x:f>
        <x:v>133.68890345979764</x:v>
      </x:c>
      <x:c r="P61" s="8" t="n">
        <x:f>N61^2</x:f>
        <x:v>17872.722908283093</x:v>
      </x:c>
      <x:c r="Q61" s="8" t="n">
        <x:f>K61-L61</x:f>
        <x:v>-3</x:v>
      </x:c>
      <x:c r="R61" s="9" t="n">
        <x:f>IF(AND(INDEX('Сводка'!$T$3:$T$397,U61)=0,INDEX('Сводка'!$T$3:$T$397,V61)=0),1,0)</x:f>
        <x:v>1</x:v>
      </x:c>
      <x:c r="S61" s="9" t="n">
        <x:f>IF(AND(R61=1,O61&lt;=$G$13),1,0)</x:f>
        <x:v>0</x:v>
      </x:c>
      <x:c r="T61" s="10" t="n">
        <x:f>EOMONTH(J61-'Сводка'!$B$11,-1)</x:f>
        <x:v>45900</x:v>
      </x:c>
      <x:c r="U61" s="4" t="n">
        <x:f>MATCH(J61,'Сводка'!$R$3:$R$397,0)</x:f>
        <x:v>72</x:v>
      </x:c>
      <x:c r="V61" s="4" t="n">
        <x:f>MATCH(J61-'Сводка'!$B$11,'Сводка'!$R$3:$R$397,0)</x:f>
        <x:v>71</x:v>
      </x:c>
      <x:c r="W61" s="4" t="n">
        <x:f>MATCH(T61,$J$388:$J$400,0)</x:f>
        <x:v>3</x:v>
      </x:c>
      <x:c r="X61" s="3"/>
      <x:c r="Y61" s="3"/>
      <x:c r="Z61" s="3"/>
    </x:row>
    <x:row r="62" ht="15" customHeight="1">
      <x:c r="A62" s="7" t="str">
        <x:f>IF(44&lt;='Сводка'!$B$3,'Сводка'!$B$4+44,"")</x:f>
      </x:c>
      <x:c r="B62" s="20" t="str">
        <x:f>IF($A62="","",(A62-$T$405+1)/1000)</x:f>
      </x:c>
      <x:c r="C62" s="20" t="str">
        <x:f>IF($A62="","",2*(A62-$T$405)/$T$406-1)</x:f>
      </x:c>
      <x:c r="D62" s="3" t="str">
        <x:f>IF($A62="","",$B$4*EXP($B$5*B62)+INDEX($E$4:$E$15,MONTH(A62)))</x:f>
      </x:c>
      <x:c r="E62" s="3" t="str">
        <x:f>IF($A62="","",SQRT($T$403^2+H62^2))</x:f>
      </x:c>
      <x:c r="F62" s="3" t="str">
        <x:f>IF($A62="","",D62-$T$404*E62)</x:f>
      </x:c>
      <x:c r="G62" s="3" t="str">
        <x:f>IF($A62="","",D62+$T$404*E62)</x:f>
      </x:c>
      <x:c r="H62" s="3" t="str">
        <x:f>IF($A62="","",SQRT(MAX(0,(EXP($B$5*B62))*$S$409*(EXP($B$5*B62))+(EXP($B$5*B62))*$T$409*($B$4*EXP($B$5*B62)*B62)+($B$4*EXP($B$5*B62)*B62)*$S$410*(EXP($B$5*B62))+($B$4*EXP($B$5*B62)*B62)*$T$410*($B$4*EXP($B$5*B62)*B62)+2*((EXP($B$5*B62))*INDEX($S$416:$V$427,MONTH(A62),1)+($B$4*EXP($B$5*B62)*B62)*INDEX($S$416:$V$427,MONTH(A62),2))+INDEX($W$416:$W$427,MONTH(A62)))))</x:f>
      </x:c>
      <x:c r="I62" s="3"/>
      <x:c r="J62" s="10" t="n">
        <x:v>45913</x:v>
      </x:c>
      <x:c r="K62" s="8" t="n">
        <x:f>INDEX('Сводка'!$S$3:$S$397,U62)</x:f>
        <x:v>201</x:v>
      </x:c>
      <x:c r="L62" s="8" t="n">
        <x:f>INDEX('Сводка'!$S$3:$S$397,V62)</x:f>
        <x:v>204</x:v>
      </x:c>
      <x:c r="M62" s="8" t="n">
        <x:f>INDEX($K$388:$N$400,W62,1)*EXP(INDEX($K$388:$N$400,W62,2)*((J62-$T$405+1)/1000))+INDEX($O$388:$Z$400,W62,MONTH(J62))</x:f>
        <x:v>337.7276616721471</x:v>
      </x:c>
      <x:c r="N62" s="8" t="n">
        <x:f>K62-M62</x:f>
        <x:v>-136.72766167214712</x:v>
      </x:c>
      <x:c r="O62" s="8" t="n">
        <x:f>ABS(N62)</x:f>
        <x:v>136.72766167214712</x:v>
      </x:c>
      <x:c r="P62" s="8" t="n">
        <x:f>N62^2</x:f>
        <x:v>18694.45346633313</x:v>
      </x:c>
      <x:c r="Q62" s="8" t="n">
        <x:f>K62-L62</x:f>
        <x:v>-3</x:v>
      </x:c>
      <x:c r="R62" s="9" t="n">
        <x:f>IF(AND(INDEX('Сводка'!$T$3:$T$397,U62)=0,INDEX('Сводка'!$T$3:$T$397,V62)=0),1,0)</x:f>
        <x:v>1</x:v>
      </x:c>
      <x:c r="S62" s="9" t="n">
        <x:f>IF(AND(R62=1,O62&lt;=$G$13),1,0)</x:f>
        <x:v>0</x:v>
      </x:c>
      <x:c r="T62" s="10" t="n">
        <x:f>EOMONTH(J62-'Сводка'!$B$11,-1)</x:f>
        <x:v>45900</x:v>
      </x:c>
      <x:c r="U62" s="4" t="n">
        <x:f>MATCH(J62,'Сводка'!$R$3:$R$397,0)</x:f>
        <x:v>73</x:v>
      </x:c>
      <x:c r="V62" s="4" t="n">
        <x:f>MATCH(J62-'Сводка'!$B$11,'Сводка'!$R$3:$R$397,0)</x:f>
        <x:v>72</x:v>
      </x:c>
      <x:c r="W62" s="4" t="n">
        <x:f>MATCH(T62,$J$388:$J$400,0)</x:f>
        <x:v>3</x:v>
      </x:c>
      <x:c r="X62" s="3"/>
      <x:c r="Y62" s="3"/>
      <x:c r="Z62" s="3"/>
    </x:row>
    <x:row r="63" ht="15" customHeight="1">
      <x:c r="A63" s="7" t="str">
        <x:f>IF(45&lt;='Сводка'!$B$3,'Сводка'!$B$4+45,"")</x:f>
      </x:c>
      <x:c r="B63" s="20" t="str">
        <x:f>IF($A63="","",(A63-$T$405+1)/1000)</x:f>
      </x:c>
      <x:c r="C63" s="20" t="str">
        <x:f>IF($A63="","",2*(A63-$T$405)/$T$406-1)</x:f>
      </x:c>
      <x:c r="D63" s="3" t="str">
        <x:f>IF($A63="","",$B$4*EXP($B$5*B63)+INDEX($E$4:$E$15,MONTH(A63)))</x:f>
      </x:c>
      <x:c r="E63" s="3" t="str">
        <x:f>IF($A63="","",SQRT($T$403^2+H63^2))</x:f>
      </x:c>
      <x:c r="F63" s="3" t="str">
        <x:f>IF($A63="","",D63-$T$404*E63)</x:f>
      </x:c>
      <x:c r="G63" s="3" t="str">
        <x:f>IF($A63="","",D63+$T$404*E63)</x:f>
      </x:c>
      <x:c r="H63" s="3" t="str">
        <x:f>IF($A63="","",SQRT(MAX(0,(EXP($B$5*B63))*$S$409*(EXP($B$5*B63))+(EXP($B$5*B63))*$T$409*($B$4*EXP($B$5*B63)*B63)+($B$4*EXP($B$5*B63)*B63)*$S$410*(EXP($B$5*B63))+($B$4*EXP($B$5*B63)*B63)*$T$410*($B$4*EXP($B$5*B63)*B63)+2*((EXP($B$5*B63))*INDEX($S$416:$V$427,MONTH(A63),1)+($B$4*EXP($B$5*B63)*B63)*INDEX($S$416:$V$427,MONTH(A63),2))+INDEX($W$416:$W$427,MONTH(A63)))))</x:f>
      </x:c>
      <x:c r="I63" s="3"/>
      <x:c r="J63" s="10" t="n">
        <x:v>45914</x:v>
      </x:c>
      <x:c r="K63" s="8" t="n">
        <x:f>INDEX('Сводка'!$S$3:$S$397,U63)</x:f>
        <x:v>202</x:v>
      </x:c>
      <x:c r="L63" s="8" t="n">
        <x:f>INDEX('Сводка'!$S$3:$S$397,V63)</x:f>
        <x:v>201</x:v>
      </x:c>
      <x:c r="M63" s="8" t="n">
        <x:f>INDEX($K$388:$N$400,W63,1)*EXP(INDEX($K$388:$N$400,W63,2)*((J63-$T$405+1)/1000))+INDEX($O$388:$Z$400,W63,MONTH(J63))</x:f>
        <x:v>337.76642907037376</x:v>
      </x:c>
      <x:c r="N63" s="8" t="n">
        <x:f>K63-M63</x:f>
        <x:v>-135.76642907037376</x:v>
      </x:c>
      <x:c r="O63" s="8" t="n">
        <x:f>ABS(N63)</x:f>
        <x:v>135.76642907037376</x:v>
      </x:c>
      <x:c r="P63" s="8" t="n">
        <x:f>N63^2</x:f>
        <x:v>18432.52326252083</x:v>
      </x:c>
      <x:c r="Q63" s="8" t="n">
        <x:f>K63-L63</x:f>
        <x:v>1</x:v>
      </x:c>
      <x:c r="R63" s="9" t="n">
        <x:f>IF(AND(INDEX('Сводка'!$T$3:$T$397,U63)=0,INDEX('Сводка'!$T$3:$T$397,V63)=0),1,0)</x:f>
        <x:v>1</x:v>
      </x:c>
      <x:c r="S63" s="9" t="n">
        <x:f>IF(AND(R63=1,O63&lt;=$G$13),1,0)</x:f>
        <x:v>0</x:v>
      </x:c>
      <x:c r="T63" s="10" t="n">
        <x:f>EOMONTH(J63-'Сводка'!$B$11,-1)</x:f>
        <x:v>45900</x:v>
      </x:c>
      <x:c r="U63" s="4" t="n">
        <x:f>MATCH(J63,'Сводка'!$R$3:$R$397,0)</x:f>
        <x:v>74</x:v>
      </x:c>
      <x:c r="V63" s="4" t="n">
        <x:f>MATCH(J63-'Сводка'!$B$11,'Сводка'!$R$3:$R$397,0)</x:f>
        <x:v>73</x:v>
      </x:c>
      <x:c r="W63" s="4" t="n">
        <x:f>MATCH(T63,$J$388:$J$400,0)</x:f>
        <x:v>3</x:v>
      </x:c>
      <x:c r="X63" s="3"/>
      <x:c r="Y63" s="3"/>
      <x:c r="Z63" s="3"/>
    </x:row>
    <x:row r="64" ht="15" customHeight="1">
      <x:c r="A64" s="7" t="str">
        <x:f>IF(46&lt;='Сводка'!$B$3,'Сводка'!$B$4+46,"")</x:f>
      </x:c>
      <x:c r="B64" s="20" t="str">
        <x:f>IF($A64="","",(A64-$T$405+1)/1000)</x:f>
      </x:c>
      <x:c r="C64" s="20" t="str">
        <x:f>IF($A64="","",2*(A64-$T$405)/$T$406-1)</x:f>
      </x:c>
      <x:c r="D64" s="3" t="str">
        <x:f>IF($A64="","",$B$4*EXP($B$5*B64)+INDEX($E$4:$E$15,MONTH(A64)))</x:f>
      </x:c>
      <x:c r="E64" s="3" t="str">
        <x:f>IF($A64="","",SQRT($T$403^2+H64^2))</x:f>
      </x:c>
      <x:c r="F64" s="3" t="str">
        <x:f>IF($A64="","",D64-$T$404*E64)</x:f>
      </x:c>
      <x:c r="G64" s="3" t="str">
        <x:f>IF($A64="","",D64+$T$404*E64)</x:f>
      </x:c>
      <x:c r="H64" s="3" t="str">
        <x:f>IF($A64="","",SQRT(MAX(0,(EXP($B$5*B64))*$S$409*(EXP($B$5*B64))+(EXP($B$5*B64))*$T$409*($B$4*EXP($B$5*B64)*B64)+($B$4*EXP($B$5*B64)*B64)*$S$410*(EXP($B$5*B64))+($B$4*EXP($B$5*B64)*B64)*$T$410*($B$4*EXP($B$5*B64)*B64)+2*((EXP($B$5*B64))*INDEX($S$416:$V$427,MONTH(A64),1)+($B$4*EXP($B$5*B64)*B64)*INDEX($S$416:$V$427,MONTH(A64),2))+INDEX($W$416:$W$427,MONTH(A64)))))</x:f>
      </x:c>
      <x:c r="I64" s="3"/>
      <x:c r="J64" s="10" t="n">
        <x:v>45915</x:v>
      </x:c>
      <x:c r="K64" s="8" t="n">
        <x:f>INDEX('Сводка'!$S$3:$S$397,U64)</x:f>
        <x:v>204</x:v>
      </x:c>
      <x:c r="L64" s="8" t="n">
        <x:f>INDEX('Сводка'!$S$3:$S$397,V64)</x:f>
        <x:v>202</x:v>
      </x:c>
      <x:c r="M64" s="8" t="n">
        <x:f>INDEX($K$388:$N$400,W64,1)*EXP(INDEX($K$388:$N$400,W64,2)*((J64-$T$405+1)/1000))+INDEX($O$388:$Z$400,W64,MONTH(J64))</x:f>
        <x:v>337.8052056566549</x:v>
      </x:c>
      <x:c r="N64" s="8" t="n">
        <x:f>K64-M64</x:f>
        <x:v>-133.8052056566549</x:v>
      </x:c>
      <x:c r="O64" s="8" t="n">
        <x:f>ABS(N64)</x:f>
        <x:v>133.8052056566549</x:v>
      </x:c>
      <x:c r="P64" s="8" t="n">
        <x:f>N64^2</x:f>
        <x:v>17903.83306081971</x:v>
      </x:c>
      <x:c r="Q64" s="8" t="n">
        <x:f>K64-L64</x:f>
        <x:v>2</x:v>
      </x:c>
      <x:c r="R64" s="9" t="n">
        <x:f>IF(AND(INDEX('Сводка'!$T$3:$T$397,U64)=0,INDEX('Сводка'!$T$3:$T$397,V64)=0),1,0)</x:f>
        <x:v>1</x:v>
      </x:c>
      <x:c r="S64" s="9" t="n">
        <x:f>IF(AND(R64=1,O64&lt;=$G$13),1,0)</x:f>
        <x:v>0</x:v>
      </x:c>
      <x:c r="T64" s="10" t="n">
        <x:f>EOMONTH(J64-'Сводка'!$B$11,-1)</x:f>
        <x:v>45900</x:v>
      </x:c>
      <x:c r="U64" s="4" t="n">
        <x:f>MATCH(J64,'Сводка'!$R$3:$R$397,0)</x:f>
        <x:v>75</x:v>
      </x:c>
      <x:c r="V64" s="4" t="n">
        <x:f>MATCH(J64-'Сводка'!$B$11,'Сводка'!$R$3:$R$397,0)</x:f>
        <x:v>74</x:v>
      </x:c>
      <x:c r="W64" s="4" t="n">
        <x:f>MATCH(T64,$J$388:$J$400,0)</x:f>
        <x:v>3</x:v>
      </x:c>
      <x:c r="X64" s="3"/>
      <x:c r="Y64" s="3"/>
      <x:c r="Z64" s="3"/>
    </x:row>
    <x:row r="65" ht="15" customHeight="1">
      <x:c r="A65" s="7" t="str">
        <x:f>IF(47&lt;='Сводка'!$B$3,'Сводка'!$B$4+47,"")</x:f>
      </x:c>
      <x:c r="B65" s="20" t="str">
        <x:f>IF($A65="","",(A65-$T$405+1)/1000)</x:f>
      </x:c>
      <x:c r="C65" s="20" t="str">
        <x:f>IF($A65="","",2*(A65-$T$405)/$T$406-1)</x:f>
      </x:c>
      <x:c r="D65" s="3" t="str">
        <x:f>IF($A65="","",$B$4*EXP($B$5*B65)+INDEX($E$4:$E$15,MONTH(A65)))</x:f>
      </x:c>
      <x:c r="E65" s="3" t="str">
        <x:f>IF($A65="","",SQRT($T$403^2+H65^2))</x:f>
      </x:c>
      <x:c r="F65" s="3" t="str">
        <x:f>IF($A65="","",D65-$T$404*E65)</x:f>
      </x:c>
      <x:c r="G65" s="3" t="str">
        <x:f>IF($A65="","",D65+$T$404*E65)</x:f>
      </x:c>
      <x:c r="H65" s="3" t="str">
        <x:f>IF($A65="","",SQRT(MAX(0,(EXP($B$5*B65))*$S$409*(EXP($B$5*B65))+(EXP($B$5*B65))*$T$409*($B$4*EXP($B$5*B65)*B65)+($B$4*EXP($B$5*B65)*B65)*$S$410*(EXP($B$5*B65))+($B$4*EXP($B$5*B65)*B65)*$T$410*($B$4*EXP($B$5*B65)*B65)+2*((EXP($B$5*B65))*INDEX($S$416:$V$427,MONTH(A65),1)+($B$4*EXP($B$5*B65)*B65)*INDEX($S$416:$V$427,MONTH(A65),2))+INDEX($W$416:$W$427,MONTH(A65)))))</x:f>
      </x:c>
      <x:c r="I65" s="3"/>
      <x:c r="J65" s="10" t="n">
        <x:v>45916</x:v>
      </x:c>
      <x:c r="K65" s="8" t="n">
        <x:f>INDEX('Сводка'!$S$3:$S$397,U65)</x:f>
        <x:v>213</x:v>
      </x:c>
      <x:c r="L65" s="8" t="n">
        <x:f>INDEX('Сводка'!$S$3:$S$397,V65)</x:f>
        <x:v>204</x:v>
      </x:c>
      <x:c r="M65" s="8" t="n">
        <x:f>INDEX($K$388:$N$400,W65,1)*EXP(INDEX($K$388:$N$400,W65,2)*((J65-$T$405+1)/1000))+INDEX($O$388:$Z$400,W65,MONTH(J65))</x:f>
        <x:v>337.84399143316784</x:v>
      </x:c>
      <x:c r="N65" s="8" t="n">
        <x:f>K65-M65</x:f>
        <x:v>-124.84399143316784</x:v>
      </x:c>
      <x:c r="O65" s="8" t="n">
        <x:f>ABS(N65)</x:f>
        <x:v>124.84399143316784</x:v>
      </x:c>
      <x:c r="P65" s="8" t="n">
        <x:f>N65^2</x:f>
        <x:v>15586.022196964886</x:v>
      </x:c>
      <x:c r="Q65" s="8" t="n">
        <x:f>K65-L65</x:f>
        <x:v>9</x:v>
      </x:c>
      <x:c r="R65" s="9" t="n">
        <x:f>IF(AND(INDEX('Сводка'!$T$3:$T$397,U65)=0,INDEX('Сводка'!$T$3:$T$397,V65)=0),1,0)</x:f>
        <x:v>1</x:v>
      </x:c>
      <x:c r="S65" s="9" t="n">
        <x:f>IF(AND(R65=1,O65&lt;=$G$13),1,0)</x:f>
        <x:v>0</x:v>
      </x:c>
      <x:c r="T65" s="10" t="n">
        <x:f>EOMONTH(J65-'Сводка'!$B$11,-1)</x:f>
        <x:v>45900</x:v>
      </x:c>
      <x:c r="U65" s="4" t="n">
        <x:f>MATCH(J65,'Сводка'!$R$3:$R$397,0)</x:f>
        <x:v>76</x:v>
      </x:c>
      <x:c r="V65" s="4" t="n">
        <x:f>MATCH(J65-'Сводка'!$B$11,'Сводка'!$R$3:$R$397,0)</x:f>
        <x:v>75</x:v>
      </x:c>
      <x:c r="W65" s="4" t="n">
        <x:f>MATCH(T65,$J$388:$J$400,0)</x:f>
        <x:v>3</x:v>
      </x:c>
      <x:c r="X65" s="3"/>
      <x:c r="Y65" s="3"/>
      <x:c r="Z65" s="3"/>
    </x:row>
    <x:row r="66" ht="15" customHeight="1">
      <x:c r="A66" s="7" t="str">
        <x:f>IF(48&lt;='Сводка'!$B$3,'Сводка'!$B$4+48,"")</x:f>
      </x:c>
      <x:c r="B66" s="20" t="str">
        <x:f>IF($A66="","",(A66-$T$405+1)/1000)</x:f>
      </x:c>
      <x:c r="C66" s="20" t="str">
        <x:f>IF($A66="","",2*(A66-$T$405)/$T$406-1)</x:f>
      </x:c>
      <x:c r="D66" s="3" t="str">
        <x:f>IF($A66="","",$B$4*EXP($B$5*B66)+INDEX($E$4:$E$15,MONTH(A66)))</x:f>
      </x:c>
      <x:c r="E66" s="3" t="str">
        <x:f>IF($A66="","",SQRT($T$403^2+H66^2))</x:f>
      </x:c>
      <x:c r="F66" s="3" t="str">
        <x:f>IF($A66="","",D66-$T$404*E66)</x:f>
      </x:c>
      <x:c r="G66" s="3" t="str">
        <x:f>IF($A66="","",D66+$T$404*E66)</x:f>
      </x:c>
      <x:c r="H66" s="3" t="str">
        <x:f>IF($A66="","",SQRT(MAX(0,(EXP($B$5*B66))*$S$409*(EXP($B$5*B66))+(EXP($B$5*B66))*$T$409*($B$4*EXP($B$5*B66)*B66)+($B$4*EXP($B$5*B66)*B66)*$S$410*(EXP($B$5*B66))+($B$4*EXP($B$5*B66)*B66)*$T$410*($B$4*EXP($B$5*B66)*B66)+2*((EXP($B$5*B66))*INDEX($S$416:$V$427,MONTH(A66),1)+($B$4*EXP($B$5*B66)*B66)*INDEX($S$416:$V$427,MONTH(A66),2))+INDEX($W$416:$W$427,MONTH(A66)))))</x:f>
      </x:c>
      <x:c r="I66" s="3"/>
      <x:c r="J66" s="10" t="n">
        <x:v>45917</x:v>
      </x:c>
      <x:c r="K66" s="8" t="n">
        <x:f>INDEX('Сводка'!$S$3:$S$397,U66)</x:f>
        <x:v>219</x:v>
      </x:c>
      <x:c r="L66" s="8" t="n">
        <x:f>INDEX('Сводка'!$S$3:$S$397,V66)</x:f>
        <x:v>213</x:v>
      </x:c>
      <x:c r="M66" s="8" t="n">
        <x:f>INDEX($K$388:$N$400,W66,1)*EXP(INDEX($K$388:$N$400,W66,2)*((J66-$T$405+1)/1000))+INDEX($O$388:$Z$400,W66,MONTH(J66))</x:f>
        <x:v>337.8827864020908</x:v>
      </x:c>
      <x:c r="N66" s="8" t="n">
        <x:f>K66-M66</x:f>
        <x:v>-118.8827864020908</x:v>
      </x:c>
      <x:c r="O66" s="8" t="n">
        <x:f>ABS(N66)</x:f>
        <x:v>118.8827864020908</x:v>
      </x:c>
      <x:c r="P66" s="8" t="n">
        <x:f>N66^2</x:f>
        <x:v>14133.116902725145</x:v>
      </x:c>
      <x:c r="Q66" s="8" t="n">
        <x:f>K66-L66</x:f>
        <x:v>6</x:v>
      </x:c>
      <x:c r="R66" s="9" t="n">
        <x:f>IF(AND(INDEX('Сводка'!$T$3:$T$397,U66)=0,INDEX('Сводка'!$T$3:$T$397,V66)=0),1,0)</x:f>
        <x:v>1</x:v>
      </x:c>
      <x:c r="S66" s="9" t="n">
        <x:f>IF(AND(R66=1,O66&lt;=$G$13),1,0)</x:f>
        <x:v>0</x:v>
      </x:c>
      <x:c r="T66" s="10" t="n">
        <x:f>EOMONTH(J66-'Сводка'!$B$11,-1)</x:f>
        <x:v>45900</x:v>
      </x:c>
      <x:c r="U66" s="4" t="n">
        <x:f>MATCH(J66,'Сводка'!$R$3:$R$397,0)</x:f>
        <x:v>77</x:v>
      </x:c>
      <x:c r="V66" s="4" t="n">
        <x:f>MATCH(J66-'Сводка'!$B$11,'Сводка'!$R$3:$R$397,0)</x:f>
        <x:v>76</x:v>
      </x:c>
      <x:c r="W66" s="4" t="n">
        <x:f>MATCH(T66,$J$388:$J$400,0)</x:f>
        <x:v>3</x:v>
      </x:c>
      <x:c r="X66" s="3"/>
      <x:c r="Y66" s="3"/>
      <x:c r="Z66" s="3"/>
    </x:row>
    <x:row r="67" ht="15" customHeight="1">
      <x:c r="A67" s="7" t="str">
        <x:f>IF(49&lt;='Сводка'!$B$3,'Сводка'!$B$4+49,"")</x:f>
      </x:c>
      <x:c r="B67" s="20" t="str">
        <x:f>IF($A67="","",(A67-$T$405+1)/1000)</x:f>
      </x:c>
      <x:c r="C67" s="20" t="str">
        <x:f>IF($A67="","",2*(A67-$T$405)/$T$406-1)</x:f>
      </x:c>
      <x:c r="D67" s="3" t="str">
        <x:f>IF($A67="","",$B$4*EXP($B$5*B67)+INDEX($E$4:$E$15,MONTH(A67)))</x:f>
      </x:c>
      <x:c r="E67" s="3" t="str">
        <x:f>IF($A67="","",SQRT($T$403^2+H67^2))</x:f>
      </x:c>
      <x:c r="F67" s="3" t="str">
        <x:f>IF($A67="","",D67-$T$404*E67)</x:f>
      </x:c>
      <x:c r="G67" s="3" t="str">
        <x:f>IF($A67="","",D67+$T$404*E67)</x:f>
      </x:c>
      <x:c r="H67" s="3" t="str">
        <x:f>IF($A67="","",SQRT(MAX(0,(EXP($B$5*B67))*$S$409*(EXP($B$5*B67))+(EXP($B$5*B67))*$T$409*($B$4*EXP($B$5*B67)*B67)+($B$4*EXP($B$5*B67)*B67)*$S$410*(EXP($B$5*B67))+($B$4*EXP($B$5*B67)*B67)*$T$410*($B$4*EXP($B$5*B67)*B67)+2*((EXP($B$5*B67))*INDEX($S$416:$V$427,MONTH(A67),1)+($B$4*EXP($B$5*B67)*B67)*INDEX($S$416:$V$427,MONTH(A67),2))+INDEX($W$416:$W$427,MONTH(A67)))))</x:f>
      </x:c>
      <x:c r="I67" s="3"/>
      <x:c r="J67" s="10" t="n">
        <x:v>45918</x:v>
      </x:c>
      <x:c r="K67" s="8" t="n">
        <x:f>INDEX('Сводка'!$S$3:$S$397,U67)</x:f>
        <x:v>227</x:v>
      </x:c>
      <x:c r="L67" s="8" t="n">
        <x:f>INDEX('Сводка'!$S$3:$S$397,V67)</x:f>
        <x:v>219</x:v>
      </x:c>
      <x:c r="M67" s="8" t="n">
        <x:f>INDEX($K$388:$N$400,W67,1)*EXP(INDEX($K$388:$N$400,W67,2)*((J67-$T$405+1)/1000))+INDEX($O$388:$Z$400,W67,MONTH(J67))</x:f>
        <x:v>337.9215905656026</x:v>
      </x:c>
      <x:c r="N67" s="8" t="n">
        <x:f>K67-M67</x:f>
        <x:v>-110.92159056560263</x:v>
      </x:c>
      <x:c r="O67" s="8" t="n">
        <x:f>ABS(N67)</x:f>
        <x:v>110.92159056560263</x:v>
      </x:c>
      <x:c r="P67" s="8" t="n">
        <x:f>N67^2</x:f>
        <x:v>12303.599253603186</x:v>
      </x:c>
      <x:c r="Q67" s="8" t="n">
        <x:f>K67-L67</x:f>
        <x:v>8</x:v>
      </x:c>
      <x:c r="R67" s="9" t="n">
        <x:f>IF(AND(INDEX('Сводка'!$T$3:$T$397,U67)=0,INDEX('Сводка'!$T$3:$T$397,V67)=0),1,0)</x:f>
        <x:v>1</x:v>
      </x:c>
      <x:c r="S67" s="9" t="n">
        <x:f>IF(AND(R67=1,O67&lt;=$G$13),1,0)</x:f>
        <x:v>0</x:v>
      </x:c>
      <x:c r="T67" s="10" t="n">
        <x:f>EOMONTH(J67-'Сводка'!$B$11,-1)</x:f>
        <x:v>45900</x:v>
      </x:c>
      <x:c r="U67" s="4" t="n">
        <x:f>MATCH(J67,'Сводка'!$R$3:$R$397,0)</x:f>
        <x:v>78</x:v>
      </x:c>
      <x:c r="V67" s="4" t="n">
        <x:f>MATCH(J67-'Сводка'!$B$11,'Сводка'!$R$3:$R$397,0)</x:f>
        <x:v>77</x:v>
      </x:c>
      <x:c r="W67" s="4" t="n">
        <x:f>MATCH(T67,$J$388:$J$400,0)</x:f>
        <x:v>3</x:v>
      </x:c>
      <x:c r="X67" s="3"/>
      <x:c r="Y67" s="3"/>
      <x:c r="Z67" s="3"/>
    </x:row>
    <x:row r="68" ht="15" customHeight="1">
      <x:c r="A68" s="7" t="str">
        <x:f>IF(50&lt;='Сводка'!$B$3,'Сводка'!$B$4+50,"")</x:f>
      </x:c>
      <x:c r="B68" s="20" t="str">
        <x:f>IF($A68="","",(A68-$T$405+1)/1000)</x:f>
      </x:c>
      <x:c r="C68" s="20" t="str">
        <x:f>IF($A68="","",2*(A68-$T$405)/$T$406-1)</x:f>
      </x:c>
      <x:c r="D68" s="3" t="str">
        <x:f>IF($A68="","",$B$4*EXP($B$5*B68)+INDEX($E$4:$E$15,MONTH(A68)))</x:f>
      </x:c>
      <x:c r="E68" s="3" t="str">
        <x:f>IF($A68="","",SQRT($T$403^2+H68^2))</x:f>
      </x:c>
      <x:c r="F68" s="3" t="str">
        <x:f>IF($A68="","",D68-$T$404*E68)</x:f>
      </x:c>
      <x:c r="G68" s="3" t="str">
        <x:f>IF($A68="","",D68+$T$404*E68)</x:f>
      </x:c>
      <x:c r="H68" s="3" t="str">
        <x:f>IF($A68="","",SQRT(MAX(0,(EXP($B$5*B68))*$S$409*(EXP($B$5*B68))+(EXP($B$5*B68))*$T$409*($B$4*EXP($B$5*B68)*B68)+($B$4*EXP($B$5*B68)*B68)*$S$410*(EXP($B$5*B68))+($B$4*EXP($B$5*B68)*B68)*$T$410*($B$4*EXP($B$5*B68)*B68)+2*((EXP($B$5*B68))*INDEX($S$416:$V$427,MONTH(A68),1)+($B$4*EXP($B$5*B68)*B68)*INDEX($S$416:$V$427,MONTH(A68),2))+INDEX($W$416:$W$427,MONTH(A68)))))</x:f>
      </x:c>
      <x:c r="I68" s="3"/>
      <x:c r="J68" s="10" t="n">
        <x:v>45919</x:v>
      </x:c>
      <x:c r="K68" s="8" t="n">
        <x:f>INDEX('Сводка'!$S$3:$S$397,U68)</x:f>
        <x:v>241</x:v>
      </x:c>
      <x:c r="L68" s="8" t="n">
        <x:f>INDEX('Сводка'!$S$3:$S$397,V68)</x:f>
        <x:v>227</x:v>
      </x:c>
      <x:c r="M68" s="8" t="n">
        <x:f>INDEX($K$388:$N$400,W68,1)*EXP(INDEX($K$388:$N$400,W68,2)*((J68-$T$405+1)/1000))+INDEX($O$388:$Z$400,W68,MONTH(J68))</x:f>
        <x:v>337.96040392588225</x:v>
      </x:c>
      <x:c r="N68" s="8" t="n">
        <x:f>K68-M68</x:f>
        <x:v>-96.96040392588225</x:v>
      </x:c>
      <x:c r="O68" s="8" t="n">
        <x:f>ABS(N68)</x:f>
        <x:v>96.96040392588225</x:v>
      </x:c>
      <x:c r="P68" s="8" t="n">
        <x:f>N68^2</x:f>
        <x:v>9401.31992947024</x:v>
      </x:c>
      <x:c r="Q68" s="8" t="n">
        <x:f>K68-L68</x:f>
        <x:v>14</x:v>
      </x:c>
      <x:c r="R68" s="9" t="n">
        <x:f>IF(AND(INDEX('Сводка'!$T$3:$T$397,U68)=0,INDEX('Сводка'!$T$3:$T$397,V68)=0),1,0)</x:f>
        <x:v>1</x:v>
      </x:c>
      <x:c r="S68" s="9" t="n">
        <x:f>IF(AND(R68=1,O68&lt;=$G$13),1,0)</x:f>
        <x:v>0</x:v>
      </x:c>
      <x:c r="T68" s="10" t="n">
        <x:f>EOMONTH(J68-'Сводка'!$B$11,-1)</x:f>
        <x:v>45900</x:v>
      </x:c>
      <x:c r="U68" s="4" t="n">
        <x:f>MATCH(J68,'Сводка'!$R$3:$R$397,0)</x:f>
        <x:v>79</x:v>
      </x:c>
      <x:c r="V68" s="4" t="n">
        <x:f>MATCH(J68-'Сводка'!$B$11,'Сводка'!$R$3:$R$397,0)</x:f>
        <x:v>78</x:v>
      </x:c>
      <x:c r="W68" s="4" t="n">
        <x:f>MATCH(T68,$J$388:$J$400,0)</x:f>
        <x:v>3</x:v>
      </x:c>
      <x:c r="X68" s="3"/>
      <x:c r="Y68" s="3"/>
      <x:c r="Z68" s="3"/>
    </x:row>
    <x:row r="69" ht="15" customHeight="1">
      <x:c r="A69" s="7" t="str">
        <x:f>IF(51&lt;='Сводка'!$B$3,'Сводка'!$B$4+51,"")</x:f>
      </x:c>
      <x:c r="B69" s="20" t="str">
        <x:f>IF($A69="","",(A69-$T$405+1)/1000)</x:f>
      </x:c>
      <x:c r="C69" s="20" t="str">
        <x:f>IF($A69="","",2*(A69-$T$405)/$T$406-1)</x:f>
      </x:c>
      <x:c r="D69" s="3" t="str">
        <x:f>IF($A69="","",$B$4*EXP($B$5*B69)+INDEX($E$4:$E$15,MONTH(A69)))</x:f>
      </x:c>
      <x:c r="E69" s="3" t="str">
        <x:f>IF($A69="","",SQRT($T$403^2+H69^2))</x:f>
      </x:c>
      <x:c r="F69" s="3" t="str">
        <x:f>IF($A69="","",D69-$T$404*E69)</x:f>
      </x:c>
      <x:c r="G69" s="3" t="str">
        <x:f>IF($A69="","",D69+$T$404*E69)</x:f>
      </x:c>
      <x:c r="H69" s="3" t="str">
        <x:f>IF($A69="","",SQRT(MAX(0,(EXP($B$5*B69))*$S$409*(EXP($B$5*B69))+(EXP($B$5*B69))*$T$409*($B$4*EXP($B$5*B69)*B69)+($B$4*EXP($B$5*B69)*B69)*$S$410*(EXP($B$5*B69))+($B$4*EXP($B$5*B69)*B69)*$T$410*($B$4*EXP($B$5*B69)*B69)+2*((EXP($B$5*B69))*INDEX($S$416:$V$427,MONTH(A69),1)+($B$4*EXP($B$5*B69)*B69)*INDEX($S$416:$V$427,MONTH(A69),2))+INDEX($W$416:$W$427,MONTH(A69)))))</x:f>
      </x:c>
      <x:c r="I69" s="3"/>
      <x:c r="J69" s="10" t="n">
        <x:v>45920</x:v>
      </x:c>
      <x:c r="K69" s="8" t="n">
        <x:f>INDEX('Сводка'!$S$3:$S$397,U69)</x:f>
        <x:v>249</x:v>
      </x:c>
      <x:c r="L69" s="8" t="n">
        <x:f>INDEX('Сводка'!$S$3:$S$397,V69)</x:f>
        <x:v>241</x:v>
      </x:c>
      <x:c r="M69" s="8" t="n">
        <x:f>INDEX($K$388:$N$400,W69,1)*EXP(INDEX($K$388:$N$400,W69,2)*((J69-$T$405+1)/1000))+INDEX($O$388:$Z$400,W69,MONTH(J69))</x:f>
        <x:v>337.9992264851093</x:v>
      </x:c>
      <x:c r="N69" s="8" t="n">
        <x:f>K69-M69</x:f>
        <x:v>-88.99922648510932</x:v>
      </x:c>
      <x:c r="O69" s="8" t="n">
        <x:f>ABS(N69)</x:f>
        <x:v>88.99922648510932</x:v>
      </x:c>
      <x:c r="P69" s="8" t="n">
        <x:f>N69^2</x:f>
        <x:v>7920.8623149477835</x:v>
      </x:c>
      <x:c r="Q69" s="8" t="n">
        <x:f>K69-L69</x:f>
        <x:v>8</x:v>
      </x:c>
      <x:c r="R69" s="9" t="n">
        <x:f>IF(AND(INDEX('Сводка'!$T$3:$T$397,U69)=0,INDEX('Сводка'!$T$3:$T$397,V69)=0),1,0)</x:f>
        <x:v>1</x:v>
      </x:c>
      <x:c r="S69" s="9" t="n">
        <x:f>IF(AND(R69=1,O69&lt;=$G$13),1,0)</x:f>
        <x:v>0</x:v>
      </x:c>
      <x:c r="T69" s="10" t="n">
        <x:f>EOMONTH(J69-'Сводка'!$B$11,-1)</x:f>
        <x:v>45900</x:v>
      </x:c>
      <x:c r="U69" s="4" t="n">
        <x:f>MATCH(J69,'Сводка'!$R$3:$R$397,0)</x:f>
        <x:v>80</x:v>
      </x:c>
      <x:c r="V69" s="4" t="n">
        <x:f>MATCH(J69-'Сводка'!$B$11,'Сводка'!$R$3:$R$397,0)</x:f>
        <x:v>79</x:v>
      </x:c>
      <x:c r="W69" s="4" t="n">
        <x:f>MATCH(T69,$J$388:$J$400,0)</x:f>
        <x:v>3</x:v>
      </x:c>
      <x:c r="X69" s="3"/>
      <x:c r="Y69" s="3"/>
      <x:c r="Z69" s="3"/>
    </x:row>
    <x:row r="70" ht="15" customHeight="1">
      <x:c r="A70" s="7" t="str">
        <x:f>IF(52&lt;='Сводка'!$B$3,'Сводка'!$B$4+52,"")</x:f>
      </x:c>
      <x:c r="B70" s="20" t="str">
        <x:f>IF($A70="","",(A70-$T$405+1)/1000)</x:f>
      </x:c>
      <x:c r="C70" s="20" t="str">
        <x:f>IF($A70="","",2*(A70-$T$405)/$T$406-1)</x:f>
      </x:c>
      <x:c r="D70" s="3" t="str">
        <x:f>IF($A70="","",$B$4*EXP($B$5*B70)+INDEX($E$4:$E$15,MONTH(A70)))</x:f>
      </x:c>
      <x:c r="E70" s="3" t="str">
        <x:f>IF($A70="","",SQRT($T$403^2+H70^2))</x:f>
      </x:c>
      <x:c r="F70" s="3" t="str">
        <x:f>IF($A70="","",D70-$T$404*E70)</x:f>
      </x:c>
      <x:c r="G70" s="3" t="str">
        <x:f>IF($A70="","",D70+$T$404*E70)</x:f>
      </x:c>
      <x:c r="H70" s="3" t="str">
        <x:f>IF($A70="","",SQRT(MAX(0,(EXP($B$5*B70))*$S$409*(EXP($B$5*B70))+(EXP($B$5*B70))*$T$409*($B$4*EXP($B$5*B70)*B70)+($B$4*EXP($B$5*B70)*B70)*$S$410*(EXP($B$5*B70))+($B$4*EXP($B$5*B70)*B70)*$T$410*($B$4*EXP($B$5*B70)*B70)+2*((EXP($B$5*B70))*INDEX($S$416:$V$427,MONTH(A70),1)+($B$4*EXP($B$5*B70)*B70)*INDEX($S$416:$V$427,MONTH(A70),2))+INDEX($W$416:$W$427,MONTH(A70)))))</x:f>
      </x:c>
      <x:c r="I70" s="3"/>
      <x:c r="J70" s="10" t="n">
        <x:v>45921</x:v>
      </x:c>
      <x:c r="K70" s="8" t="n">
        <x:f>INDEX('Сводка'!$S$3:$S$397,U70)</x:f>
        <x:v>260</x:v>
      </x:c>
      <x:c r="L70" s="8" t="n">
        <x:f>INDEX('Сводка'!$S$3:$S$397,V70)</x:f>
        <x:v>249</x:v>
      </x:c>
      <x:c r="M70" s="8" t="n">
        <x:f>INDEX($K$388:$N$400,W70,1)*EXP(INDEX($K$388:$N$400,W70,2)*((J70-$T$405+1)/1000))+INDEX($O$388:$Z$400,W70,MONTH(J70))</x:f>
        <x:v>338.0380582454642</x:v>
      </x:c>
      <x:c r="N70" s="8" t="n">
        <x:f>K70-M70</x:f>
        <x:v>-78.03805824546419</x:v>
      </x:c>
      <x:c r="O70" s="8" t="n">
        <x:f>ABS(N70)</x:f>
        <x:v>78.03805824546419</x:v>
      </x:c>
      <x:c r="P70" s="8" t="n">
        <x:f>N70^2</x:f>
        <x:v>6089.938534722461</x:v>
      </x:c>
      <x:c r="Q70" s="8" t="n">
        <x:f>K70-L70</x:f>
        <x:v>11</x:v>
      </x:c>
      <x:c r="R70" s="9" t="n">
        <x:f>IF(AND(INDEX('Сводка'!$T$3:$T$397,U70)=0,INDEX('Сводка'!$T$3:$T$397,V70)=0),1,0)</x:f>
        <x:v>1</x:v>
      </x:c>
      <x:c r="S70" s="9" t="n">
        <x:f>IF(AND(R70=1,O70&lt;=$G$13),1,0)</x:f>
        <x:v>0</x:v>
      </x:c>
      <x:c r="T70" s="10" t="n">
        <x:f>EOMONTH(J70-'Сводка'!$B$11,-1)</x:f>
        <x:v>45900</x:v>
      </x:c>
      <x:c r="U70" s="4" t="n">
        <x:f>MATCH(J70,'Сводка'!$R$3:$R$397,0)</x:f>
        <x:v>81</x:v>
      </x:c>
      <x:c r="V70" s="4" t="n">
        <x:f>MATCH(J70-'Сводка'!$B$11,'Сводка'!$R$3:$R$397,0)</x:f>
        <x:v>80</x:v>
      </x:c>
      <x:c r="W70" s="4" t="n">
        <x:f>MATCH(T70,$J$388:$J$400,0)</x:f>
        <x:v>3</x:v>
      </x:c>
      <x:c r="X70" s="3"/>
      <x:c r="Y70" s="3"/>
      <x:c r="Z70" s="3"/>
    </x:row>
    <x:row r="71" ht="15" customHeight="1">
      <x:c r="A71" s="7" t="str">
        <x:f>IF(53&lt;='Сводка'!$B$3,'Сводка'!$B$4+53,"")</x:f>
      </x:c>
      <x:c r="B71" s="20" t="str">
        <x:f>IF($A71="","",(A71-$T$405+1)/1000)</x:f>
      </x:c>
      <x:c r="C71" s="20" t="str">
        <x:f>IF($A71="","",2*(A71-$T$405)/$T$406-1)</x:f>
      </x:c>
      <x:c r="D71" s="3" t="str">
        <x:f>IF($A71="","",$B$4*EXP($B$5*B71)+INDEX($E$4:$E$15,MONTH(A71)))</x:f>
      </x:c>
      <x:c r="E71" s="3" t="str">
        <x:f>IF($A71="","",SQRT($T$403^2+H71^2))</x:f>
      </x:c>
      <x:c r="F71" s="3" t="str">
        <x:f>IF($A71="","",D71-$T$404*E71)</x:f>
      </x:c>
      <x:c r="G71" s="3" t="str">
        <x:f>IF($A71="","",D71+$T$404*E71)</x:f>
      </x:c>
      <x:c r="H71" s="3" t="str">
        <x:f>IF($A71="","",SQRT(MAX(0,(EXP($B$5*B71))*$S$409*(EXP($B$5*B71))+(EXP($B$5*B71))*$T$409*($B$4*EXP($B$5*B71)*B71)+($B$4*EXP($B$5*B71)*B71)*$S$410*(EXP($B$5*B71))+($B$4*EXP($B$5*B71)*B71)*$T$410*($B$4*EXP($B$5*B71)*B71)+2*((EXP($B$5*B71))*INDEX($S$416:$V$427,MONTH(A71),1)+($B$4*EXP($B$5*B71)*B71)*INDEX($S$416:$V$427,MONTH(A71),2))+INDEX($W$416:$W$427,MONTH(A71)))))</x:f>
      </x:c>
      <x:c r="I71" s="3"/>
      <x:c r="J71" s="10" t="n">
        <x:v>45922</x:v>
      </x:c>
      <x:c r="K71" s="8" t="n">
        <x:f>INDEX('Сводка'!$S$3:$S$397,U71)</x:f>
        <x:v>272</x:v>
      </x:c>
      <x:c r="L71" s="8" t="n">
        <x:f>INDEX('Сводка'!$S$3:$S$397,V71)</x:f>
        <x:v>260</x:v>
      </x:c>
      <x:c r="M71" s="8" t="n">
        <x:f>INDEX($K$388:$N$400,W71,1)*EXP(INDEX($K$388:$N$400,W71,2)*((J71-$T$405+1)/1000))+INDEX($O$388:$Z$400,W71,MONTH(J71))</x:f>
        <x:v>338.07689920912753</x:v>
      </x:c>
      <x:c r="N71" s="8" t="n">
        <x:f>K71-M71</x:f>
        <x:v>-66.07689920912753</x:v>
      </x:c>
      <x:c r="O71" s="8" t="n">
        <x:f>ABS(N71)</x:f>
        <x:v>66.07689920912753</x:v>
      </x:c>
      <x:c r="P71" s="8" t="n">
        <x:f>N71^2</x:f>
        <x:v>4366.156609093198</x:v>
      </x:c>
      <x:c r="Q71" s="8" t="n">
        <x:f>K71-L71</x:f>
        <x:v>12</x:v>
      </x:c>
      <x:c r="R71" s="9" t="n">
        <x:f>IF(AND(INDEX('Сводка'!$T$3:$T$397,U71)=0,INDEX('Сводка'!$T$3:$T$397,V71)=0),1,0)</x:f>
        <x:v>1</x:v>
      </x:c>
      <x:c r="S71" s="9" t="n">
        <x:f>IF(AND(R71=1,O71&lt;=$G$13),1,0)</x:f>
        <x:v>0</x:v>
      </x:c>
      <x:c r="T71" s="10" t="n">
        <x:f>EOMONTH(J71-'Сводка'!$B$11,-1)</x:f>
        <x:v>45900</x:v>
      </x:c>
      <x:c r="U71" s="4" t="n">
        <x:f>MATCH(J71,'Сводка'!$R$3:$R$397,0)</x:f>
        <x:v>82</x:v>
      </x:c>
      <x:c r="V71" s="4" t="n">
        <x:f>MATCH(J71-'Сводка'!$B$11,'Сводка'!$R$3:$R$397,0)</x:f>
        <x:v>81</x:v>
      </x:c>
      <x:c r="W71" s="4" t="n">
        <x:f>MATCH(T71,$J$388:$J$400,0)</x:f>
        <x:v>3</x:v>
      </x:c>
      <x:c r="X71" s="3"/>
      <x:c r="Y71" s="3"/>
      <x:c r="Z71" s="3"/>
    </x:row>
    <x:row r="72" ht="15" customHeight="1">
      <x:c r="A72" s="7" t="str">
        <x:f>IF(54&lt;='Сводка'!$B$3,'Сводка'!$B$4+54,"")</x:f>
      </x:c>
      <x:c r="B72" s="20" t="str">
        <x:f>IF($A72="","",(A72-$T$405+1)/1000)</x:f>
      </x:c>
      <x:c r="C72" s="20" t="str">
        <x:f>IF($A72="","",2*(A72-$T$405)/$T$406-1)</x:f>
      </x:c>
      <x:c r="D72" s="3" t="str">
        <x:f>IF($A72="","",$B$4*EXP($B$5*B72)+INDEX($E$4:$E$15,MONTH(A72)))</x:f>
      </x:c>
      <x:c r="E72" s="3" t="str">
        <x:f>IF($A72="","",SQRT($T$403^2+H72^2))</x:f>
      </x:c>
      <x:c r="F72" s="3" t="str">
        <x:f>IF($A72="","",D72-$T$404*E72)</x:f>
      </x:c>
      <x:c r="G72" s="3" t="str">
        <x:f>IF($A72="","",D72+$T$404*E72)</x:f>
      </x:c>
      <x:c r="H72" s="3" t="str">
        <x:f>IF($A72="","",SQRT(MAX(0,(EXP($B$5*B72))*$S$409*(EXP($B$5*B72))+(EXP($B$5*B72))*$T$409*($B$4*EXP($B$5*B72)*B72)+($B$4*EXP($B$5*B72)*B72)*$S$410*(EXP($B$5*B72))+($B$4*EXP($B$5*B72)*B72)*$T$410*($B$4*EXP($B$5*B72)*B72)+2*((EXP($B$5*B72))*INDEX($S$416:$V$427,MONTH(A72),1)+($B$4*EXP($B$5*B72)*B72)*INDEX($S$416:$V$427,MONTH(A72),2))+INDEX($W$416:$W$427,MONTH(A72)))))</x:f>
      </x:c>
      <x:c r="I72" s="3"/>
      <x:c r="J72" s="10" t="n">
        <x:v>45923</x:v>
      </x:c>
      <x:c r="K72" s="8" t="n">
        <x:f>INDEX('Сводка'!$S$3:$S$397,U72)</x:f>
        <x:v>279</x:v>
      </x:c>
      <x:c r="L72" s="8" t="n">
        <x:f>INDEX('Сводка'!$S$3:$S$397,V72)</x:f>
        <x:v>272</x:v>
      </x:c>
      <x:c r="M72" s="8" t="n">
        <x:f>INDEX($K$388:$N$400,W72,1)*EXP(INDEX($K$388:$N$400,W72,2)*((J72-$T$405+1)/1000))+INDEX($O$388:$Z$400,W72,MONTH(J72))</x:f>
        <x:v>338.11574937828055</x:v>
      </x:c>
      <x:c r="N72" s="8" t="n">
        <x:f>K72-M72</x:f>
        <x:v>-59.115749378280555</x:v>
      </x:c>
      <x:c r="O72" s="8" t="n">
        <x:f>ABS(N72)</x:f>
        <x:v>59.115749378280555</x:v>
      </x:c>
      <x:c r="P72" s="8" t="n">
        <x:f>N72^2</x:f>
        <x:v>3494.6718245556776</x:v>
      </x:c>
      <x:c r="Q72" s="8" t="n">
        <x:f>K72-L72</x:f>
        <x:v>7</x:v>
      </x:c>
      <x:c r="R72" s="9" t="n">
        <x:f>IF(AND(INDEX('Сводка'!$T$3:$T$397,U72)=0,INDEX('Сводка'!$T$3:$T$397,V72)=0),1,0)</x:f>
        <x:v>1</x:v>
      </x:c>
      <x:c r="S72" s="9" t="n">
        <x:f>IF(AND(R72=1,O72&lt;=$G$13),1,0)</x:f>
        <x:v>0</x:v>
      </x:c>
      <x:c r="T72" s="10" t="n">
        <x:f>EOMONTH(J72-'Сводка'!$B$11,-1)</x:f>
        <x:v>45900</x:v>
      </x:c>
      <x:c r="U72" s="4" t="n">
        <x:f>MATCH(J72,'Сводка'!$R$3:$R$397,0)</x:f>
        <x:v>83</x:v>
      </x:c>
      <x:c r="V72" s="4" t="n">
        <x:f>MATCH(J72-'Сводка'!$B$11,'Сводка'!$R$3:$R$397,0)</x:f>
        <x:v>82</x:v>
      </x:c>
      <x:c r="W72" s="4" t="n">
        <x:f>MATCH(T72,$J$388:$J$400,0)</x:f>
        <x:v>3</x:v>
      </x:c>
      <x:c r="X72" s="3"/>
      <x:c r="Y72" s="3"/>
      <x:c r="Z72" s="3"/>
    </x:row>
    <x:row r="73" ht="15" customHeight="1">
      <x:c r="A73" s="7" t="str">
        <x:f>IF(55&lt;='Сводка'!$B$3,'Сводка'!$B$4+55,"")</x:f>
      </x:c>
      <x:c r="B73" s="20" t="str">
        <x:f>IF($A73="","",(A73-$T$405+1)/1000)</x:f>
      </x:c>
      <x:c r="C73" s="20" t="str">
        <x:f>IF($A73="","",2*(A73-$T$405)/$T$406-1)</x:f>
      </x:c>
      <x:c r="D73" s="3" t="str">
        <x:f>IF($A73="","",$B$4*EXP($B$5*B73)+INDEX($E$4:$E$15,MONTH(A73)))</x:f>
      </x:c>
      <x:c r="E73" s="3" t="str">
        <x:f>IF($A73="","",SQRT($T$403^2+H73^2))</x:f>
      </x:c>
      <x:c r="F73" s="3" t="str">
        <x:f>IF($A73="","",D73-$T$404*E73)</x:f>
      </x:c>
      <x:c r="G73" s="3" t="str">
        <x:f>IF($A73="","",D73+$T$404*E73)</x:f>
      </x:c>
      <x:c r="H73" s="3" t="str">
        <x:f>IF($A73="","",SQRT(MAX(0,(EXP($B$5*B73))*$S$409*(EXP($B$5*B73))+(EXP($B$5*B73))*$T$409*($B$4*EXP($B$5*B73)*B73)+($B$4*EXP($B$5*B73)*B73)*$S$410*(EXP($B$5*B73))+($B$4*EXP($B$5*B73)*B73)*$T$410*($B$4*EXP($B$5*B73)*B73)+2*((EXP($B$5*B73))*INDEX($S$416:$V$427,MONTH(A73),1)+($B$4*EXP($B$5*B73)*B73)*INDEX($S$416:$V$427,MONTH(A73),2))+INDEX($W$416:$W$427,MONTH(A73)))))</x:f>
      </x:c>
      <x:c r="I73" s="3"/>
      <x:c r="J73" s="10" t="n">
        <x:v>45924</x:v>
      </x:c>
      <x:c r="K73" s="8" t="n">
        <x:f>INDEX('Сводка'!$S$3:$S$397,U73)</x:f>
        <x:v>284</x:v>
      </x:c>
      <x:c r="L73" s="8" t="n">
        <x:f>INDEX('Сводка'!$S$3:$S$397,V73)</x:f>
        <x:v>279</x:v>
      </x:c>
      <x:c r="M73" s="8" t="n">
        <x:f>INDEX($K$388:$N$400,W73,1)*EXP(INDEX($K$388:$N$400,W73,2)*((J73-$T$405+1)/1000))+INDEX($O$388:$Z$400,W73,MONTH(J73))</x:f>
        <x:v>338.15460875510496</x:v>
      </x:c>
      <x:c r="N73" s="8" t="n">
        <x:f>K73-M73</x:f>
        <x:v>-54.15460875510496</x:v>
      </x:c>
      <x:c r="O73" s="8" t="n">
        <x:f>ABS(N73)</x:f>
        <x:v>54.15460875510496</x:v>
      </x:c>
      <x:c r="P73" s="8" t="n">
        <x:f>N73^2</x:f>
        <x:v>2932.721649418491</x:v>
      </x:c>
      <x:c r="Q73" s="8" t="n">
        <x:f>K73-L73</x:f>
        <x:v>5</x:v>
      </x:c>
      <x:c r="R73" s="9" t="n">
        <x:f>IF(AND(INDEX('Сводка'!$T$3:$T$397,U73)=0,INDEX('Сводка'!$T$3:$T$397,V73)=0),1,0)</x:f>
        <x:v>1</x:v>
      </x:c>
      <x:c r="S73" s="9" t="n">
        <x:f>IF(AND(R73=1,O73&lt;=$G$13),1,0)</x:f>
        <x:v>0</x:v>
      </x:c>
      <x:c r="T73" s="10" t="n">
        <x:f>EOMONTH(J73-'Сводка'!$B$11,-1)</x:f>
        <x:v>45900</x:v>
      </x:c>
      <x:c r="U73" s="4" t="n">
        <x:f>MATCH(J73,'Сводка'!$R$3:$R$397,0)</x:f>
        <x:v>84</x:v>
      </x:c>
      <x:c r="V73" s="4" t="n">
        <x:f>MATCH(J73-'Сводка'!$B$11,'Сводка'!$R$3:$R$397,0)</x:f>
        <x:v>83</x:v>
      </x:c>
      <x:c r="W73" s="4" t="n">
        <x:f>MATCH(T73,$J$388:$J$400,0)</x:f>
        <x:v>3</x:v>
      </x:c>
      <x:c r="X73" s="3"/>
      <x:c r="Y73" s="3"/>
      <x:c r="Z73" s="3"/>
    </x:row>
    <x:row r="74" ht="15" customHeight="1">
      <x:c r="A74" s="7" t="str">
        <x:f>IF(56&lt;='Сводка'!$B$3,'Сводка'!$B$4+56,"")</x:f>
      </x:c>
      <x:c r="B74" s="20" t="str">
        <x:f>IF($A74="","",(A74-$T$405+1)/1000)</x:f>
      </x:c>
      <x:c r="C74" s="20" t="str">
        <x:f>IF($A74="","",2*(A74-$T$405)/$T$406-1)</x:f>
      </x:c>
      <x:c r="D74" s="3" t="str">
        <x:f>IF($A74="","",$B$4*EXP($B$5*B74)+INDEX($E$4:$E$15,MONTH(A74)))</x:f>
      </x:c>
      <x:c r="E74" s="3" t="str">
        <x:f>IF($A74="","",SQRT($T$403^2+H74^2))</x:f>
      </x:c>
      <x:c r="F74" s="3" t="str">
        <x:f>IF($A74="","",D74-$T$404*E74)</x:f>
      </x:c>
      <x:c r="G74" s="3" t="str">
        <x:f>IF($A74="","",D74+$T$404*E74)</x:f>
      </x:c>
      <x:c r="H74" s="3" t="str">
        <x:f>IF($A74="","",SQRT(MAX(0,(EXP($B$5*B74))*$S$409*(EXP($B$5*B74))+(EXP($B$5*B74))*$T$409*($B$4*EXP($B$5*B74)*B74)+($B$4*EXP($B$5*B74)*B74)*$S$410*(EXP($B$5*B74))+($B$4*EXP($B$5*B74)*B74)*$T$410*($B$4*EXP($B$5*B74)*B74)+2*((EXP($B$5*B74))*INDEX($S$416:$V$427,MONTH(A74),1)+($B$4*EXP($B$5*B74)*B74)*INDEX($S$416:$V$427,MONTH(A74),2))+INDEX($W$416:$W$427,MONTH(A74)))))</x:f>
      </x:c>
      <x:c r="I74" s="3"/>
      <x:c r="J74" s="10" t="n">
        <x:v>45925</x:v>
      </x:c>
      <x:c r="K74" s="8" t="n">
        <x:f>INDEX('Сводка'!$S$3:$S$397,U74)</x:f>
        <x:v>288</x:v>
      </x:c>
      <x:c r="L74" s="8" t="n">
        <x:f>INDEX('Сводка'!$S$3:$S$397,V74)</x:f>
        <x:v>284</x:v>
      </x:c>
      <x:c r="M74" s="8" t="n">
        <x:f>INDEX($K$388:$N$400,W74,1)*EXP(INDEX($K$388:$N$400,W74,2)*((J74-$T$405+1)/1000))+INDEX($O$388:$Z$400,W74,MONTH(J74))</x:f>
        <x:v>338.1934773417831</x:v>
      </x:c>
      <x:c r="N74" s="8" t="n">
        <x:f>K74-M74</x:f>
        <x:v>-50.19347734178308</x:v>
      </x:c>
      <x:c r="O74" s="8" t="n">
        <x:f>ABS(N74)</x:f>
        <x:v>50.19347734178308</x:v>
      </x:c>
      <x:c r="P74" s="8" t="n">
        <x:f>N74^2</x:f>
        <x:v>2519.3851676600916</x:v>
      </x:c>
      <x:c r="Q74" s="8" t="n">
        <x:f>K74-L74</x:f>
        <x:v>4</x:v>
      </x:c>
      <x:c r="R74" s="9" t="n">
        <x:f>IF(AND(INDEX('Сводка'!$T$3:$T$397,U74)=0,INDEX('Сводка'!$T$3:$T$397,V74)=0),1,0)</x:f>
        <x:v>1</x:v>
      </x:c>
      <x:c r="S74" s="9" t="n">
        <x:f>IF(AND(R74=1,O74&lt;=$G$13),1,0)</x:f>
        <x:v>0</x:v>
      </x:c>
      <x:c r="T74" s="10" t="n">
        <x:f>EOMONTH(J74-'Сводка'!$B$11,-1)</x:f>
        <x:v>45900</x:v>
      </x:c>
      <x:c r="U74" s="4" t="n">
        <x:f>MATCH(J74,'Сводка'!$R$3:$R$397,0)</x:f>
        <x:v>85</x:v>
      </x:c>
      <x:c r="V74" s="4" t="n">
        <x:f>MATCH(J74-'Сводка'!$B$11,'Сводка'!$R$3:$R$397,0)</x:f>
        <x:v>84</x:v>
      </x:c>
      <x:c r="W74" s="4" t="n">
        <x:f>MATCH(T74,$J$388:$J$400,0)</x:f>
        <x:v>3</x:v>
      </x:c>
      <x:c r="X74" s="3"/>
      <x:c r="Y74" s="3"/>
      <x:c r="Z74" s="3"/>
    </x:row>
    <x:row r="75" ht="15" customHeight="1">
      <x:c r="A75" s="7" t="str">
        <x:f>IF(57&lt;='Сводка'!$B$3,'Сводка'!$B$4+57,"")</x:f>
      </x:c>
      <x:c r="B75" s="20" t="str">
        <x:f>IF($A75="","",(A75-$T$405+1)/1000)</x:f>
      </x:c>
      <x:c r="C75" s="20" t="str">
        <x:f>IF($A75="","",2*(A75-$T$405)/$T$406-1)</x:f>
      </x:c>
      <x:c r="D75" s="3" t="str">
        <x:f>IF($A75="","",$B$4*EXP($B$5*B75)+INDEX($E$4:$E$15,MONTH(A75)))</x:f>
      </x:c>
      <x:c r="E75" s="3" t="str">
        <x:f>IF($A75="","",SQRT($T$403^2+H75^2))</x:f>
      </x:c>
      <x:c r="F75" s="3" t="str">
        <x:f>IF($A75="","",D75-$T$404*E75)</x:f>
      </x:c>
      <x:c r="G75" s="3" t="str">
        <x:f>IF($A75="","",D75+$T$404*E75)</x:f>
      </x:c>
      <x:c r="H75" s="3" t="str">
        <x:f>IF($A75="","",SQRT(MAX(0,(EXP($B$5*B75))*$S$409*(EXP($B$5*B75))+(EXP($B$5*B75))*$T$409*($B$4*EXP($B$5*B75)*B75)+($B$4*EXP($B$5*B75)*B75)*$S$410*(EXP($B$5*B75))+($B$4*EXP($B$5*B75)*B75)*$T$410*($B$4*EXP($B$5*B75)*B75)+2*((EXP($B$5*B75))*INDEX($S$416:$V$427,MONTH(A75),1)+($B$4*EXP($B$5*B75)*B75)*INDEX($S$416:$V$427,MONTH(A75),2))+INDEX($W$416:$W$427,MONTH(A75)))))</x:f>
      </x:c>
      <x:c r="I75" s="3"/>
      <x:c r="J75" s="10" t="n">
        <x:v>45926</x:v>
      </x:c>
      <x:c r="K75" s="8" t="n">
        <x:f>INDEX('Сводка'!$S$3:$S$397,U75)</x:f>
        <x:v>290</x:v>
      </x:c>
      <x:c r="L75" s="8" t="n">
        <x:f>INDEX('Сводка'!$S$3:$S$397,V75)</x:f>
        <x:v>288</x:v>
      </x:c>
      <x:c r="M75" s="8" t="n">
        <x:f>INDEX($K$388:$N$400,W75,1)*EXP(INDEX($K$388:$N$400,W75,2)*((J75-$T$405+1)/1000))+INDEX($O$388:$Z$400,W75,MONTH(J75))</x:f>
        <x:v>338.23235514049765</x:v>
      </x:c>
      <x:c r="N75" s="8" t="n">
        <x:f>K75-M75</x:f>
        <x:v>-48.232355140497646</x:v>
      </x:c>
      <x:c r="O75" s="8" t="n">
        <x:f>ABS(N75)</x:f>
        <x:v>48.232355140497646</x:v>
      </x:c>
      <x:c r="P75" s="8" t="n">
        <x:f>N75^2</x:f>
        <x:v>2326.3600823990896</x:v>
      </x:c>
      <x:c r="Q75" s="8" t="n">
        <x:f>K75-L75</x:f>
        <x:v>2</x:v>
      </x:c>
      <x:c r="R75" s="9" t="n">
        <x:f>IF(AND(INDEX('Сводка'!$T$3:$T$397,U75)=0,INDEX('Сводка'!$T$3:$T$397,V75)=0),1,0)</x:f>
        <x:v>1</x:v>
      </x:c>
      <x:c r="S75" s="9" t="n">
        <x:f>IF(AND(R75=1,O75&lt;=$G$13),1,0)</x:f>
        <x:v>0</x:v>
      </x:c>
      <x:c r="T75" s="10" t="n">
        <x:f>EOMONTH(J75-'Сводка'!$B$11,-1)</x:f>
        <x:v>45900</x:v>
      </x:c>
      <x:c r="U75" s="4" t="n">
        <x:f>MATCH(J75,'Сводка'!$R$3:$R$397,0)</x:f>
        <x:v>86</x:v>
      </x:c>
      <x:c r="V75" s="4" t="n">
        <x:f>MATCH(J75-'Сводка'!$B$11,'Сводка'!$R$3:$R$397,0)</x:f>
        <x:v>85</x:v>
      </x:c>
      <x:c r="W75" s="4" t="n">
        <x:f>MATCH(T75,$J$388:$J$400,0)</x:f>
        <x:v>3</x:v>
      </x:c>
      <x:c r="X75" s="3"/>
      <x:c r="Y75" s="3"/>
      <x:c r="Z75" s="3"/>
    </x:row>
    <x:row r="76" ht="15" customHeight="1">
      <x:c r="A76" s="7" t="str">
        <x:f>IF(58&lt;='Сводка'!$B$3,'Сводка'!$B$4+58,"")</x:f>
      </x:c>
      <x:c r="B76" s="20" t="str">
        <x:f>IF($A76="","",(A76-$T$405+1)/1000)</x:f>
      </x:c>
      <x:c r="C76" s="20" t="str">
        <x:f>IF($A76="","",2*(A76-$T$405)/$T$406-1)</x:f>
      </x:c>
      <x:c r="D76" s="3" t="str">
        <x:f>IF($A76="","",$B$4*EXP($B$5*B76)+INDEX($E$4:$E$15,MONTH(A76)))</x:f>
      </x:c>
      <x:c r="E76" s="3" t="str">
        <x:f>IF($A76="","",SQRT($T$403^2+H76^2))</x:f>
      </x:c>
      <x:c r="F76" s="3" t="str">
        <x:f>IF($A76="","",D76-$T$404*E76)</x:f>
      </x:c>
      <x:c r="G76" s="3" t="str">
        <x:f>IF($A76="","",D76+$T$404*E76)</x:f>
      </x:c>
      <x:c r="H76" s="3" t="str">
        <x:f>IF($A76="","",SQRT(MAX(0,(EXP($B$5*B76))*$S$409*(EXP($B$5*B76))+(EXP($B$5*B76))*$T$409*($B$4*EXP($B$5*B76)*B76)+($B$4*EXP($B$5*B76)*B76)*$S$410*(EXP($B$5*B76))+($B$4*EXP($B$5*B76)*B76)*$T$410*($B$4*EXP($B$5*B76)*B76)+2*((EXP($B$5*B76))*INDEX($S$416:$V$427,MONTH(A76),1)+($B$4*EXP($B$5*B76)*B76)*INDEX($S$416:$V$427,MONTH(A76),2))+INDEX($W$416:$W$427,MONTH(A76)))))</x:f>
      </x:c>
      <x:c r="I76" s="3"/>
      <x:c r="J76" s="10" t="n">
        <x:v>45927</x:v>
      </x:c>
      <x:c r="K76" s="8" t="n">
        <x:f>INDEX('Сводка'!$S$3:$S$397,U76)</x:f>
        <x:v>291</x:v>
      </x:c>
      <x:c r="L76" s="8" t="n">
        <x:f>INDEX('Сводка'!$S$3:$S$397,V76)</x:f>
        <x:v>290</x:v>
      </x:c>
      <x:c r="M76" s="8" t="n">
        <x:f>INDEX($K$388:$N$400,W76,1)*EXP(INDEX($K$388:$N$400,W76,2)*((J76-$T$405+1)/1000))+INDEX($O$388:$Z$400,W76,MONTH(J76))</x:f>
        <x:v>338.27124215343196</x:v>
      </x:c>
      <x:c r="N76" s="8" t="n">
        <x:f>K76-M76</x:f>
        <x:v>-47.271242153431956</x:v>
      </x:c>
      <x:c r="O76" s="8" t="n">
        <x:f>ABS(N76)</x:f>
        <x:v>47.271242153431956</x:v>
      </x:c>
      <x:c r="P76" s="8" t="n">
        <x:f>N76^2</x:f>
        <x:v>2234.5703347284025</x:v>
      </x:c>
      <x:c r="Q76" s="8" t="n">
        <x:f>K76-L76</x:f>
        <x:v>1</x:v>
      </x:c>
      <x:c r="R76" s="9" t="n">
        <x:f>IF(AND(INDEX('Сводка'!$T$3:$T$397,U76)=0,INDEX('Сводка'!$T$3:$T$397,V76)=0),1,0)</x:f>
        <x:v>1</x:v>
      </x:c>
      <x:c r="S76" s="9" t="n">
        <x:f>IF(AND(R76=1,O76&lt;=$G$13),1,0)</x:f>
        <x:v>0</x:v>
      </x:c>
      <x:c r="T76" s="10" t="n">
        <x:f>EOMONTH(J76-'Сводка'!$B$11,-1)</x:f>
        <x:v>45900</x:v>
      </x:c>
      <x:c r="U76" s="4" t="n">
        <x:f>MATCH(J76,'Сводка'!$R$3:$R$397,0)</x:f>
        <x:v>87</x:v>
      </x:c>
      <x:c r="V76" s="4" t="n">
        <x:f>MATCH(J76-'Сводка'!$B$11,'Сводка'!$R$3:$R$397,0)</x:f>
        <x:v>86</x:v>
      </x:c>
      <x:c r="W76" s="4" t="n">
        <x:f>MATCH(T76,$J$388:$J$400,0)</x:f>
        <x:v>3</x:v>
      </x:c>
      <x:c r="X76" s="3"/>
      <x:c r="Y76" s="3"/>
      <x:c r="Z76" s="3"/>
    </x:row>
    <x:row r="77" ht="15" customHeight="1">
      <x:c r="A77" s="7" t="str">
        <x:f>IF(59&lt;='Сводка'!$B$3,'Сводка'!$B$4+59,"")</x:f>
      </x:c>
      <x:c r="B77" s="20" t="str">
        <x:f>IF($A77="","",(A77-$T$405+1)/1000)</x:f>
      </x:c>
      <x:c r="C77" s="20" t="str">
        <x:f>IF($A77="","",2*(A77-$T$405)/$T$406-1)</x:f>
      </x:c>
      <x:c r="D77" s="3" t="str">
        <x:f>IF($A77="","",$B$4*EXP($B$5*B77)+INDEX($E$4:$E$15,MONTH(A77)))</x:f>
      </x:c>
      <x:c r="E77" s="3" t="str">
        <x:f>IF($A77="","",SQRT($T$403^2+H77^2))</x:f>
      </x:c>
      <x:c r="F77" s="3" t="str">
        <x:f>IF($A77="","",D77-$T$404*E77)</x:f>
      </x:c>
      <x:c r="G77" s="3" t="str">
        <x:f>IF($A77="","",D77+$T$404*E77)</x:f>
      </x:c>
      <x:c r="H77" s="3" t="str">
        <x:f>IF($A77="","",SQRT(MAX(0,(EXP($B$5*B77))*$S$409*(EXP($B$5*B77))+(EXP($B$5*B77))*$T$409*($B$4*EXP($B$5*B77)*B77)+($B$4*EXP($B$5*B77)*B77)*$S$410*(EXP($B$5*B77))+($B$4*EXP($B$5*B77)*B77)*$T$410*($B$4*EXP($B$5*B77)*B77)+2*((EXP($B$5*B77))*INDEX($S$416:$V$427,MONTH(A77),1)+($B$4*EXP($B$5*B77)*B77)*INDEX($S$416:$V$427,MONTH(A77),2))+INDEX($W$416:$W$427,MONTH(A77)))))</x:f>
      </x:c>
      <x:c r="I77" s="3"/>
      <x:c r="J77" s="10" t="n">
        <x:v>45928</x:v>
      </x:c>
      <x:c r="K77" s="8" t="n">
        <x:f>INDEX('Сводка'!$S$3:$S$397,U77)</x:f>
        <x:v>290</x:v>
      </x:c>
      <x:c r="L77" s="8" t="n">
        <x:f>INDEX('Сводка'!$S$3:$S$397,V77)</x:f>
        <x:v>291</x:v>
      </x:c>
      <x:c r="M77" s="8" t="n">
        <x:f>INDEX($K$388:$N$400,W77,1)*EXP(INDEX($K$388:$N$400,W77,2)*((J77-$T$405+1)/1000))+INDEX($O$388:$Z$400,W77,MONTH(J77))</x:f>
        <x:v>338.3101383827699</x:v>
      </x:c>
      <x:c r="N77" s="8" t="n">
        <x:f>K77-M77</x:f>
        <x:v>-48.31013838276988</x:v>
      </x:c>
      <x:c r="O77" s="8" t="n">
        <x:f>ABS(N77)</x:f>
        <x:v>48.31013838276988</x:v>
      </x:c>
      <x:c r="P77" s="8" t="n">
        <x:f>N77^2</x:f>
        <x:v>2333.869470562375</x:v>
      </x:c>
      <x:c r="Q77" s="8" t="n">
        <x:f>K77-L77</x:f>
        <x:v>-1</x:v>
      </x:c>
      <x:c r="R77" s="9" t="n">
        <x:f>IF(AND(INDEX('Сводка'!$T$3:$T$397,U77)=0,INDEX('Сводка'!$T$3:$T$397,V77)=0),1,0)</x:f>
        <x:v>1</x:v>
      </x:c>
      <x:c r="S77" s="9" t="n">
        <x:f>IF(AND(R77=1,O77&lt;=$G$13),1,0)</x:f>
        <x:v>0</x:v>
      </x:c>
      <x:c r="T77" s="10" t="n">
        <x:f>EOMONTH(J77-'Сводка'!$B$11,-1)</x:f>
        <x:v>45900</x:v>
      </x:c>
      <x:c r="U77" s="4" t="n">
        <x:f>MATCH(J77,'Сводка'!$R$3:$R$397,0)</x:f>
        <x:v>88</x:v>
      </x:c>
      <x:c r="V77" s="4" t="n">
        <x:f>MATCH(J77-'Сводка'!$B$11,'Сводка'!$R$3:$R$397,0)</x:f>
        <x:v>87</x:v>
      </x:c>
      <x:c r="W77" s="4" t="n">
        <x:f>MATCH(T77,$J$388:$J$400,0)</x:f>
        <x:v>3</x:v>
      </x:c>
      <x:c r="X77" s="3"/>
      <x:c r="Y77" s="3"/>
      <x:c r="Z77" s="3"/>
    </x:row>
    <x:row r="78" ht="15" customHeight="1">
      <x:c r="A78" s="7" t="str">
        <x:f>IF(60&lt;='Сводка'!$B$3,'Сводка'!$B$4+60,"")</x:f>
      </x:c>
      <x:c r="B78" s="20" t="str">
        <x:f>IF($A78="","",(A78-$T$405+1)/1000)</x:f>
      </x:c>
      <x:c r="C78" s="20" t="str">
        <x:f>IF($A78="","",2*(A78-$T$405)/$T$406-1)</x:f>
      </x:c>
      <x:c r="D78" s="3" t="str">
        <x:f>IF($A78="","",$B$4*EXP($B$5*B78)+INDEX($E$4:$E$15,MONTH(A78)))</x:f>
      </x:c>
      <x:c r="E78" s="3" t="str">
        <x:f>IF($A78="","",SQRT($T$403^2+H78^2))</x:f>
      </x:c>
      <x:c r="F78" s="3" t="str">
        <x:f>IF($A78="","",D78-$T$404*E78)</x:f>
      </x:c>
      <x:c r="G78" s="3" t="str">
        <x:f>IF($A78="","",D78+$T$404*E78)</x:f>
      </x:c>
      <x:c r="H78" s="3" t="str">
        <x:f>IF($A78="","",SQRT(MAX(0,(EXP($B$5*B78))*$S$409*(EXP($B$5*B78))+(EXP($B$5*B78))*$T$409*($B$4*EXP($B$5*B78)*B78)+($B$4*EXP($B$5*B78)*B78)*$S$410*(EXP($B$5*B78))+($B$4*EXP($B$5*B78)*B78)*$T$410*($B$4*EXP($B$5*B78)*B78)+2*((EXP($B$5*B78))*INDEX($S$416:$V$427,MONTH(A78),1)+($B$4*EXP($B$5*B78)*B78)*INDEX($S$416:$V$427,MONTH(A78),2))+INDEX($W$416:$W$427,MONTH(A78)))))</x:f>
      </x:c>
      <x:c r="I78" s="3"/>
      <x:c r="J78" s="10" t="n">
        <x:v>45929</x:v>
      </x:c>
      <x:c r="K78" s="8" t="n">
        <x:f>INDEX('Сводка'!$S$3:$S$397,U78)</x:f>
        <x:v>290</x:v>
      </x:c>
      <x:c r="L78" s="8" t="n">
        <x:f>INDEX('Сводка'!$S$3:$S$397,V78)</x:f>
        <x:v>290</x:v>
      </x:c>
      <x:c r="M78" s="8" t="n">
        <x:f>INDEX($K$388:$N$400,W78,1)*EXP(INDEX($K$388:$N$400,W78,2)*((J78-$T$405+1)/1000))+INDEX($O$388:$Z$400,W78,MONTH(J78))</x:f>
        <x:v>338.3490438306956</x:v>
      </x:c>
      <x:c r="N78" s="8" t="n">
        <x:f>K78-M78</x:f>
        <x:v>-48.34904383069562</x:v>
      </x:c>
      <x:c r="O78" s="8" t="n">
        <x:f>ABS(N78)</x:f>
        <x:v>48.34904383069562</x:v>
      </x:c>
      <x:c r="P78" s="8" t="n">
        <x:f>N78^2</x:f>
        <x:v>2337.6300393425263</x:v>
      </x:c>
      <x:c r="Q78" s="8" t="n">
        <x:f>K78-L78</x:f>
        <x:v>0</x:v>
      </x:c>
      <x:c r="R78" s="9" t="n">
        <x:f>IF(AND(INDEX('Сводка'!$T$3:$T$397,U78)=0,INDEX('Сводка'!$T$3:$T$397,V78)=0),1,0)</x:f>
        <x:v>1</x:v>
      </x:c>
      <x:c r="S78" s="9" t="n">
        <x:f>IF(AND(R78=1,O78&lt;=$G$13),1,0)</x:f>
        <x:v>0</x:v>
      </x:c>
      <x:c r="T78" s="10" t="n">
        <x:f>EOMONTH(J78-'Сводка'!$B$11,-1)</x:f>
        <x:v>45900</x:v>
      </x:c>
      <x:c r="U78" s="4" t="n">
        <x:f>MATCH(J78,'Сводка'!$R$3:$R$397,0)</x:f>
        <x:v>89</x:v>
      </x:c>
      <x:c r="V78" s="4" t="n">
        <x:f>MATCH(J78-'Сводка'!$B$11,'Сводка'!$R$3:$R$397,0)</x:f>
        <x:v>88</x:v>
      </x:c>
      <x:c r="W78" s="4" t="n">
        <x:f>MATCH(T78,$J$388:$J$400,0)</x:f>
        <x:v>3</x:v>
      </x:c>
      <x:c r="X78" s="3"/>
      <x:c r="Y78" s="3"/>
      <x:c r="Z78" s="3"/>
    </x:row>
    <x:row r="79" ht="15" customHeight="1">
      <x:c r="A79" s="7" t="str">
        <x:f>IF(61&lt;='Сводка'!$B$3,'Сводка'!$B$4+61,"")</x:f>
      </x:c>
      <x:c r="B79" s="20" t="str">
        <x:f>IF($A79="","",(A79-$T$405+1)/1000)</x:f>
      </x:c>
      <x:c r="C79" s="20" t="str">
        <x:f>IF($A79="","",2*(A79-$T$405)/$T$406-1)</x:f>
      </x:c>
      <x:c r="D79" s="3" t="str">
        <x:f>IF($A79="","",$B$4*EXP($B$5*B79)+INDEX($E$4:$E$15,MONTH(A79)))</x:f>
      </x:c>
      <x:c r="E79" s="3" t="str">
        <x:f>IF($A79="","",SQRT($T$403^2+H79^2))</x:f>
      </x:c>
      <x:c r="F79" s="3" t="str">
        <x:f>IF($A79="","",D79-$T$404*E79)</x:f>
      </x:c>
      <x:c r="G79" s="3" t="str">
        <x:f>IF($A79="","",D79+$T$404*E79)</x:f>
      </x:c>
      <x:c r="H79" s="3" t="str">
        <x:f>IF($A79="","",SQRT(MAX(0,(EXP($B$5*B79))*$S$409*(EXP($B$5*B79))+(EXP($B$5*B79))*$T$409*($B$4*EXP($B$5*B79)*B79)+($B$4*EXP($B$5*B79)*B79)*$S$410*(EXP($B$5*B79))+($B$4*EXP($B$5*B79)*B79)*$T$410*($B$4*EXP($B$5*B79)*B79)+2*((EXP($B$5*B79))*INDEX($S$416:$V$427,MONTH(A79),1)+($B$4*EXP($B$5*B79)*B79)*INDEX($S$416:$V$427,MONTH(A79),2))+INDEX($W$416:$W$427,MONTH(A79)))))</x:f>
      </x:c>
      <x:c r="I79" s="3"/>
      <x:c r="J79" s="10" t="n">
        <x:v>45930</x:v>
      </x:c>
      <x:c r="K79" s="8" t="n">
        <x:f>INDEX('Сводка'!$S$3:$S$397,U79)</x:f>
        <x:v>293</x:v>
      </x:c>
      <x:c r="L79" s="8" t="n">
        <x:f>INDEX('Сводка'!$S$3:$S$397,V79)</x:f>
        <x:v>290</x:v>
      </x:c>
      <x:c r="M79" s="8" t="n">
        <x:f>INDEX($K$388:$N$400,W79,1)*EXP(INDEX($K$388:$N$400,W79,2)*((J79-$T$405+1)/1000))+INDEX($O$388:$Z$400,W79,MONTH(J79))</x:f>
        <x:v>338.38795849939413</x:v>
      </x:c>
      <x:c r="N79" s="8" t="n">
        <x:f>K79-M79</x:f>
        <x:v>-45.38795849939413</x:v>
      </x:c>
      <x:c r="O79" s="8" t="n">
        <x:f>ABS(N79)</x:f>
        <x:v>45.38795849939413</x:v>
      </x:c>
      <x:c r="P79" s="8" t="n">
        <x:f>N79^2</x:f>
        <x:v>2060.066776742724</x:v>
      </x:c>
      <x:c r="Q79" s="8" t="n">
        <x:f>K79-L79</x:f>
        <x:v>3</x:v>
      </x:c>
      <x:c r="R79" s="9" t="n">
        <x:f>IF(AND(INDEX('Сводка'!$T$3:$T$397,U79)=0,INDEX('Сводка'!$T$3:$T$397,V79)=0),1,0)</x:f>
        <x:v>1</x:v>
      </x:c>
      <x:c r="S79" s="9" t="n">
        <x:f>IF(AND(R79=1,O79&lt;=$G$13),1,0)</x:f>
        <x:v>0</x:v>
      </x:c>
      <x:c r="T79" s="10" t="n">
        <x:f>EOMONTH(J79-'Сводка'!$B$11,-1)</x:f>
        <x:v>45900</x:v>
      </x:c>
      <x:c r="U79" s="4" t="n">
        <x:f>MATCH(J79,'Сводка'!$R$3:$R$397,0)</x:f>
        <x:v>90</x:v>
      </x:c>
      <x:c r="V79" s="4" t="n">
        <x:f>MATCH(J79-'Сводка'!$B$11,'Сводка'!$R$3:$R$397,0)</x:f>
        <x:v>89</x:v>
      </x:c>
      <x:c r="W79" s="4" t="n">
        <x:f>MATCH(T79,$J$388:$J$400,0)</x:f>
        <x:v>3</x:v>
      </x:c>
      <x:c r="X79" s="3"/>
      <x:c r="Y79" s="3"/>
      <x:c r="Z79" s="3"/>
    </x:row>
    <x:row r="80" ht="15" customHeight="1">
      <x:c r="A80" s="7" t="str">
        <x:f>IF(62&lt;='Сводка'!$B$3,'Сводка'!$B$4+62,"")</x:f>
      </x:c>
      <x:c r="B80" s="20" t="str">
        <x:f>IF($A80="","",(A80-$T$405+1)/1000)</x:f>
      </x:c>
      <x:c r="C80" s="20" t="str">
        <x:f>IF($A80="","",2*(A80-$T$405)/$T$406-1)</x:f>
      </x:c>
      <x:c r="D80" s="3" t="str">
        <x:f>IF($A80="","",$B$4*EXP($B$5*B80)+INDEX($E$4:$E$15,MONTH(A80)))</x:f>
      </x:c>
      <x:c r="E80" s="3" t="str">
        <x:f>IF($A80="","",SQRT($T$403^2+H80^2))</x:f>
      </x:c>
      <x:c r="F80" s="3" t="str">
        <x:f>IF($A80="","",D80-$T$404*E80)</x:f>
      </x:c>
      <x:c r="G80" s="3" t="str">
        <x:f>IF($A80="","",D80+$T$404*E80)</x:f>
      </x:c>
      <x:c r="H80" s="3" t="str">
        <x:f>IF($A80="","",SQRT(MAX(0,(EXP($B$5*B80))*$S$409*(EXP($B$5*B80))+(EXP($B$5*B80))*$T$409*($B$4*EXP($B$5*B80)*B80)+($B$4*EXP($B$5*B80)*B80)*$S$410*(EXP($B$5*B80))+($B$4*EXP($B$5*B80)*B80)*$T$410*($B$4*EXP($B$5*B80)*B80)+2*((EXP($B$5*B80))*INDEX($S$416:$V$427,MONTH(A80),1)+($B$4*EXP($B$5*B80)*B80)*INDEX($S$416:$V$427,MONTH(A80),2))+INDEX($W$416:$W$427,MONTH(A80)))))</x:f>
      </x:c>
      <x:c r="I80" s="3"/>
      <x:c r="J80" s="10" t="n">
        <x:v>45931</x:v>
      </x:c>
      <x:c r="K80" s="8" t="n">
        <x:f>INDEX('Сводка'!$S$3:$S$397,U80)</x:f>
        <x:v>292</x:v>
      </x:c>
      <x:c r="L80" s="8" t="n">
        <x:f>INDEX('Сводка'!$S$3:$S$397,V80)</x:f>
        <x:v>293</x:v>
      </x:c>
      <x:c r="M80" s="8" t="n">
        <x:f>INDEX($K$388:$N$400,W80,1)*EXP(INDEX($K$388:$N$400,W80,2)*((J80-$T$405+1)/1000))+INDEX($O$388:$Z$400,W80,MONTH(J80))</x:f>
        <x:v>184.73290382336768</x:v>
      </x:c>
      <x:c r="N80" s="8" t="n">
        <x:f>K80-M80</x:f>
        <x:v>107.26709617663232</x:v>
      </x:c>
      <x:c r="O80" s="8" t="n">
        <x:f>ABS(N80)</x:f>
        <x:v>107.26709617663232</x:v>
      </x:c>
      <x:c r="P80" s="8" t="n">
        <x:f>N80^2</x:f>
        <x:v>11506.229922166889</x:v>
      </x:c>
      <x:c r="Q80" s="8" t="n">
        <x:f>K80-L80</x:f>
        <x:v>-1</x:v>
      </x:c>
      <x:c r="R80" s="9" t="n">
        <x:f>IF(AND(INDEX('Сводка'!$T$3:$T$397,U80)=0,INDEX('Сводка'!$T$3:$T$397,V80)=0),1,0)</x:f>
        <x:v>1</x:v>
      </x:c>
      <x:c r="S80" s="9" t="n">
        <x:f>IF(AND(R80=1,O80&lt;=$G$13),1,0)</x:f>
        <x:v>0</x:v>
      </x:c>
      <x:c r="T80" s="10" t="n">
        <x:f>EOMONTH(J80-'Сводка'!$B$11,-1)</x:f>
        <x:v>45900</x:v>
      </x:c>
      <x:c r="U80" s="4" t="n">
        <x:f>MATCH(J80,'Сводка'!$R$3:$R$397,0)</x:f>
        <x:v>91</x:v>
      </x:c>
      <x:c r="V80" s="4" t="n">
        <x:f>MATCH(J80-'Сводка'!$B$11,'Сводка'!$R$3:$R$397,0)</x:f>
        <x:v>90</x:v>
      </x:c>
      <x:c r="W80" s="4" t="n">
        <x:f>MATCH(T80,$J$388:$J$400,0)</x:f>
        <x:v>3</x:v>
      </x:c>
      <x:c r="X80" s="3"/>
      <x:c r="Y80" s="3"/>
      <x:c r="Z80" s="3"/>
    </x:row>
    <x:row r="81" ht="15" customHeight="1">
      <x:c r="A81" s="7" t="str">
        <x:f>IF(63&lt;='Сводка'!$B$3,'Сводка'!$B$4+63,"")</x:f>
      </x:c>
      <x:c r="B81" s="20" t="str">
        <x:f>IF($A81="","",(A81-$T$405+1)/1000)</x:f>
      </x:c>
      <x:c r="C81" s="20" t="str">
        <x:f>IF($A81="","",2*(A81-$T$405)/$T$406-1)</x:f>
      </x:c>
      <x:c r="D81" s="3" t="str">
        <x:f>IF($A81="","",$B$4*EXP($B$5*B81)+INDEX($E$4:$E$15,MONTH(A81)))</x:f>
      </x:c>
      <x:c r="E81" s="3" t="str">
        <x:f>IF($A81="","",SQRT($T$403^2+H81^2))</x:f>
      </x:c>
      <x:c r="F81" s="3" t="str">
        <x:f>IF($A81="","",D81-$T$404*E81)</x:f>
      </x:c>
      <x:c r="G81" s="3" t="str">
        <x:f>IF($A81="","",D81+$T$404*E81)</x:f>
      </x:c>
      <x:c r="H81" s="3" t="str">
        <x:f>IF($A81="","",SQRT(MAX(0,(EXP($B$5*B81))*$S$409*(EXP($B$5*B81))+(EXP($B$5*B81))*$T$409*($B$4*EXP($B$5*B81)*B81)+($B$4*EXP($B$5*B81)*B81)*$S$410*(EXP($B$5*B81))+($B$4*EXP($B$5*B81)*B81)*$T$410*($B$4*EXP($B$5*B81)*B81)+2*((EXP($B$5*B81))*INDEX($S$416:$V$427,MONTH(A81),1)+($B$4*EXP($B$5*B81)*B81)*INDEX($S$416:$V$427,MONTH(A81),2))+INDEX($W$416:$W$427,MONTH(A81)))))</x:f>
      </x:c>
      <x:c r="I81" s="3"/>
      <x:c r="J81" s="10" t="n">
        <x:v>45932</x:v>
      </x:c>
      <x:c r="K81" s="8" t="n">
        <x:f>INDEX('Сводка'!$S$3:$S$397,U81)</x:f>
        <x:v>284</x:v>
      </x:c>
      <x:c r="L81" s="8" t="n">
        <x:f>INDEX('Сводка'!$S$3:$S$397,V81)</x:f>
        <x:v>292</x:v>
      </x:c>
      <x:c r="M81" s="8" t="n">
        <x:f>INDEX($K$388:$N$400,W81,1)*EXP(INDEX($K$388:$N$400,W81,2)*((J81-$T$405+1)/1000))+INDEX($O$388:$Z$400,W81,MONTH(J81))</x:f>
        <x:v>182.4114241886084</x:v>
      </x:c>
      <x:c r="N81" s="8" t="n">
        <x:f>K81-M81</x:f>
        <x:v>101.58857581139159</x:v>
      </x:c>
      <x:c r="O81" s="8" t="n">
        <x:f>ABS(N81)</x:f>
        <x:v>101.58857581139159</x:v>
      </x:c>
      <x:c r="P81" s="8" t="n">
        <x:f>N81^2</x:f>
        <x:v>10320.238735386856</x:v>
      </x:c>
      <x:c r="Q81" s="8" t="n">
        <x:f>K81-L81</x:f>
        <x:v>-8</x:v>
      </x:c>
      <x:c r="R81" s="9" t="n">
        <x:f>IF(AND(INDEX('Сводка'!$T$3:$T$397,U81)=0,INDEX('Сводка'!$T$3:$T$397,V81)=0),1,0)</x:f>
        <x:v>1</x:v>
      </x:c>
      <x:c r="S81" s="9" t="n">
        <x:f>IF(AND(R81=1,O81&lt;=$G$13),1,0)</x:f>
        <x:v>0</x:v>
      </x:c>
      <x:c r="T81" s="10" t="n">
        <x:f>EOMONTH(J81-'Сводка'!$B$11,-1)</x:f>
        <x:v>45930</x:v>
      </x:c>
      <x:c r="U81" s="4" t="n">
        <x:f>MATCH(J81,'Сводка'!$R$3:$R$397,0)</x:f>
        <x:v>92</x:v>
      </x:c>
      <x:c r="V81" s="4" t="n">
        <x:f>MATCH(J81-'Сводка'!$B$11,'Сводка'!$R$3:$R$397,0)</x:f>
        <x:v>91</x:v>
      </x:c>
      <x:c r="W81" s="4" t="n">
        <x:f>MATCH(T81,$J$388:$J$400,0)</x:f>
        <x:v>4</x:v>
      </x:c>
      <x:c r="X81" s="3"/>
      <x:c r="Y81" s="3"/>
      <x:c r="Z81" s="3"/>
    </x:row>
    <x:row r="82" ht="15" customHeight="1">
      <x:c r="A82" s="7" t="str">
        <x:f>IF(64&lt;='Сводка'!$B$3,'Сводка'!$B$4+64,"")</x:f>
      </x:c>
      <x:c r="B82" s="20" t="str">
        <x:f>IF($A82="","",(A82-$T$405+1)/1000)</x:f>
      </x:c>
      <x:c r="C82" s="20" t="str">
        <x:f>IF($A82="","",2*(A82-$T$405)/$T$406-1)</x:f>
      </x:c>
      <x:c r="D82" s="3" t="str">
        <x:f>IF($A82="","",$B$4*EXP($B$5*B82)+INDEX($E$4:$E$15,MONTH(A82)))</x:f>
      </x:c>
      <x:c r="E82" s="3" t="str">
        <x:f>IF($A82="","",SQRT($T$403^2+H82^2))</x:f>
      </x:c>
      <x:c r="F82" s="3" t="str">
        <x:f>IF($A82="","",D82-$T$404*E82)</x:f>
      </x:c>
      <x:c r="G82" s="3" t="str">
        <x:f>IF($A82="","",D82+$T$404*E82)</x:f>
      </x:c>
      <x:c r="H82" s="3" t="str">
        <x:f>IF($A82="","",SQRT(MAX(0,(EXP($B$5*B82))*$S$409*(EXP($B$5*B82))+(EXP($B$5*B82))*$T$409*($B$4*EXP($B$5*B82)*B82)+($B$4*EXP($B$5*B82)*B82)*$S$410*(EXP($B$5*B82))+($B$4*EXP($B$5*B82)*B82)*$T$410*($B$4*EXP($B$5*B82)*B82)+2*((EXP($B$5*B82))*INDEX($S$416:$V$427,MONTH(A82),1)+($B$4*EXP($B$5*B82)*B82)*INDEX($S$416:$V$427,MONTH(A82),2))+INDEX($W$416:$W$427,MONTH(A82)))))</x:f>
      </x:c>
      <x:c r="I82" s="3"/>
      <x:c r="J82" s="10" t="n">
        <x:v>45933</x:v>
      </x:c>
      <x:c r="K82" s="8" t="n">
        <x:f>INDEX('Сводка'!$S$3:$S$397,U82)</x:f>
        <x:v>274</x:v>
      </x:c>
      <x:c r="L82" s="8" t="n">
        <x:f>INDEX('Сводка'!$S$3:$S$397,V82)</x:f>
        <x:v>284</x:v>
      </x:c>
      <x:c r="M82" s="8" t="n">
        <x:f>INDEX($K$388:$N$400,W82,1)*EXP(INDEX($K$388:$N$400,W82,2)*((J82-$T$405+1)/1000))+INDEX($O$388:$Z$400,W82,MONTH(J82))</x:f>
        <x:v>182.44912901030523</x:v>
      </x:c>
      <x:c r="N82" s="8" t="n">
        <x:f>K82-M82</x:f>
        <x:v>91.55087098969477</x:v>
      </x:c>
      <x:c r="O82" s="8" t="n">
        <x:f>ABS(N82)</x:f>
        <x:v>91.55087098969477</x:v>
      </x:c>
      <x:c r="P82" s="8" t="n">
        <x:f>N82^2</x:f>
        <x:v>8381.561978971737</x:v>
      </x:c>
      <x:c r="Q82" s="8" t="n">
        <x:f>K82-L82</x:f>
        <x:v>-10</x:v>
      </x:c>
      <x:c r="R82" s="9" t="n">
        <x:f>IF(AND(INDEX('Сводка'!$T$3:$T$397,U82)=0,INDEX('Сводка'!$T$3:$T$397,V82)=0),1,0)</x:f>
        <x:v>1</x:v>
      </x:c>
      <x:c r="S82" s="9" t="n">
        <x:f>IF(AND(R82=1,O82&lt;=$G$13),1,0)</x:f>
        <x:v>0</x:v>
      </x:c>
      <x:c r="T82" s="10" t="n">
        <x:f>EOMONTH(J82-'Сводка'!$B$11,-1)</x:f>
        <x:v>45930</x:v>
      </x:c>
      <x:c r="U82" s="4" t="n">
        <x:f>MATCH(J82,'Сводка'!$R$3:$R$397,0)</x:f>
        <x:v>93</x:v>
      </x:c>
      <x:c r="V82" s="4" t="n">
        <x:f>MATCH(J82-'Сводка'!$B$11,'Сводка'!$R$3:$R$397,0)</x:f>
        <x:v>92</x:v>
      </x:c>
      <x:c r="W82" s="4" t="n">
        <x:f>MATCH(T82,$J$388:$J$400,0)</x:f>
        <x:v>4</x:v>
      </x:c>
      <x:c r="X82" s="3"/>
      <x:c r="Y82" s="3"/>
      <x:c r="Z82" s="3"/>
    </x:row>
    <x:row r="83" ht="15" customHeight="1">
      <x:c r="A83" s="7" t="str">
        <x:f>IF(65&lt;='Сводка'!$B$3,'Сводка'!$B$4+65,"")</x:f>
      </x:c>
      <x:c r="B83" s="20" t="str">
        <x:f>IF($A83="","",(A83-$T$405+1)/1000)</x:f>
      </x:c>
      <x:c r="C83" s="20" t="str">
        <x:f>IF($A83="","",2*(A83-$T$405)/$T$406-1)</x:f>
      </x:c>
      <x:c r="D83" s="3" t="str">
        <x:f>IF($A83="","",$B$4*EXP($B$5*B83)+INDEX($E$4:$E$15,MONTH(A83)))</x:f>
      </x:c>
      <x:c r="E83" s="3" t="str">
        <x:f>IF($A83="","",SQRT($T$403^2+H83^2))</x:f>
      </x:c>
      <x:c r="F83" s="3" t="str">
        <x:f>IF($A83="","",D83-$T$404*E83)</x:f>
      </x:c>
      <x:c r="G83" s="3" t="str">
        <x:f>IF($A83="","",D83+$T$404*E83)</x:f>
      </x:c>
      <x:c r="H83" s="3" t="str">
        <x:f>IF($A83="","",SQRT(MAX(0,(EXP($B$5*B83))*$S$409*(EXP($B$5*B83))+(EXP($B$5*B83))*$T$409*($B$4*EXP($B$5*B83)*B83)+($B$4*EXP($B$5*B83)*B83)*$S$410*(EXP($B$5*B83))+($B$4*EXP($B$5*B83)*B83)*$T$410*($B$4*EXP($B$5*B83)*B83)+2*((EXP($B$5*B83))*INDEX($S$416:$V$427,MONTH(A83),1)+($B$4*EXP($B$5*B83)*B83)*INDEX($S$416:$V$427,MONTH(A83),2))+INDEX($W$416:$W$427,MONTH(A83)))))</x:f>
      </x:c>
      <x:c r="I83" s="3"/>
      <x:c r="J83" s="10" t="n">
        <x:v>45934</x:v>
      </x:c>
      <x:c r="K83" s="8" t="n">
        <x:f>INDEX('Сводка'!$S$3:$S$397,U83)</x:f>
        <x:v>258</x:v>
      </x:c>
      <x:c r="L83" s="8" t="n">
        <x:f>INDEX('Сводка'!$S$3:$S$397,V83)</x:f>
        <x:v>274</x:v>
      </x:c>
      <x:c r="M83" s="8" t="n">
        <x:f>INDEX($K$388:$N$400,W83,1)*EXP(INDEX($K$388:$N$400,W83,2)*((J83-$T$405+1)/1000))+INDEX($O$388:$Z$400,W83,MONTH(J83))</x:f>
        <x:v>182.48684262872263</x:v>
      </x:c>
      <x:c r="N83" s="8" t="n">
        <x:f>K83-M83</x:f>
        <x:v>75.51315737127737</x:v>
      </x:c>
      <x:c r="O83" s="8" t="n">
        <x:f>ABS(N83)</x:f>
        <x:v>75.51315737127737</x:v>
      </x:c>
      <x:c r="P83" s="8" t="n">
        <x:f>N83^2</x:f>
        <x:v>5702.236936179303</x:v>
      </x:c>
      <x:c r="Q83" s="8" t="n">
        <x:f>K83-L83</x:f>
        <x:v>-16</x:v>
      </x:c>
      <x:c r="R83" s="9" t="n">
        <x:f>IF(AND(INDEX('Сводка'!$T$3:$T$397,U83)=0,INDEX('Сводка'!$T$3:$T$397,V83)=0),1,0)</x:f>
        <x:v>1</x:v>
      </x:c>
      <x:c r="S83" s="9" t="n">
        <x:f>IF(AND(R83=1,O83&lt;=$G$13),1,0)</x:f>
        <x:v>0</x:v>
      </x:c>
      <x:c r="T83" s="10" t="n">
        <x:f>EOMONTH(J83-'Сводка'!$B$11,-1)</x:f>
        <x:v>45930</x:v>
      </x:c>
      <x:c r="U83" s="4" t="n">
        <x:f>MATCH(J83,'Сводка'!$R$3:$R$397,0)</x:f>
        <x:v>94</x:v>
      </x:c>
      <x:c r="V83" s="4" t="n">
        <x:f>MATCH(J83-'Сводка'!$B$11,'Сводка'!$R$3:$R$397,0)</x:f>
        <x:v>93</x:v>
      </x:c>
      <x:c r="W83" s="4" t="n">
        <x:f>MATCH(T83,$J$388:$J$400,0)</x:f>
        <x:v>4</x:v>
      </x:c>
      <x:c r="X83" s="3"/>
      <x:c r="Y83" s="3"/>
      <x:c r="Z83" s="3"/>
    </x:row>
    <x:row r="84" ht="15" customHeight="1">
      <x:c r="A84" s="7" t="str">
        <x:f>IF(66&lt;='Сводка'!$B$3,'Сводка'!$B$4+66,"")</x:f>
      </x:c>
      <x:c r="B84" s="20" t="str">
        <x:f>IF($A84="","",(A84-$T$405+1)/1000)</x:f>
      </x:c>
      <x:c r="C84" s="20" t="str">
        <x:f>IF($A84="","",2*(A84-$T$405)/$T$406-1)</x:f>
      </x:c>
      <x:c r="D84" s="3" t="str">
        <x:f>IF($A84="","",$B$4*EXP($B$5*B84)+INDEX($E$4:$E$15,MONTH(A84)))</x:f>
      </x:c>
      <x:c r="E84" s="3" t="str">
        <x:f>IF($A84="","",SQRT($T$403^2+H84^2))</x:f>
      </x:c>
      <x:c r="F84" s="3" t="str">
        <x:f>IF($A84="","",D84-$T$404*E84)</x:f>
      </x:c>
      <x:c r="G84" s="3" t="str">
        <x:f>IF($A84="","",D84+$T$404*E84)</x:f>
      </x:c>
      <x:c r="H84" s="3" t="str">
        <x:f>IF($A84="","",SQRT(MAX(0,(EXP($B$5*B84))*$S$409*(EXP($B$5*B84))+(EXP($B$5*B84))*$T$409*($B$4*EXP($B$5*B84)*B84)+($B$4*EXP($B$5*B84)*B84)*$S$410*(EXP($B$5*B84))+($B$4*EXP($B$5*B84)*B84)*$T$410*($B$4*EXP($B$5*B84)*B84)+2*((EXP($B$5*B84))*INDEX($S$416:$V$427,MONTH(A84),1)+($B$4*EXP($B$5*B84)*B84)*INDEX($S$416:$V$427,MONTH(A84),2))+INDEX($W$416:$W$427,MONTH(A84)))))</x:f>
      </x:c>
      <x:c r="I84" s="3"/>
      <x:c r="J84" s="10" t="n">
        <x:v>45935</x:v>
      </x:c>
      <x:c r="K84" s="8" t="n">
        <x:f>INDEX('Сводка'!$S$3:$S$397,U84)</x:f>
        <x:v>240</x:v>
      </x:c>
      <x:c r="L84" s="8" t="n">
        <x:f>INDEX('Сводка'!$S$3:$S$397,V84)</x:f>
        <x:v>258</x:v>
      </x:c>
      <x:c r="M84" s="8" t="n">
        <x:f>INDEX($K$388:$N$400,W84,1)*EXP(INDEX($K$388:$N$400,W84,2)*((J84-$T$405+1)/1000))+INDEX($O$388:$Z$400,W84,MONTH(J84))</x:f>
        <x:v>182.5245650459126</x:v>
      </x:c>
      <x:c r="N84" s="8" t="n">
        <x:f>K84-M84</x:f>
        <x:v>57.475434954087405</x:v>
      </x:c>
      <x:c r="O84" s="8" t="n">
        <x:f>ABS(N84)</x:f>
        <x:v>57.475434954087405</x:v>
      </x:c>
      <x:c r="P84" s="8" t="n">
        <x:f>N84^2</x:f>
        <x:v>3303.4256231615323</x:v>
      </x:c>
      <x:c r="Q84" s="8" t="n">
        <x:f>K84-L84</x:f>
        <x:v>-18</x:v>
      </x:c>
      <x:c r="R84" s="9" t="n">
        <x:f>IF(AND(INDEX('Сводка'!$T$3:$T$397,U84)=0,INDEX('Сводка'!$T$3:$T$397,V84)=0),1,0)</x:f>
        <x:v>1</x:v>
      </x:c>
      <x:c r="S84" s="9" t="n">
        <x:f>IF(AND(R84=1,O84&lt;=$G$13),1,0)</x:f>
        <x:v>0</x:v>
      </x:c>
      <x:c r="T84" s="10" t="n">
        <x:f>EOMONTH(J84-'Сводка'!$B$11,-1)</x:f>
        <x:v>45930</x:v>
      </x:c>
      <x:c r="U84" s="4" t="n">
        <x:f>MATCH(J84,'Сводка'!$R$3:$R$397,0)</x:f>
        <x:v>95</x:v>
      </x:c>
      <x:c r="V84" s="4" t="n">
        <x:f>MATCH(J84-'Сводка'!$B$11,'Сводка'!$R$3:$R$397,0)</x:f>
        <x:v>94</x:v>
      </x:c>
      <x:c r="W84" s="4" t="n">
        <x:f>MATCH(T84,$J$388:$J$400,0)</x:f>
        <x:v>4</x:v>
      </x:c>
      <x:c r="X84" s="3"/>
      <x:c r="Y84" s="3"/>
      <x:c r="Z84" s="3"/>
    </x:row>
    <x:row r="85" ht="15" customHeight="1">
      <x:c r="A85" s="7" t="str">
        <x:f>IF(67&lt;='Сводка'!$B$3,'Сводка'!$B$4+67,"")</x:f>
      </x:c>
      <x:c r="B85" s="20" t="str">
        <x:f>IF($A85="","",(A85-$T$405+1)/1000)</x:f>
      </x:c>
      <x:c r="C85" s="20" t="str">
        <x:f>IF($A85="","",2*(A85-$T$405)/$T$406-1)</x:f>
      </x:c>
      <x:c r="D85" s="3" t="str">
        <x:f>IF($A85="","",$B$4*EXP($B$5*B85)+INDEX($E$4:$E$15,MONTH(A85)))</x:f>
      </x:c>
      <x:c r="E85" s="3" t="str">
        <x:f>IF($A85="","",SQRT($T$403^2+H85^2))</x:f>
      </x:c>
      <x:c r="F85" s="3" t="str">
        <x:f>IF($A85="","",D85-$T$404*E85)</x:f>
      </x:c>
      <x:c r="G85" s="3" t="str">
        <x:f>IF($A85="","",D85+$T$404*E85)</x:f>
      </x:c>
      <x:c r="H85" s="3" t="str">
        <x:f>IF($A85="","",SQRT(MAX(0,(EXP($B$5*B85))*$S$409*(EXP($B$5*B85))+(EXP($B$5*B85))*$T$409*($B$4*EXP($B$5*B85)*B85)+($B$4*EXP($B$5*B85)*B85)*$S$410*(EXP($B$5*B85))+($B$4*EXP($B$5*B85)*B85)*$T$410*($B$4*EXP($B$5*B85)*B85)+2*((EXP($B$5*B85))*INDEX($S$416:$V$427,MONTH(A85),1)+($B$4*EXP($B$5*B85)*B85)*INDEX($S$416:$V$427,MONTH(A85),2))+INDEX($W$416:$W$427,MONTH(A85)))))</x:f>
      </x:c>
      <x:c r="I85" s="3"/>
      <x:c r="J85" s="10" t="n">
        <x:v>45936</x:v>
      </x:c>
      <x:c r="K85" s="8" t="n">
        <x:f>INDEX('Сводка'!$S$3:$S$397,U85)</x:f>
        <x:v>224</x:v>
      </x:c>
      <x:c r="L85" s="8" t="n">
        <x:f>INDEX('Сводка'!$S$3:$S$397,V85)</x:f>
        <x:v>240</x:v>
      </x:c>
      <x:c r="M85" s="8" t="n">
        <x:f>INDEX($K$388:$N$400,W85,1)*EXP(INDEX($K$388:$N$400,W85,2)*((J85-$T$405+1)/1000))+INDEX($O$388:$Z$400,W85,MONTH(J85))</x:f>
        <x:v>182.5622962639282</x:v>
      </x:c>
      <x:c r="N85" s="8" t="n">
        <x:f>K85-M85</x:f>
        <x:v>41.437703736071796</x:v>
      </x:c>
      <x:c r="O85" s="8" t="n">
        <x:f>ABS(N85)</x:f>
        <x:v>41.437703736071796</x:v>
      </x:c>
      <x:c r="P85" s="8" t="n">
        <x:f>N85^2</x:f>
        <x:v>1717.0832909184585</x:v>
      </x:c>
      <x:c r="Q85" s="8" t="n">
        <x:f>K85-L85</x:f>
        <x:v>-16</x:v>
      </x:c>
      <x:c r="R85" s="9" t="n">
        <x:f>IF(AND(INDEX('Сводка'!$T$3:$T$397,U85)=0,INDEX('Сводка'!$T$3:$T$397,V85)=0),1,0)</x:f>
        <x:v>1</x:v>
      </x:c>
      <x:c r="S85" s="9" t="n">
        <x:f>IF(AND(R85=1,O85&lt;=$G$13),1,0)</x:f>
        <x:v>0</x:v>
      </x:c>
      <x:c r="T85" s="10" t="n">
        <x:f>EOMONTH(J85-'Сводка'!$B$11,-1)</x:f>
        <x:v>45930</x:v>
      </x:c>
      <x:c r="U85" s="4" t="n">
        <x:f>MATCH(J85,'Сводка'!$R$3:$R$397,0)</x:f>
        <x:v>96</x:v>
      </x:c>
      <x:c r="V85" s="4" t="n">
        <x:f>MATCH(J85-'Сводка'!$B$11,'Сводка'!$R$3:$R$397,0)</x:f>
        <x:v>95</x:v>
      </x:c>
      <x:c r="W85" s="4" t="n">
        <x:f>MATCH(T85,$J$388:$J$400,0)</x:f>
        <x:v>4</x:v>
      </x:c>
      <x:c r="X85" s="3"/>
      <x:c r="Y85" s="3"/>
      <x:c r="Z85" s="3"/>
    </x:row>
    <x:row r="86" ht="15" customHeight="1">
      <x:c r="A86" s="7" t="str">
        <x:f>IF(68&lt;='Сводка'!$B$3,'Сводка'!$B$4+68,"")</x:f>
      </x:c>
      <x:c r="B86" s="20" t="str">
        <x:f>IF($A86="","",(A86-$T$405+1)/1000)</x:f>
      </x:c>
      <x:c r="C86" s="20" t="str">
        <x:f>IF($A86="","",2*(A86-$T$405)/$T$406-1)</x:f>
      </x:c>
      <x:c r="D86" s="3" t="str">
        <x:f>IF($A86="","",$B$4*EXP($B$5*B86)+INDEX($E$4:$E$15,MONTH(A86)))</x:f>
      </x:c>
      <x:c r="E86" s="3" t="str">
        <x:f>IF($A86="","",SQRT($T$403^2+H86^2))</x:f>
      </x:c>
      <x:c r="F86" s="3" t="str">
        <x:f>IF($A86="","",D86-$T$404*E86)</x:f>
      </x:c>
      <x:c r="G86" s="3" t="str">
        <x:f>IF($A86="","",D86+$T$404*E86)</x:f>
      </x:c>
      <x:c r="H86" s="3" t="str">
        <x:f>IF($A86="","",SQRT(MAX(0,(EXP($B$5*B86))*$S$409*(EXP($B$5*B86))+(EXP($B$5*B86))*$T$409*($B$4*EXP($B$5*B86)*B86)+($B$4*EXP($B$5*B86)*B86)*$S$410*(EXP($B$5*B86))+($B$4*EXP($B$5*B86)*B86)*$T$410*($B$4*EXP($B$5*B86)*B86)+2*((EXP($B$5*B86))*INDEX($S$416:$V$427,MONTH(A86),1)+($B$4*EXP($B$5*B86)*B86)*INDEX($S$416:$V$427,MONTH(A86),2))+INDEX($W$416:$W$427,MONTH(A86)))))</x:f>
      </x:c>
      <x:c r="I86" s="3"/>
      <x:c r="J86" s="10" t="n">
        <x:v>45937</x:v>
      </x:c>
      <x:c r="K86" s="8" t="n">
        <x:f>INDEX('Сводка'!$S$3:$S$397,U86)</x:f>
        <x:v>210</x:v>
      </x:c>
      <x:c r="L86" s="8" t="n">
        <x:f>INDEX('Сводка'!$S$3:$S$397,V86)</x:f>
        <x:v>224</x:v>
      </x:c>
      <x:c r="M86" s="8" t="n">
        <x:f>INDEX($K$388:$N$400,W86,1)*EXP(INDEX($K$388:$N$400,W86,2)*((J86-$T$405+1)/1000))+INDEX($O$388:$Z$400,W86,MONTH(J86))</x:f>
        <x:v>182.6000362848225</x:v>
      </x:c>
      <x:c r="N86" s="8" t="n">
        <x:f>K86-M86</x:f>
        <x:v>27.399963715177506</x:v>
      </x:c>
      <x:c r="O86" s="8" t="n">
        <x:f>ABS(N86)</x:f>
        <x:v>27.399963715177506</x:v>
      </x:c>
      <x:c r="P86" s="8" t="n">
        <x:f>N86^2</x:f>
        <x:v>750.7580115930439</x:v>
      </x:c>
      <x:c r="Q86" s="8" t="n">
        <x:f>K86-L86</x:f>
        <x:v>-14</x:v>
      </x:c>
      <x:c r="R86" s="9" t="n">
        <x:f>IF(AND(INDEX('Сводка'!$T$3:$T$397,U86)=0,INDEX('Сводка'!$T$3:$T$397,V86)=0),1,0)</x:f>
        <x:v>1</x:v>
      </x:c>
      <x:c r="S86" s="9" t="n">
        <x:f>IF(AND(R86=1,O86&lt;=$G$13),1,0)</x:f>
        <x:v>0</x:v>
      </x:c>
      <x:c r="T86" s="10" t="n">
        <x:f>EOMONTH(J86-'Сводка'!$B$11,-1)</x:f>
        <x:v>45930</x:v>
      </x:c>
      <x:c r="U86" s="4" t="n">
        <x:f>MATCH(J86,'Сводка'!$R$3:$R$397,0)</x:f>
        <x:v>97</x:v>
      </x:c>
      <x:c r="V86" s="4" t="n">
        <x:f>MATCH(J86-'Сводка'!$B$11,'Сводка'!$R$3:$R$397,0)</x:f>
        <x:v>96</x:v>
      </x:c>
      <x:c r="W86" s="4" t="n">
        <x:f>MATCH(T86,$J$388:$J$400,0)</x:f>
        <x:v>4</x:v>
      </x:c>
      <x:c r="X86" s="3"/>
      <x:c r="Y86" s="3"/>
      <x:c r="Z86" s="3"/>
    </x:row>
    <x:row r="87" ht="15" customHeight="1">
      <x:c r="A87" s="7" t="str">
        <x:f>IF(69&lt;='Сводка'!$B$3,'Сводка'!$B$4+69,"")</x:f>
      </x:c>
      <x:c r="B87" s="20" t="str">
        <x:f>IF($A87="","",(A87-$T$405+1)/1000)</x:f>
      </x:c>
      <x:c r="C87" s="20" t="str">
        <x:f>IF($A87="","",2*(A87-$T$405)/$T$406-1)</x:f>
      </x:c>
      <x:c r="D87" s="3" t="str">
        <x:f>IF($A87="","",$B$4*EXP($B$5*B87)+INDEX($E$4:$E$15,MONTH(A87)))</x:f>
      </x:c>
      <x:c r="E87" s="3" t="str">
        <x:f>IF($A87="","",SQRT($T$403^2+H87^2))</x:f>
      </x:c>
      <x:c r="F87" s="3" t="str">
        <x:f>IF($A87="","",D87-$T$404*E87)</x:f>
      </x:c>
      <x:c r="G87" s="3" t="str">
        <x:f>IF($A87="","",D87+$T$404*E87)</x:f>
      </x:c>
      <x:c r="H87" s="3" t="str">
        <x:f>IF($A87="","",SQRT(MAX(0,(EXP($B$5*B87))*$S$409*(EXP($B$5*B87))+(EXP($B$5*B87))*$T$409*($B$4*EXP($B$5*B87)*B87)+($B$4*EXP($B$5*B87)*B87)*$S$410*(EXP($B$5*B87))+($B$4*EXP($B$5*B87)*B87)*$T$410*($B$4*EXP($B$5*B87)*B87)+2*((EXP($B$5*B87))*INDEX($S$416:$V$427,MONTH(A87),1)+($B$4*EXP($B$5*B87)*B87)*INDEX($S$416:$V$427,MONTH(A87),2))+INDEX($W$416:$W$427,MONTH(A87)))))</x:f>
      </x:c>
      <x:c r="I87" s="3"/>
      <x:c r="J87" s="10" t="n">
        <x:v>45938</x:v>
      </x:c>
      <x:c r="K87" s="8" t="n">
        <x:f>INDEX('Сводка'!$S$3:$S$397,U87)</x:f>
        <x:v>198</x:v>
      </x:c>
      <x:c r="L87" s="8" t="n">
        <x:f>INDEX('Сводка'!$S$3:$S$397,V87)</x:f>
        <x:v>210</x:v>
      </x:c>
      <x:c r="M87" s="8" t="n">
        <x:f>INDEX($K$388:$N$400,W87,1)*EXP(INDEX($K$388:$N$400,W87,2)*((J87-$T$405+1)/1000))+INDEX($O$388:$Z$400,W87,MONTH(J87))</x:f>
        <x:v>182.63778511064945</x:v>
      </x:c>
      <x:c r="N87" s="8" t="n">
        <x:f>K87-M87</x:f>
        <x:v>15.362214889350554</x:v>
      </x:c>
      <x:c r="O87" s="8" t="n">
        <x:f>ABS(N87)</x:f>
        <x:v>15.362214889350554</x:v>
      </x:c>
      <x:c r="P87" s="8" t="n">
        <x:f>N87^2</x:f>
        <x:v>235.99764630658385</x:v>
      </x:c>
      <x:c r="Q87" s="8" t="n">
        <x:f>K87-L87</x:f>
        <x:v>-12</x:v>
      </x:c>
      <x:c r="R87" s="9" t="n">
        <x:f>IF(AND(INDEX('Сводка'!$T$3:$T$397,U87)=0,INDEX('Сводка'!$T$3:$T$397,V87)=0),1,0)</x:f>
        <x:v>1</x:v>
      </x:c>
      <x:c r="S87" s="9" t="n">
        <x:f>IF(AND(R87=1,O87&lt;=$G$13),1,0)</x:f>
        <x:v>0</x:v>
      </x:c>
      <x:c r="T87" s="10" t="n">
        <x:f>EOMONTH(J87-'Сводка'!$B$11,-1)</x:f>
        <x:v>45930</x:v>
      </x:c>
      <x:c r="U87" s="4" t="n">
        <x:f>MATCH(J87,'Сводка'!$R$3:$R$397,0)</x:f>
        <x:v>98</x:v>
      </x:c>
      <x:c r="V87" s="4" t="n">
        <x:f>MATCH(J87-'Сводка'!$B$11,'Сводка'!$R$3:$R$397,0)</x:f>
        <x:v>97</x:v>
      </x:c>
      <x:c r="W87" s="4" t="n">
        <x:f>MATCH(T87,$J$388:$J$400,0)</x:f>
        <x:v>4</x:v>
      </x:c>
      <x:c r="X87" s="3"/>
      <x:c r="Y87" s="3"/>
      <x:c r="Z87" s="3"/>
    </x:row>
    <x:row r="88" ht="15" customHeight="1">
      <x:c r="A88" s="7" t="str">
        <x:f>IF(70&lt;='Сводка'!$B$3,'Сводка'!$B$4+70,"")</x:f>
      </x:c>
      <x:c r="B88" s="20" t="str">
        <x:f>IF($A88="","",(A88-$T$405+1)/1000)</x:f>
      </x:c>
      <x:c r="C88" s="20" t="str">
        <x:f>IF($A88="","",2*(A88-$T$405)/$T$406-1)</x:f>
      </x:c>
      <x:c r="D88" s="3" t="str">
        <x:f>IF($A88="","",$B$4*EXP($B$5*B88)+INDEX($E$4:$E$15,MONTH(A88)))</x:f>
      </x:c>
      <x:c r="E88" s="3" t="str">
        <x:f>IF($A88="","",SQRT($T$403^2+H88^2))</x:f>
      </x:c>
      <x:c r="F88" s="3" t="str">
        <x:f>IF($A88="","",D88-$T$404*E88)</x:f>
      </x:c>
      <x:c r="G88" s="3" t="str">
        <x:f>IF($A88="","",D88+$T$404*E88)</x:f>
      </x:c>
      <x:c r="H88" s="3" t="str">
        <x:f>IF($A88="","",SQRT(MAX(0,(EXP($B$5*B88))*$S$409*(EXP($B$5*B88))+(EXP($B$5*B88))*$T$409*($B$4*EXP($B$5*B88)*B88)+($B$4*EXP($B$5*B88)*B88)*$S$410*(EXP($B$5*B88))+($B$4*EXP($B$5*B88)*B88)*$T$410*($B$4*EXP($B$5*B88)*B88)+2*((EXP($B$5*B88))*INDEX($S$416:$V$427,MONTH(A88),1)+($B$4*EXP($B$5*B88)*B88)*INDEX($S$416:$V$427,MONTH(A88),2))+INDEX($W$416:$W$427,MONTH(A88)))))</x:f>
      </x:c>
      <x:c r="I88" s="3"/>
      <x:c r="J88" s="10" t="n">
        <x:v>45939</x:v>
      </x:c>
      <x:c r="K88" s="8" t="n">
        <x:f>INDEX('Сводка'!$S$3:$S$397,U88)</x:f>
        <x:v>178</x:v>
      </x:c>
      <x:c r="L88" s="8" t="n">
        <x:f>INDEX('Сводка'!$S$3:$S$397,V88)</x:f>
        <x:v>198</x:v>
      </x:c>
      <x:c r="M88" s="8" t="n">
        <x:f>INDEX($K$388:$N$400,W88,1)*EXP(INDEX($K$388:$N$400,W88,2)*((J88-$T$405+1)/1000))+INDEX($O$388:$Z$400,W88,MONTH(J88))</x:f>
        <x:v>182.67554274346318</x:v>
      </x:c>
      <x:c r="N88" s="8" t="n">
        <x:f>K88-M88</x:f>
        <x:v>-4.675542743463183</x:v>
      </x:c>
      <x:c r="O88" s="8" t="n">
        <x:f>ABS(N88)</x:f>
        <x:v>4.675542743463183</x:v>
      </x:c>
      <x:c r="P88" s="8" t="n">
        <x:f>N88^2</x:f>
        <x:v>21.860699945951225</x:v>
      </x:c>
      <x:c r="Q88" s="8" t="n">
        <x:f>K88-L88</x:f>
        <x:v>-20</x:v>
      </x:c>
      <x:c r="R88" s="9" t="n">
        <x:f>IF(AND(INDEX('Сводка'!$T$3:$T$397,U88)=0,INDEX('Сводка'!$T$3:$T$397,V88)=0),1,0)</x:f>
        <x:v>1</x:v>
      </x:c>
      <x:c r="S88" s="9" t="n">
        <x:f>IF(AND(R88=1,O88&lt;=$G$13),1,0)</x:f>
        <x:v>1</x:v>
      </x:c>
      <x:c r="T88" s="10" t="n">
        <x:f>EOMONTH(J88-'Сводка'!$B$11,-1)</x:f>
        <x:v>45930</x:v>
      </x:c>
      <x:c r="U88" s="4" t="n">
        <x:f>MATCH(J88,'Сводка'!$R$3:$R$397,0)</x:f>
        <x:v>99</x:v>
      </x:c>
      <x:c r="V88" s="4" t="n">
        <x:f>MATCH(J88-'Сводка'!$B$11,'Сводка'!$R$3:$R$397,0)</x:f>
        <x:v>98</x:v>
      </x:c>
      <x:c r="W88" s="4" t="n">
        <x:f>MATCH(T88,$J$388:$J$400,0)</x:f>
        <x:v>4</x:v>
      </x:c>
      <x:c r="X88" s="3"/>
      <x:c r="Y88" s="3"/>
      <x:c r="Z88" s="3"/>
    </x:row>
    <x:row r="89" ht="15" customHeight="1">
      <x:c r="A89" s="7" t="str">
        <x:f>IF(71&lt;='Сводка'!$B$3,'Сводка'!$B$4+71,"")</x:f>
      </x:c>
      <x:c r="B89" s="20" t="str">
        <x:f>IF($A89="","",(A89-$T$405+1)/1000)</x:f>
      </x:c>
      <x:c r="C89" s="20" t="str">
        <x:f>IF($A89="","",2*(A89-$T$405)/$T$406-1)</x:f>
      </x:c>
      <x:c r="D89" s="3" t="str">
        <x:f>IF($A89="","",$B$4*EXP($B$5*B89)+INDEX($E$4:$E$15,MONTH(A89)))</x:f>
      </x:c>
      <x:c r="E89" s="3" t="str">
        <x:f>IF($A89="","",SQRT($T$403^2+H89^2))</x:f>
      </x:c>
      <x:c r="F89" s="3" t="str">
        <x:f>IF($A89="","",D89-$T$404*E89)</x:f>
      </x:c>
      <x:c r="G89" s="3" t="str">
        <x:f>IF($A89="","",D89+$T$404*E89)</x:f>
      </x:c>
      <x:c r="H89" s="3" t="str">
        <x:f>IF($A89="","",SQRT(MAX(0,(EXP($B$5*B89))*$S$409*(EXP($B$5*B89))+(EXP($B$5*B89))*$T$409*($B$4*EXP($B$5*B89)*B89)+($B$4*EXP($B$5*B89)*B89)*$S$410*(EXP($B$5*B89))+($B$4*EXP($B$5*B89)*B89)*$T$410*($B$4*EXP($B$5*B89)*B89)+2*((EXP($B$5*B89))*INDEX($S$416:$V$427,MONTH(A89),1)+($B$4*EXP($B$5*B89)*B89)*INDEX($S$416:$V$427,MONTH(A89),2))+INDEX($W$416:$W$427,MONTH(A89)))))</x:f>
      </x:c>
      <x:c r="I89" s="3"/>
      <x:c r="J89" s="10" t="n">
        <x:v>45940</x:v>
      </x:c>
      <x:c r="K89" s="8" t="n">
        <x:f>INDEX('Сводка'!$S$3:$S$397,U89)</x:f>
        <x:v>163</x:v>
      </x:c>
      <x:c r="L89" s="8" t="n">
        <x:f>INDEX('Сводка'!$S$3:$S$397,V89)</x:f>
        <x:v>178</x:v>
      </x:c>
      <x:c r="M89" s="8" t="n">
        <x:f>INDEX($K$388:$N$400,W89,1)*EXP(INDEX($K$388:$N$400,W89,2)*((J89-$T$405+1)/1000))+INDEX($O$388:$Z$400,W89,MONTH(J89))</x:f>
        <x:v>182.71330918531837</x:v>
      </x:c>
      <x:c r="N89" s="8" t="n">
        <x:f>K89-M89</x:f>
        <x:v>-19.713309185318366</x:v>
      </x:c>
      <x:c r="O89" s="8" t="n">
        <x:f>ABS(N89)</x:f>
        <x:v>19.713309185318366</x:v>
      </x:c>
      <x:c r="P89" s="8" t="n">
        <x:f>N89^2</x:f>
        <x:v>388.6145590359574</x:v>
      </x:c>
      <x:c r="Q89" s="8" t="n">
        <x:f>K89-L89</x:f>
        <x:v>-15</x:v>
      </x:c>
      <x:c r="R89" s="9" t="n">
        <x:f>IF(AND(INDEX('Сводка'!$T$3:$T$397,U89)=0,INDEX('Сводка'!$T$3:$T$397,V89)=0),1,0)</x:f>
        <x:v>1</x:v>
      </x:c>
      <x:c r="S89" s="9" t="n">
        <x:f>IF(AND(R89=1,O89&lt;=$G$13),1,0)</x:f>
        <x:v>0</x:v>
      </x:c>
      <x:c r="T89" s="10" t="n">
        <x:f>EOMONTH(J89-'Сводка'!$B$11,-1)</x:f>
        <x:v>45930</x:v>
      </x:c>
      <x:c r="U89" s="4" t="n">
        <x:f>MATCH(J89,'Сводка'!$R$3:$R$397,0)</x:f>
        <x:v>100</x:v>
      </x:c>
      <x:c r="V89" s="4" t="n">
        <x:f>MATCH(J89-'Сводка'!$B$11,'Сводка'!$R$3:$R$397,0)</x:f>
        <x:v>99</x:v>
      </x:c>
      <x:c r="W89" s="4" t="n">
        <x:f>MATCH(T89,$J$388:$J$400,0)</x:f>
        <x:v>4</x:v>
      </x:c>
      <x:c r="X89" s="3"/>
      <x:c r="Y89" s="3"/>
      <x:c r="Z89" s="3"/>
    </x:row>
    <x:row r="90" ht="15" customHeight="1">
      <x:c r="A90" s="7" t="str">
        <x:f>IF(72&lt;='Сводка'!$B$3,'Сводка'!$B$4+72,"")</x:f>
      </x:c>
      <x:c r="B90" s="20" t="str">
        <x:f>IF($A90="","",(A90-$T$405+1)/1000)</x:f>
      </x:c>
      <x:c r="C90" s="20" t="str">
        <x:f>IF($A90="","",2*(A90-$T$405)/$T$406-1)</x:f>
      </x:c>
      <x:c r="D90" s="3" t="str">
        <x:f>IF($A90="","",$B$4*EXP($B$5*B90)+INDEX($E$4:$E$15,MONTH(A90)))</x:f>
      </x:c>
      <x:c r="E90" s="3" t="str">
        <x:f>IF($A90="","",SQRT($T$403^2+H90^2))</x:f>
      </x:c>
      <x:c r="F90" s="3" t="str">
        <x:f>IF($A90="","",D90-$T$404*E90)</x:f>
      </x:c>
      <x:c r="G90" s="3" t="str">
        <x:f>IF($A90="","",D90+$T$404*E90)</x:f>
      </x:c>
      <x:c r="H90" s="3" t="str">
        <x:f>IF($A90="","",SQRT(MAX(0,(EXP($B$5*B90))*$S$409*(EXP($B$5*B90))+(EXP($B$5*B90))*$T$409*($B$4*EXP($B$5*B90)*B90)+($B$4*EXP($B$5*B90)*B90)*$S$410*(EXP($B$5*B90))+($B$4*EXP($B$5*B90)*B90)*$T$410*($B$4*EXP($B$5*B90)*B90)+2*((EXP($B$5*B90))*INDEX($S$416:$V$427,MONTH(A90),1)+($B$4*EXP($B$5*B90)*B90)*INDEX($S$416:$V$427,MONTH(A90),2))+INDEX($W$416:$W$427,MONTH(A90)))))</x:f>
      </x:c>
      <x:c r="I90" s="3"/>
      <x:c r="J90" s="10" t="n">
        <x:v>45941</x:v>
      </x:c>
      <x:c r="K90" s="8" t="n">
        <x:f>INDEX('Сводка'!$S$3:$S$397,U90)</x:f>
        <x:v>152</x:v>
      </x:c>
      <x:c r="L90" s="8" t="n">
        <x:f>INDEX('Сводка'!$S$3:$S$397,V90)</x:f>
        <x:v>163</x:v>
      </x:c>
      <x:c r="M90" s="8" t="n">
        <x:f>INDEX($K$388:$N$400,W90,1)*EXP(INDEX($K$388:$N$400,W90,2)*((J90-$T$405+1)/1000))+INDEX($O$388:$Z$400,W90,MONTH(J90))</x:f>
        <x:v>182.75108443827028</x:v>
      </x:c>
      <x:c r="N90" s="8" t="n">
        <x:f>K90-M90</x:f>
        <x:v>-30.751084438270283</x:v>
      </x:c>
      <x:c r="O90" s="8" t="n">
        <x:f>ABS(N90)</x:f>
        <x:v>30.751084438270283</x:v>
      </x:c>
      <x:c r="P90" s="8" t="n">
        <x:f>N90^2</x:f>
        <x:v>945.6291941296288</x:v>
      </x:c>
      <x:c r="Q90" s="8" t="n">
        <x:f>K90-L90</x:f>
        <x:v>-11</x:v>
      </x:c>
      <x:c r="R90" s="9" t="n">
        <x:f>IF(AND(INDEX('Сводка'!$T$3:$T$397,U90)=0,INDEX('Сводка'!$T$3:$T$397,V90)=0),1,0)</x:f>
        <x:v>1</x:v>
      </x:c>
      <x:c r="S90" s="9" t="n">
        <x:f>IF(AND(R90=1,O90&lt;=$G$13),1,0)</x:f>
        <x:v>0</x:v>
      </x:c>
      <x:c r="T90" s="10" t="n">
        <x:f>EOMONTH(J90-'Сводка'!$B$11,-1)</x:f>
        <x:v>45930</x:v>
      </x:c>
      <x:c r="U90" s="4" t="n">
        <x:f>MATCH(J90,'Сводка'!$R$3:$R$397,0)</x:f>
        <x:v>101</x:v>
      </x:c>
      <x:c r="V90" s="4" t="n">
        <x:f>MATCH(J90-'Сводка'!$B$11,'Сводка'!$R$3:$R$397,0)</x:f>
        <x:v>100</x:v>
      </x:c>
      <x:c r="W90" s="4" t="n">
        <x:f>MATCH(T90,$J$388:$J$400,0)</x:f>
        <x:v>4</x:v>
      </x:c>
      <x:c r="X90" s="3"/>
      <x:c r="Y90" s="3"/>
      <x:c r="Z90" s="3"/>
    </x:row>
    <x:row r="91" ht="15" customHeight="1">
      <x:c r="A91" s="7" t="str">
        <x:f>IF(73&lt;='Сводка'!$B$3,'Сводка'!$B$4+73,"")</x:f>
      </x:c>
      <x:c r="B91" s="20" t="str">
        <x:f>IF($A91="","",(A91-$T$405+1)/1000)</x:f>
      </x:c>
      <x:c r="C91" s="20" t="str">
        <x:f>IF($A91="","",2*(A91-$T$405)/$T$406-1)</x:f>
      </x:c>
      <x:c r="D91" s="3" t="str">
        <x:f>IF($A91="","",$B$4*EXP($B$5*B91)+INDEX($E$4:$E$15,MONTH(A91)))</x:f>
      </x:c>
      <x:c r="E91" s="3" t="str">
        <x:f>IF($A91="","",SQRT($T$403^2+H91^2))</x:f>
      </x:c>
      <x:c r="F91" s="3" t="str">
        <x:f>IF($A91="","",D91-$T$404*E91)</x:f>
      </x:c>
      <x:c r="G91" s="3" t="str">
        <x:f>IF($A91="","",D91+$T$404*E91)</x:f>
      </x:c>
      <x:c r="H91" s="3" t="str">
        <x:f>IF($A91="","",SQRT(MAX(0,(EXP($B$5*B91))*$S$409*(EXP($B$5*B91))+(EXP($B$5*B91))*$T$409*($B$4*EXP($B$5*B91)*B91)+($B$4*EXP($B$5*B91)*B91)*$S$410*(EXP($B$5*B91))+($B$4*EXP($B$5*B91)*B91)*$T$410*($B$4*EXP($B$5*B91)*B91)+2*((EXP($B$5*B91))*INDEX($S$416:$V$427,MONTH(A91),1)+($B$4*EXP($B$5*B91)*B91)*INDEX($S$416:$V$427,MONTH(A91),2))+INDEX($W$416:$W$427,MONTH(A91)))))</x:f>
      </x:c>
      <x:c r="I91" s="3"/>
      <x:c r="J91" s="10" t="n">
        <x:v>45942</x:v>
      </x:c>
      <x:c r="K91" s="8" t="n">
        <x:f>INDEX('Сводка'!$S$3:$S$397,U91)</x:f>
        <x:v>138</x:v>
      </x:c>
      <x:c r="L91" s="8" t="n">
        <x:f>INDEX('Сводка'!$S$3:$S$397,V91)</x:f>
        <x:v>152</x:v>
      </x:c>
      <x:c r="M91" s="8" t="n">
        <x:f>INDEX($K$388:$N$400,W91,1)*EXP(INDEX($K$388:$N$400,W91,2)*((J91-$T$405+1)/1000))+INDEX($O$388:$Z$400,W91,MONTH(J91))</x:f>
        <x:v>182.7888685043746</x:v>
      </x:c>
      <x:c r="N91" s="8" t="n">
        <x:f>K91-M91</x:f>
        <x:v>-44.78886850437459</x:v>
      </x:c>
      <x:c r="O91" s="8" t="n">
        <x:f>ABS(N91)</x:f>
        <x:v>44.78886850437459</x:v>
      </x:c>
      <x:c r="P91" s="8" t="n">
        <x:f>N91^2</x:f>
        <x:v>2006.0427419021582</x:v>
      </x:c>
      <x:c r="Q91" s="8" t="n">
        <x:f>K91-L91</x:f>
        <x:v>-14</x:v>
      </x:c>
      <x:c r="R91" s="9" t="n">
        <x:f>IF(AND(INDEX('Сводка'!$T$3:$T$397,U91)=0,INDEX('Сводка'!$T$3:$T$397,V91)=0),1,0)</x:f>
        <x:v>1</x:v>
      </x:c>
      <x:c r="S91" s="9" t="n">
        <x:f>IF(AND(R91=1,O91&lt;=$G$13),1,0)</x:f>
        <x:v>0</x:v>
      </x:c>
      <x:c r="T91" s="10" t="n">
        <x:f>EOMONTH(J91-'Сводка'!$B$11,-1)</x:f>
        <x:v>45930</x:v>
      </x:c>
      <x:c r="U91" s="4" t="n">
        <x:f>MATCH(J91,'Сводка'!$R$3:$R$397,0)</x:f>
        <x:v>102</x:v>
      </x:c>
      <x:c r="V91" s="4" t="n">
        <x:f>MATCH(J91-'Сводка'!$B$11,'Сводка'!$R$3:$R$397,0)</x:f>
        <x:v>101</x:v>
      </x:c>
      <x:c r="W91" s="4" t="n">
        <x:f>MATCH(T91,$J$388:$J$400,0)</x:f>
        <x:v>4</x:v>
      </x:c>
      <x:c r="X91" s="3"/>
      <x:c r="Y91" s="3"/>
      <x:c r="Z91" s="3"/>
    </x:row>
    <x:row r="92" ht="15" customHeight="1">
      <x:c r="A92" s="7" t="str">
        <x:f>IF(74&lt;='Сводка'!$B$3,'Сводка'!$B$4+74,"")</x:f>
      </x:c>
      <x:c r="B92" s="20" t="str">
        <x:f>IF($A92="","",(A92-$T$405+1)/1000)</x:f>
      </x:c>
      <x:c r="C92" s="20" t="str">
        <x:f>IF($A92="","",2*(A92-$T$405)/$T$406-1)</x:f>
      </x:c>
      <x:c r="D92" s="3" t="str">
        <x:f>IF($A92="","",$B$4*EXP($B$5*B92)+INDEX($E$4:$E$15,MONTH(A92)))</x:f>
      </x:c>
      <x:c r="E92" s="3" t="str">
        <x:f>IF($A92="","",SQRT($T$403^2+H92^2))</x:f>
      </x:c>
      <x:c r="F92" s="3" t="str">
        <x:f>IF($A92="","",D92-$T$404*E92)</x:f>
      </x:c>
      <x:c r="G92" s="3" t="str">
        <x:f>IF($A92="","",D92+$T$404*E92)</x:f>
      </x:c>
      <x:c r="H92" s="3" t="str">
        <x:f>IF($A92="","",SQRT(MAX(0,(EXP($B$5*B92))*$S$409*(EXP($B$5*B92))+(EXP($B$5*B92))*$T$409*($B$4*EXP($B$5*B92)*B92)+($B$4*EXP($B$5*B92)*B92)*$S$410*(EXP($B$5*B92))+($B$4*EXP($B$5*B92)*B92)*$T$410*($B$4*EXP($B$5*B92)*B92)+2*((EXP($B$5*B92))*INDEX($S$416:$V$427,MONTH(A92),1)+($B$4*EXP($B$5*B92)*B92)*INDEX($S$416:$V$427,MONTH(A92),2))+INDEX($W$416:$W$427,MONTH(A92)))))</x:f>
      </x:c>
      <x:c r="I92" s="3"/>
      <x:c r="J92" s="10" t="n">
        <x:v>45943</x:v>
      </x:c>
      <x:c r="K92" s="8" t="n">
        <x:f>INDEX('Сводка'!$S$3:$S$397,U92)</x:f>
        <x:v>123</x:v>
      </x:c>
      <x:c r="L92" s="8" t="n">
        <x:f>INDEX('Сводка'!$S$3:$S$397,V92)</x:f>
        <x:v>138</x:v>
      </x:c>
      <x:c r="M92" s="8" t="n">
        <x:f>INDEX($K$388:$N$400,W92,1)*EXP(INDEX($K$388:$N$400,W92,2)*((J92-$T$405+1)/1000))+INDEX($O$388:$Z$400,W92,MONTH(J92))</x:f>
        <x:v>182.82666138568737</x:v>
      </x:c>
      <x:c r="N92" s="8" t="n">
        <x:f>K92-M92</x:f>
        <x:v>-59.82666138568737</x:v>
      </x:c>
      <x:c r="O92" s="8" t="n">
        <x:f>ABS(N92)</x:f>
        <x:v>59.82666138568737</x:v>
      </x:c>
      <x:c r="P92" s="8" t="n">
        <x:f>N92^2</x:f>
        <x:v>3579.229412557697</x:v>
      </x:c>
      <x:c r="Q92" s="8" t="n">
        <x:f>K92-L92</x:f>
        <x:v>-15</x:v>
      </x:c>
      <x:c r="R92" s="9" t="n">
        <x:f>IF(AND(INDEX('Сводка'!$T$3:$T$397,U92)=0,INDEX('Сводка'!$T$3:$T$397,V92)=0),1,0)</x:f>
        <x:v>1</x:v>
      </x:c>
      <x:c r="S92" s="9" t="n">
        <x:f>IF(AND(R92=1,O92&lt;=$G$13),1,0)</x:f>
        <x:v>0</x:v>
      </x:c>
      <x:c r="T92" s="10" t="n">
        <x:f>EOMONTH(J92-'Сводка'!$B$11,-1)</x:f>
        <x:v>45930</x:v>
      </x:c>
      <x:c r="U92" s="4" t="n">
        <x:f>MATCH(J92,'Сводка'!$R$3:$R$397,0)</x:f>
        <x:v>103</x:v>
      </x:c>
      <x:c r="V92" s="4" t="n">
        <x:f>MATCH(J92-'Сводка'!$B$11,'Сводка'!$R$3:$R$397,0)</x:f>
        <x:v>102</x:v>
      </x:c>
      <x:c r="W92" s="4" t="n">
        <x:f>MATCH(T92,$J$388:$J$400,0)</x:f>
        <x:v>4</x:v>
      </x:c>
      <x:c r="X92" s="3"/>
      <x:c r="Y92" s="3"/>
      <x:c r="Z92" s="3"/>
    </x:row>
    <x:row r="93" ht="15" customHeight="1">
      <x:c r="A93" s="7" t="str">
        <x:f>IF(75&lt;='Сводка'!$B$3,'Сводка'!$B$4+75,"")</x:f>
      </x:c>
      <x:c r="B93" s="20" t="str">
        <x:f>IF($A93="","",(A93-$T$405+1)/1000)</x:f>
      </x:c>
      <x:c r="C93" s="20" t="str">
        <x:f>IF($A93="","",2*(A93-$T$405)/$T$406-1)</x:f>
      </x:c>
      <x:c r="D93" s="3" t="str">
        <x:f>IF($A93="","",$B$4*EXP($B$5*B93)+INDEX($E$4:$E$15,MONTH(A93)))</x:f>
      </x:c>
      <x:c r="E93" s="3" t="str">
        <x:f>IF($A93="","",SQRT($T$403^2+H93^2))</x:f>
      </x:c>
      <x:c r="F93" s="3" t="str">
        <x:f>IF($A93="","",D93-$T$404*E93)</x:f>
      </x:c>
      <x:c r="G93" s="3" t="str">
        <x:f>IF($A93="","",D93+$T$404*E93)</x:f>
      </x:c>
      <x:c r="H93" s="3" t="str">
        <x:f>IF($A93="","",SQRT(MAX(0,(EXP($B$5*B93))*$S$409*(EXP($B$5*B93))+(EXP($B$5*B93))*$T$409*($B$4*EXP($B$5*B93)*B93)+($B$4*EXP($B$5*B93)*B93)*$S$410*(EXP($B$5*B93))+($B$4*EXP($B$5*B93)*B93)*$T$410*($B$4*EXP($B$5*B93)*B93)+2*((EXP($B$5*B93))*INDEX($S$416:$V$427,MONTH(A93),1)+($B$4*EXP($B$5*B93)*B93)*INDEX($S$416:$V$427,MONTH(A93),2))+INDEX($W$416:$W$427,MONTH(A93)))))</x:f>
      </x:c>
      <x:c r="I93" s="3"/>
      <x:c r="J93" s="10" t="n">
        <x:v>45944</x:v>
      </x:c>
      <x:c r="K93" s="8" t="n">
        <x:f>INDEX('Сводка'!$S$3:$S$397,U93)</x:f>
        <x:v>111</x:v>
      </x:c>
      <x:c r="L93" s="8" t="n">
        <x:f>INDEX('Сводка'!$S$3:$S$397,V93)</x:f>
        <x:v>123</x:v>
      </x:c>
      <x:c r="M93" s="8" t="n">
        <x:f>INDEX($K$388:$N$400,W93,1)*EXP(INDEX($K$388:$N$400,W93,2)*((J93-$T$405+1)/1000))+INDEX($O$388:$Z$400,W93,MONTH(J93))</x:f>
        <x:v>182.86446308426534</x:v>
      </x:c>
      <x:c r="N93" s="8" t="n">
        <x:f>K93-M93</x:f>
        <x:v>-71.86446308426534</x:v>
      </x:c>
      <x:c r="O93" s="8" t="n">
        <x:f>ABS(N93)</x:f>
        <x:v>71.86446308426534</x:v>
      </x:c>
      <x:c r="P93" s="8" t="n">
        <x:f>N93^2</x:f>
        <x:v>5164.501054389736</x:v>
      </x:c>
      <x:c r="Q93" s="8" t="n">
        <x:f>K93-L93</x:f>
        <x:v>-12</x:v>
      </x:c>
      <x:c r="R93" s="9" t="n">
        <x:f>IF(AND(INDEX('Сводка'!$T$3:$T$397,U93)=0,INDEX('Сводка'!$T$3:$T$397,V93)=0),1,0)</x:f>
        <x:v>1</x:v>
      </x:c>
      <x:c r="S93" s="9" t="n">
        <x:f>IF(AND(R93=1,O93&lt;=$G$13),1,0)</x:f>
        <x:v>0</x:v>
      </x:c>
      <x:c r="T93" s="10" t="n">
        <x:f>EOMONTH(J93-'Сводка'!$B$11,-1)</x:f>
        <x:v>45930</x:v>
      </x:c>
      <x:c r="U93" s="4" t="n">
        <x:f>MATCH(J93,'Сводка'!$R$3:$R$397,0)</x:f>
        <x:v>104</x:v>
      </x:c>
      <x:c r="V93" s="4" t="n">
        <x:f>MATCH(J93-'Сводка'!$B$11,'Сводка'!$R$3:$R$397,0)</x:f>
        <x:v>103</x:v>
      </x:c>
      <x:c r="W93" s="4" t="n">
        <x:f>MATCH(T93,$J$388:$J$400,0)</x:f>
        <x:v>4</x:v>
      </x:c>
      <x:c r="X93" s="3"/>
      <x:c r="Y93" s="3"/>
      <x:c r="Z93" s="3"/>
    </x:row>
    <x:row r="94" ht="15" customHeight="1">
      <x:c r="A94" s="7" t="str">
        <x:f>IF(76&lt;='Сводка'!$B$3,'Сводка'!$B$4+76,"")</x:f>
      </x:c>
      <x:c r="B94" s="20" t="str">
        <x:f>IF($A94="","",(A94-$T$405+1)/1000)</x:f>
      </x:c>
      <x:c r="C94" s="20" t="str">
        <x:f>IF($A94="","",2*(A94-$T$405)/$T$406-1)</x:f>
      </x:c>
      <x:c r="D94" s="3" t="str">
        <x:f>IF($A94="","",$B$4*EXP($B$5*B94)+INDEX($E$4:$E$15,MONTH(A94)))</x:f>
      </x:c>
      <x:c r="E94" s="3" t="str">
        <x:f>IF($A94="","",SQRT($T$403^2+H94^2))</x:f>
      </x:c>
      <x:c r="F94" s="3" t="str">
        <x:f>IF($A94="","",D94-$T$404*E94)</x:f>
      </x:c>
      <x:c r="G94" s="3" t="str">
        <x:f>IF($A94="","",D94+$T$404*E94)</x:f>
      </x:c>
      <x:c r="H94" s="3" t="str">
        <x:f>IF($A94="","",SQRT(MAX(0,(EXP($B$5*B94))*$S$409*(EXP($B$5*B94))+(EXP($B$5*B94))*$T$409*($B$4*EXP($B$5*B94)*B94)+($B$4*EXP($B$5*B94)*B94)*$S$410*(EXP($B$5*B94))+($B$4*EXP($B$5*B94)*B94)*$T$410*($B$4*EXP($B$5*B94)*B94)+2*((EXP($B$5*B94))*INDEX($S$416:$V$427,MONTH(A94),1)+($B$4*EXP($B$5*B94)*B94)*INDEX($S$416:$V$427,MONTH(A94),2))+INDEX($W$416:$W$427,MONTH(A94)))))</x:f>
      </x:c>
      <x:c r="I94" s="3"/>
      <x:c r="J94" s="10" t="n">
        <x:v>45945</x:v>
      </x:c>
      <x:c r="K94" s="8" t="n">
        <x:f>INDEX('Сводка'!$S$3:$S$397,U94)</x:f>
        <x:v>100</x:v>
      </x:c>
      <x:c r="L94" s="8" t="n">
        <x:f>INDEX('Сводка'!$S$3:$S$397,V94)</x:f>
        <x:v>111</x:v>
      </x:c>
      <x:c r="M94" s="8" t="n">
        <x:f>INDEX($K$388:$N$400,W94,1)*EXP(INDEX($K$388:$N$400,W94,2)*((J94-$T$405+1)/1000))+INDEX($O$388:$Z$400,W94,MONTH(J94))</x:f>
        <x:v>182.90227360216562</x:v>
      </x:c>
      <x:c r="N94" s="8" t="n">
        <x:f>K94-M94</x:f>
        <x:v>-82.90227360216562</x:v>
      </x:c>
      <x:c r="O94" s="8" t="n">
        <x:f>ABS(N94)</x:f>
        <x:v>82.90227360216562</x:v>
      </x:c>
      <x:c r="P94" s="8" t="n">
        <x:f>N94^2</x:f>
        <x:v>6872.786968408327</x:v>
      </x:c>
      <x:c r="Q94" s="8" t="n">
        <x:f>K94-L94</x:f>
        <x:v>-11</x:v>
      </x:c>
      <x:c r="R94" s="9" t="n">
        <x:f>IF(AND(INDEX('Сводка'!$T$3:$T$397,U94)=0,INDEX('Сводка'!$T$3:$T$397,V94)=0),1,0)</x:f>
        <x:v>1</x:v>
      </x:c>
      <x:c r="S94" s="9" t="n">
        <x:f>IF(AND(R94=1,O94&lt;=$G$13),1,0)</x:f>
        <x:v>0</x:v>
      </x:c>
      <x:c r="T94" s="10" t="n">
        <x:f>EOMONTH(J94-'Сводка'!$B$11,-1)</x:f>
        <x:v>45930</x:v>
      </x:c>
      <x:c r="U94" s="4" t="n">
        <x:f>MATCH(J94,'Сводка'!$R$3:$R$397,0)</x:f>
        <x:v>105</x:v>
      </x:c>
      <x:c r="V94" s="4" t="n">
        <x:f>MATCH(J94-'Сводка'!$B$11,'Сводка'!$R$3:$R$397,0)</x:f>
        <x:v>104</x:v>
      </x:c>
      <x:c r="W94" s="4" t="n">
        <x:f>MATCH(T94,$J$388:$J$400,0)</x:f>
        <x:v>4</x:v>
      </x:c>
      <x:c r="X94" s="3"/>
      <x:c r="Y94" s="3"/>
      <x:c r="Z94" s="3"/>
    </x:row>
    <x:row r="95" ht="15" customHeight="1">
      <x:c r="A95" s="7" t="str">
        <x:f>IF(77&lt;='Сводка'!$B$3,'Сводка'!$B$4+77,"")</x:f>
      </x:c>
      <x:c r="B95" s="20" t="str">
        <x:f>IF($A95="","",(A95-$T$405+1)/1000)</x:f>
      </x:c>
      <x:c r="C95" s="20" t="str">
        <x:f>IF($A95="","",2*(A95-$T$405)/$T$406-1)</x:f>
      </x:c>
      <x:c r="D95" s="3" t="str">
        <x:f>IF($A95="","",$B$4*EXP($B$5*B95)+INDEX($E$4:$E$15,MONTH(A95)))</x:f>
      </x:c>
      <x:c r="E95" s="3" t="str">
        <x:f>IF($A95="","",SQRT($T$403^2+H95^2))</x:f>
      </x:c>
      <x:c r="F95" s="3" t="str">
        <x:f>IF($A95="","",D95-$T$404*E95)</x:f>
      </x:c>
      <x:c r="G95" s="3" t="str">
        <x:f>IF($A95="","",D95+$T$404*E95)</x:f>
      </x:c>
      <x:c r="H95" s="3" t="str">
        <x:f>IF($A95="","",SQRT(MAX(0,(EXP($B$5*B95))*$S$409*(EXP($B$5*B95))+(EXP($B$5*B95))*$T$409*($B$4*EXP($B$5*B95)*B95)+($B$4*EXP($B$5*B95)*B95)*$S$410*(EXP($B$5*B95))+($B$4*EXP($B$5*B95)*B95)*$T$410*($B$4*EXP($B$5*B95)*B95)+2*((EXP($B$5*B95))*INDEX($S$416:$V$427,MONTH(A95),1)+($B$4*EXP($B$5*B95)*B95)*INDEX($S$416:$V$427,MONTH(A95),2))+INDEX($W$416:$W$427,MONTH(A95)))))</x:f>
      </x:c>
      <x:c r="I95" s="3"/>
      <x:c r="J95" s="10" t="n">
        <x:v>45946</x:v>
      </x:c>
      <x:c r="K95" s="8" t="n">
        <x:f>INDEX('Сводка'!$S$3:$S$397,U95)</x:f>
        <x:v>89</x:v>
      </x:c>
      <x:c r="L95" s="8" t="n">
        <x:f>INDEX('Сводка'!$S$3:$S$397,V95)</x:f>
        <x:v>100</x:v>
      </x:c>
      <x:c r="M95" s="8" t="n">
        <x:f>INDEX($K$388:$N$400,W95,1)*EXP(INDEX($K$388:$N$400,W95,2)*((J95-$T$405+1)/1000))+INDEX($O$388:$Z$400,W95,MONTH(J95))</x:f>
        <x:v>182.94009294144567</x:v>
      </x:c>
      <x:c r="N95" s="8" t="n">
        <x:f>K95-M95</x:f>
        <x:v>-93.94009294144567</x:v>
      </x:c>
      <x:c r="O95" s="8" t="n">
        <x:f>ABS(N95)</x:f>
        <x:v>93.94009294144567</x:v>
      </x:c>
      <x:c r="P95" s="8" t="n">
        <x:f>N95^2</x:f>
        <x:v>8824.741061847451</x:v>
      </x:c>
      <x:c r="Q95" s="8" t="n">
        <x:f>K95-L95</x:f>
        <x:v>-11</x:v>
      </x:c>
      <x:c r="R95" s="9" t="n">
        <x:f>IF(AND(INDEX('Сводка'!$T$3:$T$397,U95)=0,INDEX('Сводка'!$T$3:$T$397,V95)=0),1,0)</x:f>
        <x:v>1</x:v>
      </x:c>
      <x:c r="S95" s="9" t="n">
        <x:f>IF(AND(R95=1,O95&lt;=$G$13),1,0)</x:f>
        <x:v>0</x:v>
      </x:c>
      <x:c r="T95" s="10" t="n">
        <x:f>EOMONTH(J95-'Сводка'!$B$11,-1)</x:f>
        <x:v>45930</x:v>
      </x:c>
      <x:c r="U95" s="4" t="n">
        <x:f>MATCH(J95,'Сводка'!$R$3:$R$397,0)</x:f>
        <x:v>106</x:v>
      </x:c>
      <x:c r="V95" s="4" t="n">
        <x:f>MATCH(J95-'Сводка'!$B$11,'Сводка'!$R$3:$R$397,0)</x:f>
        <x:v>105</x:v>
      </x:c>
      <x:c r="W95" s="4" t="n">
        <x:f>MATCH(T95,$J$388:$J$400,0)</x:f>
        <x:v>4</x:v>
      </x:c>
      <x:c r="X95" s="3"/>
      <x:c r="Y95" s="3"/>
      <x:c r="Z95" s="3"/>
    </x:row>
    <x:row r="96" ht="15" customHeight="1">
      <x:c r="A96" s="7" t="str">
        <x:f>IF(78&lt;='Сводка'!$B$3,'Сводка'!$B$4+78,"")</x:f>
      </x:c>
      <x:c r="B96" s="20" t="str">
        <x:f>IF($A96="","",(A96-$T$405+1)/1000)</x:f>
      </x:c>
      <x:c r="C96" s="20" t="str">
        <x:f>IF($A96="","",2*(A96-$T$405)/$T$406-1)</x:f>
      </x:c>
      <x:c r="D96" s="3" t="str">
        <x:f>IF($A96="","",$B$4*EXP($B$5*B96)+INDEX($E$4:$E$15,MONTH(A96)))</x:f>
      </x:c>
      <x:c r="E96" s="3" t="str">
        <x:f>IF($A96="","",SQRT($T$403^2+H96^2))</x:f>
      </x:c>
      <x:c r="F96" s="3" t="str">
        <x:f>IF($A96="","",D96-$T$404*E96)</x:f>
      </x:c>
      <x:c r="G96" s="3" t="str">
        <x:f>IF($A96="","",D96+$T$404*E96)</x:f>
      </x:c>
      <x:c r="H96" s="3" t="str">
        <x:f>IF($A96="","",SQRT(MAX(0,(EXP($B$5*B96))*$S$409*(EXP($B$5*B96))+(EXP($B$5*B96))*$T$409*($B$4*EXP($B$5*B96)*B96)+($B$4*EXP($B$5*B96)*B96)*$S$410*(EXP($B$5*B96))+($B$4*EXP($B$5*B96)*B96)*$T$410*($B$4*EXP($B$5*B96)*B96)+2*((EXP($B$5*B96))*INDEX($S$416:$V$427,MONTH(A96),1)+($B$4*EXP($B$5*B96)*B96)*INDEX($S$416:$V$427,MONTH(A96),2))+INDEX($W$416:$W$427,MONTH(A96)))))</x:f>
      </x:c>
      <x:c r="I96" s="3"/>
      <x:c r="J96" s="10" t="n">
        <x:v>45947</x:v>
      </x:c>
      <x:c r="K96" s="8" t="n">
        <x:f>INDEX('Сводка'!$S$3:$S$397,U96)</x:f>
        <x:v>79</x:v>
      </x:c>
      <x:c r="L96" s="8" t="n">
        <x:f>INDEX('Сводка'!$S$3:$S$397,V96)</x:f>
        <x:v>89</x:v>
      </x:c>
      <x:c r="M96" s="8" t="n">
        <x:f>INDEX($K$388:$N$400,W96,1)*EXP(INDEX($K$388:$N$400,W96,2)*((J96-$T$405+1)/1000))+INDEX($O$388:$Z$400,W96,MONTH(J96))</x:f>
        <x:v>182.9779211041637</x:v>
      </x:c>
      <x:c r="N96" s="8" t="n">
        <x:f>K96-M96</x:f>
        <x:v>-103.9779211041637</x:v>
      </x:c>
      <x:c r="O96" s="8" t="n">
        <x:f>ABS(N96)</x:f>
        <x:v>103.9779211041637</x:v>
      </x:c>
      <x:c r="P96" s="8" t="n">
        <x:f>N96^2</x:f>
        <x:v>10811.408077143691</x:v>
      </x:c>
      <x:c r="Q96" s="8" t="n">
        <x:f>K96-L96</x:f>
        <x:v>-10</x:v>
      </x:c>
      <x:c r="R96" s="9" t="n">
        <x:f>IF(AND(INDEX('Сводка'!$T$3:$T$397,U96)=0,INDEX('Сводка'!$T$3:$T$397,V96)=0),1,0)</x:f>
        <x:v>1</x:v>
      </x:c>
      <x:c r="S96" s="9" t="n">
        <x:f>IF(AND(R96=1,O96&lt;=$G$13),1,0)</x:f>
        <x:v>0</x:v>
      </x:c>
      <x:c r="T96" s="10" t="n">
        <x:f>EOMONTH(J96-'Сводка'!$B$11,-1)</x:f>
        <x:v>45930</x:v>
      </x:c>
      <x:c r="U96" s="4" t="n">
        <x:f>MATCH(J96,'Сводка'!$R$3:$R$397,0)</x:f>
        <x:v>107</x:v>
      </x:c>
      <x:c r="V96" s="4" t="n">
        <x:f>MATCH(J96-'Сводка'!$B$11,'Сводка'!$R$3:$R$397,0)</x:f>
        <x:v>106</x:v>
      </x:c>
      <x:c r="W96" s="4" t="n">
        <x:f>MATCH(T96,$J$388:$J$400,0)</x:f>
        <x:v>4</x:v>
      </x:c>
      <x:c r="X96" s="3"/>
      <x:c r="Y96" s="3"/>
      <x:c r="Z96" s="3"/>
    </x:row>
    <x:row r="97" ht="15" customHeight="1">
      <x:c r="A97" s="7" t="str">
        <x:f>IF(79&lt;='Сводка'!$B$3,'Сводка'!$B$4+79,"")</x:f>
      </x:c>
      <x:c r="B97" s="20" t="str">
        <x:f>IF($A97="","",(A97-$T$405+1)/1000)</x:f>
      </x:c>
      <x:c r="C97" s="20" t="str">
        <x:f>IF($A97="","",2*(A97-$T$405)/$T$406-1)</x:f>
      </x:c>
      <x:c r="D97" s="3" t="str">
        <x:f>IF($A97="","",$B$4*EXP($B$5*B97)+INDEX($E$4:$E$15,MONTH(A97)))</x:f>
      </x:c>
      <x:c r="E97" s="3" t="str">
        <x:f>IF($A97="","",SQRT($T$403^2+H97^2))</x:f>
      </x:c>
      <x:c r="F97" s="3" t="str">
        <x:f>IF($A97="","",D97-$T$404*E97)</x:f>
      </x:c>
      <x:c r="G97" s="3" t="str">
        <x:f>IF($A97="","",D97+$T$404*E97)</x:f>
      </x:c>
      <x:c r="H97" s="3" t="str">
        <x:f>IF($A97="","",SQRT(MAX(0,(EXP($B$5*B97))*$S$409*(EXP($B$5*B97))+(EXP($B$5*B97))*$T$409*($B$4*EXP($B$5*B97)*B97)+($B$4*EXP($B$5*B97)*B97)*$S$410*(EXP($B$5*B97))+($B$4*EXP($B$5*B97)*B97)*$T$410*($B$4*EXP($B$5*B97)*B97)+2*((EXP($B$5*B97))*INDEX($S$416:$V$427,MONTH(A97),1)+($B$4*EXP($B$5*B97)*B97)*INDEX($S$416:$V$427,MONTH(A97),2))+INDEX($W$416:$W$427,MONTH(A97)))))</x:f>
      </x:c>
      <x:c r="I97" s="3"/>
      <x:c r="J97" s="10" t="n">
        <x:v>45948</x:v>
      </x:c>
      <x:c r="K97" s="8" t="n">
        <x:f>INDEX('Сводка'!$S$3:$S$397,U97)</x:f>
        <x:v>66</x:v>
      </x:c>
      <x:c r="L97" s="8" t="n">
        <x:f>INDEX('Сводка'!$S$3:$S$397,V97)</x:f>
        <x:v>79</x:v>
      </x:c>
      <x:c r="M97" s="8" t="n">
        <x:f>INDEX($K$388:$N$400,W97,1)*EXP(INDEX($K$388:$N$400,W97,2)*((J97-$T$405+1)/1000))+INDEX($O$388:$Z$400,W97,MONTH(J97))</x:f>
        <x:v>183.01575809237823</x:v>
      </x:c>
      <x:c r="N97" s="8" t="n">
        <x:f>K97-M97</x:f>
        <x:v>-117.01575809237823</x:v>
      </x:c>
      <x:c r="O97" s="8" t="n">
        <x:f>ABS(N97)</x:f>
        <x:v>117.01575809237823</x:v>
      </x:c>
      <x:c r="P97" s="8" t="n">
        <x:f>N97^2</x:f>
        <x:v>13692.687641933982</x:v>
      </x:c>
      <x:c r="Q97" s="8" t="n">
        <x:f>K97-L97</x:f>
        <x:v>-13</x:v>
      </x:c>
      <x:c r="R97" s="9" t="n">
        <x:f>IF(AND(INDEX('Сводка'!$T$3:$T$397,U97)=0,INDEX('Сводка'!$T$3:$T$397,V97)=0),1,0)</x:f>
        <x:v>1</x:v>
      </x:c>
      <x:c r="S97" s="9" t="n">
        <x:f>IF(AND(R97=1,O97&lt;=$G$13),1,0)</x:f>
        <x:v>0</x:v>
      </x:c>
      <x:c r="T97" s="10" t="n">
        <x:f>EOMONTH(J97-'Сводка'!$B$11,-1)</x:f>
        <x:v>45930</x:v>
      </x:c>
      <x:c r="U97" s="4" t="n">
        <x:f>MATCH(J97,'Сводка'!$R$3:$R$397,0)</x:f>
        <x:v>108</x:v>
      </x:c>
      <x:c r="V97" s="4" t="n">
        <x:f>MATCH(J97-'Сводка'!$B$11,'Сводка'!$R$3:$R$397,0)</x:f>
        <x:v>107</x:v>
      </x:c>
      <x:c r="W97" s="4" t="n">
        <x:f>MATCH(T97,$J$388:$J$400,0)</x:f>
        <x:v>4</x:v>
      </x:c>
      <x:c r="X97" s="3"/>
      <x:c r="Y97" s="3"/>
      <x:c r="Z97" s="3"/>
    </x:row>
    <x:row r="98" ht="15" customHeight="1">
      <x:c r="A98" s="7" t="str">
        <x:f>IF(80&lt;='Сводка'!$B$3,'Сводка'!$B$4+80,"")</x:f>
      </x:c>
      <x:c r="B98" s="20" t="str">
        <x:f>IF($A98="","",(A98-$T$405+1)/1000)</x:f>
      </x:c>
      <x:c r="C98" s="20" t="str">
        <x:f>IF($A98="","",2*(A98-$T$405)/$T$406-1)</x:f>
      </x:c>
      <x:c r="D98" s="3" t="str">
        <x:f>IF($A98="","",$B$4*EXP($B$5*B98)+INDEX($E$4:$E$15,MONTH(A98)))</x:f>
      </x:c>
      <x:c r="E98" s="3" t="str">
        <x:f>IF($A98="","",SQRT($T$403^2+H98^2))</x:f>
      </x:c>
      <x:c r="F98" s="3" t="str">
        <x:f>IF($A98="","",D98-$T$404*E98)</x:f>
      </x:c>
      <x:c r="G98" s="3" t="str">
        <x:f>IF($A98="","",D98+$T$404*E98)</x:f>
      </x:c>
      <x:c r="H98" s="3" t="str">
        <x:f>IF($A98="","",SQRT(MAX(0,(EXP($B$5*B98))*$S$409*(EXP($B$5*B98))+(EXP($B$5*B98))*$T$409*($B$4*EXP($B$5*B98)*B98)+($B$4*EXP($B$5*B98)*B98)*$S$410*(EXP($B$5*B98))+($B$4*EXP($B$5*B98)*B98)*$T$410*($B$4*EXP($B$5*B98)*B98)+2*((EXP($B$5*B98))*INDEX($S$416:$V$427,MONTH(A98),1)+($B$4*EXP($B$5*B98)*B98)*INDEX($S$416:$V$427,MONTH(A98),2))+INDEX($W$416:$W$427,MONTH(A98)))))</x:f>
      </x:c>
      <x:c r="I98" s="3"/>
      <x:c r="J98" s="10" t="n">
        <x:v>45949</x:v>
      </x:c>
      <x:c r="K98" s="8" t="n">
        <x:f>INDEX('Сводка'!$S$3:$S$397,U98)</x:f>
        <x:v>56</x:v>
      </x:c>
      <x:c r="L98" s="8" t="n">
        <x:f>INDEX('Сводка'!$S$3:$S$397,V98)</x:f>
        <x:v>66</x:v>
      </x:c>
      <x:c r="M98" s="8" t="n">
        <x:f>INDEX($K$388:$N$400,W98,1)*EXP(INDEX($K$388:$N$400,W98,2)*((J98-$T$405+1)/1000))+INDEX($O$388:$Z$400,W98,MONTH(J98))</x:f>
        <x:v>183.0536039081482</x:v>
      </x:c>
      <x:c r="N98" s="8" t="n">
        <x:f>K98-M98</x:f>
        <x:v>-127.0536039081482</x:v>
      </x:c>
      <x:c r="O98" s="8" t="n">
        <x:f>ABS(N98)</x:f>
        <x:v>127.0536039081482</x:v>
      </x:c>
      <x:c r="P98" s="8" t="n">
        <x:f>N98^2</x:f>
        <x:v>16142.618266048612</x:v>
      </x:c>
      <x:c r="Q98" s="8" t="n">
        <x:f>K98-L98</x:f>
        <x:v>-10</x:v>
      </x:c>
      <x:c r="R98" s="9" t="n">
        <x:f>IF(AND(INDEX('Сводка'!$T$3:$T$397,U98)=0,INDEX('Сводка'!$T$3:$T$397,V98)=0),1,0)</x:f>
        <x:v>1</x:v>
      </x:c>
      <x:c r="S98" s="9" t="n">
        <x:f>IF(AND(R98=1,O98&lt;=$G$13),1,0)</x:f>
        <x:v>0</x:v>
      </x:c>
      <x:c r="T98" s="10" t="n">
        <x:f>EOMONTH(J98-'Сводка'!$B$11,-1)</x:f>
        <x:v>45930</x:v>
      </x:c>
      <x:c r="U98" s="4" t="n">
        <x:f>MATCH(J98,'Сводка'!$R$3:$R$397,0)</x:f>
        <x:v>109</x:v>
      </x:c>
      <x:c r="V98" s="4" t="n">
        <x:f>MATCH(J98-'Сводка'!$B$11,'Сводка'!$R$3:$R$397,0)</x:f>
        <x:v>108</x:v>
      </x:c>
      <x:c r="W98" s="4" t="n">
        <x:f>MATCH(T98,$J$388:$J$400,0)</x:f>
        <x:v>4</x:v>
      </x:c>
      <x:c r="X98" s="3"/>
      <x:c r="Y98" s="3"/>
      <x:c r="Z98" s="3"/>
    </x:row>
    <x:row r="99" ht="15" customHeight="1">
      <x:c r="A99" s="7" t="str">
        <x:f>IF(81&lt;='Сводка'!$B$3,'Сводка'!$B$4+81,"")</x:f>
      </x:c>
      <x:c r="B99" s="20" t="str">
        <x:f>IF($A99="","",(A99-$T$405+1)/1000)</x:f>
      </x:c>
      <x:c r="C99" s="20" t="str">
        <x:f>IF($A99="","",2*(A99-$T$405)/$T$406-1)</x:f>
      </x:c>
      <x:c r="D99" s="3" t="str">
        <x:f>IF($A99="","",$B$4*EXP($B$5*B99)+INDEX($E$4:$E$15,MONTH(A99)))</x:f>
      </x:c>
      <x:c r="E99" s="3" t="str">
        <x:f>IF($A99="","",SQRT($T$403^2+H99^2))</x:f>
      </x:c>
      <x:c r="F99" s="3" t="str">
        <x:f>IF($A99="","",D99-$T$404*E99)</x:f>
      </x:c>
      <x:c r="G99" s="3" t="str">
        <x:f>IF($A99="","",D99+$T$404*E99)</x:f>
      </x:c>
      <x:c r="H99" s="3" t="str">
        <x:f>IF($A99="","",SQRT(MAX(0,(EXP($B$5*B99))*$S$409*(EXP($B$5*B99))+(EXP($B$5*B99))*$T$409*($B$4*EXP($B$5*B99)*B99)+($B$4*EXP($B$5*B99)*B99)*$S$410*(EXP($B$5*B99))+($B$4*EXP($B$5*B99)*B99)*$T$410*($B$4*EXP($B$5*B99)*B99)+2*((EXP($B$5*B99))*INDEX($S$416:$V$427,MONTH(A99),1)+($B$4*EXP($B$5*B99)*B99)*INDEX($S$416:$V$427,MONTH(A99),2))+INDEX($W$416:$W$427,MONTH(A99)))))</x:f>
      </x:c>
      <x:c r="I99" s="3"/>
      <x:c r="J99" s="10" t="n">
        <x:v>45950</x:v>
      </x:c>
      <x:c r="K99" s="8" t="n">
        <x:f>INDEX('Сводка'!$S$3:$S$397,U99)</x:f>
        <x:v>46</x:v>
      </x:c>
      <x:c r="L99" s="8" t="n">
        <x:f>INDEX('Сводка'!$S$3:$S$397,V99)</x:f>
        <x:v>56</x:v>
      </x:c>
      <x:c r="M99" s="8" t="n">
        <x:f>INDEX($K$388:$N$400,W99,1)*EXP(INDEX($K$388:$N$400,W99,2)*((J99-$T$405+1)/1000))+INDEX($O$388:$Z$400,W99,MONTH(J99))</x:f>
        <x:v>183.09145855353324</x:v>
      </x:c>
      <x:c r="N99" s="8" t="n">
        <x:f>K99-M99</x:f>
        <x:v>-137.09145855353324</x:v>
      </x:c>
      <x:c r="O99" s="8" t="n">
        <x:f>ABS(N99)</x:f>
        <x:v>137.09145855353324</x:v>
      </x:c>
      <x:c r="P99" s="8" t="n">
        <x:f>N99^2</x:f>
        <x:v>18794.06800833512</x:v>
      </x:c>
      <x:c r="Q99" s="8" t="n">
        <x:f>K99-L99</x:f>
        <x:v>-10</x:v>
      </x:c>
      <x:c r="R99" s="9" t="n">
        <x:f>IF(AND(INDEX('Сводка'!$T$3:$T$397,U99)=0,INDEX('Сводка'!$T$3:$T$397,V99)=0),1,0)</x:f>
        <x:v>1</x:v>
      </x:c>
      <x:c r="S99" s="9" t="n">
        <x:f>IF(AND(R99=1,O99&lt;=$G$13),1,0)</x:f>
        <x:v>0</x:v>
      </x:c>
      <x:c r="T99" s="10" t="n">
        <x:f>EOMONTH(J99-'Сводка'!$B$11,-1)</x:f>
        <x:v>45930</x:v>
      </x:c>
      <x:c r="U99" s="4" t="n">
        <x:f>MATCH(J99,'Сводка'!$R$3:$R$397,0)</x:f>
        <x:v>110</x:v>
      </x:c>
      <x:c r="V99" s="4" t="n">
        <x:f>MATCH(J99-'Сводка'!$B$11,'Сводка'!$R$3:$R$397,0)</x:f>
        <x:v>109</x:v>
      </x:c>
      <x:c r="W99" s="4" t="n">
        <x:f>MATCH(T99,$J$388:$J$400,0)</x:f>
        <x:v>4</x:v>
      </x:c>
      <x:c r="X99" s="3"/>
      <x:c r="Y99" s="3"/>
      <x:c r="Z99" s="3"/>
    </x:row>
    <x:row r="100" ht="15" customHeight="1">
      <x:c r="A100" s="7" t="str">
        <x:f>IF(82&lt;='Сводка'!$B$3,'Сводка'!$B$4+82,"")</x:f>
      </x:c>
      <x:c r="B100" s="20" t="str">
        <x:f>IF($A100="","",(A100-$T$405+1)/1000)</x:f>
      </x:c>
      <x:c r="C100" s="20" t="str">
        <x:f>IF($A100="","",2*(A100-$T$405)/$T$406-1)</x:f>
      </x:c>
      <x:c r="D100" s="3" t="str">
        <x:f>IF($A100="","",$B$4*EXP($B$5*B100)+INDEX($E$4:$E$15,MONTH(A100)))</x:f>
      </x:c>
      <x:c r="E100" s="3" t="str">
        <x:f>IF($A100="","",SQRT($T$403^2+H100^2))</x:f>
      </x:c>
      <x:c r="F100" s="3" t="str">
        <x:f>IF($A100="","",D100-$T$404*E100)</x:f>
      </x:c>
      <x:c r="G100" s="3" t="str">
        <x:f>IF($A100="","",D100+$T$404*E100)</x:f>
      </x:c>
      <x:c r="H100" s="3" t="str">
        <x:f>IF($A100="","",SQRT(MAX(0,(EXP($B$5*B100))*$S$409*(EXP($B$5*B100))+(EXP($B$5*B100))*$T$409*($B$4*EXP($B$5*B100)*B100)+($B$4*EXP($B$5*B100)*B100)*$S$410*(EXP($B$5*B100))+($B$4*EXP($B$5*B100)*B100)*$T$410*($B$4*EXP($B$5*B100)*B100)+2*((EXP($B$5*B100))*INDEX($S$416:$V$427,MONTH(A100),1)+($B$4*EXP($B$5*B100)*B100)*INDEX($S$416:$V$427,MONTH(A100),2))+INDEX($W$416:$W$427,MONTH(A100)))))</x:f>
      </x:c>
      <x:c r="I100" s="3"/>
      <x:c r="J100" s="10" t="n">
        <x:v>45951</x:v>
      </x:c>
      <x:c r="K100" s="8" t="n">
        <x:f>INDEX('Сводка'!$S$3:$S$397,U100)</x:f>
        <x:v>36</x:v>
      </x:c>
      <x:c r="L100" s="8" t="n">
        <x:f>INDEX('Сводка'!$S$3:$S$397,V100)</x:f>
        <x:v>46</x:v>
      </x:c>
      <x:c r="M100" s="8" t="n">
        <x:f>INDEX($K$388:$N$400,W100,1)*EXP(INDEX($K$388:$N$400,W100,2)*((J100-$T$405+1)/1000))+INDEX($O$388:$Z$400,W100,MONTH(J100))</x:f>
        <x:v>183.12932203059333</x:v>
      </x:c>
      <x:c r="N100" s="8" t="n">
        <x:f>K100-M100</x:f>
        <x:v>-147.12932203059333</x:v>
      </x:c>
      <x:c r="O100" s="8" t="n">
        <x:f>ABS(N100)</x:f>
        <x:v>147.12932203059333</x:v>
      </x:c>
      <x:c r="P100" s="8" t="n">
        <x:f>N100^2</x:f>
        <x:v>21647.037401182035</x:v>
      </x:c>
      <x:c r="Q100" s="8" t="n">
        <x:f>K100-L100</x:f>
        <x:v>-10</x:v>
      </x:c>
      <x:c r="R100" s="9" t="n">
        <x:f>IF(AND(INDEX('Сводка'!$T$3:$T$397,U100)=0,INDEX('Сводка'!$T$3:$T$397,V100)=0),1,0)</x:f>
        <x:v>1</x:v>
      </x:c>
      <x:c r="S100" s="9" t="n">
        <x:f>IF(AND(R100=1,O100&lt;=$G$13),1,0)</x:f>
        <x:v>0</x:v>
      </x:c>
      <x:c r="T100" s="10" t="n">
        <x:f>EOMONTH(J100-'Сводка'!$B$11,-1)</x:f>
        <x:v>45930</x:v>
      </x:c>
      <x:c r="U100" s="4" t="n">
        <x:f>MATCH(J100,'Сводка'!$R$3:$R$397,0)</x:f>
        <x:v>111</x:v>
      </x:c>
      <x:c r="V100" s="4" t="n">
        <x:f>MATCH(J100-'Сводка'!$B$11,'Сводка'!$R$3:$R$397,0)</x:f>
        <x:v>110</x:v>
      </x:c>
      <x:c r="W100" s="4" t="n">
        <x:f>MATCH(T100,$J$388:$J$400,0)</x:f>
        <x:v>4</x:v>
      </x:c>
      <x:c r="X100" s="3"/>
      <x:c r="Y100" s="3"/>
      <x:c r="Z100" s="3"/>
    </x:row>
    <x:row r="101" ht="15" customHeight="1">
      <x:c r="A101" s="7" t="str">
        <x:f>IF(83&lt;='Сводка'!$B$3,'Сводка'!$B$4+83,"")</x:f>
      </x:c>
      <x:c r="B101" s="20" t="str">
        <x:f>IF($A101="","",(A101-$T$405+1)/1000)</x:f>
      </x:c>
      <x:c r="C101" s="20" t="str">
        <x:f>IF($A101="","",2*(A101-$T$405)/$T$406-1)</x:f>
      </x:c>
      <x:c r="D101" s="3" t="str">
        <x:f>IF($A101="","",$B$4*EXP($B$5*B101)+INDEX($E$4:$E$15,MONTH(A101)))</x:f>
      </x:c>
      <x:c r="E101" s="3" t="str">
        <x:f>IF($A101="","",SQRT($T$403^2+H101^2))</x:f>
      </x:c>
      <x:c r="F101" s="3" t="str">
        <x:f>IF($A101="","",D101-$T$404*E101)</x:f>
      </x:c>
      <x:c r="G101" s="3" t="str">
        <x:f>IF($A101="","",D101+$T$404*E101)</x:f>
      </x:c>
      <x:c r="H101" s="3" t="str">
        <x:f>IF($A101="","",SQRT(MAX(0,(EXP($B$5*B101))*$S$409*(EXP($B$5*B101))+(EXP($B$5*B101))*$T$409*($B$4*EXP($B$5*B101)*B101)+($B$4*EXP($B$5*B101)*B101)*$S$410*(EXP($B$5*B101))+($B$4*EXP($B$5*B101)*B101)*$T$410*($B$4*EXP($B$5*B101)*B101)+2*((EXP($B$5*B101))*INDEX($S$416:$V$427,MONTH(A101),1)+($B$4*EXP($B$5*B101)*B101)*INDEX($S$416:$V$427,MONTH(A101),2))+INDEX($W$416:$W$427,MONTH(A101)))))</x:f>
      </x:c>
      <x:c r="I101" s="3"/>
      <x:c r="J101" s="10" t="n">
        <x:v>45952</x:v>
      </x:c>
      <x:c r="K101" s="8" t="n">
        <x:f>INDEX('Сводка'!$S$3:$S$397,U101)</x:f>
        <x:v>30</x:v>
      </x:c>
      <x:c r="L101" s="8" t="n">
        <x:f>INDEX('Сводка'!$S$3:$S$397,V101)</x:f>
        <x:v>36</x:v>
      </x:c>
      <x:c r="M101" s="8" t="n">
        <x:f>INDEX($K$388:$N$400,W101,1)*EXP(INDEX($K$388:$N$400,W101,2)*((J101-$T$405+1)/1000))+INDEX($O$388:$Z$400,W101,MONTH(J101))</x:f>
        <x:v>183.16719434138884</x:v>
      </x:c>
      <x:c r="N101" s="8" t="n">
        <x:f>K101-M101</x:f>
        <x:v>-153.16719434138884</x:v>
      </x:c>
      <x:c r="O101" s="8" t="n">
        <x:f>ABS(N101)</x:f>
        <x:v>153.16719434138884</x:v>
      </x:c>
      <x:c r="P101" s="8" t="n">
        <x:f>N101^2</x:f>
        <x:v>23460.189422412775</x:v>
      </x:c>
      <x:c r="Q101" s="8" t="n">
        <x:f>K101-L101</x:f>
        <x:v>-6</x:v>
      </x:c>
      <x:c r="R101" s="9" t="n">
        <x:f>IF(AND(INDEX('Сводка'!$T$3:$T$397,U101)=0,INDEX('Сводка'!$T$3:$T$397,V101)=0),1,0)</x:f>
        <x:v>1</x:v>
      </x:c>
      <x:c r="S101" s="9" t="n">
        <x:f>IF(AND(R101=1,O101&lt;=$G$13),1,0)</x:f>
        <x:v>0</x:v>
      </x:c>
      <x:c r="T101" s="10" t="n">
        <x:f>EOMONTH(J101-'Сводка'!$B$11,-1)</x:f>
        <x:v>45930</x:v>
      </x:c>
      <x:c r="U101" s="4" t="n">
        <x:f>MATCH(J101,'Сводка'!$R$3:$R$397,0)</x:f>
        <x:v>112</x:v>
      </x:c>
      <x:c r="V101" s="4" t="n">
        <x:f>MATCH(J101-'Сводка'!$B$11,'Сводка'!$R$3:$R$397,0)</x:f>
        <x:v>111</x:v>
      </x:c>
      <x:c r="W101" s="4" t="n">
        <x:f>MATCH(T101,$J$388:$J$400,0)</x:f>
        <x:v>4</x:v>
      </x:c>
      <x:c r="X101" s="3"/>
      <x:c r="Y101" s="3"/>
      <x:c r="Z101" s="3"/>
    </x:row>
    <x:row r="102" ht="15" customHeight="1">
      <x:c r="A102" s="7" t="str">
        <x:f>IF(84&lt;='Сводка'!$B$3,'Сводка'!$B$4+84,"")</x:f>
      </x:c>
      <x:c r="B102" s="20" t="str">
        <x:f>IF($A102="","",(A102-$T$405+1)/1000)</x:f>
      </x:c>
      <x:c r="C102" s="20" t="str">
        <x:f>IF($A102="","",2*(A102-$T$405)/$T$406-1)</x:f>
      </x:c>
      <x:c r="D102" s="3" t="str">
        <x:f>IF($A102="","",$B$4*EXP($B$5*B102)+INDEX($E$4:$E$15,MONTH(A102)))</x:f>
      </x:c>
      <x:c r="E102" s="3" t="str">
        <x:f>IF($A102="","",SQRT($T$403^2+H102^2))</x:f>
      </x:c>
      <x:c r="F102" s="3" t="str">
        <x:f>IF($A102="","",D102-$T$404*E102)</x:f>
      </x:c>
      <x:c r="G102" s="3" t="str">
        <x:f>IF($A102="","",D102+$T$404*E102)</x:f>
      </x:c>
      <x:c r="H102" s="3" t="str">
        <x:f>IF($A102="","",SQRT(MAX(0,(EXP($B$5*B102))*$S$409*(EXP($B$5*B102))+(EXP($B$5*B102))*$T$409*($B$4*EXP($B$5*B102)*B102)+($B$4*EXP($B$5*B102)*B102)*$S$410*(EXP($B$5*B102))+($B$4*EXP($B$5*B102)*B102)*$T$410*($B$4*EXP($B$5*B102)*B102)+2*((EXP($B$5*B102))*INDEX($S$416:$V$427,MONTH(A102),1)+($B$4*EXP($B$5*B102)*B102)*INDEX($S$416:$V$427,MONTH(A102),2))+INDEX($W$416:$W$427,MONTH(A102)))))</x:f>
      </x:c>
      <x:c r="I102" s="3"/>
      <x:c r="J102" s="10" t="n">
        <x:v>45953</x:v>
      </x:c>
      <x:c r="K102" s="8" t="n">
        <x:f>INDEX('Сводка'!$S$3:$S$397,U102)</x:f>
        <x:v>19</x:v>
      </x:c>
      <x:c r="L102" s="8" t="n">
        <x:f>INDEX('Сводка'!$S$3:$S$397,V102)</x:f>
        <x:v>30</x:v>
      </x:c>
      <x:c r="M102" s="8" t="n">
        <x:f>INDEX($K$388:$N$400,W102,1)*EXP(INDEX($K$388:$N$400,W102,2)*((J102-$T$405+1)/1000))+INDEX($O$388:$Z$400,W102,MONTH(J102))</x:f>
        <x:v>183.20507548798082</x:v>
      </x:c>
      <x:c r="N102" s="8" t="n">
        <x:f>K102-M102</x:f>
        <x:v>-164.20507548798082</x:v>
      </x:c>
      <x:c r="O102" s="8" t="n">
        <x:f>ABS(N102)</x:f>
        <x:v>164.20507548798082</x:v>
      </x:c>
      <x:c r="P102" s="8" t="n">
        <x:f>N102^2</x:f>
        <x:v>26963.30681601348</x:v>
      </x:c>
      <x:c r="Q102" s="8" t="n">
        <x:f>K102-L102</x:f>
        <x:v>-11</x:v>
      </x:c>
      <x:c r="R102" s="9" t="n">
        <x:f>IF(AND(INDEX('Сводка'!$T$3:$T$397,U102)=0,INDEX('Сводка'!$T$3:$T$397,V102)=0),1,0)</x:f>
        <x:v>1</x:v>
      </x:c>
      <x:c r="S102" s="9" t="n">
        <x:f>IF(AND(R102=1,O102&lt;=$G$13),1,0)</x:f>
        <x:v>0</x:v>
      </x:c>
      <x:c r="T102" s="10" t="n">
        <x:f>EOMONTH(J102-'Сводка'!$B$11,-1)</x:f>
        <x:v>45930</x:v>
      </x:c>
      <x:c r="U102" s="4" t="n">
        <x:f>MATCH(J102,'Сводка'!$R$3:$R$397,0)</x:f>
        <x:v>113</x:v>
      </x:c>
      <x:c r="V102" s="4" t="n">
        <x:f>MATCH(J102-'Сводка'!$B$11,'Сводка'!$R$3:$R$397,0)</x:f>
        <x:v>112</x:v>
      </x:c>
      <x:c r="W102" s="4" t="n">
        <x:f>MATCH(T102,$J$388:$J$400,0)</x:f>
        <x:v>4</x:v>
      </x:c>
      <x:c r="X102" s="3"/>
      <x:c r="Y102" s="3"/>
      <x:c r="Z102" s="3"/>
    </x:row>
    <x:row r="103" ht="15" customHeight="1">
      <x:c r="A103" s="7" t="str">
        <x:f>IF(85&lt;='Сводка'!$B$3,'Сводка'!$B$4+85,"")</x:f>
      </x:c>
      <x:c r="B103" s="20" t="str">
        <x:f>IF($A103="","",(A103-$T$405+1)/1000)</x:f>
      </x:c>
      <x:c r="C103" s="20" t="str">
        <x:f>IF($A103="","",2*(A103-$T$405)/$T$406-1)</x:f>
      </x:c>
      <x:c r="D103" s="3" t="str">
        <x:f>IF($A103="","",$B$4*EXP($B$5*B103)+INDEX($E$4:$E$15,MONTH(A103)))</x:f>
      </x:c>
      <x:c r="E103" s="3" t="str">
        <x:f>IF($A103="","",SQRT($T$403^2+H103^2))</x:f>
      </x:c>
      <x:c r="F103" s="3" t="str">
        <x:f>IF($A103="","",D103-$T$404*E103)</x:f>
      </x:c>
      <x:c r="G103" s="3" t="str">
        <x:f>IF($A103="","",D103+$T$404*E103)</x:f>
      </x:c>
      <x:c r="H103" s="3" t="str">
        <x:f>IF($A103="","",SQRT(MAX(0,(EXP($B$5*B103))*$S$409*(EXP($B$5*B103))+(EXP($B$5*B103))*$T$409*($B$4*EXP($B$5*B103)*B103)+($B$4*EXP($B$5*B103)*B103)*$S$410*(EXP($B$5*B103))+($B$4*EXP($B$5*B103)*B103)*$T$410*($B$4*EXP($B$5*B103)*B103)+2*((EXP($B$5*B103))*INDEX($S$416:$V$427,MONTH(A103),1)+($B$4*EXP($B$5*B103)*B103)*INDEX($S$416:$V$427,MONTH(A103),2))+INDEX($W$416:$W$427,MONTH(A103)))))</x:f>
      </x:c>
      <x:c r="I103" s="3"/>
      <x:c r="J103" s="10" t="n">
        <x:v>45954</x:v>
      </x:c>
      <x:c r="K103" s="8" t="n">
        <x:f>INDEX('Сводка'!$S$3:$S$397,U103)</x:f>
        <x:v>12</x:v>
      </x:c>
      <x:c r="L103" s="8" t="n">
        <x:f>INDEX('Сводка'!$S$3:$S$397,V103)</x:f>
        <x:v>19</x:v>
      </x:c>
      <x:c r="M103" s="8" t="n">
        <x:f>INDEX($K$388:$N$400,W103,1)*EXP(INDEX($K$388:$N$400,W103,2)*((J103-$T$405+1)/1000))+INDEX($O$388:$Z$400,W103,MONTH(J103))</x:f>
        <x:v>183.24296547243074</x:v>
      </x:c>
      <x:c r="N103" s="8" t="n">
        <x:f>K103-M103</x:f>
        <x:v>-171.24296547243074</x:v>
      </x:c>
      <x:c r="O103" s="8" t="n">
        <x:f>ABS(N103)</x:f>
        <x:v>171.24296547243074</x:v>
      </x:c>
      <x:c r="P103" s="8" t="n">
        <x:f>N103^2</x:f>
        <x:v>29324.153223792106</x:v>
      </x:c>
      <x:c r="Q103" s="8" t="n">
        <x:f>K103-L103</x:f>
        <x:v>-7</x:v>
      </x:c>
      <x:c r="R103" s="9" t="n">
        <x:f>IF(AND(INDEX('Сводка'!$T$3:$T$397,U103)=0,INDEX('Сводка'!$T$3:$T$397,V103)=0),1,0)</x:f>
        <x:v>1</x:v>
      </x:c>
      <x:c r="S103" s="9" t="n">
        <x:f>IF(AND(R103=1,O103&lt;=$G$13),1,0)</x:f>
        <x:v>0</x:v>
      </x:c>
      <x:c r="T103" s="10" t="n">
        <x:f>EOMONTH(J103-'Сводка'!$B$11,-1)</x:f>
        <x:v>45930</x:v>
      </x:c>
      <x:c r="U103" s="4" t="n">
        <x:f>MATCH(J103,'Сводка'!$R$3:$R$397,0)</x:f>
        <x:v>114</x:v>
      </x:c>
      <x:c r="V103" s="4" t="n">
        <x:f>MATCH(J103-'Сводка'!$B$11,'Сводка'!$R$3:$R$397,0)</x:f>
        <x:v>113</x:v>
      </x:c>
      <x:c r="W103" s="4" t="n">
        <x:f>MATCH(T103,$J$388:$J$400,0)</x:f>
        <x:v>4</x:v>
      </x:c>
      <x:c r="X103" s="3"/>
      <x:c r="Y103" s="3"/>
      <x:c r="Z103" s="3"/>
    </x:row>
    <x:row r="104" ht="15" customHeight="1">
      <x:c r="A104" s="7" t="str">
        <x:f>IF(86&lt;='Сводка'!$B$3,'Сводка'!$B$4+86,"")</x:f>
      </x:c>
      <x:c r="B104" s="20" t="str">
        <x:f>IF($A104="","",(A104-$T$405+1)/1000)</x:f>
      </x:c>
      <x:c r="C104" s="20" t="str">
        <x:f>IF($A104="","",2*(A104-$T$405)/$T$406-1)</x:f>
      </x:c>
      <x:c r="D104" s="3" t="str">
        <x:f>IF($A104="","",$B$4*EXP($B$5*B104)+INDEX($E$4:$E$15,MONTH(A104)))</x:f>
      </x:c>
      <x:c r="E104" s="3" t="str">
        <x:f>IF($A104="","",SQRT($T$403^2+H104^2))</x:f>
      </x:c>
      <x:c r="F104" s="3" t="str">
        <x:f>IF($A104="","",D104-$T$404*E104)</x:f>
      </x:c>
      <x:c r="G104" s="3" t="str">
        <x:f>IF($A104="","",D104+$T$404*E104)</x:f>
      </x:c>
      <x:c r="H104" s="3" t="str">
        <x:f>IF($A104="","",SQRT(MAX(0,(EXP($B$5*B104))*$S$409*(EXP($B$5*B104))+(EXP($B$5*B104))*$T$409*($B$4*EXP($B$5*B104)*B104)+($B$4*EXP($B$5*B104)*B104)*$S$410*(EXP($B$5*B104))+($B$4*EXP($B$5*B104)*B104)*$T$410*($B$4*EXP($B$5*B104)*B104)+2*((EXP($B$5*B104))*INDEX($S$416:$V$427,MONTH(A104),1)+($B$4*EXP($B$5*B104)*B104)*INDEX($S$416:$V$427,MONTH(A104),2))+INDEX($W$416:$W$427,MONTH(A104)))))</x:f>
      </x:c>
      <x:c r="I104" s="3"/>
      <x:c r="J104" s="10" t="n">
        <x:v>45955</x:v>
      </x:c>
      <x:c r="K104" s="8" t="n">
        <x:f>INDEX('Сводка'!$S$3:$S$397,U104)</x:f>
        <x:v>5</x:v>
      </x:c>
      <x:c r="L104" s="8" t="n">
        <x:f>INDEX('Сводка'!$S$3:$S$397,V104)</x:f>
        <x:v>12</x:v>
      </x:c>
      <x:c r="M104" s="8" t="n">
        <x:f>INDEX($K$388:$N$400,W104,1)*EXP(INDEX($K$388:$N$400,W104,2)*((J104-$T$405+1)/1000))+INDEX($O$388:$Z$400,W104,MONTH(J104))</x:f>
        <x:v>183.28086429680036</x:v>
      </x:c>
      <x:c r="N104" s="8" t="n">
        <x:f>K104-M104</x:f>
        <x:v>-178.28086429680036</x:v>
      </x:c>
      <x:c r="O104" s="8" t="n">
        <x:f>ABS(N104)</x:f>
        <x:v>178.28086429680036</x:v>
      </x:c>
      <x:c r="P104" s="8" t="n">
        <x:f>N104^2</x:f>
        <x:v>31784.066574414144</x:v>
      </x:c>
      <x:c r="Q104" s="8" t="n">
        <x:f>K104-L104</x:f>
        <x:v>-7</x:v>
      </x:c>
      <x:c r="R104" s="9" t="n">
        <x:f>IF(AND(INDEX('Сводка'!$T$3:$T$397,U104)=0,INDEX('Сводка'!$T$3:$T$397,V104)=0),1,0)</x:f>
        <x:v>1</x:v>
      </x:c>
      <x:c r="S104" s="9" t="n">
        <x:f>IF(AND(R104=1,O104&lt;=$G$13),1,0)</x:f>
        <x:v>0</x:v>
      </x:c>
      <x:c r="T104" s="10" t="n">
        <x:f>EOMONTH(J104-'Сводка'!$B$11,-1)</x:f>
        <x:v>45930</x:v>
      </x:c>
      <x:c r="U104" s="4" t="n">
        <x:f>MATCH(J104,'Сводка'!$R$3:$R$397,0)</x:f>
        <x:v>115</x:v>
      </x:c>
      <x:c r="V104" s="4" t="n">
        <x:f>MATCH(J104-'Сводка'!$B$11,'Сводка'!$R$3:$R$397,0)</x:f>
        <x:v>114</x:v>
      </x:c>
      <x:c r="W104" s="4" t="n">
        <x:f>MATCH(T104,$J$388:$J$400,0)</x:f>
        <x:v>4</x:v>
      </x:c>
      <x:c r="X104" s="3"/>
      <x:c r="Y104" s="3"/>
      <x:c r="Z104" s="3"/>
    </x:row>
    <x:row r="105" ht="15" customHeight="1">
      <x:c r="A105" s="7" t="str">
        <x:f>IF(87&lt;='Сводка'!$B$3,'Сводка'!$B$4+87,"")</x:f>
      </x:c>
      <x:c r="B105" s="20" t="str">
        <x:f>IF($A105="","",(A105-$T$405+1)/1000)</x:f>
      </x:c>
      <x:c r="C105" s="20" t="str">
        <x:f>IF($A105="","",2*(A105-$T$405)/$T$406-1)</x:f>
      </x:c>
      <x:c r="D105" s="3" t="str">
        <x:f>IF($A105="","",$B$4*EXP($B$5*B105)+INDEX($E$4:$E$15,MONTH(A105)))</x:f>
      </x:c>
      <x:c r="E105" s="3" t="str">
        <x:f>IF($A105="","",SQRT($T$403^2+H105^2))</x:f>
      </x:c>
      <x:c r="F105" s="3" t="str">
        <x:f>IF($A105="","",D105-$T$404*E105)</x:f>
      </x:c>
      <x:c r="G105" s="3" t="str">
        <x:f>IF($A105="","",D105+$T$404*E105)</x:f>
      </x:c>
      <x:c r="H105" s="3" t="str">
        <x:f>IF($A105="","",SQRT(MAX(0,(EXP($B$5*B105))*$S$409*(EXP($B$5*B105))+(EXP($B$5*B105))*$T$409*($B$4*EXP($B$5*B105)*B105)+($B$4*EXP($B$5*B105)*B105)*$S$410*(EXP($B$5*B105))+($B$4*EXP($B$5*B105)*B105)*$T$410*($B$4*EXP($B$5*B105)*B105)+2*((EXP($B$5*B105))*INDEX($S$416:$V$427,MONTH(A105),1)+($B$4*EXP($B$5*B105)*B105)*INDEX($S$416:$V$427,MONTH(A105),2))+INDEX($W$416:$W$427,MONTH(A105)))))</x:f>
      </x:c>
      <x:c r="I105" s="3"/>
      <x:c r="J105" s="10" t="n">
        <x:v>45956</x:v>
      </x:c>
      <x:c r="K105" s="8" t="n">
        <x:f>INDEX('Сводка'!$S$3:$S$397,U105)</x:f>
        <x:v>-1</x:v>
      </x:c>
      <x:c r="L105" s="8" t="n">
        <x:f>INDEX('Сводка'!$S$3:$S$397,V105)</x:f>
        <x:v>5</x:v>
      </x:c>
      <x:c r="M105" s="8" t="n">
        <x:f>INDEX($K$388:$N$400,W105,1)*EXP(INDEX($K$388:$N$400,W105,2)*((J105-$T$405+1)/1000))+INDEX($O$388:$Z$400,W105,MONTH(J105))</x:f>
        <x:v>183.31877196315222</x:v>
      </x:c>
      <x:c r="N105" s="8" t="n">
        <x:f>K105-M105</x:f>
        <x:v>-184.31877196315222</x:v>
      </x:c>
      <x:c r="O105" s="8" t="n">
        <x:f>ABS(N105)</x:f>
        <x:v>184.31877196315222</x:v>
      </x:c>
      <x:c r="P105" s="8" t="n">
        <x:f>N105^2</x:f>
        <x:v>33973.40969800451</x:v>
      </x:c>
      <x:c r="Q105" s="8" t="n">
        <x:f>K105-L105</x:f>
        <x:v>-6</x:v>
      </x:c>
      <x:c r="R105" s="9" t="n">
        <x:f>IF(AND(INDEX('Сводка'!$T$3:$T$397,U105)=0,INDEX('Сводка'!$T$3:$T$397,V105)=0),1,0)</x:f>
        <x:v>1</x:v>
      </x:c>
      <x:c r="S105" s="9" t="n">
        <x:f>IF(AND(R105=1,O105&lt;=$G$13),1,0)</x:f>
        <x:v>0</x:v>
      </x:c>
      <x:c r="T105" s="10" t="n">
        <x:f>EOMONTH(J105-'Сводка'!$B$11,-1)</x:f>
        <x:v>45930</x:v>
      </x:c>
      <x:c r="U105" s="4" t="n">
        <x:f>MATCH(J105,'Сводка'!$R$3:$R$397,0)</x:f>
        <x:v>116</x:v>
      </x:c>
      <x:c r="V105" s="4" t="n">
        <x:f>MATCH(J105-'Сводка'!$B$11,'Сводка'!$R$3:$R$397,0)</x:f>
        <x:v>115</x:v>
      </x:c>
      <x:c r="W105" s="4" t="n">
        <x:f>MATCH(T105,$J$388:$J$400,0)</x:f>
        <x:v>4</x:v>
      </x:c>
      <x:c r="X105" s="3"/>
      <x:c r="Y105" s="3"/>
      <x:c r="Z105" s="3"/>
    </x:row>
    <x:row r="106" ht="15" customHeight="1">
      <x:c r="A106" s="7" t="str">
        <x:f>IF(88&lt;='Сводка'!$B$3,'Сводка'!$B$4+88,"")</x:f>
      </x:c>
      <x:c r="B106" s="20" t="str">
        <x:f>IF($A106="","",(A106-$T$405+1)/1000)</x:f>
      </x:c>
      <x:c r="C106" s="20" t="str">
        <x:f>IF($A106="","",2*(A106-$T$405)/$T$406-1)</x:f>
      </x:c>
      <x:c r="D106" s="3" t="str">
        <x:f>IF($A106="","",$B$4*EXP($B$5*B106)+INDEX($E$4:$E$15,MONTH(A106)))</x:f>
      </x:c>
      <x:c r="E106" s="3" t="str">
        <x:f>IF($A106="","",SQRT($T$403^2+H106^2))</x:f>
      </x:c>
      <x:c r="F106" s="3" t="str">
        <x:f>IF($A106="","",D106-$T$404*E106)</x:f>
      </x:c>
      <x:c r="G106" s="3" t="str">
        <x:f>IF($A106="","",D106+$T$404*E106)</x:f>
      </x:c>
      <x:c r="H106" s="3" t="str">
        <x:f>IF($A106="","",SQRT(MAX(0,(EXP($B$5*B106))*$S$409*(EXP($B$5*B106))+(EXP($B$5*B106))*$T$409*($B$4*EXP($B$5*B106)*B106)+($B$4*EXP($B$5*B106)*B106)*$S$410*(EXP($B$5*B106))+($B$4*EXP($B$5*B106)*B106)*$T$410*($B$4*EXP($B$5*B106)*B106)+2*((EXP($B$5*B106))*INDEX($S$416:$V$427,MONTH(A106),1)+($B$4*EXP($B$5*B106)*B106)*INDEX($S$416:$V$427,MONTH(A106),2))+INDEX($W$416:$W$427,MONTH(A106)))))</x:f>
      </x:c>
      <x:c r="I106" s="3"/>
      <x:c r="J106" s="10" t="n">
        <x:v>45957</x:v>
      </x:c>
      <x:c r="K106" s="8" t="n">
        <x:f>INDEX('Сводка'!$S$3:$S$397,U106)</x:f>
        <x:v>-11</x:v>
      </x:c>
      <x:c r="L106" s="8" t="n">
        <x:f>INDEX('Сводка'!$S$3:$S$397,V106)</x:f>
        <x:v>-1</x:v>
      </x:c>
      <x:c r="M106" s="8" t="n">
        <x:f>INDEX($K$388:$N$400,W106,1)*EXP(INDEX($K$388:$N$400,W106,2)*((J106-$T$405+1)/1000))+INDEX($O$388:$Z$400,W106,MONTH(J106))</x:f>
        <x:v>183.35668847354916</x:v>
      </x:c>
      <x:c r="N106" s="8" t="n">
        <x:f>K106-M106</x:f>
        <x:v>-194.35668847354916</x:v>
      </x:c>
      <x:c r="O106" s="8" t="n">
        <x:f>ABS(N106)</x:f>
        <x:v>194.35668847354916</x:v>
      </x:c>
      <x:c r="P106" s="8" t="n">
        <x:f>N106^2</x:f>
        <x:v>37774.52235440424</x:v>
      </x:c>
      <x:c r="Q106" s="8" t="n">
        <x:f>K106-L106</x:f>
        <x:v>-10</x:v>
      </x:c>
      <x:c r="R106" s="9" t="n">
        <x:f>IF(AND(INDEX('Сводка'!$T$3:$T$397,U106)=0,INDEX('Сводка'!$T$3:$T$397,V106)=0),1,0)</x:f>
        <x:v>1</x:v>
      </x:c>
      <x:c r="S106" s="9" t="n">
        <x:f>IF(AND(R106=1,O106&lt;=$G$13),1,0)</x:f>
        <x:v>0</x:v>
      </x:c>
      <x:c r="T106" s="10" t="n">
        <x:f>EOMONTH(J106-'Сводка'!$B$11,-1)</x:f>
        <x:v>45930</x:v>
      </x:c>
      <x:c r="U106" s="4" t="n">
        <x:f>MATCH(J106,'Сводка'!$R$3:$R$397,0)</x:f>
        <x:v>117</x:v>
      </x:c>
      <x:c r="V106" s="4" t="n">
        <x:f>MATCH(J106-'Сводка'!$B$11,'Сводка'!$R$3:$R$397,0)</x:f>
        <x:v>116</x:v>
      </x:c>
      <x:c r="W106" s="4" t="n">
        <x:f>MATCH(T106,$J$388:$J$400,0)</x:f>
        <x:v>4</x:v>
      </x:c>
      <x:c r="X106" s="3"/>
      <x:c r="Y106" s="3"/>
      <x:c r="Z106" s="3"/>
    </x:row>
    <x:row r="107" ht="15" customHeight="1">
      <x:c r="A107" s="7" t="str">
        <x:f>IF(89&lt;='Сводка'!$B$3,'Сводка'!$B$4+89,"")</x:f>
      </x:c>
      <x:c r="B107" s="20" t="str">
        <x:f>IF($A107="","",(A107-$T$405+1)/1000)</x:f>
      </x:c>
      <x:c r="C107" s="20" t="str">
        <x:f>IF($A107="","",2*(A107-$T$405)/$T$406-1)</x:f>
      </x:c>
      <x:c r="D107" s="3" t="str">
        <x:f>IF($A107="","",$B$4*EXP($B$5*B107)+INDEX($E$4:$E$15,MONTH(A107)))</x:f>
      </x:c>
      <x:c r="E107" s="3" t="str">
        <x:f>IF($A107="","",SQRT($T$403^2+H107^2))</x:f>
      </x:c>
      <x:c r="F107" s="3" t="str">
        <x:f>IF($A107="","",D107-$T$404*E107)</x:f>
      </x:c>
      <x:c r="G107" s="3" t="str">
        <x:f>IF($A107="","",D107+$T$404*E107)</x:f>
      </x:c>
      <x:c r="H107" s="3" t="str">
        <x:f>IF($A107="","",SQRT(MAX(0,(EXP($B$5*B107))*$S$409*(EXP($B$5*B107))+(EXP($B$5*B107))*$T$409*($B$4*EXP($B$5*B107)*B107)+($B$4*EXP($B$5*B107)*B107)*$S$410*(EXP($B$5*B107))+($B$4*EXP($B$5*B107)*B107)*$T$410*($B$4*EXP($B$5*B107)*B107)+2*((EXP($B$5*B107))*INDEX($S$416:$V$427,MONTH(A107),1)+($B$4*EXP($B$5*B107)*B107)*INDEX($S$416:$V$427,MONTH(A107),2))+INDEX($W$416:$W$427,MONTH(A107)))))</x:f>
      </x:c>
      <x:c r="I107" s="3"/>
      <x:c r="J107" s="10" t="n">
        <x:v>45958</x:v>
      </x:c>
      <x:c r="K107" s="8" t="n">
        <x:f>INDEX('Сводка'!$S$3:$S$397,U107)</x:f>
        <x:v>-20</x:v>
      </x:c>
      <x:c r="L107" s="8" t="n">
        <x:f>INDEX('Сводка'!$S$3:$S$397,V107)</x:f>
        <x:v>-11</x:v>
      </x:c>
      <x:c r="M107" s="8" t="n">
        <x:f>INDEX($K$388:$N$400,W107,1)*EXP(INDEX($K$388:$N$400,W107,2)*((J107-$T$405+1)/1000))+INDEX($O$388:$Z$400,W107,MONTH(J107))</x:f>
        <x:v>183.39461383005445</x:v>
      </x:c>
      <x:c r="N107" s="8" t="n">
        <x:f>K107-M107</x:f>
        <x:v>-203.39461383005445</x:v>
      </x:c>
      <x:c r="O107" s="8" t="n">
        <x:f>ABS(N107)</x:f>
        <x:v>203.39461383005445</x:v>
      </x:c>
      <x:c r="P107" s="8" t="n">
        <x:f>N107^2</x:f>
        <x:v>41369.36893507698</x:v>
      </x:c>
      <x:c r="Q107" s="8" t="n">
        <x:f>K107-L107</x:f>
        <x:v>-9</x:v>
      </x:c>
      <x:c r="R107" s="9" t="n">
        <x:f>IF(AND(INDEX('Сводка'!$T$3:$T$397,U107)=0,INDEX('Сводка'!$T$3:$T$397,V107)=0),1,0)</x:f>
        <x:v>1</x:v>
      </x:c>
      <x:c r="S107" s="9" t="n">
        <x:f>IF(AND(R107=1,O107&lt;=$G$13),1,0)</x:f>
        <x:v>0</x:v>
      </x:c>
      <x:c r="T107" s="10" t="n">
        <x:f>EOMONTH(J107-'Сводка'!$B$11,-1)</x:f>
        <x:v>45930</x:v>
      </x:c>
      <x:c r="U107" s="4" t="n">
        <x:f>MATCH(J107,'Сводка'!$R$3:$R$397,0)</x:f>
        <x:v>118</x:v>
      </x:c>
      <x:c r="V107" s="4" t="n">
        <x:f>MATCH(J107-'Сводка'!$B$11,'Сводка'!$R$3:$R$397,0)</x:f>
        <x:v>117</x:v>
      </x:c>
      <x:c r="W107" s="4" t="n">
        <x:f>MATCH(T107,$J$388:$J$400,0)</x:f>
        <x:v>4</x:v>
      </x:c>
      <x:c r="X107" s="3"/>
      <x:c r="Y107" s="3"/>
      <x:c r="Z107" s="3"/>
    </x:row>
    <x:row r="108" ht="15" customHeight="1">
      <x:c r="A108" s="7" t="str">
        <x:f>IF(90&lt;='Сводка'!$B$3,'Сводка'!$B$4+90,"")</x:f>
      </x:c>
      <x:c r="B108" s="20" t="str">
        <x:f>IF($A108="","",(A108-$T$405+1)/1000)</x:f>
      </x:c>
      <x:c r="C108" s="20" t="str">
        <x:f>IF($A108="","",2*(A108-$T$405)/$T$406-1)</x:f>
      </x:c>
      <x:c r="D108" s="3" t="str">
        <x:f>IF($A108="","",$B$4*EXP($B$5*B108)+INDEX($E$4:$E$15,MONTH(A108)))</x:f>
      </x:c>
      <x:c r="E108" s="3" t="str">
        <x:f>IF($A108="","",SQRT($T$403^2+H108^2))</x:f>
      </x:c>
      <x:c r="F108" s="3" t="str">
        <x:f>IF($A108="","",D108-$T$404*E108)</x:f>
      </x:c>
      <x:c r="G108" s="3" t="str">
        <x:f>IF($A108="","",D108+$T$404*E108)</x:f>
      </x:c>
      <x:c r="H108" s="3" t="str">
        <x:f>IF($A108="","",SQRT(MAX(0,(EXP($B$5*B108))*$S$409*(EXP($B$5*B108))+(EXP($B$5*B108))*$T$409*($B$4*EXP($B$5*B108)*B108)+($B$4*EXP($B$5*B108)*B108)*$S$410*(EXP($B$5*B108))+($B$4*EXP($B$5*B108)*B108)*$T$410*($B$4*EXP($B$5*B108)*B108)+2*((EXP($B$5*B108))*INDEX($S$416:$V$427,MONTH(A108),1)+($B$4*EXP($B$5*B108)*B108)*INDEX($S$416:$V$427,MONTH(A108),2))+INDEX($W$416:$W$427,MONTH(A108)))))</x:f>
      </x:c>
      <x:c r="I108" s="3"/>
      <x:c r="J108" s="10" t="n">
        <x:v>45959</x:v>
      </x:c>
      <x:c r="K108" s="8" t="n">
        <x:f>INDEX('Сводка'!$S$3:$S$397,U108)</x:f>
        <x:v>-27</x:v>
      </x:c>
      <x:c r="L108" s="8" t="n">
        <x:f>INDEX('Сводка'!$S$3:$S$397,V108)</x:f>
        <x:v>-20</x:v>
      </x:c>
      <x:c r="M108" s="8" t="n">
        <x:f>INDEX($K$388:$N$400,W108,1)*EXP(INDEX($K$388:$N$400,W108,2)*((J108-$T$405+1)/1000))+INDEX($O$388:$Z$400,W108,MONTH(J108))</x:f>
        <x:v>183.4325480347321</x:v>
      </x:c>
      <x:c r="N108" s="8" t="n">
        <x:f>K108-M108</x:f>
        <x:v>-210.4325480347321</x:v>
      </x:c>
      <x:c r="O108" s="8" t="n">
        <x:f>ABS(N108)</x:f>
        <x:v>210.4325480347321</x:v>
      </x:c>
      <x:c r="P108" s="8" t="n">
        <x:f>N108^2</x:f>
        <x:v>44281.85727238983</x:v>
      </x:c>
      <x:c r="Q108" s="8" t="n">
        <x:f>K108-L108</x:f>
        <x:v>-7</x:v>
      </x:c>
      <x:c r="R108" s="9" t="n">
        <x:f>IF(AND(INDEX('Сводка'!$T$3:$T$397,U108)=0,INDEX('Сводка'!$T$3:$T$397,V108)=0),1,0)</x:f>
        <x:v>1</x:v>
      </x:c>
      <x:c r="S108" s="9" t="n">
        <x:f>IF(AND(R108=1,O108&lt;=$G$13),1,0)</x:f>
        <x:v>0</x:v>
      </x:c>
      <x:c r="T108" s="10" t="n">
        <x:f>EOMONTH(J108-'Сводка'!$B$11,-1)</x:f>
        <x:v>45930</x:v>
      </x:c>
      <x:c r="U108" s="4" t="n">
        <x:f>MATCH(J108,'Сводка'!$R$3:$R$397,0)</x:f>
        <x:v>119</x:v>
      </x:c>
      <x:c r="V108" s="4" t="n">
        <x:f>MATCH(J108-'Сводка'!$B$11,'Сводка'!$R$3:$R$397,0)</x:f>
        <x:v>118</x:v>
      </x:c>
      <x:c r="W108" s="4" t="n">
        <x:f>MATCH(T108,$J$388:$J$400,0)</x:f>
        <x:v>4</x:v>
      </x:c>
      <x:c r="X108" s="3"/>
      <x:c r="Y108" s="3"/>
      <x:c r="Z108" s="3"/>
    </x:row>
    <x:row r="109" ht="15" customHeight="1">
      <x:c r="A109" s="3"/>
      <x:c r="B109" s="3"/>
      <x:c r="C109" s="3"/>
      <x:c r="D109" s="3"/>
      <x:c r="E109" s="3"/>
      <x:c r="F109" s="3"/>
      <x:c r="G109" s="3"/>
      <x:c r="H109" s="3"/>
      <x:c r="I109" s="3"/>
      <x:c r="J109" s="10" t="n">
        <x:v>45960</x:v>
      </x:c>
      <x:c r="K109" s="8" t="n">
        <x:f>INDEX('Сводка'!$S$3:$S$397,U109)</x:f>
        <x:v>-33</x:v>
      </x:c>
      <x:c r="L109" s="8" t="n">
        <x:f>INDEX('Сводка'!$S$3:$S$397,V109)</x:f>
        <x:v>-27</x:v>
      </x:c>
      <x:c r="M109" s="8" t="n">
        <x:f>INDEX($K$388:$N$400,W109,1)*EXP(INDEX($K$388:$N$400,W109,2)*((J109-$T$405+1)/1000))+INDEX($O$388:$Z$400,W109,MONTH(J109))</x:f>
        <x:v>183.47049108964634</x:v>
      </x:c>
      <x:c r="N109" s="8" t="n">
        <x:f>K109-M109</x:f>
        <x:v>-216.47049108964634</x:v>
      </x:c>
      <x:c r="O109" s="8" t="n">
        <x:f>ABS(N109)</x:f>
        <x:v>216.47049108964634</x:v>
      </x:c>
      <x:c r="P109" s="8" t="n">
        <x:f>N109^2</x:f>
        <x:v>46859.47351259266</x:v>
      </x:c>
      <x:c r="Q109" s="8" t="n">
        <x:f>K109-L109</x:f>
        <x:v>-6</x:v>
      </x:c>
      <x:c r="R109" s="9" t="n">
        <x:f>IF(AND(INDEX('Сводка'!$T$3:$T$397,U109)=0,INDEX('Сводка'!$T$3:$T$397,V109)=0),1,0)</x:f>
        <x:v>1</x:v>
      </x:c>
      <x:c r="S109" s="9" t="n">
        <x:f>IF(AND(R109=1,O109&lt;=$G$13),1,0)</x:f>
        <x:v>0</x:v>
      </x:c>
      <x:c r="T109" s="10" t="n">
        <x:f>EOMONTH(J109-'Сводка'!$B$11,-1)</x:f>
        <x:v>45930</x:v>
      </x:c>
      <x:c r="U109" s="4" t="n">
        <x:f>MATCH(J109,'Сводка'!$R$3:$R$397,0)</x:f>
        <x:v>120</x:v>
      </x:c>
      <x:c r="V109" s="4" t="n">
        <x:f>MATCH(J109-'Сводка'!$B$11,'Сводка'!$R$3:$R$397,0)</x:f>
        <x:v>119</x:v>
      </x:c>
      <x:c r="W109" s="4" t="n">
        <x:f>MATCH(T109,$J$388:$J$400,0)</x:f>
        <x:v>4</x:v>
      </x:c>
      <x:c r="X109" s="3"/>
      <x:c r="Y109" s="3"/>
      <x:c r="Z109" s="3"/>
    </x:row>
    <x:row r="110" ht="15" customHeight="1">
      <x:c r="A110" s="3"/>
      <x:c r="B110" s="3"/>
      <x:c r="C110" s="3"/>
      <x:c r="D110" s="3"/>
      <x:c r="E110" s="3"/>
      <x:c r="F110" s="3"/>
      <x:c r="G110" s="3"/>
      <x:c r="H110" s="3"/>
      <x:c r="I110" s="3"/>
      <x:c r="J110" s="10" t="n">
        <x:v>45961</x:v>
      </x:c>
      <x:c r="K110" s="8" t="n">
        <x:f>INDEX('Сводка'!$S$3:$S$397,U110)</x:f>
        <x:v>-36</x:v>
      </x:c>
      <x:c r="L110" s="8" t="n">
        <x:f>INDEX('Сводка'!$S$3:$S$397,V110)</x:f>
        <x:v>-33</x:v>
      </x:c>
      <x:c r="M110" s="8" t="n">
        <x:f>INDEX($K$388:$N$400,W110,1)*EXP(INDEX($K$388:$N$400,W110,2)*((J110-$T$405+1)/1000))+INDEX($O$388:$Z$400,W110,MONTH(J110))</x:f>
        <x:v>183.5084429968619</x:v>
      </x:c>
      <x:c r="N110" s="8" t="n">
        <x:f>K110-M110</x:f>
        <x:v>-219.5084429968619</x:v>
      </x:c>
      <x:c r="O110" s="8" t="n">
        <x:f>ABS(N110)</x:f>
        <x:v>219.5084429968619</x:v>
      </x:c>
      <x:c r="P110" s="8" t="n">
        <x:f>N110^2</x:f>
        <x:v>48183.95654690657</x:v>
      </x:c>
      <x:c r="Q110" s="8" t="n">
        <x:f>K110-L110</x:f>
        <x:v>-3</x:v>
      </x:c>
      <x:c r="R110" s="9" t="n">
        <x:f>IF(AND(INDEX('Сводка'!$T$3:$T$397,U110)=0,INDEX('Сводка'!$T$3:$T$397,V110)=0),1,0)</x:f>
        <x:v>1</x:v>
      </x:c>
      <x:c r="S110" s="9" t="n">
        <x:f>IF(AND(R110=1,O110&lt;=$G$13),1,0)</x:f>
        <x:v>0</x:v>
      </x:c>
      <x:c r="T110" s="10" t="n">
        <x:f>EOMONTH(J110-'Сводка'!$B$11,-1)</x:f>
        <x:v>45930</x:v>
      </x:c>
      <x:c r="U110" s="4" t="n">
        <x:f>MATCH(J110,'Сводка'!$R$3:$R$397,0)</x:f>
        <x:v>121</x:v>
      </x:c>
      <x:c r="V110" s="4" t="n">
        <x:f>MATCH(J110-'Сводка'!$B$11,'Сводка'!$R$3:$R$397,0)</x:f>
        <x:v>120</x:v>
      </x:c>
      <x:c r="W110" s="4" t="n">
        <x:f>MATCH(T110,$J$388:$J$400,0)</x:f>
        <x:v>4</x:v>
      </x:c>
      <x:c r="X110" s="3"/>
      <x:c r="Y110" s="3"/>
      <x:c r="Z110" s="3"/>
    </x:row>
    <x:row r="111" ht="15" customHeight="1">
      <x:c r="A111" s="3"/>
      <x:c r="B111" s="3"/>
      <x:c r="C111" s="3"/>
      <x:c r="D111" s="3"/>
      <x:c r="E111" s="3"/>
      <x:c r="F111" s="3"/>
      <x:c r="G111" s="3"/>
      <x:c r="H111" s="3"/>
      <x:c r="I111" s="3"/>
      <x:c r="J111" s="10" t="n">
        <x:v>45962</x:v>
      </x:c>
      <x:c r="K111" s="8" t="n">
        <x:f>INDEX('Сводка'!$S$3:$S$397,U111)</x:f>
        <x:v>-37</x:v>
      </x:c>
      <x:c r="L111" s="8" t="n">
        <x:f>INDEX('Сводка'!$S$3:$S$397,V111)</x:f>
        <x:v>-36</x:v>
      </x:c>
      <x:c r="M111" s="8" t="n">
        <x:f>INDEX($K$388:$N$400,W111,1)*EXP(INDEX($K$388:$N$400,W111,2)*((J111-$T$405+1)/1000))+INDEX($O$388:$Z$400,W111,MONTH(J111))</x:f>
        <x:v>45.36965854905182</x:v>
      </x:c>
      <x:c r="N111" s="8" t="n">
        <x:f>K111-M111</x:f>
        <x:v>-82.36965854905182</x:v>
      </x:c>
      <x:c r="O111" s="8" t="n">
        <x:f>ABS(N111)</x:f>
        <x:v>82.36965854905182</x:v>
      </x:c>
      <x:c r="P111" s="8" t="n">
        <x:f>N111^2</x:f>
        <x:v>6784.760649487385</x:v>
      </x:c>
      <x:c r="Q111" s="8" t="n">
        <x:f>K111-L111</x:f>
        <x:v>-1</x:v>
      </x:c>
      <x:c r="R111" s="9" t="n">
        <x:f>IF(AND(INDEX('Сводка'!$T$3:$T$397,U111)=0,INDEX('Сводка'!$T$3:$T$397,V111)=0),1,0)</x:f>
        <x:v>1</x:v>
      </x:c>
      <x:c r="S111" s="9" t="n">
        <x:f>IF(AND(R111=1,O111&lt;=$G$13),1,0)</x:f>
        <x:v>0</x:v>
      </x:c>
      <x:c r="T111" s="10" t="n">
        <x:f>EOMONTH(J111-'Сводка'!$B$11,-1)</x:f>
        <x:v>45930</x:v>
      </x:c>
      <x:c r="U111" s="4" t="n">
        <x:f>MATCH(J111,'Сводка'!$R$3:$R$397,0)</x:f>
        <x:v>122</x:v>
      </x:c>
      <x:c r="V111" s="4" t="n">
        <x:f>MATCH(J111-'Сводка'!$B$11,'Сводка'!$R$3:$R$397,0)</x:f>
        <x:v>121</x:v>
      </x:c>
      <x:c r="W111" s="4" t="n">
        <x:f>MATCH(T111,$J$388:$J$400,0)</x:f>
        <x:v>4</x:v>
      </x:c>
      <x:c r="X111" s="3"/>
      <x:c r="Y111" s="3"/>
      <x:c r="Z111" s="3"/>
    </x:row>
    <x:row r="112" ht="15" customHeight="1">
      <x:c r="A112" s="3"/>
      <x:c r="B112" s="3"/>
      <x:c r="C112" s="3"/>
      <x:c r="D112" s="3"/>
      <x:c r="E112" s="3"/>
      <x:c r="F112" s="3"/>
      <x:c r="G112" s="3"/>
      <x:c r="H112" s="3"/>
      <x:c r="I112" s="3"/>
      <x:c r="J112" s="10" t="n">
        <x:v>45963</x:v>
      </x:c>
      <x:c r="K112" s="8" t="n">
        <x:f>INDEX('Сводка'!$S$3:$S$397,U112)</x:f>
        <x:v>-40</x:v>
      </x:c>
      <x:c r="L112" s="8" t="n">
        <x:f>INDEX('Сводка'!$S$3:$S$397,V112)</x:f>
        <x:v>-37</x:v>
      </x:c>
      <x:c r="M112" s="8" t="n">
        <x:f>INDEX($K$388:$N$400,W112,1)*EXP(INDEX($K$388:$N$400,W112,2)*((J112-$T$405+1)/1000))+INDEX($O$388:$Z$400,W112,MONTH(J112))</x:f>
        <x:v>43.44909192854743</x:v>
      </x:c>
      <x:c r="N112" s="8" t="n">
        <x:f>K112-M112</x:f>
        <x:v>-83.44909192854743</x:v>
      </x:c>
      <x:c r="O112" s="8" t="n">
        <x:f>ABS(N112)</x:f>
        <x:v>83.44909192854743</x:v>
      </x:c>
      <x:c r="P112" s="8" t="n">
        <x:f>N112^2</x:f>
        <x:v>6963.75094369916</x:v>
      </x:c>
      <x:c r="Q112" s="8" t="n">
        <x:f>K112-L112</x:f>
        <x:v>-3</x:v>
      </x:c>
      <x:c r="R112" s="9" t="n">
        <x:f>IF(AND(INDEX('Сводка'!$T$3:$T$397,U112)=0,INDEX('Сводка'!$T$3:$T$397,V112)=0),1,0)</x:f>
        <x:v>1</x:v>
      </x:c>
      <x:c r="S112" s="9" t="n">
        <x:f>IF(AND(R112=1,O112&lt;=$G$13),1,0)</x:f>
        <x:v>0</x:v>
      </x:c>
      <x:c r="T112" s="10" t="n">
        <x:f>EOMONTH(J112-'Сводка'!$B$11,-1)</x:f>
        <x:v>45961</x:v>
      </x:c>
      <x:c r="U112" s="4" t="n">
        <x:f>MATCH(J112,'Сводка'!$R$3:$R$397,0)</x:f>
        <x:v>123</x:v>
      </x:c>
      <x:c r="V112" s="4" t="n">
        <x:f>MATCH(J112-'Сводка'!$B$11,'Сводка'!$R$3:$R$397,0)</x:f>
        <x:v>122</x:v>
      </x:c>
      <x:c r="W112" s="4" t="n">
        <x:f>MATCH(T112,$J$388:$J$400,0)</x:f>
        <x:v>5</x:v>
      </x:c>
      <x:c r="X112" s="3"/>
      <x:c r="Y112" s="3"/>
      <x:c r="Z112" s="3"/>
    </x:row>
    <x:row r="113" ht="15" customHeight="1">
      <x:c r="A113" s="3"/>
      <x:c r="B113" s="3"/>
      <x:c r="C113" s="3"/>
      <x:c r="D113" s="3"/>
      <x:c r="E113" s="3"/>
      <x:c r="F113" s="3"/>
      <x:c r="G113" s="3"/>
      <x:c r="H113" s="3"/>
      <x:c r="I113" s="3"/>
      <x:c r="J113" s="10" t="n">
        <x:v>45964</x:v>
      </x:c>
      <x:c r="K113" s="8" t="n">
        <x:f>INDEX('Сводка'!$S$3:$S$397,U113)</x:f>
        <x:v>-46</x:v>
      </x:c>
      <x:c r="L113" s="8" t="n">
        <x:f>INDEX('Сводка'!$S$3:$S$397,V113)</x:f>
        <x:v>-40</x:v>
      </x:c>
      <x:c r="M113" s="8" t="n">
        <x:f>INDEX($K$388:$N$400,W113,1)*EXP(INDEX($K$388:$N$400,W113,2)*((J113-$T$405+1)/1000))+INDEX($O$388:$Z$400,W113,MONTH(J113))</x:f>
        <x:v>43.48605222177437</x:v>
      </x:c>
      <x:c r="N113" s="8" t="n">
        <x:f>K113-M113</x:f>
        <x:v>-89.48605222177437</x:v>
      </x:c>
      <x:c r="O113" s="8" t="n">
        <x:f>ABS(N113)</x:f>
        <x:v>89.48605222177437</x:v>
      </x:c>
      <x:c r="P113" s="8" t="n">
        <x:f>N113^2</x:f>
        <x:v>8007.75354223813</x:v>
      </x:c>
      <x:c r="Q113" s="8" t="n">
        <x:f>K113-L113</x:f>
        <x:v>-6</x:v>
      </x:c>
      <x:c r="R113" s="9" t="n">
        <x:f>IF(AND(INDEX('Сводка'!$T$3:$T$397,U113)=0,INDEX('Сводка'!$T$3:$T$397,V113)=0),1,0)</x:f>
        <x:v>1</x:v>
      </x:c>
      <x:c r="S113" s="9" t="n">
        <x:f>IF(AND(R113=1,O113&lt;=$G$13),1,0)</x:f>
        <x:v>0</x:v>
      </x:c>
      <x:c r="T113" s="10" t="n">
        <x:f>EOMONTH(J113-'Сводка'!$B$11,-1)</x:f>
        <x:v>45961</x:v>
      </x:c>
      <x:c r="U113" s="4" t="n">
        <x:f>MATCH(J113,'Сводка'!$R$3:$R$397,0)</x:f>
        <x:v>124</x:v>
      </x:c>
      <x:c r="V113" s="4" t="n">
        <x:f>MATCH(J113-'Сводка'!$B$11,'Сводка'!$R$3:$R$397,0)</x:f>
        <x:v>123</x:v>
      </x:c>
      <x:c r="W113" s="4" t="n">
        <x:f>MATCH(T113,$J$388:$J$400,0)</x:f>
        <x:v>5</x:v>
      </x:c>
      <x:c r="X113" s="3"/>
      <x:c r="Y113" s="3"/>
      <x:c r="Z113" s="3"/>
    </x:row>
    <x:row r="114" ht="15" customHeight="1">
      <x:c r="A114" s="3"/>
      <x:c r="B114" s="3"/>
      <x:c r="C114" s="3"/>
      <x:c r="D114" s="3"/>
      <x:c r="E114" s="3"/>
      <x:c r="F114" s="3"/>
      <x:c r="G114" s="3"/>
      <x:c r="H114" s="3"/>
      <x:c r="I114" s="3"/>
      <x:c r="J114" s="10" t="n">
        <x:v>45965</x:v>
      </x:c>
      <x:c r="K114" s="8" t="n">
        <x:f>INDEX('Сводка'!$S$3:$S$397,U114)</x:f>
        <x:v>-49</x:v>
      </x:c>
      <x:c r="L114" s="8" t="n">
        <x:f>INDEX('Сводка'!$S$3:$S$397,V114)</x:f>
        <x:v>-46</x:v>
      </x:c>
      <x:c r="M114" s="8" t="n">
        <x:f>INDEX($K$388:$N$400,W114,1)*EXP(INDEX($K$388:$N$400,W114,2)*((J114-$T$405+1)/1000))+INDEX($O$388:$Z$400,W114,MONTH(J114))</x:f>
        <x:v>43.523021023628445</x:v>
      </x:c>
      <x:c r="N114" s="8" t="n">
        <x:f>K114-M114</x:f>
        <x:v>-92.52302102362844</x:v>
      </x:c>
      <x:c r="O114" s="8" t="n">
        <x:f>ABS(N114)</x:f>
        <x:v>92.52302102362844</x:v>
      </x:c>
      <x:c r="P114" s="8" t="n">
        <x:f>N114^2</x:f>
        <x:v>8560.50941933879</x:v>
      </x:c>
      <x:c r="Q114" s="8" t="n">
        <x:f>K114-L114</x:f>
        <x:v>-3</x:v>
      </x:c>
      <x:c r="R114" s="9" t="n">
        <x:f>IF(AND(INDEX('Сводка'!$T$3:$T$397,U114)=0,INDEX('Сводка'!$T$3:$T$397,V114)=0),1,0)</x:f>
        <x:v>1</x:v>
      </x:c>
      <x:c r="S114" s="9" t="n">
        <x:f>IF(AND(R114=1,O114&lt;=$G$13),1,0)</x:f>
        <x:v>0</x:v>
      </x:c>
      <x:c r="T114" s="10" t="n">
        <x:f>EOMONTH(J114-'Сводка'!$B$11,-1)</x:f>
        <x:v>45961</x:v>
      </x:c>
      <x:c r="U114" s="4" t="n">
        <x:f>MATCH(J114,'Сводка'!$R$3:$R$397,0)</x:f>
        <x:v>125</x:v>
      </x:c>
      <x:c r="V114" s="4" t="n">
        <x:f>MATCH(J114-'Сводка'!$B$11,'Сводка'!$R$3:$R$397,0)</x:f>
        <x:v>124</x:v>
      </x:c>
      <x:c r="W114" s="4" t="n">
        <x:f>MATCH(T114,$J$388:$J$400,0)</x:f>
        <x:v>5</x:v>
      </x:c>
      <x:c r="X114" s="3"/>
      <x:c r="Y114" s="3"/>
      <x:c r="Z114" s="3"/>
    </x:row>
    <x:row r="115" ht="15" customHeight="1">
      <x:c r="A115" s="3"/>
      <x:c r="B115" s="3"/>
      <x:c r="C115" s="3"/>
      <x:c r="D115" s="3"/>
      <x:c r="E115" s="3"/>
      <x:c r="F115" s="3"/>
      <x:c r="G115" s="3"/>
      <x:c r="H115" s="3"/>
      <x:c r="I115" s="3"/>
      <x:c r="J115" s="10" t="n">
        <x:v>45966</x:v>
      </x:c>
      <x:c r="K115" s="8" t="n">
        <x:f>INDEX('Сводка'!$S$3:$S$397,U115)</x:f>
        <x:v>-56</x:v>
      </x:c>
      <x:c r="L115" s="8" t="n">
        <x:f>INDEX('Сводка'!$S$3:$S$397,V115)</x:f>
        <x:v>-49</x:v>
      </x:c>
      <x:c r="M115" s="8" t="n">
        <x:f>INDEX($K$388:$N$400,W115,1)*EXP(INDEX($K$388:$N$400,W115,2)*((J115-$T$405+1)/1000))+INDEX($O$388:$Z$400,W115,MONTH(J115))</x:f>
        <x:v>43.55999833606856</x:v>
      </x:c>
      <x:c r="N115" s="8" t="n">
        <x:f>K115-M115</x:f>
        <x:v>-99.55999833606856</x:v>
      </x:c>
      <x:c r="O115" s="8" t="n">
        <x:f>ABS(N115)</x:f>
        <x:v>99.55999833606856</x:v>
      </x:c>
      <x:c r="P115" s="8" t="n">
        <x:f>N115^2</x:f>
        <x:v>9912.193268677975</x:v>
      </x:c>
      <x:c r="Q115" s="8" t="n">
        <x:f>K115-L115</x:f>
        <x:v>-7</x:v>
      </x:c>
      <x:c r="R115" s="9" t="n">
        <x:f>IF(AND(INDEX('Сводка'!$T$3:$T$397,U115)=0,INDEX('Сводка'!$T$3:$T$397,V115)=0),1,0)</x:f>
        <x:v>1</x:v>
      </x:c>
      <x:c r="S115" s="9" t="n">
        <x:f>IF(AND(R115=1,O115&lt;=$G$13),1,0)</x:f>
        <x:v>0</x:v>
      </x:c>
      <x:c r="T115" s="10" t="n">
        <x:f>EOMONTH(J115-'Сводка'!$B$11,-1)</x:f>
        <x:v>45961</x:v>
      </x:c>
      <x:c r="U115" s="4" t="n">
        <x:f>MATCH(J115,'Сводка'!$R$3:$R$397,0)</x:f>
        <x:v>126</x:v>
      </x:c>
      <x:c r="V115" s="4" t="n">
        <x:f>MATCH(J115-'Сводка'!$B$11,'Сводка'!$R$3:$R$397,0)</x:f>
        <x:v>125</x:v>
      </x:c>
      <x:c r="W115" s="4" t="n">
        <x:f>MATCH(T115,$J$388:$J$400,0)</x:f>
        <x:v>5</x:v>
      </x:c>
      <x:c r="X115" s="3"/>
      <x:c r="Y115" s="3"/>
      <x:c r="Z115" s="3"/>
    </x:row>
    <x:row r="116" ht="15" customHeight="1">
      <x:c r="A116" s="3"/>
      <x:c r="B116" s="3"/>
      <x:c r="C116" s="3"/>
      <x:c r="D116" s="3"/>
      <x:c r="E116" s="3"/>
      <x:c r="F116" s="3"/>
      <x:c r="G116" s="3"/>
      <x:c r="H116" s="3"/>
      <x:c r="I116" s="3"/>
      <x:c r="J116" s="10" t="n">
        <x:v>45967</x:v>
      </x:c>
      <x:c r="K116" s="8" t="n">
        <x:f>INDEX('Сводка'!$S$3:$S$397,U116)</x:f>
        <x:v>-61</x:v>
      </x:c>
      <x:c r="L116" s="8" t="n">
        <x:f>INDEX('Сводка'!$S$3:$S$397,V116)</x:f>
        <x:v>-56</x:v>
      </x:c>
      <x:c r="M116" s="8" t="n">
        <x:f>INDEX($K$388:$N$400,W116,1)*EXP(INDEX($K$388:$N$400,W116,2)*((J116-$T$405+1)/1000))+INDEX($O$388:$Z$400,W116,MONTH(J116))</x:f>
        <x:v>43.5969841610538</x:v>
      </x:c>
      <x:c r="N116" s="8" t="n">
        <x:f>K116-M116</x:f>
        <x:v>-104.5969841610538</x:v>
      </x:c>
      <x:c r="O116" s="8" t="n">
        <x:f>ABS(N116)</x:f>
        <x:v>104.5969841610538</x:v>
      </x:c>
      <x:c r="P116" s="8" t="n">
        <x:f>N116^2</x:f>
        <x:v>10940.529095587739</x:v>
      </x:c>
      <x:c r="Q116" s="8" t="n">
        <x:f>K116-L116</x:f>
        <x:v>-5</x:v>
      </x:c>
      <x:c r="R116" s="9" t="n">
        <x:f>IF(AND(INDEX('Сводка'!$T$3:$T$397,U116)=0,INDEX('Сводка'!$T$3:$T$397,V116)=0),1,0)</x:f>
        <x:v>1</x:v>
      </x:c>
      <x:c r="S116" s="9" t="n">
        <x:f>IF(AND(R116=1,O116&lt;=$G$13),1,0)</x:f>
        <x:v>0</x:v>
      </x:c>
      <x:c r="T116" s="10" t="n">
        <x:f>EOMONTH(J116-'Сводка'!$B$11,-1)</x:f>
        <x:v>45961</x:v>
      </x:c>
      <x:c r="U116" s="4" t="n">
        <x:f>MATCH(J116,'Сводка'!$R$3:$R$397,0)</x:f>
        <x:v>127</x:v>
      </x:c>
      <x:c r="V116" s="4" t="n">
        <x:f>MATCH(J116-'Сводка'!$B$11,'Сводка'!$R$3:$R$397,0)</x:f>
        <x:v>126</x:v>
      </x:c>
      <x:c r="W116" s="4" t="n">
        <x:f>MATCH(T116,$J$388:$J$400,0)</x:f>
        <x:v>5</x:v>
      </x:c>
      <x:c r="X116" s="3"/>
      <x:c r="Y116" s="3"/>
      <x:c r="Z116" s="3"/>
    </x:row>
    <x:row r="117" ht="15" customHeight="1">
      <x:c r="A117" s="3"/>
      <x:c r="B117" s="3"/>
      <x:c r="C117" s="3"/>
      <x:c r="D117" s="3"/>
      <x:c r="E117" s="3"/>
      <x:c r="F117" s="3"/>
      <x:c r="G117" s="3"/>
      <x:c r="H117" s="3"/>
      <x:c r="I117" s="3"/>
      <x:c r="J117" s="10" t="n">
        <x:v>45968</x:v>
      </x:c>
      <x:c r="K117" s="8" t="n">
        <x:f>INDEX('Сводка'!$S$3:$S$397,U117)</x:f>
        <x:v>-69</x:v>
      </x:c>
      <x:c r="L117" s="8" t="n">
        <x:f>INDEX('Сводка'!$S$3:$S$397,V117)</x:f>
        <x:v>-61</x:v>
      </x:c>
      <x:c r="M117" s="8" t="n">
        <x:f>INDEX($K$388:$N$400,W117,1)*EXP(INDEX($K$388:$N$400,W117,2)*((J117-$T$405+1)/1000))+INDEX($O$388:$Z$400,W117,MONTH(J117))</x:f>
        <x:v>43.633978500544</x:v>
      </x:c>
      <x:c r="N117" s="8" t="n">
        <x:f>K117-M117</x:f>
        <x:v>-112.633978500544</x:v>
      </x:c>
      <x:c r="O117" s="8" t="n">
        <x:f>ABS(N117)</x:f>
        <x:v>112.633978500544</x:v>
      </x:c>
      <x:c r="P117" s="8" t="n">
        <x:f>N117^2</x:f>
        <x:v>12686.413112861008</x:v>
      </x:c>
      <x:c r="Q117" s="8" t="n">
        <x:f>K117-L117</x:f>
        <x:v>-8</x:v>
      </x:c>
      <x:c r="R117" s="9" t="n">
        <x:f>IF(AND(INDEX('Сводка'!$T$3:$T$397,U117)=0,INDEX('Сводка'!$T$3:$T$397,V117)=0),1,0)</x:f>
        <x:v>1</x:v>
      </x:c>
      <x:c r="S117" s="9" t="n">
        <x:f>IF(AND(R117=1,O117&lt;=$G$13),1,0)</x:f>
        <x:v>0</x:v>
      </x:c>
      <x:c r="T117" s="10" t="n">
        <x:f>EOMONTH(J117-'Сводка'!$B$11,-1)</x:f>
        <x:v>45961</x:v>
      </x:c>
      <x:c r="U117" s="4" t="n">
        <x:f>MATCH(J117,'Сводка'!$R$3:$R$397,0)</x:f>
        <x:v>128</x:v>
      </x:c>
      <x:c r="V117" s="4" t="n">
        <x:f>MATCH(J117-'Сводка'!$B$11,'Сводка'!$R$3:$R$397,0)</x:f>
        <x:v>127</x:v>
      </x:c>
      <x:c r="W117" s="4" t="n">
        <x:f>MATCH(T117,$J$388:$J$400,0)</x:f>
        <x:v>5</x:v>
      </x:c>
      <x:c r="X117" s="3"/>
      <x:c r="Y117" s="3"/>
      <x:c r="Z117" s="3"/>
    </x:row>
    <x:row r="118" ht="15" customHeight="1">
      <x:c r="A118" s="3"/>
      <x:c r="B118" s="3"/>
      <x:c r="C118" s="3"/>
      <x:c r="D118" s="3"/>
      <x:c r="E118" s="3"/>
      <x:c r="F118" s="3"/>
      <x:c r="G118" s="3"/>
      <x:c r="H118" s="3"/>
      <x:c r="I118" s="3"/>
      <x:c r="J118" s="10" t="n">
        <x:v>45969</x:v>
      </x:c>
      <x:c r="K118" s="8" t="n">
        <x:f>INDEX('Сводка'!$S$3:$S$397,U118)</x:f>
        <x:v>-74</x:v>
      </x:c>
      <x:c r="L118" s="8" t="n">
        <x:f>INDEX('Сводка'!$S$3:$S$397,V118)</x:f>
        <x:v>-69</x:v>
      </x:c>
      <x:c r="M118" s="8" t="n">
        <x:f>INDEX($K$388:$N$400,W118,1)*EXP(INDEX($K$388:$N$400,W118,2)*((J118-$T$405+1)/1000))+INDEX($O$388:$Z$400,W118,MONTH(J118))</x:f>
        <x:v>43.67098135649911</x:v>
      </x:c>
      <x:c r="N118" s="8" t="n">
        <x:f>K118-M118</x:f>
        <x:v>-117.67098135649911</x:v>
      </x:c>
      <x:c r="O118" s="8" t="n">
        <x:f>ABS(N118)</x:f>
        <x:v>117.67098135649911</x:v>
      </x:c>
      <x:c r="P118" s="8" t="n">
        <x:f>N118^2</x:f>
        <x:v>13846.459853401562</x:v>
      </x:c>
      <x:c r="Q118" s="8" t="n">
        <x:f>K118-L118</x:f>
        <x:v>-5</x:v>
      </x:c>
      <x:c r="R118" s="9" t="n">
        <x:f>IF(AND(INDEX('Сводка'!$T$3:$T$397,U118)=0,INDEX('Сводка'!$T$3:$T$397,V118)=0),1,0)</x:f>
        <x:v>1</x:v>
      </x:c>
      <x:c r="S118" s="9" t="n">
        <x:f>IF(AND(R118=1,O118&lt;=$G$13),1,0)</x:f>
        <x:v>0</x:v>
      </x:c>
      <x:c r="T118" s="10" t="n">
        <x:f>EOMONTH(J118-'Сводка'!$B$11,-1)</x:f>
        <x:v>45961</x:v>
      </x:c>
      <x:c r="U118" s="4" t="n">
        <x:f>MATCH(J118,'Сводка'!$R$3:$R$397,0)</x:f>
        <x:v>129</x:v>
      </x:c>
      <x:c r="V118" s="4" t="n">
        <x:f>MATCH(J118-'Сводка'!$B$11,'Сводка'!$R$3:$R$397,0)</x:f>
        <x:v>128</x:v>
      </x:c>
      <x:c r="W118" s="4" t="n">
        <x:f>MATCH(T118,$J$388:$J$400,0)</x:f>
        <x:v>5</x:v>
      </x:c>
      <x:c r="X118" s="3"/>
      <x:c r="Y118" s="3"/>
      <x:c r="Z118" s="3"/>
    </x:row>
    <x:row r="119" ht="15" customHeight="1">
      <x:c r="A119" s="3"/>
      <x:c r="B119" s="3"/>
      <x:c r="C119" s="3"/>
      <x:c r="D119" s="3"/>
      <x:c r="E119" s="3"/>
      <x:c r="F119" s="3"/>
      <x:c r="G119" s="3"/>
      <x:c r="H119" s="3"/>
      <x:c r="I119" s="3"/>
      <x:c r="J119" s="10" t="n">
        <x:v>45970</x:v>
      </x:c>
      <x:c r="K119" s="8" t="n">
        <x:f>INDEX('Сводка'!$S$3:$S$397,U119)</x:f>
        <x:v>-80</x:v>
      </x:c>
      <x:c r="L119" s="8" t="n">
        <x:f>INDEX('Сводка'!$S$3:$S$397,V119)</x:f>
        <x:v>-74</x:v>
      </x:c>
      <x:c r="M119" s="8" t="n">
        <x:f>INDEX($K$388:$N$400,W119,1)*EXP(INDEX($K$388:$N$400,W119,2)*((J119-$T$405+1)/1000))+INDEX($O$388:$Z$400,W119,MONTH(J119))</x:f>
        <x:v>43.70799273087982</x:v>
      </x:c>
      <x:c r="N119" s="8" t="n">
        <x:f>K119-M119</x:f>
        <x:v>-123.70799273087982</x:v>
      </x:c>
      <x:c r="O119" s="8" t="n">
        <x:f>ABS(N119)</x:f>
        <x:v>123.70799273087982</x:v>
      </x:c>
      <x:c r="P119" s="8" t="n">
        <x:f>N119^2</x:f>
        <x:v>15303.667465503415</x:v>
      </x:c>
      <x:c r="Q119" s="8" t="n">
        <x:f>K119-L119</x:f>
        <x:v>-6</x:v>
      </x:c>
      <x:c r="R119" s="9" t="n">
        <x:f>IF(AND(INDEX('Сводка'!$T$3:$T$397,U119)=0,INDEX('Сводка'!$T$3:$T$397,V119)=0),1,0)</x:f>
        <x:v>1</x:v>
      </x:c>
      <x:c r="S119" s="9" t="n">
        <x:f>IF(AND(R119=1,O119&lt;=$G$13),1,0)</x:f>
        <x:v>0</x:v>
      </x:c>
      <x:c r="T119" s="10" t="n">
        <x:f>EOMONTH(J119-'Сводка'!$B$11,-1)</x:f>
        <x:v>45961</x:v>
      </x:c>
      <x:c r="U119" s="4" t="n">
        <x:f>MATCH(J119,'Сводка'!$R$3:$R$397,0)</x:f>
        <x:v>130</x:v>
      </x:c>
      <x:c r="V119" s="4" t="n">
        <x:f>MATCH(J119-'Сводка'!$B$11,'Сводка'!$R$3:$R$397,0)</x:f>
        <x:v>129</x:v>
      </x:c>
      <x:c r="W119" s="4" t="n">
        <x:f>MATCH(T119,$J$388:$J$400,0)</x:f>
        <x:v>5</x:v>
      </x:c>
      <x:c r="X119" s="3"/>
      <x:c r="Y119" s="3"/>
      <x:c r="Z119" s="3"/>
    </x:row>
    <x:row r="120" ht="15" customHeight="1">
      <x:c r="A120" s="3"/>
      <x:c r="B120" s="3"/>
      <x:c r="C120" s="3"/>
      <x:c r="D120" s="3"/>
      <x:c r="E120" s="3"/>
      <x:c r="F120" s="3"/>
      <x:c r="G120" s="3"/>
      <x:c r="H120" s="3"/>
      <x:c r="I120" s="3"/>
      <x:c r="J120" s="10" t="n">
        <x:v>45971</x:v>
      </x:c>
      <x:c r="K120" s="8" t="n">
        <x:f>INDEX('Сводка'!$S$3:$S$397,U120)</x:f>
        <x:v>-83</x:v>
      </x:c>
      <x:c r="L120" s="8" t="n">
        <x:f>INDEX('Сводка'!$S$3:$S$397,V120)</x:f>
        <x:v>-80</x:v>
      </x:c>
      <x:c r="M120" s="8" t="n">
        <x:f>INDEX($K$388:$N$400,W120,1)*EXP(INDEX($K$388:$N$400,W120,2)*((J120-$T$405+1)/1000))+INDEX($O$388:$Z$400,W120,MONTH(J120))</x:f>
        <x:v>43.74501262564712</x:v>
      </x:c>
      <x:c r="N120" s="8" t="n">
        <x:f>K120-M120</x:f>
        <x:v>-126.74501262564712</x:v>
      </x:c>
      <x:c r="O120" s="8" t="n">
        <x:f>ABS(N120)</x:f>
        <x:v>126.74501262564712</x:v>
      </x:c>
      <x:c r="P120" s="8" t="n">
        <x:f>N120^2</x:f>
        <x:v>16064.298225475448</x:v>
      </x:c>
      <x:c r="Q120" s="8" t="n">
        <x:f>K120-L120</x:f>
        <x:v>-3</x:v>
      </x:c>
      <x:c r="R120" s="9" t="n">
        <x:f>IF(AND(INDEX('Сводка'!$T$3:$T$397,U120)=0,INDEX('Сводка'!$T$3:$T$397,V120)=0),1,0)</x:f>
        <x:v>1</x:v>
      </x:c>
      <x:c r="S120" s="9" t="n">
        <x:f>IF(AND(R120=1,O120&lt;=$G$13),1,0)</x:f>
        <x:v>0</x:v>
      </x:c>
      <x:c r="T120" s="10" t="n">
        <x:f>EOMONTH(J120-'Сводка'!$B$11,-1)</x:f>
        <x:v>45961</x:v>
      </x:c>
      <x:c r="U120" s="4" t="n">
        <x:f>MATCH(J120,'Сводка'!$R$3:$R$397,0)</x:f>
        <x:v>131</x:v>
      </x:c>
      <x:c r="V120" s="4" t="n">
        <x:f>MATCH(J120-'Сводка'!$B$11,'Сводка'!$R$3:$R$397,0)</x:f>
        <x:v>130</x:v>
      </x:c>
      <x:c r="W120" s="4" t="n">
        <x:f>MATCH(T120,$J$388:$J$400,0)</x:f>
        <x:v>5</x:v>
      </x:c>
      <x:c r="X120" s="3"/>
      <x:c r="Y120" s="3"/>
      <x:c r="Z120" s="3"/>
    </x:row>
    <x:row r="121" ht="15" customHeight="1">
      <x:c r="A121" s="3"/>
      <x:c r="B121" s="3"/>
      <x:c r="C121" s="3"/>
      <x:c r="D121" s="3"/>
      <x:c r="E121" s="3"/>
      <x:c r="F121" s="3"/>
      <x:c r="G121" s="3"/>
      <x:c r="H121" s="3"/>
      <x:c r="I121" s="3"/>
      <x:c r="J121" s="10" t="n">
        <x:v>45972</x:v>
      </x:c>
      <x:c r="K121" s="8" t="n">
        <x:f>INDEX('Сводка'!$S$3:$S$397,U121)</x:f>
        <x:v>-89</x:v>
      </x:c>
      <x:c r="L121" s="8" t="n">
        <x:f>INDEX('Сводка'!$S$3:$S$397,V121)</x:f>
        <x:v>-83</x:v>
      </x:c>
      <x:c r="M121" s="8" t="n">
        <x:f>INDEX($K$388:$N$400,W121,1)*EXP(INDEX($K$388:$N$400,W121,2)*((J121-$T$405+1)/1000))+INDEX($O$388:$Z$400,W121,MONTH(J121))</x:f>
        <x:v>43.782041042762444</x:v>
      </x:c>
      <x:c r="N121" s="8" t="n">
        <x:f>K121-M121</x:f>
        <x:v>-132.78204104276244</x:v>
      </x:c>
      <x:c r="O121" s="8" t="n">
        <x:f>ABS(N121)</x:f>
        <x:v>132.78204104276244</x:v>
      </x:c>
      <x:c r="P121" s="8" t="n">
        <x:f>N121^2</x:f>
        <x:v>17631.07042348185</x:v>
      </x:c>
      <x:c r="Q121" s="8" t="n">
        <x:f>K121-L121</x:f>
        <x:v>-6</x:v>
      </x:c>
      <x:c r="R121" s="9" t="n">
        <x:f>IF(AND(INDEX('Сводка'!$T$3:$T$397,U121)=0,INDEX('Сводка'!$T$3:$T$397,V121)=0),1,0)</x:f>
        <x:v>1</x:v>
      </x:c>
      <x:c r="S121" s="9" t="n">
        <x:f>IF(AND(R121=1,O121&lt;=$G$13),1,0)</x:f>
        <x:v>0</x:v>
      </x:c>
      <x:c r="T121" s="10" t="n">
        <x:f>EOMONTH(J121-'Сводка'!$B$11,-1)</x:f>
        <x:v>45961</x:v>
      </x:c>
      <x:c r="U121" s="4" t="n">
        <x:f>MATCH(J121,'Сводка'!$R$3:$R$397,0)</x:f>
        <x:v>132</x:v>
      </x:c>
      <x:c r="V121" s="4" t="n">
        <x:f>MATCH(J121-'Сводка'!$B$11,'Сводка'!$R$3:$R$397,0)</x:f>
        <x:v>131</x:v>
      </x:c>
      <x:c r="W121" s="4" t="n">
        <x:f>MATCH(T121,$J$388:$J$400,0)</x:f>
        <x:v>5</x:v>
      </x:c>
      <x:c r="X121" s="3"/>
      <x:c r="Y121" s="3"/>
      <x:c r="Z121" s="3"/>
    </x:row>
    <x:row r="122" ht="15" customHeight="1">
      <x:c r="A122" s="3"/>
      <x:c r="B122" s="3"/>
      <x:c r="C122" s="3"/>
      <x:c r="D122" s="3"/>
      <x:c r="E122" s="3"/>
      <x:c r="F122" s="3"/>
      <x:c r="G122" s="3"/>
      <x:c r="H122" s="3"/>
      <x:c r="I122" s="3"/>
      <x:c r="J122" s="10" t="n">
        <x:v>45973</x:v>
      </x:c>
      <x:c r="K122" s="8" t="n">
        <x:f>INDEX('Сводка'!$S$3:$S$397,U122)</x:f>
        <x:v>-88</x:v>
      </x:c>
      <x:c r="L122" s="8" t="n">
        <x:f>INDEX('Сводка'!$S$3:$S$397,V122)</x:f>
        <x:v>-89</x:v>
      </x:c>
      <x:c r="M122" s="8" t="n">
        <x:f>INDEX($K$388:$N$400,W122,1)*EXP(INDEX($K$388:$N$400,W122,2)*((J122-$T$405+1)/1000))+INDEX($O$388:$Z$400,W122,MONTH(J122))</x:f>
        <x:v>43.81907798418794</x:v>
      </x:c>
      <x:c r="N122" s="8" t="n">
        <x:f>K122-M122</x:f>
        <x:v>-131.81907798418794</x:v>
      </x:c>
      <x:c r="O122" s="8" t="n">
        <x:f>ABS(N122)</x:f>
        <x:v>131.81907798418794</x:v>
      </x:c>
      <x:c r="P122" s="8" t="n">
        <x:f>N122^2</x:f>
        <x:v>17376.269320601423</x:v>
      </x:c>
      <x:c r="Q122" s="8" t="n">
        <x:f>K122-L122</x:f>
        <x:v>1</x:v>
      </x:c>
      <x:c r="R122" s="9" t="n">
        <x:f>IF(AND(INDEX('Сводка'!$T$3:$T$397,U122)=0,INDEX('Сводка'!$T$3:$T$397,V122)=0),1,0)</x:f>
        <x:v>1</x:v>
      </x:c>
      <x:c r="S122" s="9" t="n">
        <x:f>IF(AND(R122=1,O122&lt;=$G$13),1,0)</x:f>
        <x:v>0</x:v>
      </x:c>
      <x:c r="T122" s="10" t="n">
        <x:f>EOMONTH(J122-'Сводка'!$B$11,-1)</x:f>
        <x:v>45961</x:v>
      </x:c>
      <x:c r="U122" s="4" t="n">
        <x:f>MATCH(J122,'Сводка'!$R$3:$R$397,0)</x:f>
        <x:v>133</x:v>
      </x:c>
      <x:c r="V122" s="4" t="n">
        <x:f>MATCH(J122-'Сводка'!$B$11,'Сводка'!$R$3:$R$397,0)</x:f>
        <x:v>132</x:v>
      </x:c>
      <x:c r="W122" s="4" t="n">
        <x:f>MATCH(T122,$J$388:$J$400,0)</x:f>
        <x:v>5</x:v>
      </x:c>
      <x:c r="X122" s="3"/>
      <x:c r="Y122" s="3"/>
      <x:c r="Z122" s="3"/>
    </x:row>
    <x:row r="123" ht="15" customHeight="1">
      <x:c r="A123" s="3"/>
      <x:c r="B123" s="3"/>
      <x:c r="C123" s="3"/>
      <x:c r="D123" s="3"/>
      <x:c r="E123" s="3"/>
      <x:c r="F123" s="3"/>
      <x:c r="G123" s="3"/>
      <x:c r="H123" s="3"/>
      <x:c r="I123" s="3"/>
      <x:c r="J123" s="10" t="n">
        <x:v>45974</x:v>
      </x:c>
      <x:c r="K123" s="8" t="n">
        <x:f>INDEX('Сводка'!$S$3:$S$397,U123)</x:f>
        <x:v>-89</x:v>
      </x:c>
      <x:c r="L123" s="8" t="n">
        <x:f>INDEX('Сводка'!$S$3:$S$397,V123)</x:f>
        <x:v>-88</x:v>
      </x:c>
      <x:c r="M123" s="8" t="n">
        <x:f>INDEX($K$388:$N$400,W123,1)*EXP(INDEX($K$388:$N$400,W123,2)*((J123-$T$405+1)/1000))+INDEX($O$388:$Z$400,W123,MONTH(J123))</x:f>
        <x:v>43.85612345188565</x:v>
      </x:c>
      <x:c r="N123" s="8" t="n">
        <x:f>K123-M123</x:f>
        <x:v>-132.85612345188565</x:v>
      </x:c>
      <x:c r="O123" s="8" t="n">
        <x:f>ABS(N123)</x:f>
        <x:v>132.85612345188565</x:v>
      </x:c>
      <x:c r="P123" s="8" t="n">
        <x:f>N123^2</x:f>
        <x:v>17650.74953866268</x:v>
      </x:c>
      <x:c r="Q123" s="8" t="n">
        <x:f>K123-L123</x:f>
        <x:v>-1</x:v>
      </x:c>
      <x:c r="R123" s="9" t="n">
        <x:f>IF(AND(INDEX('Сводка'!$T$3:$T$397,U123)=0,INDEX('Сводка'!$T$3:$T$397,V123)=0),1,0)</x:f>
        <x:v>1</x:v>
      </x:c>
      <x:c r="S123" s="9" t="n">
        <x:f>IF(AND(R123=1,O123&lt;=$G$13),1,0)</x:f>
        <x:v>0</x:v>
      </x:c>
      <x:c r="T123" s="10" t="n">
        <x:f>EOMONTH(J123-'Сводка'!$B$11,-1)</x:f>
        <x:v>45961</x:v>
      </x:c>
      <x:c r="U123" s="4" t="n">
        <x:f>MATCH(J123,'Сводка'!$R$3:$R$397,0)</x:f>
        <x:v>134</x:v>
      </x:c>
      <x:c r="V123" s="4" t="n">
        <x:f>MATCH(J123-'Сводка'!$B$11,'Сводка'!$R$3:$R$397,0)</x:f>
        <x:v>133</x:v>
      </x:c>
      <x:c r="W123" s="4" t="n">
        <x:f>MATCH(T123,$J$388:$J$400,0)</x:f>
        <x:v>5</x:v>
      </x:c>
      <x:c r="X123" s="3"/>
      <x:c r="Y123" s="3"/>
      <x:c r="Z123" s="3"/>
    </x:row>
    <x:row r="124" ht="15" customHeight="1">
      <x:c r="A124" s="3"/>
      <x:c r="B124" s="3"/>
      <x:c r="C124" s="3"/>
      <x:c r="D124" s="3"/>
      <x:c r="E124" s="3"/>
      <x:c r="F124" s="3"/>
      <x:c r="G124" s="3"/>
      <x:c r="H124" s="3"/>
      <x:c r="I124" s="3"/>
      <x:c r="J124" s="10" t="n">
        <x:v>45975</x:v>
      </x:c>
      <x:c r="K124" s="8" t="n">
        <x:f>INDEX('Сводка'!$S$3:$S$397,U124)</x:f>
        <x:v>-95</x:v>
      </x:c>
      <x:c r="L124" s="8" t="n">
        <x:f>INDEX('Сводка'!$S$3:$S$397,V124)</x:f>
        <x:v>-89</x:v>
      </x:c>
      <x:c r="M124" s="8" t="n">
        <x:f>INDEX($K$388:$N$400,W124,1)*EXP(INDEX($K$388:$N$400,W124,2)*((J124-$T$405+1)/1000))+INDEX($O$388:$Z$400,W124,MONTH(J124))</x:f>
        <x:v>43.8931774478186</x:v>
      </x:c>
      <x:c r="N124" s="8" t="n">
        <x:f>K124-M124</x:f>
        <x:v>-138.8931774478186</x:v>
      </x:c>
      <x:c r="O124" s="8" t="n">
        <x:f>ABS(N124)</x:f>
        <x:v>138.8931774478186</x:v>
      </x:c>
      <x:c r="P124" s="8" t="n">
        <x:f>N124^2</x:f>
        <x:v>19291.314741551225</x:v>
      </x:c>
      <x:c r="Q124" s="8" t="n">
        <x:f>K124-L124</x:f>
        <x:v>-6</x:v>
      </x:c>
      <x:c r="R124" s="9" t="n">
        <x:f>IF(AND(INDEX('Сводка'!$T$3:$T$397,U124)=0,INDEX('Сводка'!$T$3:$T$397,V124)=0),1,0)</x:f>
        <x:v>1</x:v>
      </x:c>
      <x:c r="S124" s="9" t="n">
        <x:f>IF(AND(R124=1,O124&lt;=$G$13),1,0)</x:f>
        <x:v>0</x:v>
      </x:c>
      <x:c r="T124" s="10" t="n">
        <x:f>EOMONTH(J124-'Сводка'!$B$11,-1)</x:f>
        <x:v>45961</x:v>
      </x:c>
      <x:c r="U124" s="4" t="n">
        <x:f>MATCH(J124,'Сводка'!$R$3:$R$397,0)</x:f>
        <x:v>135</x:v>
      </x:c>
      <x:c r="V124" s="4" t="n">
        <x:f>MATCH(J124-'Сводка'!$B$11,'Сводка'!$R$3:$R$397,0)</x:f>
        <x:v>134</x:v>
      </x:c>
      <x:c r="W124" s="4" t="n">
        <x:f>MATCH(T124,$J$388:$J$400,0)</x:f>
        <x:v>5</x:v>
      </x:c>
      <x:c r="X124" s="3"/>
      <x:c r="Y124" s="3"/>
      <x:c r="Z124" s="3"/>
    </x:row>
    <x:row r="125" ht="15" customHeight="1">
      <x:c r="A125" s="3"/>
      <x:c r="B125" s="3"/>
      <x:c r="C125" s="3"/>
      <x:c r="D125" s="3"/>
      <x:c r="E125" s="3"/>
      <x:c r="F125" s="3"/>
      <x:c r="G125" s="3"/>
      <x:c r="H125" s="3"/>
      <x:c r="I125" s="3"/>
      <x:c r="J125" s="10" t="n">
        <x:v>45976</x:v>
      </x:c>
      <x:c r="K125" s="8" t="n">
        <x:f>INDEX('Сводка'!$S$3:$S$397,U125)</x:f>
        <x:v>-90</x:v>
      </x:c>
      <x:c r="L125" s="8" t="n">
        <x:f>INDEX('Сводка'!$S$3:$S$397,V125)</x:f>
        <x:v>-95</x:v>
      </x:c>
      <x:c r="M125" s="8" t="n">
        <x:f>INDEX($K$388:$N$400,W125,1)*EXP(INDEX($K$388:$N$400,W125,2)*((J125-$T$405+1)/1000))+INDEX($O$388:$Z$400,W125,MONTH(J125))</x:f>
        <x:v>43.93023997395008</x:v>
      </x:c>
      <x:c r="N125" s="8" t="n">
        <x:f>K125-M125</x:f>
        <x:v>-133.93023997395008</x:v>
      </x:c>
      <x:c r="O125" s="8" t="n">
        <x:f>ABS(N125)</x:f>
        <x:v>133.93023997395008</x:v>
      </x:c>
      <x:c r="P125" s="8" t="n">
        <x:f>N125^2</x:f>
        <x:v>17937.309179479857</x:v>
      </x:c>
      <x:c r="Q125" s="8" t="n">
        <x:f>K125-L125</x:f>
        <x:v>5</x:v>
      </x:c>
      <x:c r="R125" s="9" t="n">
        <x:f>IF(AND(INDEX('Сводка'!$T$3:$T$397,U125)=0,INDEX('Сводка'!$T$3:$T$397,V125)=0),1,0)</x:f>
        <x:v>1</x:v>
      </x:c>
      <x:c r="S125" s="9" t="n">
        <x:f>IF(AND(R125=1,O125&lt;=$G$13),1,0)</x:f>
        <x:v>0</x:v>
      </x:c>
      <x:c r="T125" s="10" t="n">
        <x:f>EOMONTH(J125-'Сводка'!$B$11,-1)</x:f>
        <x:v>45961</x:v>
      </x:c>
      <x:c r="U125" s="4" t="n">
        <x:f>MATCH(J125,'Сводка'!$R$3:$R$397,0)</x:f>
        <x:v>136</x:v>
      </x:c>
      <x:c r="V125" s="4" t="n">
        <x:f>MATCH(J125-'Сводка'!$B$11,'Сводка'!$R$3:$R$397,0)</x:f>
        <x:v>135</x:v>
      </x:c>
      <x:c r="W125" s="4" t="n">
        <x:f>MATCH(T125,$J$388:$J$400,0)</x:f>
        <x:v>5</x:v>
      </x:c>
      <x:c r="X125" s="3"/>
      <x:c r="Y125" s="3"/>
      <x:c r="Z125" s="3"/>
    </x:row>
    <x:row r="126" ht="15" customHeight="1">
      <x:c r="A126" s="3"/>
      <x:c r="B126" s="3"/>
      <x:c r="C126" s="3"/>
      <x:c r="D126" s="3"/>
      <x:c r="E126" s="3"/>
      <x:c r="F126" s="3"/>
      <x:c r="G126" s="3"/>
      <x:c r="H126" s="3"/>
      <x:c r="I126" s="3"/>
      <x:c r="J126" s="10" t="n">
        <x:v>45977</x:v>
      </x:c>
      <x:c r="K126" s="8" t="n">
        <x:f>INDEX('Сводка'!$S$3:$S$397,U126)</x:f>
        <x:v>-81</x:v>
      </x:c>
      <x:c r="L126" s="8" t="n">
        <x:f>INDEX('Сводка'!$S$3:$S$397,V126)</x:f>
        <x:v>-90</x:v>
      </x:c>
      <x:c r="M126" s="8" t="n">
        <x:f>INDEX($K$388:$N$400,W126,1)*EXP(INDEX($K$388:$N$400,W126,2)*((J126-$T$405+1)/1000))+INDEX($O$388:$Z$400,W126,MONTH(J126))</x:f>
        <x:v>43.9673110322438</x:v>
      </x:c>
      <x:c r="N126" s="8" t="n">
        <x:f>K126-M126</x:f>
        <x:v>-124.9673110322438</x:v>
      </x:c>
      <x:c r="O126" s="8" t="n">
        <x:f>ABS(N126)</x:f>
        <x:v>124.9673110322438</x:v>
      </x:c>
      <x:c r="P126" s="8" t="n">
        <x:f>N126^2</x:f>
        <x:v>15616.828826629562</x:v>
      </x:c>
      <x:c r="Q126" s="8" t="n">
        <x:f>K126-L126</x:f>
        <x:v>9</x:v>
      </x:c>
      <x:c r="R126" s="9" t="n">
        <x:f>IF(AND(INDEX('Сводка'!$T$3:$T$397,U126)=0,INDEX('Сводка'!$T$3:$T$397,V126)=0),1,0)</x:f>
        <x:v>1</x:v>
      </x:c>
      <x:c r="S126" s="9" t="n">
        <x:f>IF(AND(R126=1,O126&lt;=$G$13),1,0)</x:f>
        <x:v>0</x:v>
      </x:c>
      <x:c r="T126" s="10" t="n">
        <x:f>EOMONTH(J126-'Сводка'!$B$11,-1)</x:f>
        <x:v>45961</x:v>
      </x:c>
      <x:c r="U126" s="4" t="n">
        <x:f>MATCH(J126,'Сводка'!$R$3:$R$397,0)</x:f>
        <x:v>137</x:v>
      </x:c>
      <x:c r="V126" s="4" t="n">
        <x:f>MATCH(J126-'Сводка'!$B$11,'Сводка'!$R$3:$R$397,0)</x:f>
        <x:v>136</x:v>
      </x:c>
      <x:c r="W126" s="4" t="n">
        <x:f>MATCH(T126,$J$388:$J$400,0)</x:f>
        <x:v>5</x:v>
      </x:c>
      <x:c r="X126" s="3"/>
      <x:c r="Y126" s="3"/>
      <x:c r="Z126" s="3"/>
    </x:row>
    <x:row r="127" ht="15" customHeight="1">
      <x:c r="A127" s="3"/>
      <x:c r="B127" s="3"/>
      <x:c r="C127" s="3"/>
      <x:c r="D127" s="3"/>
      <x:c r="E127" s="3"/>
      <x:c r="F127" s="3"/>
      <x:c r="G127" s="3"/>
      <x:c r="H127" s="3"/>
      <x:c r="I127" s="3"/>
      <x:c r="J127" s="10" t="n">
        <x:v>45978</x:v>
      </x:c>
      <x:c r="K127" s="8" t="n">
        <x:f>INDEX('Сводка'!$S$3:$S$397,U127)</x:f>
        <x:v>-83</x:v>
      </x:c>
      <x:c r="L127" s="8" t="n">
        <x:f>INDEX('Сводка'!$S$3:$S$397,V127)</x:f>
        <x:v>-81</x:v>
      </x:c>
      <x:c r="M127" s="8" t="n">
        <x:f>INDEX($K$388:$N$400,W127,1)*EXP(INDEX($K$388:$N$400,W127,2)*((J127-$T$405+1)/1000))+INDEX($O$388:$Z$400,W127,MONTH(J127))</x:f>
        <x:v>44.00439062466393</x:v>
      </x:c>
      <x:c r="N127" s="8" t="n">
        <x:f>K127-M127</x:f>
        <x:v>-127.00439062466393</x:v>
      </x:c>
      <x:c r="O127" s="8" t="n">
        <x:f>ABS(N127)</x:f>
        <x:v>127.00439062466393</x:v>
      </x:c>
      <x:c r="P127" s="8" t="n">
        <x:f>N127^2</x:f>
        <x:v>16130.115237942222</x:v>
      </x:c>
      <x:c r="Q127" s="8" t="n">
        <x:f>K127-L127</x:f>
        <x:v>-2</x:v>
      </x:c>
      <x:c r="R127" s="9" t="n">
        <x:f>IF(AND(INDEX('Сводка'!$T$3:$T$397,U127)=0,INDEX('Сводка'!$T$3:$T$397,V127)=0),1,0)</x:f>
        <x:v>1</x:v>
      </x:c>
      <x:c r="S127" s="9" t="n">
        <x:f>IF(AND(R127=1,O127&lt;=$G$13),1,0)</x:f>
        <x:v>0</x:v>
      </x:c>
      <x:c r="T127" s="10" t="n">
        <x:f>EOMONTH(J127-'Сводка'!$B$11,-1)</x:f>
        <x:v>45961</x:v>
      </x:c>
      <x:c r="U127" s="4" t="n">
        <x:f>MATCH(J127,'Сводка'!$R$3:$R$397,0)</x:f>
        <x:v>138</x:v>
      </x:c>
      <x:c r="V127" s="4" t="n">
        <x:f>MATCH(J127-'Сводка'!$B$11,'Сводка'!$R$3:$R$397,0)</x:f>
        <x:v>137</x:v>
      </x:c>
      <x:c r="W127" s="4" t="n">
        <x:f>MATCH(T127,$J$388:$J$400,0)</x:f>
        <x:v>5</x:v>
      </x:c>
      <x:c r="X127" s="3"/>
      <x:c r="Y127" s="3"/>
      <x:c r="Z127" s="3"/>
    </x:row>
    <x:row r="128" ht="15" customHeight="1">
      <x:c r="A128" s="3"/>
      <x:c r="B128" s="3"/>
      <x:c r="C128" s="3"/>
      <x:c r="D128" s="3"/>
      <x:c r="E128" s="3"/>
      <x:c r="F128" s="3"/>
      <x:c r="G128" s="3"/>
      <x:c r="H128" s="3"/>
      <x:c r="I128" s="3"/>
      <x:c r="J128" s="10" t="n">
        <x:v>45979</x:v>
      </x:c>
      <x:c r="K128" s="8" t="n">
        <x:f>INDEX('Сводка'!$S$3:$S$397,U128)</x:f>
        <x:v>-72</x:v>
      </x:c>
      <x:c r="L128" s="8" t="n">
        <x:f>INDEX('Сводка'!$S$3:$S$397,V128)</x:f>
        <x:v>-83</x:v>
      </x:c>
      <x:c r="M128" s="8" t="n">
        <x:f>INDEX($K$388:$N$400,W128,1)*EXP(INDEX($K$388:$N$400,W128,2)*((J128-$T$405+1)/1000))+INDEX($O$388:$Z$400,W128,MONTH(J128))</x:f>
        <x:v>44.04147875317514</x:v>
      </x:c>
      <x:c r="N128" s="8" t="n">
        <x:f>K128-M128</x:f>
        <x:v>-116.04147875317514</x:v>
      </x:c>
      <x:c r="O128" s="8" t="n">
        <x:f>ABS(N128)</x:f>
        <x:v>116.04147875317514</x:v>
      </x:c>
      <x:c r="P128" s="8" t="n">
        <x:f>N128^2</x:f>
        <x:v>13465.624791223598</x:v>
      </x:c>
      <x:c r="Q128" s="8" t="n">
        <x:f>K128-L128</x:f>
        <x:v>11</x:v>
      </x:c>
      <x:c r="R128" s="9" t="n">
        <x:f>IF(AND(INDEX('Сводка'!$T$3:$T$397,U128)=0,INDEX('Сводка'!$T$3:$T$397,V128)=0),1,0)</x:f>
        <x:v>1</x:v>
      </x:c>
      <x:c r="S128" s="9" t="n">
        <x:f>IF(AND(R128=1,O128&lt;=$G$13),1,0)</x:f>
        <x:v>0</x:v>
      </x:c>
      <x:c r="T128" s="10" t="n">
        <x:f>EOMONTH(J128-'Сводка'!$B$11,-1)</x:f>
        <x:v>45961</x:v>
      </x:c>
      <x:c r="U128" s="4" t="n">
        <x:f>MATCH(J128,'Сводка'!$R$3:$R$397,0)</x:f>
        <x:v>139</x:v>
      </x:c>
      <x:c r="V128" s="4" t="n">
        <x:f>MATCH(J128-'Сводка'!$B$11,'Сводка'!$R$3:$R$397,0)</x:f>
        <x:v>138</x:v>
      </x:c>
      <x:c r="W128" s="4" t="n">
        <x:f>MATCH(T128,$J$388:$J$400,0)</x:f>
        <x:v>5</x:v>
      </x:c>
      <x:c r="X128" s="3"/>
      <x:c r="Y128" s="3"/>
      <x:c r="Z128" s="3"/>
    </x:row>
    <x:row r="129" ht="15" customHeight="1">
      <x:c r="A129" s="3"/>
      <x:c r="B129" s="3"/>
      <x:c r="C129" s="3"/>
      <x:c r="D129" s="3"/>
      <x:c r="E129" s="3"/>
      <x:c r="F129" s="3"/>
      <x:c r="G129" s="3"/>
      <x:c r="H129" s="3"/>
      <x:c r="I129" s="3"/>
      <x:c r="J129" s="10" t="n">
        <x:v>45980</x:v>
      </x:c>
      <x:c r="K129" s="8" t="n">
        <x:f>INDEX('Сводка'!$S$3:$S$397,U129)</x:f>
        <x:v>-74</x:v>
      </x:c>
      <x:c r="L129" s="8" t="n">
        <x:f>INDEX('Сводка'!$S$3:$S$397,V129)</x:f>
        <x:v>-72</x:v>
      </x:c>
      <x:c r="M129" s="8" t="n">
        <x:f>INDEX($K$388:$N$400,W129,1)*EXP(INDEX($K$388:$N$400,W129,2)*((J129-$T$405+1)/1000))+INDEX($O$388:$Z$400,W129,MONTH(J129))</x:f>
        <x:v>44.078575419742435</x:v>
      </x:c>
      <x:c r="N129" s="8" t="n">
        <x:f>K129-M129</x:f>
        <x:v>-118.07857541974244</x:v>
      </x:c>
      <x:c r="O129" s="8" t="n">
        <x:f>ABS(N129)</x:f>
        <x:v>118.07857541974244</x:v>
      </x:c>
      <x:c r="P129" s="8" t="n">
        <x:f>N129^2</x:f>
        <x:v>13942.549973155803</x:v>
      </x:c>
      <x:c r="Q129" s="8" t="n">
        <x:f>K129-L129</x:f>
        <x:v>-2</x:v>
      </x:c>
      <x:c r="R129" s="9" t="n">
        <x:f>IF(AND(INDEX('Сводка'!$T$3:$T$397,U129)=0,INDEX('Сводка'!$T$3:$T$397,V129)=0),1,0)</x:f>
        <x:v>1</x:v>
      </x:c>
      <x:c r="S129" s="9" t="n">
        <x:f>IF(AND(R129=1,O129&lt;=$G$13),1,0)</x:f>
        <x:v>0</x:v>
      </x:c>
      <x:c r="T129" s="10" t="n">
        <x:f>EOMONTH(J129-'Сводка'!$B$11,-1)</x:f>
        <x:v>45961</x:v>
      </x:c>
      <x:c r="U129" s="4" t="n">
        <x:f>MATCH(J129,'Сводка'!$R$3:$R$397,0)</x:f>
        <x:v>140</x:v>
      </x:c>
      <x:c r="V129" s="4" t="n">
        <x:f>MATCH(J129-'Сводка'!$B$11,'Сводка'!$R$3:$R$397,0)</x:f>
        <x:v>139</x:v>
      </x:c>
      <x:c r="W129" s="4" t="n">
        <x:f>MATCH(T129,$J$388:$J$400,0)</x:f>
        <x:v>5</x:v>
      </x:c>
      <x:c r="X129" s="3"/>
      <x:c r="Y129" s="3"/>
      <x:c r="Z129" s="3"/>
    </x:row>
    <x:row r="130" ht="15" customHeight="1">
      <x:c r="A130" s="3"/>
      <x:c r="B130" s="3"/>
      <x:c r="C130" s="3"/>
      <x:c r="D130" s="3"/>
      <x:c r="E130" s="3"/>
      <x:c r="F130" s="3"/>
      <x:c r="G130" s="3"/>
      <x:c r="H130" s="3"/>
      <x:c r="I130" s="3"/>
      <x:c r="J130" s="10" t="n">
        <x:v>45981</x:v>
      </x:c>
      <x:c r="K130" s="8" t="n">
        <x:f>INDEX('Сводка'!$S$3:$S$397,U130)</x:f>
        <x:v>-71</x:v>
      </x:c>
      <x:c r="L130" s="8" t="n">
        <x:f>INDEX('Сводка'!$S$3:$S$397,V130)</x:f>
        <x:v>-74</x:v>
      </x:c>
      <x:c r="M130" s="8" t="n">
        <x:f>INDEX($K$388:$N$400,W130,1)*EXP(INDEX($K$388:$N$400,W130,2)*((J130-$T$405+1)/1000))+INDEX($O$388:$Z$400,W130,MONTH(J130))</x:f>
        <x:v>44.115680626331454</x:v>
      </x:c>
      <x:c r="N130" s="8" t="n">
        <x:f>K130-M130</x:f>
        <x:v>-115.11568062633145</x:v>
      </x:c>
      <x:c r="O130" s="8" t="n">
        <x:f>ABS(N130)</x:f>
        <x:v>115.11568062633145</x:v>
      </x:c>
      <x:c r="P130" s="8" t="n">
        <x:f>N130^2</x:f>
        <x:v>13251.619926063542</x:v>
      </x:c>
      <x:c r="Q130" s="8" t="n">
        <x:f>K130-L130</x:f>
        <x:v>3</x:v>
      </x:c>
      <x:c r="R130" s="9" t="n">
        <x:f>IF(AND(INDEX('Сводка'!$T$3:$T$397,U130)=0,INDEX('Сводка'!$T$3:$T$397,V130)=0),1,0)</x:f>
        <x:v>1</x:v>
      </x:c>
      <x:c r="S130" s="9" t="n">
        <x:f>IF(AND(R130=1,O130&lt;=$G$13),1,0)</x:f>
        <x:v>0</x:v>
      </x:c>
      <x:c r="T130" s="10" t="n">
        <x:f>EOMONTH(J130-'Сводка'!$B$11,-1)</x:f>
        <x:v>45961</x:v>
      </x:c>
      <x:c r="U130" s="4" t="n">
        <x:f>MATCH(J130,'Сводка'!$R$3:$R$397,0)</x:f>
        <x:v>141</x:v>
      </x:c>
      <x:c r="V130" s="4" t="n">
        <x:f>MATCH(J130-'Сводка'!$B$11,'Сводка'!$R$3:$R$397,0)</x:f>
        <x:v>140</x:v>
      </x:c>
      <x:c r="W130" s="4" t="n">
        <x:f>MATCH(T130,$J$388:$J$400,0)</x:f>
        <x:v>5</x:v>
      </x:c>
      <x:c r="X130" s="3"/>
      <x:c r="Y130" s="3"/>
      <x:c r="Z130" s="3"/>
    </x:row>
    <x:row r="131" ht="15" customHeight="1">
      <x:c r="A131" s="3"/>
      <x:c r="B131" s="3"/>
      <x:c r="C131" s="3"/>
      <x:c r="D131" s="3"/>
      <x:c r="E131" s="3"/>
      <x:c r="F131" s="3"/>
      <x:c r="G131" s="3"/>
      <x:c r="H131" s="3"/>
      <x:c r="I131" s="3"/>
      <x:c r="J131" s="10" t="n">
        <x:v>45982</x:v>
      </x:c>
      <x:c r="K131" s="8" t="n">
        <x:f>INDEX('Сводка'!$S$3:$S$397,U131)</x:f>
        <x:v>-85</x:v>
      </x:c>
      <x:c r="L131" s="8" t="n">
        <x:f>INDEX('Сводка'!$S$3:$S$397,V131)</x:f>
        <x:v>-71</x:v>
      </x:c>
      <x:c r="M131" s="8" t="n">
        <x:f>INDEX($K$388:$N$400,W131,1)*EXP(INDEX($K$388:$N$400,W131,2)*((J131-$T$405+1)/1000))+INDEX($O$388:$Z$400,W131,MONTH(J131))</x:f>
        <x:v>44.152794374908325</x:v>
      </x:c>
      <x:c r="N131" s="8" t="n">
        <x:f>K131-M131</x:f>
        <x:v>-129.15279437490832</x:v>
      </x:c>
      <x:c r="O131" s="8" t="n">
        <x:f>ABS(N131)</x:f>
        <x:v>129.15279437490832</x:v>
      </x:c>
      <x:c r="P131" s="8" t="n">
        <x:f>N131^2</x:f>
        <x:v>16680.44429484735</x:v>
      </x:c>
      <x:c r="Q131" s="8" t="n">
        <x:f>K131-L131</x:f>
        <x:v>-14</x:v>
      </x:c>
      <x:c r="R131" s="9" t="n">
        <x:f>IF(AND(INDEX('Сводка'!$T$3:$T$397,U131)=0,INDEX('Сводка'!$T$3:$T$397,V131)=0),1,0)</x:f>
        <x:v>1</x:v>
      </x:c>
      <x:c r="S131" s="9" t="n">
        <x:f>IF(AND(R131=1,O131&lt;=$G$13),1,0)</x:f>
        <x:v>0</x:v>
      </x:c>
      <x:c r="T131" s="10" t="n">
        <x:f>EOMONTH(J131-'Сводка'!$B$11,-1)</x:f>
        <x:v>45961</x:v>
      </x:c>
      <x:c r="U131" s="4" t="n">
        <x:f>MATCH(J131,'Сводка'!$R$3:$R$397,0)</x:f>
        <x:v>142</x:v>
      </x:c>
      <x:c r="V131" s="4" t="n">
        <x:f>MATCH(J131-'Сводка'!$B$11,'Сводка'!$R$3:$R$397,0)</x:f>
        <x:v>141</x:v>
      </x:c>
      <x:c r="W131" s="4" t="n">
        <x:f>MATCH(T131,$J$388:$J$400,0)</x:f>
        <x:v>5</x:v>
      </x:c>
      <x:c r="X131" s="3"/>
      <x:c r="Y131" s="3"/>
      <x:c r="Z131" s="3"/>
    </x:row>
    <x:row r="132" ht="15" customHeight="1">
      <x:c r="A132" s="3"/>
      <x:c r="B132" s="3"/>
      <x:c r="C132" s="3"/>
      <x:c r="D132" s="3"/>
      <x:c r="E132" s="3"/>
      <x:c r="F132" s="3"/>
      <x:c r="G132" s="3"/>
      <x:c r="H132" s="3"/>
      <x:c r="I132" s="3"/>
      <x:c r="J132" s="10" t="n">
        <x:v>45983</x:v>
      </x:c>
      <x:c r="K132" s="8" t="n">
        <x:f>INDEX('Сводка'!$S$3:$S$397,U132)</x:f>
        <x:v>-98</x:v>
      </x:c>
      <x:c r="L132" s="8" t="n">
        <x:f>INDEX('Сводка'!$S$3:$S$397,V132)</x:f>
        <x:v>-85</x:v>
      </x:c>
      <x:c r="M132" s="8" t="n">
        <x:f>INDEX($K$388:$N$400,W132,1)*EXP(INDEX($K$388:$N$400,W132,2)*((J132-$T$405+1)/1000))+INDEX($O$388:$Z$400,W132,MONTH(J132))</x:f>
        <x:v>44.189916667439206</x:v>
      </x:c>
      <x:c r="N132" s="8" t="n">
        <x:f>K132-M132</x:f>
        <x:v>-142.1899166674392</x:v>
      </x:c>
      <x:c r="O132" s="8" t="n">
        <x:f>ABS(N132)</x:f>
        <x:v>142.1899166674392</x:v>
      </x:c>
      <x:c r="P132" s="8" t="n">
        <x:f>N132^2</x:f>
        <x:v>20217.972401893305</x:v>
      </x:c>
      <x:c r="Q132" s="8" t="n">
        <x:f>K132-L132</x:f>
        <x:v>-13</x:v>
      </x:c>
      <x:c r="R132" s="9" t="n">
        <x:f>IF(AND(INDEX('Сводка'!$T$3:$T$397,U132)=0,INDEX('Сводка'!$T$3:$T$397,V132)=0),1,0)</x:f>
        <x:v>1</x:v>
      </x:c>
      <x:c r="S132" s="9" t="n">
        <x:f>IF(AND(R132=1,O132&lt;=$G$13),1,0)</x:f>
        <x:v>0</x:v>
      </x:c>
      <x:c r="T132" s="10" t="n">
        <x:f>EOMONTH(J132-'Сводка'!$B$11,-1)</x:f>
        <x:v>45961</x:v>
      </x:c>
      <x:c r="U132" s="4" t="n">
        <x:f>MATCH(J132,'Сводка'!$R$3:$R$397,0)</x:f>
        <x:v>143</x:v>
      </x:c>
      <x:c r="V132" s="4" t="n">
        <x:f>MATCH(J132-'Сводка'!$B$11,'Сводка'!$R$3:$R$397,0)</x:f>
        <x:v>142</x:v>
      </x:c>
      <x:c r="W132" s="4" t="n">
        <x:f>MATCH(T132,$J$388:$J$400,0)</x:f>
        <x:v>5</x:v>
      </x:c>
      <x:c r="X132" s="3"/>
      <x:c r="Y132" s="3"/>
      <x:c r="Z132" s="3"/>
    </x:row>
    <x:row r="133" ht="15" customHeight="1">
      <x:c r="A133" s="3"/>
      <x:c r="B133" s="3"/>
      <x:c r="C133" s="3"/>
      <x:c r="D133" s="3"/>
      <x:c r="E133" s="3"/>
      <x:c r="F133" s="3"/>
      <x:c r="G133" s="3"/>
      <x:c r="H133" s="3"/>
      <x:c r="I133" s="3"/>
      <x:c r="J133" s="10" t="n">
        <x:v>45984</x:v>
      </x:c>
      <x:c r="K133" s="8" t="n">
        <x:f>INDEX('Сводка'!$S$3:$S$397,U133)</x:f>
        <x:v>-118</x:v>
      </x:c>
      <x:c r="L133" s="8" t="n">
        <x:f>INDEX('Сводка'!$S$3:$S$397,V133)</x:f>
        <x:v>-98</x:v>
      </x:c>
      <x:c r="M133" s="8" t="n">
        <x:f>INDEX($K$388:$N$400,W133,1)*EXP(INDEX($K$388:$N$400,W133,2)*((J133-$T$405+1)/1000))+INDEX($O$388:$Z$400,W133,MONTH(J133))</x:f>
        <x:v>44.22704750589111</x:v>
      </x:c>
      <x:c r="N133" s="8" t="n">
        <x:f>K133-M133</x:f>
        <x:v>-162.2270475058911</x:v>
      </x:c>
      <x:c r="O133" s="8" t="n">
        <x:f>ABS(N133)</x:f>
        <x:v>162.2270475058911</x:v>
      </x:c>
      <x:c r="P133" s="8" t="n">
        <x:f>N133^2</x:f>
        <x:v>26317.61494247865</x:v>
      </x:c>
      <x:c r="Q133" s="8" t="n">
        <x:f>K133-L133</x:f>
        <x:v>-20</x:v>
      </x:c>
      <x:c r="R133" s="9" t="n">
        <x:f>IF(AND(INDEX('Сводка'!$T$3:$T$397,U133)=0,INDEX('Сводка'!$T$3:$T$397,V133)=0),1,0)</x:f>
        <x:v>1</x:v>
      </x:c>
      <x:c r="S133" s="9" t="n">
        <x:f>IF(AND(R133=1,O133&lt;=$G$13),1,0)</x:f>
        <x:v>0</x:v>
      </x:c>
      <x:c r="T133" s="10" t="n">
        <x:f>EOMONTH(J133-'Сводка'!$B$11,-1)</x:f>
        <x:v>45961</x:v>
      </x:c>
      <x:c r="U133" s="4" t="n">
        <x:f>MATCH(J133,'Сводка'!$R$3:$R$397,0)</x:f>
        <x:v>144</x:v>
      </x:c>
      <x:c r="V133" s="4" t="n">
        <x:f>MATCH(J133-'Сводка'!$B$11,'Сводка'!$R$3:$R$397,0)</x:f>
        <x:v>143</x:v>
      </x:c>
      <x:c r="W133" s="4" t="n">
        <x:f>MATCH(T133,$J$388:$J$400,0)</x:f>
        <x:v>5</x:v>
      </x:c>
      <x:c r="X133" s="3"/>
      <x:c r="Y133" s="3"/>
      <x:c r="Z133" s="3"/>
    </x:row>
    <x:row r="134" ht="15" customHeight="1">
      <x:c r="A134" s="3"/>
      <x:c r="B134" s="3"/>
      <x:c r="C134" s="3"/>
      <x:c r="D134" s="3"/>
      <x:c r="E134" s="3"/>
      <x:c r="F134" s="3"/>
      <x:c r="G134" s="3"/>
      <x:c r="H134" s="3"/>
      <x:c r="I134" s="3"/>
      <x:c r="J134" s="10" t="n">
        <x:v>45985</x:v>
      </x:c>
      <x:c r="K134" s="8" t="n">
        <x:f>INDEX('Сводка'!$S$3:$S$397,U134)</x:f>
        <x:v>-123</x:v>
      </x:c>
      <x:c r="L134" s="8" t="n">
        <x:f>INDEX('Сводка'!$S$3:$S$397,V134)</x:f>
        <x:v>-118</x:v>
      </x:c>
      <x:c r="M134" s="8" t="n">
        <x:f>INDEX($K$388:$N$400,W134,1)*EXP(INDEX($K$388:$N$400,W134,2)*((J134-$T$405+1)/1000))+INDEX($O$388:$Z$400,W134,MONTH(J134))</x:f>
        <x:v>44.264186892231436</x:v>
      </x:c>
      <x:c r="N134" s="8" t="n">
        <x:f>K134-M134</x:f>
        <x:v>-167.26418689223144</x:v>
      </x:c>
      <x:c r="O134" s="8" t="n">
        <x:f>ABS(N134)</x:f>
        <x:v>167.26418689223144</x:v>
      </x:c>
      <x:c r="P134" s="8" t="n">
        <x:f>N134^2</x:f>
        <x:v>27977.308216719328</x:v>
      </x:c>
      <x:c r="Q134" s="8" t="n">
        <x:f>K134-L134</x:f>
        <x:v>-5</x:v>
      </x:c>
      <x:c r="R134" s="9" t="n">
        <x:f>IF(AND(INDEX('Сводка'!$T$3:$T$397,U134)=0,INDEX('Сводка'!$T$3:$T$397,V134)=0),1,0)</x:f>
        <x:v>1</x:v>
      </x:c>
      <x:c r="S134" s="9" t="n">
        <x:f>IF(AND(R134=1,O134&lt;=$G$13),1,0)</x:f>
        <x:v>0</x:v>
      </x:c>
      <x:c r="T134" s="10" t="n">
        <x:f>EOMONTH(J134-'Сводка'!$B$11,-1)</x:f>
        <x:v>45961</x:v>
      </x:c>
      <x:c r="U134" s="4" t="n">
        <x:f>MATCH(J134,'Сводка'!$R$3:$R$397,0)</x:f>
        <x:v>145</x:v>
      </x:c>
      <x:c r="V134" s="4" t="n">
        <x:f>MATCH(J134-'Сводка'!$B$11,'Сводка'!$R$3:$R$397,0)</x:f>
        <x:v>144</x:v>
      </x:c>
      <x:c r="W134" s="4" t="n">
        <x:f>MATCH(T134,$J$388:$J$400,0)</x:f>
        <x:v>5</x:v>
      </x:c>
      <x:c r="X134" s="3"/>
      <x:c r="Y134" s="3"/>
      <x:c r="Z134" s="3"/>
    </x:row>
    <x:row r="135" ht="15" customHeight="1">
      <x:c r="A135" s="3"/>
      <x:c r="B135" s="3"/>
      <x:c r="C135" s="3"/>
      <x:c r="D135" s="3"/>
      <x:c r="E135" s="3"/>
      <x:c r="F135" s="3"/>
      <x:c r="G135" s="3"/>
      <x:c r="H135" s="3"/>
      <x:c r="I135" s="3"/>
      <x:c r="J135" s="10" t="n">
        <x:v>45986</x:v>
      </x:c>
      <x:c r="K135" s="8" t="n">
        <x:f>INDEX('Сводка'!$S$3:$S$397,U135)</x:f>
        <x:v>-116</x:v>
      </x:c>
      <x:c r="L135" s="8" t="n">
        <x:f>INDEX('Сводка'!$S$3:$S$397,V135)</x:f>
        <x:v>-123</x:v>
      </x:c>
      <x:c r="M135" s="8" t="n">
        <x:f>INDEX($K$388:$N$400,W135,1)*EXP(INDEX($K$388:$N$400,W135,2)*((J135-$T$405+1)/1000))+INDEX($O$388:$Z$400,W135,MONTH(J135))</x:f>
        <x:v>44.30133482842814</x:v>
      </x:c>
      <x:c r="N135" s="8" t="n">
        <x:f>K135-M135</x:f>
        <x:v>-160.30133482842814</x:v>
      </x:c>
      <x:c r="O135" s="8" t="n">
        <x:f>ABS(N135)</x:f>
        <x:v>160.30133482842814</x:v>
      </x:c>
      <x:c r="P135" s="8" t="n">
        <x:f>N135^2</x:f>
        <x:v>25696.51794777583</x:v>
      </x:c>
      <x:c r="Q135" s="8" t="n">
        <x:f>K135-L135</x:f>
        <x:v>7</x:v>
      </x:c>
      <x:c r="R135" s="9" t="n">
        <x:f>IF(AND(INDEX('Сводка'!$T$3:$T$397,U135)=0,INDEX('Сводка'!$T$3:$T$397,V135)=0),1,0)</x:f>
        <x:v>1</x:v>
      </x:c>
      <x:c r="S135" s="9" t="n">
        <x:f>IF(AND(R135=1,O135&lt;=$G$13),1,0)</x:f>
        <x:v>0</x:v>
      </x:c>
      <x:c r="T135" s="10" t="n">
        <x:f>EOMONTH(J135-'Сводка'!$B$11,-1)</x:f>
        <x:v>45961</x:v>
      </x:c>
      <x:c r="U135" s="4" t="n">
        <x:f>MATCH(J135,'Сводка'!$R$3:$R$397,0)</x:f>
        <x:v>146</x:v>
      </x:c>
      <x:c r="V135" s="4" t="n">
        <x:f>MATCH(J135-'Сводка'!$B$11,'Сводка'!$R$3:$R$397,0)</x:f>
        <x:v>145</x:v>
      </x:c>
      <x:c r="W135" s="4" t="n">
        <x:f>MATCH(T135,$J$388:$J$400,0)</x:f>
        <x:v>5</x:v>
      </x:c>
      <x:c r="X135" s="3"/>
      <x:c r="Y135" s="3"/>
      <x:c r="Z135" s="3"/>
    </x:row>
    <x:row r="136" ht="15" customHeight="1">
      <x:c r="A136" s="3"/>
      <x:c r="B136" s="3"/>
      <x:c r="C136" s="3"/>
      <x:c r="D136" s="3"/>
      <x:c r="E136" s="3"/>
      <x:c r="F136" s="3"/>
      <x:c r="G136" s="3"/>
      <x:c r="H136" s="3"/>
      <x:c r="I136" s="3"/>
      <x:c r="J136" s="10" t="n">
        <x:v>45987</x:v>
      </x:c>
      <x:c r="K136" s="8" t="n">
        <x:f>INDEX('Сводка'!$S$3:$S$397,U136)</x:f>
        <x:v>-119</x:v>
      </x:c>
      <x:c r="L136" s="8" t="n">
        <x:f>INDEX('Сводка'!$S$3:$S$397,V136)</x:f>
        <x:v>-116</x:v>
      </x:c>
      <x:c r="M136" s="8" t="n">
        <x:f>INDEX($K$388:$N$400,W136,1)*EXP(INDEX($K$388:$N$400,W136,2)*((J136-$T$405+1)/1000))+INDEX($O$388:$Z$400,W136,MONTH(J136))</x:f>
        <x:v>44.338491316449165</x:v>
      </x:c>
      <x:c r="N136" s="8" t="n">
        <x:f>K136-M136</x:f>
        <x:v>-163.33849131644916</x:v>
      </x:c>
      <x:c r="O136" s="8" t="n">
        <x:f>ABS(N136)</x:f>
        <x:v>163.33849131644916</x:v>
      </x:c>
      <x:c r="P136" s="8" t="n">
        <x:f>N136^2</x:f>
        <x:v>26679.46274553374</x:v>
      </x:c>
      <x:c r="Q136" s="8" t="n">
        <x:f>K136-L136</x:f>
        <x:v>-3</x:v>
      </x:c>
      <x:c r="R136" s="9" t="n">
        <x:f>IF(AND(INDEX('Сводка'!$T$3:$T$397,U136)=0,INDEX('Сводка'!$T$3:$T$397,V136)=0),1,0)</x:f>
        <x:v>1</x:v>
      </x:c>
      <x:c r="S136" s="9" t="n">
        <x:f>IF(AND(R136=1,O136&lt;=$G$13),1,0)</x:f>
        <x:v>0</x:v>
      </x:c>
      <x:c r="T136" s="10" t="n">
        <x:f>EOMONTH(J136-'Сводка'!$B$11,-1)</x:f>
        <x:v>45961</x:v>
      </x:c>
      <x:c r="U136" s="4" t="n">
        <x:f>MATCH(J136,'Сводка'!$R$3:$R$397,0)</x:f>
        <x:v>147</x:v>
      </x:c>
      <x:c r="V136" s="4" t="n">
        <x:f>MATCH(J136-'Сводка'!$B$11,'Сводка'!$R$3:$R$397,0)</x:f>
        <x:v>146</x:v>
      </x:c>
      <x:c r="W136" s="4" t="n">
        <x:f>MATCH(T136,$J$388:$J$400,0)</x:f>
        <x:v>5</x:v>
      </x:c>
      <x:c r="X136" s="3"/>
      <x:c r="Y136" s="3"/>
      <x:c r="Z136" s="3"/>
    </x:row>
    <x:row r="137" ht="15" customHeight="1">
      <x:c r="A137" s="3"/>
      <x:c r="B137" s="3"/>
      <x:c r="C137" s="3"/>
      <x:c r="D137" s="3"/>
      <x:c r="E137" s="3"/>
      <x:c r="F137" s="3"/>
      <x:c r="G137" s="3"/>
      <x:c r="H137" s="3"/>
      <x:c r="I137" s="3"/>
      <x:c r="J137" s="10" t="n">
        <x:v>45988</x:v>
      </x:c>
      <x:c r="K137" s="8" t="n">
        <x:f>INDEX('Сводка'!$S$3:$S$397,U137)</x:f>
        <x:v>-114</x:v>
      </x:c>
      <x:c r="L137" s="8" t="n">
        <x:f>INDEX('Сводка'!$S$3:$S$397,V137)</x:f>
        <x:v>-119</x:v>
      </x:c>
      <x:c r="M137" s="8" t="n">
        <x:f>INDEX($K$388:$N$400,W137,1)*EXP(INDEX($K$388:$N$400,W137,2)*((J137-$T$405+1)/1000))+INDEX($O$388:$Z$400,W137,MONTH(J137))</x:f>
        <x:v>44.37565635826343</x:v>
      </x:c>
      <x:c r="N137" s="8" t="n">
        <x:f>K137-M137</x:f>
        <x:v>-158.37565635826343</x:v>
      </x:c>
      <x:c r="O137" s="8" t="n">
        <x:f>ABS(N137)</x:f>
        <x:v>158.37565635826343</x:v>
      </x:c>
      <x:c r="P137" s="8" t="n">
        <x:f>N137^2</x:f>
        <x:v>25082.848526910748</x:v>
      </x:c>
      <x:c r="Q137" s="8" t="n">
        <x:f>K137-L137</x:f>
        <x:v>5</x:v>
      </x:c>
      <x:c r="R137" s="9" t="n">
        <x:f>IF(AND(INDEX('Сводка'!$T$3:$T$397,U137)=0,INDEX('Сводка'!$T$3:$T$397,V137)=0),1,0)</x:f>
        <x:v>1</x:v>
      </x:c>
      <x:c r="S137" s="9" t="n">
        <x:f>IF(AND(R137=1,O137&lt;=$G$13),1,0)</x:f>
        <x:v>0</x:v>
      </x:c>
      <x:c r="T137" s="10" t="n">
        <x:f>EOMONTH(J137-'Сводка'!$B$11,-1)</x:f>
        <x:v>45961</x:v>
      </x:c>
      <x:c r="U137" s="4" t="n">
        <x:f>MATCH(J137,'Сводка'!$R$3:$R$397,0)</x:f>
        <x:v>148</x:v>
      </x:c>
      <x:c r="V137" s="4" t="n">
        <x:f>MATCH(J137-'Сводка'!$B$11,'Сводка'!$R$3:$R$397,0)</x:f>
        <x:v>147</x:v>
      </x:c>
      <x:c r="W137" s="4" t="n">
        <x:f>MATCH(T137,$J$388:$J$400,0)</x:f>
        <x:v>5</x:v>
      </x:c>
      <x:c r="X137" s="3"/>
      <x:c r="Y137" s="3"/>
      <x:c r="Z137" s="3"/>
    </x:row>
    <x:row r="138" ht="15" customHeight="1">
      <x:c r="A138" s="3"/>
      <x:c r="B138" s="3"/>
      <x:c r="C138" s="3"/>
      <x:c r="D138" s="3"/>
      <x:c r="E138" s="3"/>
      <x:c r="F138" s="3"/>
      <x:c r="G138" s="3"/>
      <x:c r="H138" s="3"/>
      <x:c r="I138" s="3"/>
      <x:c r="J138" s="10" t="n">
        <x:v>45989</x:v>
      </x:c>
      <x:c r="K138" s="8" t="n">
        <x:f>INDEX('Сводка'!$S$3:$S$397,U138)</x:f>
        <x:v>-86</x:v>
      </x:c>
      <x:c r="L138" s="8" t="n">
        <x:f>INDEX('Сводка'!$S$3:$S$397,V138)</x:f>
        <x:v>-114</x:v>
      </x:c>
      <x:c r="M138" s="8" t="n">
        <x:f>INDEX($K$388:$N$400,W138,1)*EXP(INDEX($K$388:$N$400,W138,2)*((J138-$T$405+1)/1000))+INDEX($O$388:$Z$400,W138,MONTH(J138))</x:f>
        <x:v>44.412829955840095</x:v>
      </x:c>
      <x:c r="N138" s="8" t="n">
        <x:f>K138-M138</x:f>
        <x:v>-130.4128299558401</x:v>
      </x:c>
      <x:c r="O138" s="8" t="n">
        <x:f>ABS(N138)</x:f>
        <x:v>130.4128299558401</x:v>
      </x:c>
      <x:c r="P138" s="8" t="n">
        <x:f>N138^2</x:f>
        <x:v>17007.506217090864</x:v>
      </x:c>
      <x:c r="Q138" s="8" t="n">
        <x:f>K138-L138</x:f>
        <x:v>28</x:v>
      </x:c>
      <x:c r="R138" s="9" t="n">
        <x:f>IF(AND(INDEX('Сводка'!$T$3:$T$397,U138)=0,INDEX('Сводка'!$T$3:$T$397,V138)=0),1,0)</x:f>
        <x:v>0</x:v>
      </x:c>
      <x:c r="S138" s="9" t="n">
        <x:f>IF(AND(R138=1,O138&lt;=$G$13),1,0)</x:f>
        <x:v>0</x:v>
      </x:c>
      <x:c r="T138" s="10" t="n">
        <x:f>EOMONTH(J138-'Сводка'!$B$11,-1)</x:f>
        <x:v>45961</x:v>
      </x:c>
      <x:c r="U138" s="4" t="n">
        <x:f>MATCH(J138,'Сводка'!$R$3:$R$397,0)</x:f>
        <x:v>149</x:v>
      </x:c>
      <x:c r="V138" s="4" t="n">
        <x:f>MATCH(J138-'Сводка'!$B$11,'Сводка'!$R$3:$R$397,0)</x:f>
        <x:v>148</x:v>
      </x:c>
      <x:c r="W138" s="4" t="n">
        <x:f>MATCH(T138,$J$388:$J$400,0)</x:f>
        <x:v>5</x:v>
      </x:c>
      <x:c r="X138" s="3"/>
      <x:c r="Y138" s="3"/>
      <x:c r="Z138" s="3"/>
    </x:row>
    <x:row r="139" ht="15" customHeight="1">
      <x:c r="A139" s="3"/>
      <x:c r="B139" s="3"/>
      <x:c r="C139" s="3"/>
      <x:c r="D139" s="3"/>
      <x:c r="E139" s="3"/>
      <x:c r="F139" s="3"/>
      <x:c r="G139" s="3"/>
      <x:c r="H139" s="3"/>
      <x:c r="I139" s="3"/>
      <x:c r="J139" s="10" t="n">
        <x:v>45990</x:v>
      </x:c>
      <x:c r="K139" s="8" t="n">
        <x:f>INDEX('Сводка'!$S$3:$S$397,U139)</x:f>
        <x:v>-58</x:v>
      </x:c>
      <x:c r="L139" s="8" t="n">
        <x:f>INDEX('Сводка'!$S$3:$S$397,V139)</x:f>
        <x:v>-86</x:v>
      </x:c>
      <x:c r="M139" s="8" t="n">
        <x:f>INDEX($K$388:$N$400,W139,1)*EXP(INDEX($K$388:$N$400,W139,2)*((J139-$T$405+1)/1000))+INDEX($O$388:$Z$400,W139,MONTH(J139))</x:f>
        <x:v>44.45001211114874</x:v>
      </x:c>
      <x:c r="N139" s="8" t="n">
        <x:f>K139-M139</x:f>
        <x:v>-102.45001211114874</x:v>
      </x:c>
      <x:c r="O139" s="8" t="n">
        <x:f>ABS(N139)</x:f>
        <x:v>102.45001211114874</x:v>
      </x:c>
      <x:c r="P139" s="8" t="n">
        <x:f>N139^2</x:f>
        <x:v>10496.004981574522</x:v>
      </x:c>
      <x:c r="Q139" s="8" t="n">
        <x:f>K139-L139</x:f>
        <x:v>28</x:v>
      </x:c>
      <x:c r="R139" s="9" t="n">
        <x:f>IF(AND(INDEX('Сводка'!$T$3:$T$397,U139)=0,INDEX('Сводка'!$T$3:$T$397,V139)=0),1,0)</x:f>
        <x:v>0</x:v>
      </x:c>
      <x:c r="S139" s="9" t="n">
        <x:f>IF(AND(R139=1,O139&lt;=$G$13),1,0)</x:f>
        <x:v>0</x:v>
      </x:c>
      <x:c r="T139" s="10" t="n">
        <x:f>EOMONTH(J139-'Сводка'!$B$11,-1)</x:f>
        <x:v>45961</x:v>
      </x:c>
      <x:c r="U139" s="4" t="n">
        <x:f>MATCH(J139,'Сводка'!$R$3:$R$397,0)</x:f>
        <x:v>150</x:v>
      </x:c>
      <x:c r="V139" s="4" t="n">
        <x:f>MATCH(J139-'Сводка'!$B$11,'Сводка'!$R$3:$R$397,0)</x:f>
        <x:v>149</x:v>
      </x:c>
      <x:c r="W139" s="4" t="n">
        <x:f>MATCH(T139,$J$388:$J$400,0)</x:f>
        <x:v>5</x:v>
      </x:c>
      <x:c r="X139" s="3"/>
      <x:c r="Y139" s="3"/>
      <x:c r="Z139" s="3"/>
    </x:row>
    <x:row r="140" ht="15" customHeight="1">
      <x:c r="A140" s="3"/>
      <x:c r="B140" s="3"/>
      <x:c r="C140" s="3"/>
      <x:c r="D140" s="3"/>
      <x:c r="E140" s="3"/>
      <x:c r="F140" s="3"/>
      <x:c r="G140" s="3"/>
      <x:c r="H140" s="3"/>
      <x:c r="I140" s="3"/>
      <x:c r="J140" s="10" t="n">
        <x:v>45991</x:v>
      </x:c>
      <x:c r="K140" s="8" t="n">
        <x:f>INDEX('Сводка'!$S$3:$S$397,U140)</x:f>
        <x:v>-53</x:v>
      </x:c>
      <x:c r="L140" s="8" t="n">
        <x:f>INDEX('Сводка'!$S$3:$S$397,V140)</x:f>
        <x:v>-58</x:v>
      </x:c>
      <x:c r="M140" s="8" t="n">
        <x:f>INDEX($K$388:$N$400,W140,1)*EXP(INDEX($K$388:$N$400,W140,2)*((J140-$T$405+1)/1000))+INDEX($O$388:$Z$400,W140,MONTH(J140))</x:f>
        <x:v>44.487202826159375</x:v>
      </x:c>
      <x:c r="N140" s="8" t="n">
        <x:f>K140-M140</x:f>
        <x:v>-97.48720282615938</x:v>
      </x:c>
      <x:c r="O140" s="8" t="n">
        <x:f>ABS(N140)</x:f>
        <x:v>97.48720282615938</x:v>
      </x:c>
      <x:c r="P140" s="8" t="n">
        <x:f>N140^2</x:f>
        <x:v>9503.754714868737</x:v>
      </x:c>
      <x:c r="Q140" s="8" t="n">
        <x:f>K140-L140</x:f>
        <x:v>5</x:v>
      </x:c>
      <x:c r="R140" s="9" t="n">
        <x:f>IF(AND(INDEX('Сводка'!$T$3:$T$397,U140)=0,INDEX('Сводка'!$T$3:$T$397,V140)=0),1,0)</x:f>
        <x:v>1</x:v>
      </x:c>
      <x:c r="S140" s="9" t="n">
        <x:f>IF(AND(R140=1,O140&lt;=$G$13),1,0)</x:f>
        <x:v>0</x:v>
      </x:c>
      <x:c r="T140" s="10" t="n">
        <x:f>EOMONTH(J140-'Сводка'!$B$11,-1)</x:f>
        <x:v>45961</x:v>
      </x:c>
      <x:c r="U140" s="4" t="n">
        <x:f>MATCH(J140,'Сводка'!$R$3:$R$397,0)</x:f>
        <x:v>151</x:v>
      </x:c>
      <x:c r="V140" s="4" t="n">
        <x:f>MATCH(J140-'Сводка'!$B$11,'Сводка'!$R$3:$R$397,0)</x:f>
        <x:v>150</x:v>
      </x:c>
      <x:c r="W140" s="4" t="n">
        <x:f>MATCH(T140,$J$388:$J$400,0)</x:f>
        <x:v>5</x:v>
      </x:c>
      <x:c r="X140" s="3"/>
      <x:c r="Y140" s="3"/>
      <x:c r="Z140" s="3"/>
    </x:row>
    <x:row r="141" ht="15" customHeight="1">
      <x:c r="A141" s="3"/>
      <x:c r="B141" s="3"/>
      <x:c r="C141" s="3"/>
      <x:c r="D141" s="3"/>
      <x:c r="E141" s="3"/>
      <x:c r="F141" s="3"/>
      <x:c r="G141" s="3"/>
      <x:c r="H141" s="3"/>
      <x:c r="I141" s="3"/>
      <x:c r="J141" s="10" t="n">
        <x:v>45992</x:v>
      </x:c>
      <x:c r="K141" s="8" t="n">
        <x:f>INDEX('Сводка'!$S$3:$S$397,U141)</x:f>
        <x:v>-56</x:v>
      </x:c>
      <x:c r="L141" s="8" t="n">
        <x:f>INDEX('Сводка'!$S$3:$S$397,V141)</x:f>
        <x:v>-53</x:v>
      </x:c>
      <x:c r="M141" s="8" t="n">
        <x:f>INDEX($K$388:$N$400,W141,1)*EXP(INDEX($K$388:$N$400,W141,2)*((J141-$T$405+1)/1000))+INDEX($O$388:$Z$400,W141,MONTH(J141))</x:f>
        <x:v>81.21572560313955</x:v>
      </x:c>
      <x:c r="N141" s="8" t="n">
        <x:f>K141-M141</x:f>
        <x:v>-137.21572560313956</x:v>
      </x:c>
      <x:c r="O141" s="8" t="n">
        <x:f>ABS(N141)</x:f>
        <x:v>137.21572560313956</x:v>
      </x:c>
      <x:c r="P141" s="8" t="n">
        <x:f>N141^2</x:f>
        <x:v>18828.15535279609</x:v>
      </x:c>
      <x:c r="Q141" s="8" t="n">
        <x:f>K141-L141</x:f>
        <x:v>-3</x:v>
      </x:c>
      <x:c r="R141" s="9" t="n">
        <x:f>IF(AND(INDEX('Сводка'!$T$3:$T$397,U141)=0,INDEX('Сводка'!$T$3:$T$397,V141)=0),1,0)</x:f>
        <x:v>1</x:v>
      </x:c>
      <x:c r="S141" s="9" t="n">
        <x:f>IF(AND(R141=1,O141&lt;=$G$13),1,0)</x:f>
        <x:v>0</x:v>
      </x:c>
      <x:c r="T141" s="10" t="n">
        <x:f>EOMONTH(J141-'Сводка'!$B$11,-1)</x:f>
        <x:v>45961</x:v>
      </x:c>
      <x:c r="U141" s="4" t="n">
        <x:f>MATCH(J141,'Сводка'!$R$3:$R$397,0)</x:f>
        <x:v>152</x:v>
      </x:c>
      <x:c r="V141" s="4" t="n">
        <x:f>MATCH(J141-'Сводка'!$B$11,'Сводка'!$R$3:$R$397,0)</x:f>
        <x:v>151</x:v>
      </x:c>
      <x:c r="W141" s="4" t="n">
        <x:f>MATCH(T141,$J$388:$J$400,0)</x:f>
        <x:v>5</x:v>
      </x:c>
      <x:c r="X141" s="3"/>
      <x:c r="Y141" s="3"/>
      <x:c r="Z141" s="3"/>
    </x:row>
    <x:row r="142" ht="15" customHeight="1">
      <x:c r="A142" s="3"/>
      <x:c r="B142" s="3"/>
      <x:c r="C142" s="3"/>
      <x:c r="D142" s="3"/>
      <x:c r="E142" s="3"/>
      <x:c r="F142" s="3"/>
      <x:c r="G142" s="3"/>
      <x:c r="H142" s="3"/>
      <x:c r="I142" s="3"/>
      <x:c r="J142" s="10" t="n">
        <x:v>45993</x:v>
      </x:c>
      <x:c r="K142" s="8" t="n">
        <x:f>INDEX('Сводка'!$S$3:$S$397,U142)</x:f>
        <x:v>-46</x:v>
      </x:c>
      <x:c r="L142" s="8" t="n">
        <x:f>INDEX('Сводка'!$S$3:$S$397,V142)</x:f>
        <x:v>-56</x:v>
      </x:c>
      <x:c r="M142" s="8" t="n">
        <x:f>INDEX($K$388:$N$400,W142,1)*EXP(INDEX($K$388:$N$400,W142,2)*((J142-$T$405+1)/1000))+INDEX($O$388:$Z$400,W142,MONTH(J142))</x:f>
        <x:v>78.30044768561828</x:v>
      </x:c>
      <x:c r="N142" s="8" t="n">
        <x:f>K142-M142</x:f>
        <x:v>-124.30044768561828</x:v>
      </x:c>
      <x:c r="O142" s="8" t="n">
        <x:f>ABS(N142)</x:f>
        <x:v>124.30044768561828</x:v>
      </x:c>
      <x:c r="P142" s="8" t="n">
        <x:f>N142^2</x:f>
        <x:v>15450.601294845126</x:v>
      </x:c>
      <x:c r="Q142" s="8" t="n">
        <x:f>K142-L142</x:f>
        <x:v>10</x:v>
      </x:c>
      <x:c r="R142" s="9" t="n">
        <x:f>IF(AND(INDEX('Сводка'!$T$3:$T$397,U142)=0,INDEX('Сводка'!$T$3:$T$397,V142)=0),1,0)</x:f>
        <x:v>1</x:v>
      </x:c>
      <x:c r="S142" s="9" t="n">
        <x:f>IF(AND(R142=1,O142&lt;=$G$13),1,0)</x:f>
        <x:v>0</x:v>
      </x:c>
      <x:c r="T142" s="10" t="n">
        <x:f>EOMONTH(J142-'Сводка'!$B$11,-1)</x:f>
        <x:v>45991</x:v>
      </x:c>
      <x:c r="U142" s="4" t="n">
        <x:f>MATCH(J142,'Сводка'!$R$3:$R$397,0)</x:f>
        <x:v>153</x:v>
      </x:c>
      <x:c r="V142" s="4" t="n">
        <x:f>MATCH(J142-'Сводка'!$B$11,'Сводка'!$R$3:$R$397,0)</x:f>
        <x:v>152</x:v>
      </x:c>
      <x:c r="W142" s="4" t="n">
        <x:f>MATCH(T142,$J$388:$J$400,0)</x:f>
        <x:v>6</x:v>
      </x:c>
      <x:c r="X142" s="3"/>
      <x:c r="Y142" s="3"/>
      <x:c r="Z142" s="3"/>
    </x:row>
    <x:row r="143" ht="15" customHeight="1">
      <x:c r="A143" s="3"/>
      <x:c r="B143" s="3"/>
      <x:c r="C143" s="3"/>
      <x:c r="D143" s="3"/>
      <x:c r="E143" s="3"/>
      <x:c r="F143" s="3"/>
      <x:c r="G143" s="3"/>
      <x:c r="H143" s="3"/>
      <x:c r="I143" s="3"/>
      <x:c r="J143" s="10" t="n">
        <x:v>45994</x:v>
      </x:c>
      <x:c r="K143" s="8" t="n">
        <x:f>INDEX('Сводка'!$S$3:$S$397,U143)</x:f>
        <x:v>-30</x:v>
      </x:c>
      <x:c r="L143" s="8" t="n">
        <x:f>INDEX('Сводка'!$S$3:$S$397,V143)</x:f>
        <x:v>-46</x:v>
      </x:c>
      <x:c r="M143" s="8" t="n">
        <x:f>INDEX($K$388:$N$400,W143,1)*EXP(INDEX($K$388:$N$400,W143,2)*((J143-$T$405+1)/1000))+INDEX($O$388:$Z$400,W143,MONTH(J143))</x:f>
        <x:v>78.33620973051839</x:v>
      </x:c>
      <x:c r="N143" s="8" t="n">
        <x:f>K143-M143</x:f>
        <x:v>-108.33620973051839</x:v>
      </x:c>
      <x:c r="O143" s="8" t="n">
        <x:f>ABS(N143)</x:f>
        <x:v>108.33620973051839</x:v>
      </x:c>
      <x:c r="P143" s="8" t="n">
        <x:f>N143^2</x:f>
        <x:v>11736.734338774868</x:v>
      </x:c>
      <x:c r="Q143" s="8" t="n">
        <x:f>K143-L143</x:f>
        <x:v>16</x:v>
      </x:c>
      <x:c r="R143" s="9" t="n">
        <x:f>IF(AND(INDEX('Сводка'!$T$3:$T$397,U143)=0,INDEX('Сводка'!$T$3:$T$397,V143)=0),1,0)</x:f>
        <x:v>1</x:v>
      </x:c>
      <x:c r="S143" s="9" t="n">
        <x:f>IF(AND(R143=1,O143&lt;=$G$13),1,0)</x:f>
        <x:v>0</x:v>
      </x:c>
      <x:c r="T143" s="10" t="n">
        <x:f>EOMONTH(J143-'Сводка'!$B$11,-1)</x:f>
        <x:v>45991</x:v>
      </x:c>
      <x:c r="U143" s="4" t="n">
        <x:f>MATCH(J143,'Сводка'!$R$3:$R$397,0)</x:f>
        <x:v>154</x:v>
      </x:c>
      <x:c r="V143" s="4" t="n">
        <x:f>MATCH(J143-'Сводка'!$B$11,'Сводка'!$R$3:$R$397,0)</x:f>
        <x:v>153</x:v>
      </x:c>
      <x:c r="W143" s="4" t="n">
        <x:f>MATCH(T143,$J$388:$J$400,0)</x:f>
        <x:v>6</x:v>
      </x:c>
      <x:c r="X143" s="3"/>
      <x:c r="Y143" s="3"/>
      <x:c r="Z143" s="3"/>
    </x:row>
    <x:row r="144" ht="15" customHeight="1">
      <x:c r="A144" s="3"/>
      <x:c r="B144" s="3"/>
      <x:c r="C144" s="3"/>
      <x:c r="D144" s="3"/>
      <x:c r="E144" s="3"/>
      <x:c r="F144" s="3"/>
      <x:c r="G144" s="3"/>
      <x:c r="H144" s="3"/>
      <x:c r="I144" s="3"/>
      <x:c r="J144" s="10" t="n">
        <x:v>45995</x:v>
      </x:c>
      <x:c r="K144" s="8" t="n">
        <x:f>INDEX('Сводка'!$S$3:$S$397,U144)</x:f>
        <x:v>-20</x:v>
      </x:c>
      <x:c r="L144" s="8" t="n">
        <x:f>INDEX('Сводка'!$S$3:$S$397,V144)</x:f>
        <x:v>-30</x:v>
      </x:c>
      <x:c r="M144" s="8" t="n">
        <x:f>INDEX($K$388:$N$400,W144,1)*EXP(INDEX($K$388:$N$400,W144,2)*((J144-$T$405+1)/1000))+INDEX($O$388:$Z$400,W144,MONTH(J144))</x:f>
        <x:v>78.3719798493604</x:v>
      </x:c>
      <x:c r="N144" s="8" t="n">
        <x:f>K144-M144</x:f>
        <x:v>-98.3719798493604</x:v>
      </x:c>
      <x:c r="O144" s="8" t="n">
        <x:f>ABS(N144)</x:f>
        <x:v>98.3719798493604</x:v>
      </x:c>
      <x:c r="P144" s="8" t="n">
        <x:f>N144^2</x:f>
        <x:v>9677.04641948297</x:v>
      </x:c>
      <x:c r="Q144" s="8" t="n">
        <x:f>K144-L144</x:f>
        <x:v>10</x:v>
      </x:c>
      <x:c r="R144" s="9" t="n">
        <x:f>IF(AND(INDEX('Сводка'!$T$3:$T$397,U144)=0,INDEX('Сводка'!$T$3:$T$397,V144)=0),1,0)</x:f>
        <x:v>1</x:v>
      </x:c>
      <x:c r="S144" s="9" t="n">
        <x:f>IF(AND(R144=1,O144&lt;=$G$13),1,0)</x:f>
        <x:v>0</x:v>
      </x:c>
      <x:c r="T144" s="10" t="n">
        <x:f>EOMONTH(J144-'Сводка'!$B$11,-1)</x:f>
        <x:v>45991</x:v>
      </x:c>
      <x:c r="U144" s="4" t="n">
        <x:f>MATCH(J144,'Сводка'!$R$3:$R$397,0)</x:f>
        <x:v>155</x:v>
      </x:c>
      <x:c r="V144" s="4" t="n">
        <x:f>MATCH(J144-'Сводка'!$B$11,'Сводка'!$R$3:$R$397,0)</x:f>
        <x:v>154</x:v>
      </x:c>
      <x:c r="W144" s="4" t="n">
        <x:f>MATCH(T144,$J$388:$J$400,0)</x:f>
        <x:v>6</x:v>
      </x:c>
      <x:c r="X144" s="3"/>
      <x:c r="Y144" s="3"/>
      <x:c r="Z144" s="3"/>
    </x:row>
    <x:row r="145" ht="15" customHeight="1">
      <x:c r="A145" s="3"/>
      <x:c r="B145" s="3"/>
      <x:c r="C145" s="3"/>
      <x:c r="D145" s="3"/>
      <x:c r="E145" s="3"/>
      <x:c r="F145" s="3"/>
      <x:c r="G145" s="3"/>
      <x:c r="H145" s="3"/>
      <x:c r="I145" s="3"/>
      <x:c r="J145" s="10" t="n">
        <x:v>45996</x:v>
      </x:c>
      <x:c r="K145" s="8" t="n">
        <x:f>INDEX('Сводка'!$S$3:$S$397,U145)</x:f>
        <x:v>-16</x:v>
      </x:c>
      <x:c r="L145" s="8" t="n">
        <x:f>INDEX('Сводка'!$S$3:$S$397,V145)</x:f>
        <x:v>-20</x:v>
      </x:c>
      <x:c r="M145" s="8" t="n">
        <x:f>INDEX($K$388:$N$400,W145,1)*EXP(INDEX($K$388:$N$400,W145,2)*((J145-$T$405+1)/1000))+INDEX($O$388:$Z$400,W145,MONTH(J145))</x:f>
        <x:v>78.40775804396708</x:v>
      </x:c>
      <x:c r="N145" s="8" t="n">
        <x:f>K145-M145</x:f>
        <x:v>-94.40775804396708</x:v>
      </x:c>
      <x:c r="O145" s="8" t="n">
        <x:f>ABS(N145)</x:f>
        <x:v>94.40775804396708</x:v>
      </x:c>
      <x:c r="P145" s="8" t="n">
        <x:f>N145^2</x:f>
        <x:v>8912.82477888823</x:v>
      </x:c>
      <x:c r="Q145" s="8" t="n">
        <x:f>K145-L145</x:f>
        <x:v>4</x:v>
      </x:c>
      <x:c r="R145" s="9" t="n">
        <x:f>IF(AND(INDEX('Сводка'!$T$3:$T$397,U145)=0,INDEX('Сводка'!$T$3:$T$397,V145)=0),1,0)</x:f>
        <x:v>0</x:v>
      </x:c>
      <x:c r="S145" s="9" t="n">
        <x:f>IF(AND(R145=1,O145&lt;=$G$13),1,0)</x:f>
        <x:v>0</x:v>
      </x:c>
      <x:c r="T145" s="10" t="n">
        <x:f>EOMONTH(J145-'Сводка'!$B$11,-1)</x:f>
        <x:v>45991</x:v>
      </x:c>
      <x:c r="U145" s="4" t="n">
        <x:f>MATCH(J145,'Сводка'!$R$3:$R$397,0)</x:f>
        <x:v>156</x:v>
      </x:c>
      <x:c r="V145" s="4" t="n">
        <x:f>MATCH(J145-'Сводка'!$B$11,'Сводка'!$R$3:$R$397,0)</x:f>
        <x:v>155</x:v>
      </x:c>
      <x:c r="W145" s="4" t="n">
        <x:f>MATCH(T145,$J$388:$J$400,0)</x:f>
        <x:v>6</x:v>
      </x:c>
      <x:c r="X145" s="3"/>
      <x:c r="Y145" s="3"/>
      <x:c r="Z145" s="3"/>
    </x:row>
    <x:row r="146" ht="15" customHeight="1">
      <x:c r="A146" s="3"/>
      <x:c r="B146" s="3"/>
      <x:c r="C146" s="3"/>
      <x:c r="D146" s="3"/>
      <x:c r="E146" s="3"/>
      <x:c r="F146" s="3"/>
      <x:c r="G146" s="3"/>
      <x:c r="H146" s="3"/>
      <x:c r="I146" s="3"/>
      <x:c r="J146" s="10" t="n">
        <x:v>45997</x:v>
      </x:c>
      <x:c r="K146" s="8" t="n">
        <x:f>INDEX('Сводка'!$S$3:$S$397,U146)</x:f>
        <x:v>-12</x:v>
      </x:c>
      <x:c r="L146" s="8" t="n">
        <x:f>INDEX('Сводка'!$S$3:$S$397,V146)</x:f>
        <x:v>-16</x:v>
      </x:c>
      <x:c r="M146" s="8" t="n">
        <x:f>INDEX($K$388:$N$400,W146,1)*EXP(INDEX($K$388:$N$400,W146,2)*((J146-$T$405+1)/1000))+INDEX($O$388:$Z$400,W146,MONTH(J146))</x:f>
        <x:v>78.4435443161617</x:v>
      </x:c>
      <x:c r="N146" s="8" t="n">
        <x:f>K146-M146</x:f>
        <x:v>-90.4435443161617</x:v>
      </x:c>
      <x:c r="O146" s="8" t="n">
        <x:f>ABS(N146)</x:f>
        <x:v>90.4435443161617</x:v>
      </x:c>
      <x:c r="P146" s="8" t="n">
        <x:f>N146^2</x:f>
        <x:v>8180.034708469507</x:v>
      </x:c>
      <x:c r="Q146" s="8" t="n">
        <x:f>K146-L146</x:f>
        <x:v>4</x:v>
      </x:c>
      <x:c r="R146" s="9" t="n">
        <x:f>IF(AND(INDEX('Сводка'!$T$3:$T$397,U146)=0,INDEX('Сводка'!$T$3:$T$397,V146)=0),1,0)</x:f>
        <x:v>0</x:v>
      </x:c>
      <x:c r="S146" s="9" t="n">
        <x:f>IF(AND(R146=1,O146&lt;=$G$13),1,0)</x:f>
        <x:v>0</x:v>
      </x:c>
      <x:c r="T146" s="10" t="n">
        <x:f>EOMONTH(J146-'Сводка'!$B$11,-1)</x:f>
        <x:v>45991</x:v>
      </x:c>
      <x:c r="U146" s="4" t="n">
        <x:f>MATCH(J146,'Сводка'!$R$3:$R$397,0)</x:f>
        <x:v>157</x:v>
      </x:c>
      <x:c r="V146" s="4" t="n">
        <x:f>MATCH(J146-'Сводка'!$B$11,'Сводка'!$R$3:$R$397,0)</x:f>
        <x:v>156</x:v>
      </x:c>
      <x:c r="W146" s="4" t="n">
        <x:f>MATCH(T146,$J$388:$J$400,0)</x:f>
        <x:v>6</x:v>
      </x:c>
      <x:c r="X146" s="3"/>
      <x:c r="Y146" s="3"/>
      <x:c r="Z146" s="3"/>
    </x:row>
    <x:row r="147" ht="15" customHeight="1">
      <x:c r="A147" s="3"/>
      <x:c r="B147" s="3"/>
      <x:c r="C147" s="3"/>
      <x:c r="D147" s="3"/>
      <x:c r="E147" s="3"/>
      <x:c r="F147" s="3"/>
      <x:c r="G147" s="3"/>
      <x:c r="H147" s="3"/>
      <x:c r="I147" s="3"/>
      <x:c r="J147" s="10" t="n">
        <x:v>45998</x:v>
      </x:c>
      <x:c r="K147" s="8" t="n">
        <x:f>INDEX('Сводка'!$S$3:$S$397,U147)</x:f>
        <x:v>-8</x:v>
      </x:c>
      <x:c r="L147" s="8" t="n">
        <x:f>INDEX('Сводка'!$S$3:$S$397,V147)</x:f>
        <x:v>-12</x:v>
      </x:c>
      <x:c r="M147" s="8" t="n">
        <x:f>INDEX($K$388:$N$400,W147,1)*EXP(INDEX($K$388:$N$400,W147,2)*((J147-$T$405+1)/1000))+INDEX($O$388:$Z$400,W147,MONTH(J147))</x:f>
        <x:v>78.47933866776799</x:v>
      </x:c>
      <x:c r="N147" s="8" t="n">
        <x:f>K147-M147</x:f>
        <x:v>-86.47933866776799</x:v>
      </x:c>
      <x:c r="O147" s="8" t="n">
        <x:f>ABS(N147)</x:f>
        <x:v>86.47933866776799</x:v>
      </x:c>
      <x:c r="P147" s="8" t="n">
        <x:f>N147^2</x:f>
        <x:v>7478.676016414512</x:v>
      </x:c>
      <x:c r="Q147" s="8" t="n">
        <x:f>K147-L147</x:f>
        <x:v>4</x:v>
      </x:c>
      <x:c r="R147" s="9" t="n">
        <x:f>IF(AND(INDEX('Сводка'!$T$3:$T$397,U147)=0,INDEX('Сводка'!$T$3:$T$397,V147)=0),1,0)</x:f>
        <x:v>0</x:v>
      </x:c>
      <x:c r="S147" s="9" t="n">
        <x:f>IF(AND(R147=1,O147&lt;=$G$13),1,0)</x:f>
        <x:v>0</x:v>
      </x:c>
      <x:c r="T147" s="10" t="n">
        <x:f>EOMONTH(J147-'Сводка'!$B$11,-1)</x:f>
        <x:v>45991</x:v>
      </x:c>
      <x:c r="U147" s="4" t="n">
        <x:f>MATCH(J147,'Сводка'!$R$3:$R$397,0)</x:f>
        <x:v>158</x:v>
      </x:c>
      <x:c r="V147" s="4" t="n">
        <x:f>MATCH(J147-'Сводка'!$B$11,'Сводка'!$R$3:$R$397,0)</x:f>
        <x:v>157</x:v>
      </x:c>
      <x:c r="W147" s="4" t="n">
        <x:f>MATCH(T147,$J$388:$J$400,0)</x:f>
        <x:v>6</x:v>
      </x:c>
      <x:c r="X147" s="3"/>
      <x:c r="Y147" s="3"/>
      <x:c r="Z147" s="3"/>
    </x:row>
    <x:row r="148" ht="15" customHeight="1">
      <x:c r="A148" s="3"/>
      <x:c r="B148" s="3"/>
      <x:c r="C148" s="3"/>
      <x:c r="D148" s="3"/>
      <x:c r="E148" s="3"/>
      <x:c r="F148" s="3"/>
      <x:c r="G148" s="3"/>
      <x:c r="H148" s="3"/>
      <x:c r="I148" s="3"/>
      <x:c r="J148" s="10" t="n">
        <x:v>45999</x:v>
      </x:c>
      <x:c r="K148" s="8" t="n">
        <x:f>INDEX('Сводка'!$S$3:$S$397,U148)</x:f>
        <x:v>-13</x:v>
      </x:c>
      <x:c r="L148" s="8" t="n">
        <x:f>INDEX('Сводка'!$S$3:$S$397,V148)</x:f>
        <x:v>-8</x:v>
      </x:c>
      <x:c r="M148" s="8" t="n">
        <x:f>INDEX($K$388:$N$400,W148,1)*EXP(INDEX($K$388:$N$400,W148,2)*((J148-$T$405+1)/1000))+INDEX($O$388:$Z$400,W148,MONTH(J148))</x:f>
        <x:v>78.5151411006099</x:v>
      </x:c>
      <x:c r="N148" s="8" t="n">
        <x:f>K148-M148</x:f>
        <x:v>-91.5151411006099</x:v>
      </x:c>
      <x:c r="O148" s="8" t="n">
        <x:f>ABS(N148)</x:f>
        <x:v>91.5151411006099</x:v>
      </x:c>
      <x:c r="P148" s="8" t="n">
        <x:f>N148^2</x:f>
        <x:v>8375.021050664538</x:v>
      </x:c>
      <x:c r="Q148" s="8" t="n">
        <x:f>K148-L148</x:f>
        <x:v>-5</x:v>
      </x:c>
      <x:c r="R148" s="9" t="n">
        <x:f>IF(AND(INDEX('Сводка'!$T$3:$T$397,U148)=0,INDEX('Сводка'!$T$3:$T$397,V148)=0),1,0)</x:f>
        <x:v>1</x:v>
      </x:c>
      <x:c r="S148" s="9" t="n">
        <x:f>IF(AND(R148=1,O148&lt;=$G$13),1,0)</x:f>
        <x:v>0</x:v>
      </x:c>
      <x:c r="T148" s="10" t="n">
        <x:f>EOMONTH(J148-'Сводка'!$B$11,-1)</x:f>
        <x:v>45991</x:v>
      </x:c>
      <x:c r="U148" s="4" t="n">
        <x:f>MATCH(J148,'Сводка'!$R$3:$R$397,0)</x:f>
        <x:v>159</x:v>
      </x:c>
      <x:c r="V148" s="4" t="n">
        <x:f>MATCH(J148-'Сводка'!$B$11,'Сводка'!$R$3:$R$397,0)</x:f>
        <x:v>158</x:v>
      </x:c>
      <x:c r="W148" s="4" t="n">
        <x:f>MATCH(T148,$J$388:$J$400,0)</x:f>
        <x:v>6</x:v>
      </x:c>
      <x:c r="X148" s="3"/>
      <x:c r="Y148" s="3"/>
      <x:c r="Z148" s="3"/>
    </x:row>
    <x:row r="149" ht="15" customHeight="1">
      <x:c r="A149" s="3"/>
      <x:c r="B149" s="3"/>
      <x:c r="C149" s="3"/>
      <x:c r="D149" s="3"/>
      <x:c r="E149" s="3"/>
      <x:c r="F149" s="3"/>
      <x:c r="G149" s="3"/>
      <x:c r="H149" s="3"/>
      <x:c r="I149" s="3"/>
      <x:c r="J149" s="10" t="n">
        <x:v>46000</x:v>
      </x:c>
      <x:c r="K149" s="8" t="n">
        <x:f>INDEX('Сводка'!$S$3:$S$397,U149)</x:f>
        <x:v>-20</x:v>
      </x:c>
      <x:c r="L149" s="8" t="n">
        <x:f>INDEX('Сводка'!$S$3:$S$397,V149)</x:f>
        <x:v>-13</x:v>
      </x:c>
      <x:c r="M149" s="8" t="n">
        <x:f>INDEX($K$388:$N$400,W149,1)*EXP(INDEX($K$388:$N$400,W149,2)*((J149-$T$405+1)/1000))+INDEX($O$388:$Z$400,W149,MONTH(J149))</x:f>
        <x:v>78.55095161651201</x:v>
      </x:c>
      <x:c r="N149" s="8" t="n">
        <x:f>K149-M149</x:f>
        <x:v>-98.55095161651201</x:v>
      </x:c>
      <x:c r="O149" s="8" t="n">
        <x:f>ABS(N149)</x:f>
        <x:v>98.55095161651201</x:v>
      </x:c>
      <x:c r="P149" s="8" t="n">
        <x:f>N149^2</x:f>
        <x:v>9712.290064520092</x:v>
      </x:c>
      <x:c r="Q149" s="8" t="n">
        <x:f>K149-L149</x:f>
        <x:v>-7</x:v>
      </x:c>
      <x:c r="R149" s="9" t="n">
        <x:f>IF(AND(INDEX('Сводка'!$T$3:$T$397,U149)=0,INDEX('Сводка'!$T$3:$T$397,V149)=0),1,0)</x:f>
        <x:v>1</x:v>
      </x:c>
      <x:c r="S149" s="9" t="n">
        <x:f>IF(AND(R149=1,O149&lt;=$G$13),1,0)</x:f>
        <x:v>0</x:v>
      </x:c>
      <x:c r="T149" s="10" t="n">
        <x:f>EOMONTH(J149-'Сводка'!$B$11,-1)</x:f>
        <x:v>45991</x:v>
      </x:c>
      <x:c r="U149" s="4" t="n">
        <x:f>MATCH(J149,'Сводка'!$R$3:$R$397,0)</x:f>
        <x:v>160</x:v>
      </x:c>
      <x:c r="V149" s="4" t="n">
        <x:f>MATCH(J149-'Сводка'!$B$11,'Сводка'!$R$3:$R$397,0)</x:f>
        <x:v>159</x:v>
      </x:c>
      <x:c r="W149" s="4" t="n">
        <x:f>MATCH(T149,$J$388:$J$400,0)</x:f>
        <x:v>6</x:v>
      </x:c>
      <x:c r="X149" s="3"/>
      <x:c r="Y149" s="3"/>
      <x:c r="Z149" s="3"/>
    </x:row>
    <x:row r="150" ht="15" customHeight="1">
      <x:c r="A150" s="3"/>
      <x:c r="B150" s="3"/>
      <x:c r="C150" s="3"/>
      <x:c r="D150" s="3"/>
      <x:c r="E150" s="3"/>
      <x:c r="F150" s="3"/>
      <x:c r="G150" s="3"/>
      <x:c r="H150" s="3"/>
      <x:c r="I150" s="3"/>
      <x:c r="J150" s="10" t="n">
        <x:v>46001</x:v>
      </x:c>
      <x:c r="K150" s="8" t="n">
        <x:f>INDEX('Сводка'!$S$3:$S$397,U150)</x:f>
        <x:v>-28</x:v>
      </x:c>
      <x:c r="L150" s="8" t="n">
        <x:f>INDEX('Сводка'!$S$3:$S$397,V150)</x:f>
        <x:v>-20</x:v>
      </x:c>
      <x:c r="M150" s="8" t="n">
        <x:f>INDEX($K$388:$N$400,W150,1)*EXP(INDEX($K$388:$N$400,W150,2)*((J150-$T$405+1)/1000))+INDEX($O$388:$Z$400,W150,MONTH(J150))</x:f>
        <x:v>78.58677021729918</x:v>
      </x:c>
      <x:c r="N150" s="8" t="n">
        <x:f>K150-M150</x:f>
        <x:v>-106.58677021729918</x:v>
      </x:c>
      <x:c r="O150" s="8" t="n">
        <x:f>ABS(N150)</x:f>
        <x:v>106.58677021729918</x:v>
      </x:c>
      <x:c r="P150" s="8" t="n">
        <x:f>N150^2</x:f>
        <x:v>11360.739585355335</x:v>
      </x:c>
      <x:c r="Q150" s="8" t="n">
        <x:f>K150-L150</x:f>
        <x:v>-8</x:v>
      </x:c>
      <x:c r="R150" s="9" t="n">
        <x:f>IF(AND(INDEX('Сводка'!$T$3:$T$397,U150)=0,INDEX('Сводка'!$T$3:$T$397,V150)=0),1,0)</x:f>
        <x:v>1</x:v>
      </x:c>
      <x:c r="S150" s="9" t="n">
        <x:f>IF(AND(R150=1,O150&lt;=$G$13),1,0)</x:f>
        <x:v>0</x:v>
      </x:c>
      <x:c r="T150" s="10" t="n">
        <x:f>EOMONTH(J150-'Сводка'!$B$11,-1)</x:f>
        <x:v>45991</x:v>
      </x:c>
      <x:c r="U150" s="4" t="n">
        <x:f>MATCH(J150,'Сводка'!$R$3:$R$397,0)</x:f>
        <x:v>161</x:v>
      </x:c>
      <x:c r="V150" s="4" t="n">
        <x:f>MATCH(J150-'Сводка'!$B$11,'Сводка'!$R$3:$R$397,0)</x:f>
        <x:v>160</x:v>
      </x:c>
      <x:c r="W150" s="4" t="n">
        <x:f>MATCH(T150,$J$388:$J$400,0)</x:f>
        <x:v>6</x:v>
      </x:c>
      <x:c r="X150" s="3"/>
      <x:c r="Y150" s="3"/>
      <x:c r="Z150" s="3"/>
    </x:row>
    <x:row r="151" ht="15" customHeight="1">
      <x:c r="A151" s="3"/>
      <x:c r="B151" s="3"/>
      <x:c r="C151" s="3"/>
      <x:c r="D151" s="3"/>
      <x:c r="E151" s="3"/>
      <x:c r="F151" s="3"/>
      <x:c r="G151" s="3"/>
      <x:c r="H151" s="3"/>
      <x:c r="I151" s="3"/>
      <x:c r="J151" s="10" t="n">
        <x:v>46002</x:v>
      </x:c>
      <x:c r="K151" s="8" t="n">
        <x:f>INDEX('Сводка'!$S$3:$S$397,U151)</x:f>
        <x:v>-38</x:v>
      </x:c>
      <x:c r="L151" s="8" t="n">
        <x:f>INDEX('Сводка'!$S$3:$S$397,V151)</x:f>
        <x:v>-28</x:v>
      </x:c>
      <x:c r="M151" s="8" t="n">
        <x:f>INDEX($K$388:$N$400,W151,1)*EXP(INDEX($K$388:$N$400,W151,2)*((J151-$T$405+1)/1000))+INDEX($O$388:$Z$400,W151,MONTH(J151))</x:f>
        <x:v>78.62259690479678</x:v>
      </x:c>
      <x:c r="N151" s="8" t="n">
        <x:f>K151-M151</x:f>
        <x:v>-116.62259690479678</x:v>
      </x:c>
      <x:c r="O151" s="8" t="n">
        <x:f>ABS(N151)</x:f>
        <x:v>116.62259690479678</x:v>
      </x:c>
      <x:c r="P151" s="8" t="n">
        <x:f>N151^2</x:f>
        <x:v>13600.830108818715</x:v>
      </x:c>
      <x:c r="Q151" s="8" t="n">
        <x:f>K151-L151</x:f>
        <x:v>-10</x:v>
      </x:c>
      <x:c r="R151" s="9" t="n">
        <x:f>IF(AND(INDEX('Сводка'!$T$3:$T$397,U151)=0,INDEX('Сводка'!$T$3:$T$397,V151)=0),1,0)</x:f>
        <x:v>1</x:v>
      </x:c>
      <x:c r="S151" s="9" t="n">
        <x:f>IF(AND(R151=1,O151&lt;=$G$13),1,0)</x:f>
        <x:v>0</x:v>
      </x:c>
      <x:c r="T151" s="10" t="n">
        <x:f>EOMONTH(J151-'Сводка'!$B$11,-1)</x:f>
        <x:v>45991</x:v>
      </x:c>
      <x:c r="U151" s="4" t="n">
        <x:f>MATCH(J151,'Сводка'!$R$3:$R$397,0)</x:f>
        <x:v>162</x:v>
      </x:c>
      <x:c r="V151" s="4" t="n">
        <x:f>MATCH(J151-'Сводка'!$B$11,'Сводка'!$R$3:$R$397,0)</x:f>
        <x:v>161</x:v>
      </x:c>
      <x:c r="W151" s="4" t="n">
        <x:f>MATCH(T151,$J$388:$J$400,0)</x:f>
        <x:v>6</x:v>
      </x:c>
      <x:c r="X151" s="3"/>
      <x:c r="Y151" s="3"/>
      <x:c r="Z151" s="3"/>
    </x:row>
    <x:row r="152" ht="15" customHeight="1">
      <x:c r="A152" s="3"/>
      <x:c r="B152" s="3"/>
      <x:c r="C152" s="3"/>
      <x:c r="D152" s="3"/>
      <x:c r="E152" s="3"/>
      <x:c r="F152" s="3"/>
      <x:c r="G152" s="3"/>
      <x:c r="H152" s="3"/>
      <x:c r="I152" s="3"/>
      <x:c r="J152" s="10" t="n">
        <x:v>46003</x:v>
      </x:c>
      <x:c r="K152" s="8" t="n">
        <x:f>INDEX('Сводка'!$S$3:$S$397,U152)</x:f>
        <x:v>-37.7</x:v>
      </x:c>
      <x:c r="L152" s="8" t="n">
        <x:f>INDEX('Сводка'!$S$3:$S$397,V152)</x:f>
        <x:v>-38</x:v>
      </x:c>
      <x:c r="M152" s="8" t="n">
        <x:f>INDEX($K$388:$N$400,W152,1)*EXP(INDEX($K$388:$N$400,W152,2)*((J152-$T$405+1)/1000))+INDEX($O$388:$Z$400,W152,MONTH(J152))</x:f>
        <x:v>78.65843168083043</x:v>
      </x:c>
      <x:c r="N152" s="8" t="n">
        <x:f>K152-M152</x:f>
        <x:v>-116.35843168083044</x:v>
      </x:c>
      <x:c r="O152" s="8" t="n">
        <x:f>ABS(N152)</x:f>
        <x:v>116.35843168083044</x:v>
      </x:c>
      <x:c r="P152" s="8" t="n">
        <x:f>N152^2</x:f>
        <x:v>13539.284623222484</x:v>
      </x:c>
      <x:c r="Q152" s="8" t="n">
        <x:f>K152-L152</x:f>
        <x:v>0.29999999999999716</x:v>
      </x:c>
      <x:c r="R152" s="9" t="n">
        <x:f>IF(AND(INDEX('Сводка'!$T$3:$T$397,U152)=0,INDEX('Сводка'!$T$3:$T$397,V152)=0),1,0)</x:f>
        <x:v>0</x:v>
      </x:c>
      <x:c r="S152" s="9" t="n">
        <x:f>IF(AND(R152=1,O152&lt;=$G$13),1,0)</x:f>
        <x:v>0</x:v>
      </x:c>
      <x:c r="T152" s="10" t="n">
        <x:f>EOMONTH(J152-'Сводка'!$B$11,-1)</x:f>
        <x:v>45991</x:v>
      </x:c>
      <x:c r="U152" s="4" t="n">
        <x:f>MATCH(J152,'Сводка'!$R$3:$R$397,0)</x:f>
        <x:v>163</x:v>
      </x:c>
      <x:c r="V152" s="4" t="n">
        <x:f>MATCH(J152-'Сводка'!$B$11,'Сводка'!$R$3:$R$397,0)</x:f>
        <x:v>162</x:v>
      </x:c>
      <x:c r="W152" s="4" t="n">
        <x:f>MATCH(T152,$J$388:$J$400,0)</x:f>
        <x:v>6</x:v>
      </x:c>
      <x:c r="X152" s="3"/>
      <x:c r="Y152" s="3"/>
      <x:c r="Z152" s="3"/>
    </x:row>
    <x:row r="153" ht="15" customHeight="1">
      <x:c r="A153" s="3"/>
      <x:c r="B153" s="3"/>
      <x:c r="C153" s="3"/>
      <x:c r="D153" s="3"/>
      <x:c r="E153" s="3"/>
      <x:c r="F153" s="3"/>
      <x:c r="G153" s="3"/>
      <x:c r="H153" s="3"/>
      <x:c r="I153" s="3"/>
      <x:c r="J153" s="10" t="n">
        <x:v>46004</x:v>
      </x:c>
      <x:c r="K153" s="8" t="n">
        <x:f>INDEX('Сводка'!$S$3:$S$397,U153)</x:f>
        <x:v>-37.3</x:v>
      </x:c>
      <x:c r="L153" s="8" t="n">
        <x:f>INDEX('Сводка'!$S$3:$S$397,V153)</x:f>
        <x:v>-37.7</x:v>
      </x:c>
      <x:c r="M153" s="8" t="n">
        <x:f>INDEX($K$388:$N$400,W153,1)*EXP(INDEX($K$388:$N$400,W153,2)*((J153-$T$405+1)/1000))+INDEX($O$388:$Z$400,W153,MONTH(J153))</x:f>
        <x:v>78.69427454722634</x:v>
      </x:c>
      <x:c r="N153" s="8" t="n">
        <x:f>K153-M153</x:f>
        <x:v>-115.99427454722634</x:v>
      </x:c>
      <x:c r="O153" s="8" t="n">
        <x:f>ABS(N153)</x:f>
        <x:v>115.99427454722634</x:v>
      </x:c>
      <x:c r="P153" s="8" t="n">
        <x:f>N153^2</x:f>
        <x:v>13454.67172773732</x:v>
      </x:c>
      <x:c r="Q153" s="8" t="n">
        <x:f>K153-L153</x:f>
        <x:v>0.4000000000000057</x:v>
      </x:c>
      <x:c r="R153" s="9" t="n">
        <x:f>IF(AND(INDEX('Сводка'!$T$3:$T$397,U153)=0,INDEX('Сводка'!$T$3:$T$397,V153)=0),1,0)</x:f>
        <x:v>0</x:v>
      </x:c>
      <x:c r="S153" s="9" t="n">
        <x:f>IF(AND(R153=1,O153&lt;=$G$13),1,0)</x:f>
        <x:v>0</x:v>
      </x:c>
      <x:c r="T153" s="10" t="n">
        <x:f>EOMONTH(J153-'Сводка'!$B$11,-1)</x:f>
        <x:v>45991</x:v>
      </x:c>
      <x:c r="U153" s="4" t="n">
        <x:f>MATCH(J153,'Сводка'!$R$3:$R$397,0)</x:f>
        <x:v>164</x:v>
      </x:c>
      <x:c r="V153" s="4" t="n">
        <x:f>MATCH(J153-'Сводка'!$B$11,'Сводка'!$R$3:$R$397,0)</x:f>
        <x:v>163</x:v>
      </x:c>
      <x:c r="W153" s="4" t="n">
        <x:f>MATCH(T153,$J$388:$J$400,0)</x:f>
        <x:v>6</x:v>
      </x:c>
      <x:c r="X153" s="3"/>
      <x:c r="Y153" s="3"/>
      <x:c r="Z153" s="3"/>
    </x:row>
    <x:row r="154" ht="15" customHeight="1">
      <x:c r="A154" s="3"/>
      <x:c r="B154" s="3"/>
      <x:c r="C154" s="3"/>
      <x:c r="D154" s="3"/>
      <x:c r="E154" s="3"/>
      <x:c r="F154" s="3"/>
      <x:c r="G154" s="3"/>
      <x:c r="H154" s="3"/>
      <x:c r="I154" s="3"/>
      <x:c r="J154" s="10" t="n">
        <x:v>46005</x:v>
      </x:c>
      <x:c r="K154" s="8" t="n">
        <x:f>INDEX('Сводка'!$S$3:$S$397,U154)</x:f>
        <x:v>-37</x:v>
      </x:c>
      <x:c r="L154" s="8" t="n">
        <x:f>INDEX('Сводка'!$S$3:$S$397,V154)</x:f>
        <x:v>-37.3</x:v>
      </x:c>
      <x:c r="M154" s="8" t="n">
        <x:f>INDEX($K$388:$N$400,W154,1)*EXP(INDEX($K$388:$N$400,W154,2)*((J154-$T$405+1)/1000))+INDEX($O$388:$Z$400,W154,MONTH(J154))</x:f>
        <x:v>78.73012550581112</x:v>
      </x:c>
      <x:c r="N154" s="8" t="n">
        <x:f>K154-M154</x:f>
        <x:v>-115.73012550581112</x:v>
      </x:c>
      <x:c r="O154" s="8" t="n">
        <x:f>ABS(N154)</x:f>
        <x:v>115.73012550581112</x:v>
      </x:c>
      <x:c r="P154" s="8" t="n">
        <x:f>N154^2</x:f>
        <x:v>13393.461949590794</x:v>
      </x:c>
      <x:c r="Q154" s="8" t="n">
        <x:f>K154-L154</x:f>
        <x:v>0.29999999999999716</x:v>
      </x:c>
      <x:c r="R154" s="9" t="n">
        <x:f>IF(AND(INDEX('Сводка'!$T$3:$T$397,U154)=0,INDEX('Сводка'!$T$3:$T$397,V154)=0),1,0)</x:f>
        <x:v>0</x:v>
      </x:c>
      <x:c r="S154" s="9" t="n">
        <x:f>IF(AND(R154=1,O154&lt;=$G$13),1,0)</x:f>
        <x:v>0</x:v>
      </x:c>
      <x:c r="T154" s="10" t="n">
        <x:f>EOMONTH(J154-'Сводка'!$B$11,-1)</x:f>
        <x:v>45991</x:v>
      </x:c>
      <x:c r="U154" s="4" t="n">
        <x:f>MATCH(J154,'Сводка'!$R$3:$R$397,0)</x:f>
        <x:v>165</x:v>
      </x:c>
      <x:c r="V154" s="4" t="n">
        <x:f>MATCH(J154-'Сводка'!$B$11,'Сводка'!$R$3:$R$397,0)</x:f>
        <x:v>164</x:v>
      </x:c>
      <x:c r="W154" s="4" t="n">
        <x:f>MATCH(T154,$J$388:$J$400,0)</x:f>
        <x:v>6</x:v>
      </x:c>
      <x:c r="X154" s="3"/>
      <x:c r="Y154" s="3"/>
      <x:c r="Z154" s="3"/>
    </x:row>
    <x:row r="155" ht="15" customHeight="1">
      <x:c r="A155" s="3"/>
      <x:c r="B155" s="3"/>
      <x:c r="C155" s="3"/>
      <x:c r="D155" s="3"/>
      <x:c r="E155" s="3"/>
      <x:c r="F155" s="3"/>
      <x:c r="G155" s="3"/>
      <x:c r="H155" s="3"/>
      <x:c r="I155" s="3"/>
      <x:c r="J155" s="10" t="n">
        <x:v>46006</x:v>
      </x:c>
      <x:c r="K155" s="8" t="n">
        <x:f>INDEX('Сводка'!$S$3:$S$397,U155)</x:f>
        <x:v>-37</x:v>
      </x:c>
      <x:c r="L155" s="8" t="n">
        <x:f>INDEX('Сводка'!$S$3:$S$397,V155)</x:f>
        <x:v>-37</x:v>
      </x:c>
      <x:c r="M155" s="8" t="n">
        <x:f>INDEX($K$388:$N$400,W155,1)*EXP(INDEX($K$388:$N$400,W155,2)*((J155-$T$405+1)/1000))+INDEX($O$388:$Z$400,W155,MONTH(J155))</x:f>
        <x:v>78.76598455841159</x:v>
      </x:c>
      <x:c r="N155" s="8" t="n">
        <x:f>K155-M155</x:f>
        <x:v>-115.76598455841159</x:v>
      </x:c>
      <x:c r="O155" s="8" t="n">
        <x:f>ABS(N155)</x:f>
        <x:v>115.76598455841159</x:v>
      </x:c>
      <x:c r="P155" s="8" t="n">
        <x:f>N155^2</x:f>
        <x:v>13401.763180778391</x:v>
      </x:c>
      <x:c r="Q155" s="8" t="n">
        <x:f>K155-L155</x:f>
        <x:v>0</x:v>
      </x:c>
      <x:c r="R155" s="9" t="n">
        <x:f>IF(AND(INDEX('Сводка'!$T$3:$T$397,U155)=0,INDEX('Сводка'!$T$3:$T$397,V155)=0),1,0)</x:f>
        <x:v>1</x:v>
      </x:c>
      <x:c r="S155" s="9" t="n">
        <x:f>IF(AND(R155=1,O155&lt;=$G$13),1,0)</x:f>
        <x:v>0</x:v>
      </x:c>
      <x:c r="T155" s="10" t="n">
        <x:f>EOMONTH(J155-'Сводка'!$B$11,-1)</x:f>
        <x:v>45991</x:v>
      </x:c>
      <x:c r="U155" s="4" t="n">
        <x:f>MATCH(J155,'Сводка'!$R$3:$R$397,0)</x:f>
        <x:v>166</x:v>
      </x:c>
      <x:c r="V155" s="4" t="n">
        <x:f>MATCH(J155-'Сводка'!$B$11,'Сводка'!$R$3:$R$397,0)</x:f>
        <x:v>165</x:v>
      </x:c>
      <x:c r="W155" s="4" t="n">
        <x:f>MATCH(T155,$J$388:$J$400,0)</x:f>
        <x:v>6</x:v>
      </x:c>
      <x:c r="X155" s="3"/>
      <x:c r="Y155" s="3"/>
      <x:c r="Z155" s="3"/>
    </x:row>
    <x:row r="156" ht="15" customHeight="1">
      <x:c r="A156" s="3"/>
      <x:c r="B156" s="3"/>
      <x:c r="C156" s="3"/>
      <x:c r="D156" s="3"/>
      <x:c r="E156" s="3"/>
      <x:c r="F156" s="3"/>
      <x:c r="G156" s="3"/>
      <x:c r="H156" s="3"/>
      <x:c r="I156" s="3"/>
      <x:c r="J156" s="10" t="n">
        <x:v>46007</x:v>
      </x:c>
      <x:c r="K156" s="8" t="n">
        <x:f>INDEX('Сводка'!$S$3:$S$397,U156)</x:f>
        <x:v>-41</x:v>
      </x:c>
      <x:c r="L156" s="8" t="n">
        <x:f>INDEX('Сводка'!$S$3:$S$397,V156)</x:f>
        <x:v>-37</x:v>
      </x:c>
      <x:c r="M156" s="8" t="n">
        <x:f>INDEX($K$388:$N$400,W156,1)*EXP(INDEX($K$388:$N$400,W156,2)*((J156-$T$405+1)/1000))+INDEX($O$388:$Z$400,W156,MONTH(J156))</x:f>
        <x:v>78.80185170685519</x:v>
      </x:c>
      <x:c r="N156" s="8" t="n">
        <x:f>K156-M156</x:f>
        <x:v>-119.80185170685519</x:v>
      </x:c>
      <x:c r="O156" s="8" t="n">
        <x:f>ABS(N156)</x:f>
        <x:v>119.80185170685519</x:v>
      </x:c>
      <x:c r="P156" s="8" t="n">
        <x:f>N156^2</x:f>
        <x:v>14352.483672391321</x:v>
      </x:c>
      <x:c r="Q156" s="8" t="n">
        <x:f>K156-L156</x:f>
        <x:v>-4</x:v>
      </x:c>
      <x:c r="R156" s="9" t="n">
        <x:f>IF(AND(INDEX('Сводка'!$T$3:$T$397,U156)=0,INDEX('Сводка'!$T$3:$T$397,V156)=0),1,0)</x:f>
        <x:v>1</x:v>
      </x:c>
      <x:c r="S156" s="9" t="n">
        <x:f>IF(AND(R156=1,O156&lt;=$G$13),1,0)</x:f>
        <x:v>0</x:v>
      </x:c>
      <x:c r="T156" s="10" t="n">
        <x:f>EOMONTH(J156-'Сводка'!$B$11,-1)</x:f>
        <x:v>45991</x:v>
      </x:c>
      <x:c r="U156" s="4" t="n">
        <x:f>MATCH(J156,'Сводка'!$R$3:$R$397,0)</x:f>
        <x:v>167</x:v>
      </x:c>
      <x:c r="V156" s="4" t="n">
        <x:f>MATCH(J156-'Сводка'!$B$11,'Сводка'!$R$3:$R$397,0)</x:f>
        <x:v>166</x:v>
      </x:c>
      <x:c r="W156" s="4" t="n">
        <x:f>MATCH(T156,$J$388:$J$400,0)</x:f>
        <x:v>6</x:v>
      </x:c>
      <x:c r="X156" s="3"/>
      <x:c r="Y156" s="3"/>
      <x:c r="Z156" s="3"/>
    </x:row>
    <x:row r="157" ht="15" customHeight="1">
      <x:c r="A157" s="3"/>
      <x:c r="B157" s="3"/>
      <x:c r="C157" s="3"/>
      <x:c r="D157" s="3"/>
      <x:c r="E157" s="3"/>
      <x:c r="F157" s="3"/>
      <x:c r="G157" s="3"/>
      <x:c r="H157" s="3"/>
      <x:c r="I157" s="3"/>
      <x:c r="J157" s="10" t="n">
        <x:v>46008</x:v>
      </x:c>
      <x:c r="K157" s="8" t="n">
        <x:f>INDEX('Сводка'!$S$3:$S$397,U157)</x:f>
        <x:v>-35</x:v>
      </x:c>
      <x:c r="L157" s="8" t="n">
        <x:f>INDEX('Сводка'!$S$3:$S$397,V157)</x:f>
        <x:v>-41</x:v>
      </x:c>
      <x:c r="M157" s="8" t="n">
        <x:f>INDEX($K$388:$N$400,W157,1)*EXP(INDEX($K$388:$N$400,W157,2)*((J157-$T$405+1)/1000))+INDEX($O$388:$Z$400,W157,MONTH(J157))</x:f>
        <x:v>78.83772695296977</x:v>
      </x:c>
      <x:c r="N157" s="8" t="n">
        <x:f>K157-M157</x:f>
        <x:v>-113.83772695296977</x:v>
      </x:c>
      <x:c r="O157" s="8" t="n">
        <x:f>ABS(N157)</x:f>
        <x:v>113.83772695296977</x:v>
      </x:c>
      <x:c r="P157" s="8" t="n">
        <x:f>N157^2</x:f>
        <x:v>12959.0280778189</x:v>
      </x:c>
      <x:c r="Q157" s="8" t="n">
        <x:f>K157-L157</x:f>
        <x:v>6</x:v>
      </x:c>
      <x:c r="R157" s="9" t="n">
        <x:f>IF(AND(INDEX('Сводка'!$T$3:$T$397,U157)=0,INDEX('Сводка'!$T$3:$T$397,V157)=0),1,0)</x:f>
        <x:v>1</x:v>
      </x:c>
      <x:c r="S157" s="9" t="n">
        <x:f>IF(AND(R157=1,O157&lt;=$G$13),1,0)</x:f>
        <x:v>0</x:v>
      </x:c>
      <x:c r="T157" s="10" t="n">
        <x:f>EOMONTH(J157-'Сводка'!$B$11,-1)</x:f>
        <x:v>45991</x:v>
      </x:c>
      <x:c r="U157" s="4" t="n">
        <x:f>MATCH(J157,'Сводка'!$R$3:$R$397,0)</x:f>
        <x:v>168</x:v>
      </x:c>
      <x:c r="V157" s="4" t="n">
        <x:f>MATCH(J157-'Сводка'!$B$11,'Сводка'!$R$3:$R$397,0)</x:f>
        <x:v>167</x:v>
      </x:c>
      <x:c r="W157" s="4" t="n">
        <x:f>MATCH(T157,$J$388:$J$400,0)</x:f>
        <x:v>6</x:v>
      </x:c>
      <x:c r="X157" s="3"/>
      <x:c r="Y157" s="3"/>
      <x:c r="Z157" s="3"/>
    </x:row>
    <x:row r="158" ht="15" customHeight="1">
      <x:c r="A158" s="3"/>
      <x:c r="B158" s="3"/>
      <x:c r="C158" s="3"/>
      <x:c r="D158" s="3"/>
      <x:c r="E158" s="3"/>
      <x:c r="F158" s="3"/>
      <x:c r="G158" s="3"/>
      <x:c r="H158" s="3"/>
      <x:c r="I158" s="3"/>
      <x:c r="J158" s="10" t="n">
        <x:v>46009</x:v>
      </x:c>
      <x:c r="K158" s="8" t="n">
        <x:f>INDEX('Сводка'!$S$3:$S$397,U158)</x:f>
        <x:v>-33</x:v>
      </x:c>
      <x:c r="L158" s="8" t="n">
        <x:f>INDEX('Сводка'!$S$3:$S$397,V158)</x:f>
        <x:v>-35</x:v>
      </x:c>
      <x:c r="M158" s="8" t="n">
        <x:f>INDEX($K$388:$N$400,W158,1)*EXP(INDEX($K$388:$N$400,W158,2)*((J158-$T$405+1)/1000))+INDEX($O$388:$Z$400,W158,MONTH(J158))</x:f>
        <x:v>78.8736102985834</x:v>
      </x:c>
      <x:c r="N158" s="8" t="n">
        <x:f>K158-M158</x:f>
        <x:v>-111.8736102985834</x:v>
      </x:c>
      <x:c r="O158" s="8" t="n">
        <x:f>ABS(N158)</x:f>
        <x:v>111.8736102985834</x:v>
      </x:c>
      <x:c r="P158" s="8" t="n">
        <x:f>N158^2</x:f>
        <x:v>12515.704681239306</x:v>
      </x:c>
      <x:c r="Q158" s="8" t="n">
        <x:f>K158-L158</x:f>
        <x:v>2</x:v>
      </x:c>
      <x:c r="R158" s="9" t="n">
        <x:f>IF(AND(INDEX('Сводка'!$T$3:$T$397,U158)=0,INDEX('Сводка'!$T$3:$T$397,V158)=0),1,0)</x:f>
        <x:v>1</x:v>
      </x:c>
      <x:c r="S158" s="9" t="n">
        <x:f>IF(AND(R158=1,O158&lt;=$G$13),1,0)</x:f>
        <x:v>0</x:v>
      </x:c>
      <x:c r="T158" s="10" t="n">
        <x:f>EOMONTH(J158-'Сводка'!$B$11,-1)</x:f>
        <x:v>45991</x:v>
      </x:c>
      <x:c r="U158" s="4" t="n">
        <x:f>MATCH(J158,'Сводка'!$R$3:$R$397,0)</x:f>
        <x:v>169</x:v>
      </x:c>
      <x:c r="V158" s="4" t="n">
        <x:f>MATCH(J158-'Сводка'!$B$11,'Сводка'!$R$3:$R$397,0)</x:f>
        <x:v>168</x:v>
      </x:c>
      <x:c r="W158" s="4" t="n">
        <x:f>MATCH(T158,$J$388:$J$400,0)</x:f>
        <x:v>6</x:v>
      </x:c>
      <x:c r="X158" s="3"/>
      <x:c r="Y158" s="3"/>
      <x:c r="Z158" s="3"/>
    </x:row>
    <x:row r="159" ht="15" customHeight="1">
      <x:c r="A159" s="3"/>
      <x:c r="B159" s="3"/>
      <x:c r="C159" s="3"/>
      <x:c r="D159" s="3"/>
      <x:c r="E159" s="3"/>
      <x:c r="F159" s="3"/>
      <x:c r="G159" s="3"/>
      <x:c r="H159" s="3"/>
      <x:c r="I159" s="3"/>
      <x:c r="J159" s="10" t="n">
        <x:v>46010</x:v>
      </x:c>
      <x:c r="K159" s="8" t="n">
        <x:f>INDEX('Сводка'!$S$3:$S$397,U159)</x:f>
        <x:v>-31</x:v>
      </x:c>
      <x:c r="L159" s="8" t="n">
        <x:f>INDEX('Сводка'!$S$3:$S$397,V159)</x:f>
        <x:v>-33</x:v>
      </x:c>
      <x:c r="M159" s="8" t="n">
        <x:f>INDEX($K$388:$N$400,W159,1)*EXP(INDEX($K$388:$N$400,W159,2)*((J159-$T$405+1)/1000))+INDEX($O$388:$Z$400,W159,MONTH(J159))</x:f>
        <x:v>78.90950174552475</x:v>
      </x:c>
      <x:c r="N159" s="8" t="n">
        <x:f>K159-M159</x:f>
        <x:v>-109.90950174552475</x:v>
      </x:c>
      <x:c r="O159" s="8" t="n">
        <x:f>ABS(N159)</x:f>
        <x:v>109.90950174552475</x:v>
      </x:c>
      <x:c r="P159" s="8" t="n">
        <x:f>N159^2</x:f>
        <x:v>12080.098573949508</x:v>
      </x:c>
      <x:c r="Q159" s="8" t="n">
        <x:f>K159-L159</x:f>
        <x:v>2</x:v>
      </x:c>
      <x:c r="R159" s="9" t="n">
        <x:f>IF(AND(INDEX('Сводка'!$T$3:$T$397,U159)=0,INDEX('Сводка'!$T$3:$T$397,V159)=0),1,0)</x:f>
        <x:v>1</x:v>
      </x:c>
      <x:c r="S159" s="9" t="n">
        <x:f>IF(AND(R159=1,O159&lt;=$G$13),1,0)</x:f>
        <x:v>0</x:v>
      </x:c>
      <x:c r="T159" s="10" t="n">
        <x:f>EOMONTH(J159-'Сводка'!$B$11,-1)</x:f>
        <x:v>45991</x:v>
      </x:c>
      <x:c r="U159" s="4" t="n">
        <x:f>MATCH(J159,'Сводка'!$R$3:$R$397,0)</x:f>
        <x:v>170</x:v>
      </x:c>
      <x:c r="V159" s="4" t="n">
        <x:f>MATCH(J159-'Сводка'!$B$11,'Сводка'!$R$3:$R$397,0)</x:f>
        <x:v>169</x:v>
      </x:c>
      <x:c r="W159" s="4" t="n">
        <x:f>MATCH(T159,$J$388:$J$400,0)</x:f>
        <x:v>6</x:v>
      </x:c>
      <x:c r="X159" s="3"/>
      <x:c r="Y159" s="3"/>
      <x:c r="Z159" s="3"/>
    </x:row>
    <x:row r="160" ht="15" customHeight="1">
      <x:c r="A160" s="3"/>
      <x:c r="B160" s="3"/>
      <x:c r="C160" s="3"/>
      <x:c r="D160" s="3"/>
      <x:c r="E160" s="3"/>
      <x:c r="F160" s="3"/>
      <x:c r="G160" s="3"/>
      <x:c r="H160" s="3"/>
      <x:c r="I160" s="3"/>
      <x:c r="J160" s="10" t="n">
        <x:v>46011</x:v>
      </x:c>
      <x:c r="K160" s="8" t="n">
        <x:f>INDEX('Сводка'!$S$3:$S$397,U160)</x:f>
        <x:v>-31</x:v>
      </x:c>
      <x:c r="L160" s="8" t="n">
        <x:f>INDEX('Сводка'!$S$3:$S$397,V160)</x:f>
        <x:v>-31</x:v>
      </x:c>
      <x:c r="M160" s="8" t="n">
        <x:f>INDEX($K$388:$N$400,W160,1)*EXP(INDEX($K$388:$N$400,W160,2)*((J160-$T$405+1)/1000))+INDEX($O$388:$Z$400,W160,MONTH(J160))</x:f>
        <x:v>78.94540129562293</x:v>
      </x:c>
      <x:c r="N160" s="8" t="n">
        <x:f>K160-M160</x:f>
        <x:v>-109.94540129562293</x:v>
      </x:c>
      <x:c r="O160" s="8" t="n">
        <x:f>ABS(N160)</x:f>
        <x:v>109.94540129562293</x:v>
      </x:c>
      <x:c r="P160" s="8" t="n">
        <x:f>N160^2</x:f>
        <x:v>12087.991266055564</x:v>
      </x:c>
      <x:c r="Q160" s="8" t="n">
        <x:f>K160-L160</x:f>
        <x:v>0</x:v>
      </x:c>
      <x:c r="R160" s="9" t="n">
        <x:f>IF(AND(INDEX('Сводка'!$T$3:$T$397,U160)=0,INDEX('Сводка'!$T$3:$T$397,V160)=0),1,0)</x:f>
        <x:v>1</x:v>
      </x:c>
      <x:c r="S160" s="9" t="n">
        <x:f>IF(AND(R160=1,O160&lt;=$G$13),1,0)</x:f>
        <x:v>0</x:v>
      </x:c>
      <x:c r="T160" s="10" t="n">
        <x:f>EOMONTH(J160-'Сводка'!$B$11,-1)</x:f>
        <x:v>45991</x:v>
      </x:c>
      <x:c r="U160" s="4" t="n">
        <x:f>MATCH(J160,'Сводка'!$R$3:$R$397,0)</x:f>
        <x:v>171</x:v>
      </x:c>
      <x:c r="V160" s="4" t="n">
        <x:f>MATCH(J160-'Сводка'!$B$11,'Сводка'!$R$3:$R$397,0)</x:f>
        <x:v>170</x:v>
      </x:c>
      <x:c r="W160" s="4" t="n">
        <x:f>MATCH(T160,$J$388:$J$400,0)</x:f>
        <x:v>6</x:v>
      </x:c>
      <x:c r="X160" s="3"/>
      <x:c r="Y160" s="3"/>
      <x:c r="Z160" s="3"/>
    </x:row>
    <x:row r="161" ht="15" customHeight="1">
      <x:c r="A161" s="3"/>
      <x:c r="B161" s="3"/>
      <x:c r="C161" s="3"/>
      <x:c r="D161" s="3"/>
      <x:c r="E161" s="3"/>
      <x:c r="F161" s="3"/>
      <x:c r="G161" s="3"/>
      <x:c r="H161" s="3"/>
      <x:c r="I161" s="3"/>
      <x:c r="J161" s="10" t="n">
        <x:v>46012</x:v>
      </x:c>
      <x:c r="K161" s="8" t="n">
        <x:f>INDEX('Сводка'!$S$3:$S$397,U161)</x:f>
        <x:v>-30</x:v>
      </x:c>
      <x:c r="L161" s="8" t="n">
        <x:f>INDEX('Сводка'!$S$3:$S$397,V161)</x:f>
        <x:v>-31</x:v>
      </x:c>
      <x:c r="M161" s="8" t="n">
        <x:f>INDEX($K$388:$N$400,W161,1)*EXP(INDEX($K$388:$N$400,W161,2)*((J161-$T$405+1)/1000))+INDEX($O$388:$Z$400,W161,MONTH(J161))</x:f>
        <x:v>78.98130895070724</x:v>
      </x:c>
      <x:c r="N161" s="8" t="n">
        <x:f>K161-M161</x:f>
        <x:v>-108.98130895070724</x:v>
      </x:c>
      <x:c r="O161" s="8" t="n">
        <x:f>ABS(N161)</x:f>
        <x:v>108.98130895070724</x:v>
      </x:c>
      <x:c r="P161" s="8" t="n">
        <x:f>N161^2</x:f>
        <x:v>11876.925700609503</x:v>
      </x:c>
      <x:c r="Q161" s="8" t="n">
        <x:f>K161-L161</x:f>
        <x:v>1</x:v>
      </x:c>
      <x:c r="R161" s="9" t="n">
        <x:f>IF(AND(INDEX('Сводка'!$T$3:$T$397,U161)=0,INDEX('Сводка'!$T$3:$T$397,V161)=0),1,0)</x:f>
        <x:v>1</x:v>
      </x:c>
      <x:c r="S161" s="9" t="n">
        <x:f>IF(AND(R161=1,O161&lt;=$G$13),1,0)</x:f>
        <x:v>0</x:v>
      </x:c>
      <x:c r="T161" s="10" t="n">
        <x:f>EOMONTH(J161-'Сводка'!$B$11,-1)</x:f>
        <x:v>45991</x:v>
      </x:c>
      <x:c r="U161" s="4" t="n">
        <x:f>MATCH(J161,'Сводка'!$R$3:$R$397,0)</x:f>
        <x:v>172</x:v>
      </x:c>
      <x:c r="V161" s="4" t="n">
        <x:f>MATCH(J161-'Сводка'!$B$11,'Сводка'!$R$3:$R$397,0)</x:f>
        <x:v>171</x:v>
      </x:c>
      <x:c r="W161" s="4" t="n">
        <x:f>MATCH(T161,$J$388:$J$400,0)</x:f>
        <x:v>6</x:v>
      </x:c>
      <x:c r="X161" s="3"/>
      <x:c r="Y161" s="3"/>
      <x:c r="Z161" s="3"/>
    </x:row>
    <x:row r="162" ht="15" customHeight="1">
      <x:c r="A162" s="3"/>
      <x:c r="B162" s="3"/>
      <x:c r="C162" s="3"/>
      <x:c r="D162" s="3"/>
      <x:c r="E162" s="3"/>
      <x:c r="F162" s="3"/>
      <x:c r="G162" s="3"/>
      <x:c r="H162" s="3"/>
      <x:c r="I162" s="3"/>
      <x:c r="J162" s="10" t="n">
        <x:v>46013</x:v>
      </x:c>
      <x:c r="K162" s="8" t="n">
        <x:f>INDEX('Сводка'!$S$3:$S$397,U162)</x:f>
        <x:v>-27</x:v>
      </x:c>
      <x:c r="L162" s="8" t="n">
        <x:f>INDEX('Сводка'!$S$3:$S$397,V162)</x:f>
        <x:v>-30</x:v>
      </x:c>
      <x:c r="M162" s="8" t="n">
        <x:f>INDEX($K$388:$N$400,W162,1)*EXP(INDEX($K$388:$N$400,W162,2)*((J162-$T$405+1)/1000))+INDEX($O$388:$Z$400,W162,MONTH(J162))</x:f>
        <x:v>79.01722471260757</x:v>
      </x:c>
      <x:c r="N162" s="8" t="n">
        <x:f>K162-M162</x:f>
        <x:v>-106.01722471260757</x:v>
      </x:c>
      <x:c r="O162" s="8" t="n">
        <x:f>ABS(N162)</x:f>
        <x:v>106.01722471260757</x:v>
      </x:c>
      <x:c r="P162" s="8" t="n">
        <x:f>N162^2</x:f>
        <x:v>11239.65193576353</x:v>
      </x:c>
      <x:c r="Q162" s="8" t="n">
        <x:f>K162-L162</x:f>
        <x:v>3</x:v>
      </x:c>
      <x:c r="R162" s="9" t="n">
        <x:f>IF(AND(INDEX('Сводка'!$T$3:$T$397,U162)=0,INDEX('Сводка'!$T$3:$T$397,V162)=0),1,0)</x:f>
        <x:v>1</x:v>
      </x:c>
      <x:c r="S162" s="9" t="n">
        <x:f>IF(AND(R162=1,O162&lt;=$G$13),1,0)</x:f>
        <x:v>0</x:v>
      </x:c>
      <x:c r="T162" s="10" t="n">
        <x:f>EOMONTH(J162-'Сводка'!$B$11,-1)</x:f>
        <x:v>45991</x:v>
      </x:c>
      <x:c r="U162" s="4" t="n">
        <x:f>MATCH(J162,'Сводка'!$R$3:$R$397,0)</x:f>
        <x:v>173</x:v>
      </x:c>
      <x:c r="V162" s="4" t="n">
        <x:f>MATCH(J162-'Сводка'!$B$11,'Сводка'!$R$3:$R$397,0)</x:f>
        <x:v>172</x:v>
      </x:c>
      <x:c r="W162" s="4" t="n">
        <x:f>MATCH(T162,$J$388:$J$400,0)</x:f>
        <x:v>6</x:v>
      </x:c>
      <x:c r="X162" s="3"/>
      <x:c r="Y162" s="3"/>
      <x:c r="Z162" s="3"/>
    </x:row>
    <x:row r="163" ht="15" customHeight="1">
      <x:c r="A163" s="3"/>
      <x:c r="B163" s="3"/>
      <x:c r="C163" s="3"/>
      <x:c r="D163" s="3"/>
      <x:c r="E163" s="3"/>
      <x:c r="F163" s="3"/>
      <x:c r="G163" s="3"/>
      <x:c r="H163" s="3"/>
      <x:c r="I163" s="3"/>
      <x:c r="J163" s="10" t="n">
        <x:v>46014</x:v>
      </x:c>
      <x:c r="K163" s="8" t="n">
        <x:f>INDEX('Сводка'!$S$3:$S$397,U163)</x:f>
        <x:v>-23</x:v>
      </x:c>
      <x:c r="L163" s="8" t="n">
        <x:f>INDEX('Сводка'!$S$3:$S$397,V163)</x:f>
        <x:v>-27</x:v>
      </x:c>
      <x:c r="M163" s="8" t="n">
        <x:f>INDEX($K$388:$N$400,W163,1)*EXP(INDEX($K$388:$N$400,W163,2)*((J163-$T$405+1)/1000))+INDEX($O$388:$Z$400,W163,MONTH(J163))</x:f>
        <x:v>79.05314858315421</x:v>
      </x:c>
      <x:c r="N163" s="8" t="n">
        <x:f>K163-M163</x:f>
        <x:v>-102.05314858315421</x:v>
      </x:c>
      <x:c r="O163" s="8" t="n">
        <x:f>ABS(N163)</x:f>
        <x:v>102.05314858315421</x:v>
      </x:c>
      <x:c r="P163" s="8" t="n">
        <x:f>N163^2</x:f>
        <x:v>10414.84513573535</x:v>
      </x:c>
      <x:c r="Q163" s="8" t="n">
        <x:f>K163-L163</x:f>
        <x:v>4</x:v>
      </x:c>
      <x:c r="R163" s="9" t="n">
        <x:f>IF(AND(INDEX('Сводка'!$T$3:$T$397,U163)=0,INDEX('Сводка'!$T$3:$T$397,V163)=0),1,0)</x:f>
        <x:v>1</x:v>
      </x:c>
      <x:c r="S163" s="9" t="n">
        <x:f>IF(AND(R163=1,O163&lt;=$G$13),1,0)</x:f>
        <x:v>0</x:v>
      </x:c>
      <x:c r="T163" s="10" t="n">
        <x:f>EOMONTH(J163-'Сводка'!$B$11,-1)</x:f>
        <x:v>45991</x:v>
      </x:c>
      <x:c r="U163" s="4" t="n">
        <x:f>MATCH(J163,'Сводка'!$R$3:$R$397,0)</x:f>
        <x:v>174</x:v>
      </x:c>
      <x:c r="V163" s="4" t="n">
        <x:f>MATCH(J163-'Сводка'!$B$11,'Сводка'!$R$3:$R$397,0)</x:f>
        <x:v>173</x:v>
      </x:c>
      <x:c r="W163" s="4" t="n">
        <x:f>MATCH(T163,$J$388:$J$400,0)</x:f>
        <x:v>6</x:v>
      </x:c>
      <x:c r="X163" s="3"/>
      <x:c r="Y163" s="3"/>
      <x:c r="Z163" s="3"/>
    </x:row>
    <x:row r="164" ht="15" customHeight="1">
      <x:c r="A164" s="3"/>
      <x:c r="B164" s="3"/>
      <x:c r="C164" s="3"/>
      <x:c r="D164" s="3"/>
      <x:c r="E164" s="3"/>
      <x:c r="F164" s="3"/>
      <x:c r="G164" s="3"/>
      <x:c r="H164" s="3"/>
      <x:c r="I164" s="3"/>
      <x:c r="J164" s="10" t="n">
        <x:v>46015</x:v>
      </x:c>
      <x:c r="K164" s="8" t="n">
        <x:f>INDEX('Сводка'!$S$3:$S$397,U164)</x:f>
        <x:v>-21</x:v>
      </x:c>
      <x:c r="L164" s="8" t="n">
        <x:f>INDEX('Сводка'!$S$3:$S$397,V164)</x:f>
        <x:v>-23</x:v>
      </x:c>
      <x:c r="M164" s="8" t="n">
        <x:f>INDEX($K$388:$N$400,W164,1)*EXP(INDEX($K$388:$N$400,W164,2)*((J164-$T$405+1)/1000))+INDEX($O$388:$Z$400,W164,MONTH(J164))</x:f>
        <x:v>79.08908056417786</x:v>
      </x:c>
      <x:c r="N164" s="8" t="n">
        <x:f>K164-M164</x:f>
        <x:v>-100.08908056417786</x:v>
      </x:c>
      <x:c r="O164" s="8" t="n">
        <x:f>ABS(N164)</x:f>
        <x:v>100.08908056417786</x:v>
      </x:c>
      <x:c r="P164" s="8" t="n">
        <x:f>N164^2</x:f>
        <x:v>10017.824048182487</x:v>
      </x:c>
      <x:c r="Q164" s="8" t="n">
        <x:f>K164-L164</x:f>
        <x:v>2</x:v>
      </x:c>
      <x:c r="R164" s="9" t="n">
        <x:f>IF(AND(INDEX('Сводка'!$T$3:$T$397,U164)=0,INDEX('Сводка'!$T$3:$T$397,V164)=0),1,0)</x:f>
        <x:v>1</x:v>
      </x:c>
      <x:c r="S164" s="9" t="n">
        <x:f>IF(AND(R164=1,O164&lt;=$G$13),1,0)</x:f>
        <x:v>0</x:v>
      </x:c>
      <x:c r="T164" s="10" t="n">
        <x:f>EOMONTH(J164-'Сводка'!$B$11,-1)</x:f>
        <x:v>45991</x:v>
      </x:c>
      <x:c r="U164" s="4" t="n">
        <x:f>MATCH(J164,'Сводка'!$R$3:$R$397,0)</x:f>
        <x:v>175</x:v>
      </x:c>
      <x:c r="V164" s="4" t="n">
        <x:f>MATCH(J164-'Сводка'!$B$11,'Сводка'!$R$3:$R$397,0)</x:f>
        <x:v>174</x:v>
      </x:c>
      <x:c r="W164" s="4" t="n">
        <x:f>MATCH(T164,$J$388:$J$400,0)</x:f>
        <x:v>6</x:v>
      </x:c>
      <x:c r="X164" s="3"/>
      <x:c r="Y164" s="3"/>
      <x:c r="Z164" s="3"/>
    </x:row>
    <x:row r="165" ht="15" customHeight="1">
      <x:c r="A165" s="3"/>
      <x:c r="B165" s="3"/>
      <x:c r="C165" s="3"/>
      <x:c r="D165" s="3"/>
      <x:c r="E165" s="3"/>
      <x:c r="F165" s="3"/>
      <x:c r="G165" s="3"/>
      <x:c r="H165" s="3"/>
      <x:c r="I165" s="3"/>
      <x:c r="J165" s="10" t="n">
        <x:v>46016</x:v>
      </x:c>
      <x:c r="K165" s="8" t="n">
        <x:f>INDEX('Сводка'!$S$3:$S$397,U165)</x:f>
        <x:v>-19</x:v>
      </x:c>
      <x:c r="L165" s="8" t="n">
        <x:f>INDEX('Сводка'!$S$3:$S$397,V165)</x:f>
        <x:v>-21</x:v>
      </x:c>
      <x:c r="M165" s="8" t="n">
        <x:f>INDEX($K$388:$N$400,W165,1)*EXP(INDEX($K$388:$N$400,W165,2)*((J165-$T$405+1)/1000))+INDEX($O$388:$Z$400,W165,MONTH(J165))</x:f>
        <x:v>79.12502065750954</x:v>
      </x:c>
      <x:c r="N165" s="8" t="n">
        <x:f>K165-M165</x:f>
        <x:v>-98.12502065750954</x:v>
      </x:c>
      <x:c r="O165" s="8" t="n">
        <x:f>ABS(N165)</x:f>
        <x:v>98.12502065750954</x:v>
      </x:c>
      <x:c r="P165" s="8" t="n">
        <x:f>N165^2</x:f>
        <x:v>9628.519679036674</x:v>
      </x:c>
      <x:c r="Q165" s="8" t="n">
        <x:f>K165-L165</x:f>
        <x:v>2</x:v>
      </x:c>
      <x:c r="R165" s="9" t="n">
        <x:f>IF(AND(INDEX('Сводка'!$T$3:$T$397,U165)=0,INDEX('Сводка'!$T$3:$T$397,V165)=0),1,0)</x:f>
        <x:v>1</x:v>
      </x:c>
      <x:c r="S165" s="9" t="n">
        <x:f>IF(AND(R165=1,O165&lt;=$G$13),1,0)</x:f>
        <x:v>0</x:v>
      </x:c>
      <x:c r="T165" s="10" t="n">
        <x:f>EOMONTH(J165-'Сводка'!$B$11,-1)</x:f>
        <x:v>45991</x:v>
      </x:c>
      <x:c r="U165" s="4" t="n">
        <x:f>MATCH(J165,'Сводка'!$R$3:$R$397,0)</x:f>
        <x:v>176</x:v>
      </x:c>
      <x:c r="V165" s="4" t="n">
        <x:f>MATCH(J165-'Сводка'!$B$11,'Сводка'!$R$3:$R$397,0)</x:f>
        <x:v>175</x:v>
      </x:c>
      <x:c r="W165" s="4" t="n">
        <x:f>MATCH(T165,$J$388:$J$400,0)</x:f>
        <x:v>6</x:v>
      </x:c>
      <x:c r="X165" s="3"/>
      <x:c r="Y165" s="3"/>
      <x:c r="Z165" s="3"/>
    </x:row>
    <x:row r="166" ht="15" customHeight="1">
      <x:c r="A166" s="3"/>
      <x:c r="B166" s="3"/>
      <x:c r="C166" s="3"/>
      <x:c r="D166" s="3"/>
      <x:c r="E166" s="3"/>
      <x:c r="F166" s="3"/>
      <x:c r="G166" s="3"/>
      <x:c r="H166" s="3"/>
      <x:c r="I166" s="3"/>
      <x:c r="J166" s="10" t="n">
        <x:v>46017</x:v>
      </x:c>
      <x:c r="K166" s="8" t="n">
        <x:f>INDEX('Сводка'!$S$3:$S$397,U166)</x:f>
        <x:v>-17</x:v>
      </x:c>
      <x:c r="L166" s="8" t="n">
        <x:f>INDEX('Сводка'!$S$3:$S$397,V166)</x:f>
        <x:v>-19</x:v>
      </x:c>
      <x:c r="M166" s="8" t="n">
        <x:f>INDEX($K$388:$N$400,W166,1)*EXP(INDEX($K$388:$N$400,W166,2)*((J166-$T$405+1)/1000))+INDEX($O$388:$Z$400,W166,MONTH(J166))</x:f>
        <x:v>79.16096886498079</x:v>
      </x:c>
      <x:c r="N166" s="8" t="n">
        <x:f>K166-M166</x:f>
        <x:v>-96.16096886498079</x:v>
      </x:c>
      <x:c r="O166" s="8" t="n">
        <x:f>ABS(N166)</x:f>
        <x:v>96.16096886498079</x:v>
      </x:c>
      <x:c r="P166" s="8" t="n">
        <x:f>N166^2</x:f>
        <x:v>9246.931933051805</x:v>
      </x:c>
      <x:c r="Q166" s="8" t="n">
        <x:f>K166-L166</x:f>
        <x:v>2</x:v>
      </x:c>
      <x:c r="R166" s="9" t="n">
        <x:f>IF(AND(INDEX('Сводка'!$T$3:$T$397,U166)=0,INDEX('Сводка'!$T$3:$T$397,V166)=0),1,0)</x:f>
        <x:v>1</x:v>
      </x:c>
      <x:c r="S166" s="9" t="n">
        <x:f>IF(AND(R166=1,O166&lt;=$G$13),1,0)</x:f>
        <x:v>0</x:v>
      </x:c>
      <x:c r="T166" s="10" t="n">
        <x:f>EOMONTH(J166-'Сводка'!$B$11,-1)</x:f>
        <x:v>45991</x:v>
      </x:c>
      <x:c r="U166" s="4" t="n">
        <x:f>MATCH(J166,'Сводка'!$R$3:$R$397,0)</x:f>
        <x:v>177</x:v>
      </x:c>
      <x:c r="V166" s="4" t="n">
        <x:f>MATCH(J166-'Сводка'!$B$11,'Сводка'!$R$3:$R$397,0)</x:f>
        <x:v>176</x:v>
      </x:c>
      <x:c r="W166" s="4" t="n">
        <x:f>MATCH(T166,$J$388:$J$400,0)</x:f>
        <x:v>6</x:v>
      </x:c>
      <x:c r="X166" s="3"/>
      <x:c r="Y166" s="3"/>
      <x:c r="Z166" s="3"/>
    </x:row>
    <x:row r="167" ht="15" customHeight="1">
      <x:c r="A167" s="3"/>
      <x:c r="B167" s="3"/>
      <x:c r="C167" s="3"/>
      <x:c r="D167" s="3"/>
      <x:c r="E167" s="3"/>
      <x:c r="F167" s="3"/>
      <x:c r="G167" s="3"/>
      <x:c r="H167" s="3"/>
      <x:c r="I167" s="3"/>
      <x:c r="J167" s="10" t="n">
        <x:v>46018</x:v>
      </x:c>
      <x:c r="K167" s="8" t="n">
        <x:f>INDEX('Сводка'!$S$3:$S$397,U167)</x:f>
        <x:v>-15</x:v>
      </x:c>
      <x:c r="L167" s="8" t="n">
        <x:f>INDEX('Сводка'!$S$3:$S$397,V167)</x:f>
        <x:v>-17</x:v>
      </x:c>
      <x:c r="M167" s="8" t="n">
        <x:f>INDEX($K$388:$N$400,W167,1)*EXP(INDEX($K$388:$N$400,W167,2)*((J167-$T$405+1)/1000))+INDEX($O$388:$Z$400,W167,MONTH(J167))</x:f>
        <x:v>79.19692518842362</x:v>
      </x:c>
      <x:c r="N167" s="8" t="n">
        <x:f>K167-M167</x:f>
        <x:v>-94.19692518842362</x:v>
      </x:c>
      <x:c r="O167" s="8" t="n">
        <x:f>ABS(N167)</x:f>
        <x:v>94.19692518842362</x:v>
      </x:c>
      <x:c r="P167" s="8" t="n">
        <x:f>N167^2</x:f>
        <x:v>8873.060714953477</x:v>
      </x:c>
      <x:c r="Q167" s="8" t="n">
        <x:f>K167-L167</x:f>
        <x:v>2</x:v>
      </x:c>
      <x:c r="R167" s="9" t="n">
        <x:f>IF(AND(INDEX('Сводка'!$T$3:$T$397,U167)=0,INDEX('Сводка'!$T$3:$T$397,V167)=0),1,0)</x:f>
        <x:v>1</x:v>
      </x:c>
      <x:c r="S167" s="9" t="n">
        <x:f>IF(AND(R167=1,O167&lt;=$G$13),1,0)</x:f>
        <x:v>0</x:v>
      </x:c>
      <x:c r="T167" s="10" t="n">
        <x:f>EOMONTH(J167-'Сводка'!$B$11,-1)</x:f>
        <x:v>45991</x:v>
      </x:c>
      <x:c r="U167" s="4" t="n">
        <x:f>MATCH(J167,'Сводка'!$R$3:$R$397,0)</x:f>
        <x:v>178</x:v>
      </x:c>
      <x:c r="V167" s="4" t="n">
        <x:f>MATCH(J167-'Сводка'!$B$11,'Сводка'!$R$3:$R$397,0)</x:f>
        <x:v>177</x:v>
      </x:c>
      <x:c r="W167" s="4" t="n">
        <x:f>MATCH(T167,$J$388:$J$400,0)</x:f>
        <x:v>6</x:v>
      </x:c>
      <x:c r="X167" s="3"/>
      <x:c r="Y167" s="3"/>
      <x:c r="Z167" s="3"/>
    </x:row>
    <x:row r="168" ht="15" customHeight="1">
      <x:c r="A168" s="3"/>
      <x:c r="B168" s="3"/>
      <x:c r="C168" s="3"/>
      <x:c r="D168" s="3"/>
      <x:c r="E168" s="3"/>
      <x:c r="F168" s="3"/>
      <x:c r="G168" s="3"/>
      <x:c r="H168" s="3"/>
      <x:c r="I168" s="3"/>
      <x:c r="J168" s="10" t="n">
        <x:v>46019</x:v>
      </x:c>
      <x:c r="K168" s="8" t="n">
        <x:f>INDEX('Сводка'!$S$3:$S$397,U168)</x:f>
        <x:v>-12</x:v>
      </x:c>
      <x:c r="L168" s="8" t="n">
        <x:f>INDEX('Сводка'!$S$3:$S$397,V168)</x:f>
        <x:v>-15</x:v>
      </x:c>
      <x:c r="M168" s="8" t="n">
        <x:f>INDEX($K$388:$N$400,W168,1)*EXP(INDEX($K$388:$N$400,W168,2)*((J168-$T$405+1)/1000))+INDEX($O$388:$Z$400,W168,MONTH(J168))</x:f>
        <x:v>79.23288962967021</x:v>
      </x:c>
      <x:c r="N168" s="8" t="n">
        <x:f>K168-M168</x:f>
        <x:v>-91.23288962967021</x:v>
      </x:c>
      <x:c r="O168" s="8" t="n">
        <x:f>ABS(N168)</x:f>
        <x:v>91.23288962967021</x:v>
      </x:c>
      <x:c r="P168" s="8" t="n">
        <x:f>N168^2</x:f>
        <x:v>8323.440150179586</x:v>
      </x:c>
      <x:c r="Q168" s="8" t="n">
        <x:f>K168-L168</x:f>
        <x:v>3</x:v>
      </x:c>
      <x:c r="R168" s="9" t="n">
        <x:f>IF(AND(INDEX('Сводка'!$T$3:$T$397,U168)=0,INDEX('Сводка'!$T$3:$T$397,V168)=0),1,0)</x:f>
        <x:v>1</x:v>
      </x:c>
      <x:c r="S168" s="9" t="n">
        <x:f>IF(AND(R168=1,O168&lt;=$G$13),1,0)</x:f>
        <x:v>0</x:v>
      </x:c>
      <x:c r="T168" s="10" t="n">
        <x:f>EOMONTH(J168-'Сводка'!$B$11,-1)</x:f>
        <x:v>45991</x:v>
      </x:c>
      <x:c r="U168" s="4" t="n">
        <x:f>MATCH(J168,'Сводка'!$R$3:$R$397,0)</x:f>
        <x:v>179</x:v>
      </x:c>
      <x:c r="V168" s="4" t="n">
        <x:f>MATCH(J168-'Сводка'!$B$11,'Сводка'!$R$3:$R$397,0)</x:f>
        <x:v>178</x:v>
      </x:c>
      <x:c r="W168" s="4" t="n">
        <x:f>MATCH(T168,$J$388:$J$400,0)</x:f>
        <x:v>6</x:v>
      </x:c>
      <x:c r="X168" s="3"/>
      <x:c r="Y168" s="3"/>
      <x:c r="Z168" s="3"/>
    </x:row>
    <x:row r="169" ht="15" customHeight="1">
      <x:c r="A169" s="3"/>
      <x:c r="B169" s="3"/>
      <x:c r="C169" s="3"/>
      <x:c r="D169" s="3"/>
      <x:c r="E169" s="3"/>
      <x:c r="F169" s="3"/>
      <x:c r="G169" s="3"/>
      <x:c r="H169" s="3"/>
      <x:c r="I169" s="3"/>
      <x:c r="J169" s="10" t="n">
        <x:v>46020</x:v>
      </x:c>
      <x:c r="K169" s="8" t="n">
        <x:f>INDEX('Сводка'!$S$3:$S$397,U169)</x:f>
        <x:v>-6</x:v>
      </x:c>
      <x:c r="L169" s="8" t="n">
        <x:f>INDEX('Сводка'!$S$3:$S$397,V169)</x:f>
        <x:v>-12</x:v>
      </x:c>
      <x:c r="M169" s="8" t="n">
        <x:f>INDEX($K$388:$N$400,W169,1)*EXP(INDEX($K$388:$N$400,W169,2)*((J169-$T$405+1)/1000))+INDEX($O$388:$Z$400,W169,MONTH(J169))</x:f>
        <x:v>79.26886219055334</x:v>
      </x:c>
      <x:c r="N169" s="8" t="n">
        <x:f>K169-M169</x:f>
        <x:v>-85.26886219055334</x:v>
      </x:c>
      <x:c r="O169" s="8" t="n">
        <x:f>ABS(N169)</x:f>
        <x:v>85.26886219055334</x:v>
      </x:c>
      <x:c r="P169" s="8" t="n">
        <x:f>N169^2</x:f>
        <x:v>7270.778859271576</x:v>
      </x:c>
      <x:c r="Q169" s="8" t="n">
        <x:f>K169-L169</x:f>
        <x:v>6</x:v>
      </x:c>
      <x:c r="R169" s="9" t="n">
        <x:f>IF(AND(INDEX('Сводка'!$T$3:$T$397,U169)=0,INDEX('Сводка'!$T$3:$T$397,V169)=0),1,0)</x:f>
        <x:v>1</x:v>
      </x:c>
      <x:c r="S169" s="9" t="n">
        <x:f>IF(AND(R169=1,O169&lt;=$G$13),1,0)</x:f>
        <x:v>0</x:v>
      </x:c>
      <x:c r="T169" s="10" t="n">
        <x:f>EOMONTH(J169-'Сводка'!$B$11,-1)</x:f>
        <x:v>45991</x:v>
      </x:c>
      <x:c r="U169" s="4" t="n">
        <x:f>MATCH(J169,'Сводка'!$R$3:$R$397,0)</x:f>
        <x:v>180</x:v>
      </x:c>
      <x:c r="V169" s="4" t="n">
        <x:f>MATCH(J169-'Сводка'!$B$11,'Сводка'!$R$3:$R$397,0)</x:f>
        <x:v>179</x:v>
      </x:c>
      <x:c r="W169" s="4" t="n">
        <x:f>MATCH(T169,$J$388:$J$400,0)</x:f>
        <x:v>6</x:v>
      </x:c>
      <x:c r="X169" s="3"/>
      <x:c r="Y169" s="3"/>
      <x:c r="Z169" s="3"/>
    </x:row>
    <x:row r="170" ht="15" customHeight="1">
      <x:c r="A170" s="3"/>
      <x:c r="B170" s="3"/>
      <x:c r="C170" s="3"/>
      <x:c r="D170" s="3"/>
      <x:c r="E170" s="3"/>
      <x:c r="F170" s="3"/>
      <x:c r="G170" s="3"/>
      <x:c r="H170" s="3"/>
      <x:c r="I170" s="3"/>
      <x:c r="J170" s="10" t="n">
        <x:v>46021</x:v>
      </x:c>
      <x:c r="K170" s="8" t="n">
        <x:f>INDEX('Сводка'!$S$3:$S$397,U170)</x:f>
        <x:v>-3</x:v>
      </x:c>
      <x:c r="L170" s="8" t="n">
        <x:f>INDEX('Сводка'!$S$3:$S$397,V170)</x:f>
        <x:v>-6</x:v>
      </x:c>
      <x:c r="M170" s="8" t="n">
        <x:f>INDEX($K$388:$N$400,W170,1)*EXP(INDEX($K$388:$N$400,W170,2)*((J170-$T$405+1)/1000))+INDEX($O$388:$Z$400,W170,MONTH(J170))</x:f>
        <x:v>79.30484287290625</x:v>
      </x:c>
      <x:c r="N170" s="8" t="n">
        <x:f>K170-M170</x:f>
        <x:v>-82.30484287290625</x:v>
      </x:c>
      <x:c r="O170" s="8" t="n">
        <x:f>ABS(N170)</x:f>
        <x:v>82.30484287290625</x:v>
      </x:c>
      <x:c r="P170" s="8" t="n">
        <x:f>N170^2</x:f>
        <x:v>6774.087160333786</x:v>
      </x:c>
      <x:c r="Q170" s="8" t="n">
        <x:f>K170-L170</x:f>
        <x:v>3</x:v>
      </x:c>
      <x:c r="R170" s="9" t="n">
        <x:f>IF(AND(INDEX('Сводка'!$T$3:$T$397,U170)=0,INDEX('Сводка'!$T$3:$T$397,V170)=0),1,0)</x:f>
        <x:v>1</x:v>
      </x:c>
      <x:c r="S170" s="9" t="n">
        <x:f>IF(AND(R170=1,O170&lt;=$G$13),1,0)</x:f>
        <x:v>0</x:v>
      </x:c>
      <x:c r="T170" s="10" t="n">
        <x:f>EOMONTH(J170-'Сводка'!$B$11,-1)</x:f>
        <x:v>45991</x:v>
      </x:c>
      <x:c r="U170" s="4" t="n">
        <x:f>MATCH(J170,'Сводка'!$R$3:$R$397,0)</x:f>
        <x:v>181</x:v>
      </x:c>
      <x:c r="V170" s="4" t="n">
        <x:f>MATCH(J170-'Сводка'!$B$11,'Сводка'!$R$3:$R$397,0)</x:f>
        <x:v>180</x:v>
      </x:c>
      <x:c r="W170" s="4" t="n">
        <x:f>MATCH(T170,$J$388:$J$400,0)</x:f>
        <x:v>6</x:v>
      </x:c>
      <x:c r="X170" s="3"/>
      <x:c r="Y170" s="3"/>
      <x:c r="Z170" s="3"/>
    </x:row>
    <x:row r="171" ht="15" customHeight="1">
      <x:c r="A171" s="3"/>
      <x:c r="B171" s="3"/>
      <x:c r="C171" s="3"/>
      <x:c r="D171" s="3"/>
      <x:c r="E171" s="3"/>
      <x:c r="F171" s="3"/>
      <x:c r="G171" s="3"/>
      <x:c r="H171" s="3"/>
      <x:c r="I171" s="3"/>
      <x:c r="J171" s="10" t="n">
        <x:v>46022</x:v>
      </x:c>
      <x:c r="K171" s="8" t="n">
        <x:f>INDEX('Сводка'!$S$3:$S$397,U171)</x:f>
        <x:v>0</x:v>
      </x:c>
      <x:c r="L171" s="8" t="n">
        <x:f>INDEX('Сводка'!$S$3:$S$397,V171)</x:f>
        <x:v>-3</x:v>
      </x:c>
      <x:c r="M171" s="8" t="n">
        <x:f>INDEX($K$388:$N$400,W171,1)*EXP(INDEX($K$388:$N$400,W171,2)*((J171-$T$405+1)/1000))+INDEX($O$388:$Z$400,W171,MONTH(J171))</x:f>
        <x:v>79.34083167856241</x:v>
      </x:c>
      <x:c r="N171" s="8" t="n">
        <x:f>K171-M171</x:f>
        <x:v>-79.34083167856241</x:v>
      </x:c>
      <x:c r="O171" s="8" t="n">
        <x:f>ABS(N171)</x:f>
        <x:v>79.34083167856241</x:v>
      </x:c>
      <x:c r="P171" s="8" t="n">
        <x:f>N171^2</x:f>
        <x:v>6294.967571445973</x:v>
      </x:c>
      <x:c r="Q171" s="8" t="n">
        <x:f>K171-L171</x:f>
        <x:v>3</x:v>
      </x:c>
      <x:c r="R171" s="9" t="n">
        <x:f>IF(AND(INDEX('Сводка'!$T$3:$T$397,U171)=0,INDEX('Сводка'!$T$3:$T$397,V171)=0),1,0)</x:f>
        <x:v>0</x:v>
      </x:c>
      <x:c r="S171" s="9" t="n">
        <x:f>IF(AND(R171=1,O171&lt;=$G$13),1,0)</x:f>
        <x:v>0</x:v>
      </x:c>
      <x:c r="T171" s="10" t="n">
        <x:f>EOMONTH(J171-'Сводка'!$B$11,-1)</x:f>
        <x:v>45991</x:v>
      </x:c>
      <x:c r="U171" s="4" t="n">
        <x:f>MATCH(J171,'Сводка'!$R$3:$R$397,0)</x:f>
        <x:v>182</x:v>
      </x:c>
      <x:c r="V171" s="4" t="n">
        <x:f>MATCH(J171-'Сводка'!$B$11,'Сводка'!$R$3:$R$397,0)</x:f>
        <x:v>181</x:v>
      </x:c>
      <x:c r="W171" s="4" t="n">
        <x:f>MATCH(T171,$J$388:$J$400,0)</x:f>
        <x:v>6</x:v>
      </x:c>
      <x:c r="X171" s="3"/>
      <x:c r="Y171" s="3"/>
      <x:c r="Z171" s="3"/>
    </x:row>
    <x:row r="172" ht="15" customHeight="1">
      <x:c r="A172" s="3"/>
      <x:c r="B172" s="3"/>
      <x:c r="C172" s="3"/>
      <x:c r="D172" s="3"/>
      <x:c r="E172" s="3"/>
      <x:c r="F172" s="3"/>
      <x:c r="G172" s="3"/>
      <x:c r="H172" s="3"/>
      <x:c r="I172" s="3"/>
      <x:c r="J172" s="10" t="n">
        <x:v>46023</x:v>
      </x:c>
      <x:c r="K172" s="8" t="n">
        <x:f>INDEX('Сводка'!$S$3:$S$397,U172)</x:f>
        <x:v>3</x:v>
      </x:c>
      <x:c r="L172" s="8" t="n">
        <x:f>INDEX('Сводка'!$S$3:$S$397,V172)</x:f>
        <x:v>0</x:v>
      </x:c>
      <x:c r="M172" s="8" t="n">
        <x:f>INDEX($K$388:$N$400,W172,1)*EXP(INDEX($K$388:$N$400,W172,2)*((J172-$T$405+1)/1000))+INDEX($O$388:$Z$400,W172,MONTH(J172))</x:f>
        <x:v>65.16089911922094</x:v>
      </x:c>
      <x:c r="N172" s="8" t="n">
        <x:f>K172-M172</x:f>
        <x:v>-62.16089911922094</x:v>
      </x:c>
      <x:c r="O172" s="8" t="n">
        <x:f>ABS(N172)</x:f>
        <x:v>62.16089911922094</x:v>
      </x:c>
      <x:c r="P172" s="8" t="n">
        <x:f>N172^2</x:f>
        <x:v>3863.977379309963</x:v>
      </x:c>
      <x:c r="Q172" s="8" t="n">
        <x:f>K172-L172</x:f>
        <x:v>3</x:v>
      </x:c>
      <x:c r="R172" s="9" t="n">
        <x:f>IF(AND(INDEX('Сводка'!$T$3:$T$397,U172)=0,INDEX('Сводка'!$T$3:$T$397,V172)=0),1,0)</x:f>
        <x:v>0</x:v>
      </x:c>
      <x:c r="S172" s="9" t="n">
        <x:f>IF(AND(R172=1,O172&lt;=$G$13),1,0)</x:f>
        <x:v>0</x:v>
      </x:c>
      <x:c r="T172" s="10" t="n">
        <x:f>EOMONTH(J172-'Сводка'!$B$11,-1)</x:f>
        <x:v>45991</x:v>
      </x:c>
      <x:c r="U172" s="4" t="n">
        <x:f>MATCH(J172,'Сводка'!$R$3:$R$397,0)</x:f>
        <x:v>183</x:v>
      </x:c>
      <x:c r="V172" s="4" t="n">
        <x:f>MATCH(J172-'Сводка'!$B$11,'Сводка'!$R$3:$R$397,0)</x:f>
        <x:v>182</x:v>
      </x:c>
      <x:c r="W172" s="4" t="n">
        <x:f>MATCH(T172,$J$388:$J$400,0)</x:f>
        <x:v>6</x:v>
      </x:c>
      <x:c r="X172" s="3"/>
      <x:c r="Y172" s="3"/>
      <x:c r="Z172" s="3"/>
    </x:row>
    <x:row r="173" ht="15" customHeight="1">
      <x:c r="A173" s="3"/>
      <x:c r="B173" s="3"/>
      <x:c r="C173" s="3"/>
      <x:c r="D173" s="3"/>
      <x:c r="E173" s="3"/>
      <x:c r="F173" s="3"/>
      <x:c r="G173" s="3"/>
      <x:c r="H173" s="3"/>
      <x:c r="I173" s="3"/>
      <x:c r="J173" s="10" t="n">
        <x:v>46024</x:v>
      </x:c>
      <x:c r="K173" s="8" t="n">
        <x:f>INDEX('Сводка'!$S$3:$S$397,U173)</x:f>
        <x:v>6</x:v>
      </x:c>
      <x:c r="L173" s="8" t="n">
        <x:f>INDEX('Сводка'!$S$3:$S$397,V173)</x:f>
        <x:v>3</x:v>
      </x:c>
      <x:c r="M173" s="8" t="n">
        <x:f>INDEX($K$388:$N$400,W173,1)*EXP(INDEX($K$388:$N$400,W173,2)*((J173-$T$405+1)/1000))+INDEX($O$388:$Z$400,W173,MONTH(J173))</x:f>
        <x:v>62.818133623964016</x:v>
      </x:c>
      <x:c r="N173" s="8" t="n">
        <x:f>K173-M173</x:f>
        <x:v>-56.818133623964016</x:v>
      </x:c>
      <x:c r="O173" s="8" t="n">
        <x:f>ABS(N173)</x:f>
        <x:v>56.818133623964016</x:v>
      </x:c>
      <x:c r="P173" s="8" t="n">
        <x:f>N173^2</x:f>
        <x:v>3228.30030851063</x:v>
      </x:c>
      <x:c r="Q173" s="8" t="n">
        <x:f>K173-L173</x:f>
        <x:v>3</x:v>
      </x:c>
      <x:c r="R173" s="9" t="n">
        <x:f>IF(AND(INDEX('Сводка'!$T$3:$T$397,U173)=0,INDEX('Сводка'!$T$3:$T$397,V173)=0),1,0)</x:f>
        <x:v>1</x:v>
      </x:c>
      <x:c r="S173" s="9" t="n">
        <x:f>IF(AND(R173=1,O173&lt;=$G$13),1,0)</x:f>
        <x:v>0</x:v>
      </x:c>
      <x:c r="T173" s="10" t="n">
        <x:f>EOMONTH(J173-'Сводка'!$B$11,-1)</x:f>
        <x:v>46022</x:v>
      </x:c>
      <x:c r="U173" s="4" t="n">
        <x:f>MATCH(J173,'Сводка'!$R$3:$R$397,0)</x:f>
        <x:v>184</x:v>
      </x:c>
      <x:c r="V173" s="4" t="n">
        <x:f>MATCH(J173-'Сводка'!$B$11,'Сводка'!$R$3:$R$397,0)</x:f>
        <x:v>183</x:v>
      </x:c>
      <x:c r="W173" s="4" t="n">
        <x:f>MATCH(T173,$J$388:$J$400,0)</x:f>
        <x:v>7</x:v>
      </x:c>
      <x:c r="X173" s="3"/>
      <x:c r="Y173" s="3"/>
      <x:c r="Z173" s="3"/>
    </x:row>
    <x:row r="174" ht="15" customHeight="1">
      <x:c r="A174" s="3"/>
      <x:c r="B174" s="3"/>
      <x:c r="C174" s="3"/>
      <x:c r="D174" s="3"/>
      <x:c r="E174" s="3"/>
      <x:c r="F174" s="3"/>
      <x:c r="G174" s="3"/>
      <x:c r="H174" s="3"/>
      <x:c r="I174" s="3"/>
      <x:c r="J174" s="10" t="n">
        <x:v>46025</x:v>
      </x:c>
      <x:c r="K174" s="8" t="n">
        <x:f>INDEX('Сводка'!$S$3:$S$397,U174)</x:f>
        <x:v>6</x:v>
      </x:c>
      <x:c r="L174" s="8" t="n">
        <x:f>INDEX('Сводка'!$S$3:$S$397,V174)</x:f>
        <x:v>6</x:v>
      </x:c>
      <x:c r="M174" s="8" t="n">
        <x:f>INDEX($K$388:$N$400,W174,1)*EXP(INDEX($K$388:$N$400,W174,2)*((J174-$T$405+1)/1000))+INDEX($O$388:$Z$400,W174,MONTH(J174))</x:f>
        <x:v>62.853034847216165</x:v>
      </x:c>
      <x:c r="N174" s="8" t="n">
        <x:f>K174-M174</x:f>
        <x:v>-56.853034847216165</x:v>
      </x:c>
      <x:c r="O174" s="8" t="n">
        <x:f>ABS(N174)</x:f>
        <x:v>56.853034847216165</x:v>
      </x:c>
      <x:c r="P174" s="8" t="n">
        <x:f>N174^2</x:f>
        <x:v>3232.2675713387757</x:v>
      </x:c>
      <x:c r="Q174" s="8" t="n">
        <x:f>K174-L174</x:f>
        <x:v>0</x:v>
      </x:c>
      <x:c r="R174" s="9" t="n">
        <x:f>IF(AND(INDEX('Сводка'!$T$3:$T$397,U174)=0,INDEX('Сводка'!$T$3:$T$397,V174)=0),1,0)</x:f>
        <x:v>1</x:v>
      </x:c>
      <x:c r="S174" s="9" t="n">
        <x:f>IF(AND(R174=1,O174&lt;=$G$13),1,0)</x:f>
        <x:v>0</x:v>
      </x:c>
      <x:c r="T174" s="10" t="n">
        <x:f>EOMONTH(J174-'Сводка'!$B$11,-1)</x:f>
        <x:v>46022</x:v>
      </x:c>
      <x:c r="U174" s="4" t="n">
        <x:f>MATCH(J174,'Сводка'!$R$3:$R$397,0)</x:f>
        <x:v>185</x:v>
      </x:c>
      <x:c r="V174" s="4" t="n">
        <x:f>MATCH(J174-'Сводка'!$B$11,'Сводка'!$R$3:$R$397,0)</x:f>
        <x:v>184</x:v>
      </x:c>
      <x:c r="W174" s="4" t="n">
        <x:f>MATCH(T174,$J$388:$J$400,0)</x:f>
        <x:v>7</x:v>
      </x:c>
      <x:c r="X174" s="3"/>
      <x:c r="Y174" s="3"/>
      <x:c r="Z174" s="3"/>
    </x:row>
    <x:row r="175" ht="15" customHeight="1">
      <x:c r="A175" s="3"/>
      <x:c r="B175" s="3"/>
      <x:c r="C175" s="3"/>
      <x:c r="D175" s="3"/>
      <x:c r="E175" s="3"/>
      <x:c r="F175" s="3"/>
      <x:c r="G175" s="3"/>
      <x:c r="H175" s="3"/>
      <x:c r="I175" s="3"/>
      <x:c r="J175" s="10" t="n">
        <x:v>46026</x:v>
      </x:c>
      <x:c r="K175" s="8" t="n">
        <x:f>INDEX('Сводка'!$S$3:$S$397,U175)</x:f>
        <x:v>6</x:v>
      </x:c>
      <x:c r="L175" s="8" t="n">
        <x:f>INDEX('Сводка'!$S$3:$S$397,V175)</x:f>
        <x:v>6</x:v>
      </x:c>
      <x:c r="M175" s="8" t="n">
        <x:f>INDEX($K$388:$N$400,W175,1)*EXP(INDEX($K$388:$N$400,W175,2)*((J175-$T$405+1)/1000))+INDEX($O$388:$Z$400,W175,MONTH(J175))</x:f>
        <x:v>62.88794383113087</x:v>
      </x:c>
      <x:c r="N175" s="8" t="n">
        <x:f>K175-M175</x:f>
        <x:v>-56.88794383113087</x:v>
      </x:c>
      <x:c r="O175" s="8" t="n">
        <x:f>ABS(N175)</x:f>
        <x:v>56.88794383113087</x:v>
      </x:c>
      <x:c r="P175" s="8" t="n">
        <x:f>N175^2</x:f>
        <x:v>3236.2381533339008</x:v>
      </x:c>
      <x:c r="Q175" s="8" t="n">
        <x:f>K175-L175</x:f>
        <x:v>0</x:v>
      </x:c>
      <x:c r="R175" s="9" t="n">
        <x:f>IF(AND(INDEX('Сводка'!$T$3:$T$397,U175)=0,INDEX('Сводка'!$T$3:$T$397,V175)=0),1,0)</x:f>
        <x:v>1</x:v>
      </x:c>
      <x:c r="S175" s="9" t="n">
        <x:f>IF(AND(R175=1,O175&lt;=$G$13),1,0)</x:f>
        <x:v>0</x:v>
      </x:c>
      <x:c r="T175" s="10" t="n">
        <x:f>EOMONTH(J175-'Сводка'!$B$11,-1)</x:f>
        <x:v>46022</x:v>
      </x:c>
      <x:c r="U175" s="4" t="n">
        <x:f>MATCH(J175,'Сводка'!$R$3:$R$397,0)</x:f>
        <x:v>186</x:v>
      </x:c>
      <x:c r="V175" s="4" t="n">
        <x:f>MATCH(J175-'Сводка'!$B$11,'Сводка'!$R$3:$R$397,0)</x:f>
        <x:v>185</x:v>
      </x:c>
      <x:c r="W175" s="4" t="n">
        <x:f>MATCH(T175,$J$388:$J$400,0)</x:f>
        <x:v>7</x:v>
      </x:c>
      <x:c r="X175" s="3"/>
      <x:c r="Y175" s="3"/>
      <x:c r="Z175" s="3"/>
    </x:row>
    <x:row r="176" ht="15" customHeight="1">
      <x:c r="A176" s="3"/>
      <x:c r="B176" s="3"/>
      <x:c r="C176" s="3"/>
      <x:c r="D176" s="3"/>
      <x:c r="E176" s="3"/>
      <x:c r="F176" s="3"/>
      <x:c r="G176" s="3"/>
      <x:c r="H176" s="3"/>
      <x:c r="I176" s="3"/>
      <x:c r="J176" s="10" t="n">
        <x:v>46027</x:v>
      </x:c>
      <x:c r="K176" s="8" t="n">
        <x:f>INDEX('Сводка'!$S$3:$S$397,U176)</x:f>
        <x:v>6</x:v>
      </x:c>
      <x:c r="L176" s="8" t="n">
        <x:f>INDEX('Сводка'!$S$3:$S$397,V176)</x:f>
        <x:v>6</x:v>
      </x:c>
      <x:c r="M176" s="8" t="n">
        <x:f>INDEX($K$388:$N$400,W176,1)*EXP(INDEX($K$388:$N$400,W176,2)*((J176-$T$405+1)/1000))+INDEX($O$388:$Z$400,W176,MONTH(J176))</x:f>
        <x:v>62.92286057743384</x:v>
      </x:c>
      <x:c r="N176" s="8" t="n">
        <x:f>K176-M176</x:f>
        <x:v>-56.92286057743384</x:v>
      </x:c>
      <x:c r="O176" s="8" t="n">
        <x:f>ABS(N176)</x:f>
        <x:v>56.92286057743384</x:v>
      </x:c>
      <x:c r="P176" s="8" t="n">
        <x:f>N176^2</x:f>
        <x:v>3240.2120563179715</x:v>
      </x:c>
      <x:c r="Q176" s="8" t="n">
        <x:f>K176-L176</x:f>
        <x:v>0</x:v>
      </x:c>
      <x:c r="R176" s="9" t="n">
        <x:f>IF(AND(INDEX('Сводка'!$T$3:$T$397,U176)=0,INDEX('Сводка'!$T$3:$T$397,V176)=0),1,0)</x:f>
        <x:v>1</x:v>
      </x:c>
      <x:c r="S176" s="9" t="n">
        <x:f>IF(AND(R176=1,O176&lt;=$G$13),1,0)</x:f>
        <x:v>0</x:v>
      </x:c>
      <x:c r="T176" s="10" t="n">
        <x:f>EOMONTH(J176-'Сводка'!$B$11,-1)</x:f>
        <x:v>46022</x:v>
      </x:c>
      <x:c r="U176" s="4" t="n">
        <x:f>MATCH(J176,'Сводка'!$R$3:$R$397,0)</x:f>
        <x:v>187</x:v>
      </x:c>
      <x:c r="V176" s="4" t="n">
        <x:f>MATCH(J176-'Сводка'!$B$11,'Сводка'!$R$3:$R$397,0)</x:f>
        <x:v>186</x:v>
      </x:c>
      <x:c r="W176" s="4" t="n">
        <x:f>MATCH(T176,$J$388:$J$400,0)</x:f>
        <x:v>7</x:v>
      </x:c>
      <x:c r="X176" s="3"/>
      <x:c r="Y176" s="3"/>
      <x:c r="Z176" s="3"/>
    </x:row>
    <x:row r="177" ht="15" customHeight="1">
      <x:c r="A177" s="3"/>
      <x:c r="B177" s="3"/>
      <x:c r="C177" s="3"/>
      <x:c r="D177" s="3"/>
      <x:c r="E177" s="3"/>
      <x:c r="F177" s="3"/>
      <x:c r="G177" s="3"/>
      <x:c r="H177" s="3"/>
      <x:c r="I177" s="3"/>
      <x:c r="J177" s="10" t="n">
        <x:v>46028</x:v>
      </x:c>
      <x:c r="K177" s="8" t="n">
        <x:f>INDEX('Сводка'!$S$3:$S$397,U177)</x:f>
        <x:v>2</x:v>
      </x:c>
      <x:c r="L177" s="8" t="n">
        <x:f>INDEX('Сводка'!$S$3:$S$397,V177)</x:f>
        <x:v>6</x:v>
      </x:c>
      <x:c r="M177" s="8" t="n">
        <x:f>INDEX($K$388:$N$400,W177,1)*EXP(INDEX($K$388:$N$400,W177,2)*((J177-$T$405+1)/1000))+INDEX($O$388:$Z$400,W177,MONTH(J177))</x:f>
        <x:v>62.957785087851036</x:v>
      </x:c>
      <x:c r="N177" s="8" t="n">
        <x:f>K177-M177</x:f>
        <x:v>-60.957785087851036</x:v>
      </x:c>
      <x:c r="O177" s="8" t="n">
        <x:f>ABS(N177)</x:f>
        <x:v>60.957785087851036</x:v>
      </x:c>
      <x:c r="P177" s="8" t="n">
        <x:f>N177^2</x:f>
        <x:v>3715.851562816634</x:v>
      </x:c>
      <x:c r="Q177" s="8" t="n">
        <x:f>K177-L177</x:f>
        <x:v>-4</x:v>
      </x:c>
      <x:c r="R177" s="9" t="n">
        <x:f>IF(AND(INDEX('Сводка'!$T$3:$T$397,U177)=0,INDEX('Сводка'!$T$3:$T$397,V177)=0),1,0)</x:f>
        <x:v>1</x:v>
      </x:c>
      <x:c r="S177" s="9" t="n">
        <x:f>IF(AND(R177=1,O177&lt;=$G$13),1,0)</x:f>
        <x:v>0</x:v>
      </x:c>
      <x:c r="T177" s="10" t="n">
        <x:f>EOMONTH(J177-'Сводка'!$B$11,-1)</x:f>
        <x:v>46022</x:v>
      </x:c>
      <x:c r="U177" s="4" t="n">
        <x:f>MATCH(J177,'Сводка'!$R$3:$R$397,0)</x:f>
        <x:v>188</x:v>
      </x:c>
      <x:c r="V177" s="4" t="n">
        <x:f>MATCH(J177-'Сводка'!$B$11,'Сводка'!$R$3:$R$397,0)</x:f>
        <x:v>187</x:v>
      </x:c>
      <x:c r="W177" s="4" t="n">
        <x:f>MATCH(T177,$J$388:$J$400,0)</x:f>
        <x:v>7</x:v>
      </x:c>
      <x:c r="X177" s="3"/>
      <x:c r="Y177" s="3"/>
      <x:c r="Z177" s="3"/>
    </x:row>
    <x:row r="178" ht="15" customHeight="1">
      <x:c r="A178" s="3"/>
      <x:c r="B178" s="3"/>
      <x:c r="C178" s="3"/>
      <x:c r="D178" s="3"/>
      <x:c r="E178" s="3"/>
      <x:c r="F178" s="3"/>
      <x:c r="G178" s="3"/>
      <x:c r="H178" s="3"/>
      <x:c r="I178" s="3"/>
      <x:c r="J178" s="10" t="n">
        <x:v>46029</x:v>
      </x:c>
      <x:c r="K178" s="8" t="n">
        <x:f>INDEX('Сводка'!$S$3:$S$397,U178)</x:f>
        <x:v>-2</x:v>
      </x:c>
      <x:c r="L178" s="8" t="n">
        <x:f>INDEX('Сводка'!$S$3:$S$397,V178)</x:f>
        <x:v>2</x:v>
      </x:c>
      <x:c r="M178" s="8" t="n">
        <x:f>INDEX($K$388:$N$400,W178,1)*EXP(INDEX($K$388:$N$400,W178,2)*((J178-$T$405+1)/1000))+INDEX($O$388:$Z$400,W178,MONTH(J178))</x:f>
        <x:v>62.99271736410894</x:v>
      </x:c>
      <x:c r="N178" s="8" t="n">
        <x:f>K178-M178</x:f>
        <x:v>-64.99271736410894</x:v>
      </x:c>
      <x:c r="O178" s="8" t="n">
        <x:f>ABS(N178)</x:f>
        <x:v>64.99271736410894</x:v>
      </x:c>
      <x:c r="P178" s="8" t="n">
        <x:f>N178^2</x:f>
        <x:v>4224.053310370948</x:v>
      </x:c>
      <x:c r="Q178" s="8" t="n">
        <x:f>K178-L178</x:f>
        <x:v>-4</x:v>
      </x:c>
      <x:c r="R178" s="9" t="n">
        <x:f>IF(AND(INDEX('Сводка'!$T$3:$T$397,U178)=0,INDEX('Сводка'!$T$3:$T$397,V178)=0),1,0)</x:f>
        <x:v>1</x:v>
      </x:c>
      <x:c r="S178" s="9" t="n">
        <x:f>IF(AND(R178=1,O178&lt;=$G$13),1,0)</x:f>
        <x:v>0</x:v>
      </x:c>
      <x:c r="T178" s="10" t="n">
        <x:f>EOMONTH(J178-'Сводка'!$B$11,-1)</x:f>
        <x:v>46022</x:v>
      </x:c>
      <x:c r="U178" s="4" t="n">
        <x:f>MATCH(J178,'Сводка'!$R$3:$R$397,0)</x:f>
        <x:v>189</x:v>
      </x:c>
      <x:c r="V178" s="4" t="n">
        <x:f>MATCH(J178-'Сводка'!$B$11,'Сводка'!$R$3:$R$397,0)</x:f>
        <x:v>188</x:v>
      </x:c>
      <x:c r="W178" s="4" t="n">
        <x:f>MATCH(T178,$J$388:$J$400,0)</x:f>
        <x:v>7</x:v>
      </x:c>
      <x:c r="X178" s="3"/>
      <x:c r="Y178" s="3"/>
      <x:c r="Z178" s="3"/>
    </x:row>
    <x:row r="179" ht="15" customHeight="1">
      <x:c r="A179" s="3"/>
      <x:c r="B179" s="3"/>
      <x:c r="C179" s="3"/>
      <x:c r="D179" s="3"/>
      <x:c r="E179" s="3"/>
      <x:c r="F179" s="3"/>
      <x:c r="G179" s="3"/>
      <x:c r="H179" s="3"/>
      <x:c r="I179" s="3"/>
      <x:c r="J179" s="10" t="n">
        <x:v>46030</x:v>
      </x:c>
      <x:c r="K179" s="8" t="n">
        <x:f>INDEX('Сводка'!$S$3:$S$397,U179)</x:f>
        <x:v>-7</x:v>
      </x:c>
      <x:c r="L179" s="8" t="n">
        <x:f>INDEX('Сводка'!$S$3:$S$397,V179)</x:f>
        <x:v>-2</x:v>
      </x:c>
      <x:c r="M179" s="8" t="n">
        <x:f>INDEX($K$388:$N$400,W179,1)*EXP(INDEX($K$388:$N$400,W179,2)*((J179-$T$405+1)/1000))+INDEX($O$388:$Z$400,W179,MONTH(J179))</x:f>
        <x:v>63.0276574079344</x:v>
      </x:c>
      <x:c r="N179" s="8" t="n">
        <x:f>K179-M179</x:f>
        <x:v>-70.0276574079344</x:v>
      </x:c>
      <x:c r="O179" s="8" t="n">
        <x:f>ABS(N179)</x:f>
        <x:v>70.0276574079344</x:v>
      </x:c>
      <x:c r="P179" s="8" t="n">
        <x:f>N179^2</x:f>
        <x:v>4903.87280204303</x:v>
      </x:c>
      <x:c r="Q179" s="8" t="n">
        <x:f>K179-L179</x:f>
        <x:v>-5</x:v>
      </x:c>
      <x:c r="R179" s="9" t="n">
        <x:f>IF(AND(INDEX('Сводка'!$T$3:$T$397,U179)=0,INDEX('Сводка'!$T$3:$T$397,V179)=0),1,0)</x:f>
        <x:v>1</x:v>
      </x:c>
      <x:c r="S179" s="9" t="n">
        <x:f>IF(AND(R179=1,O179&lt;=$G$13),1,0)</x:f>
        <x:v>0</x:v>
      </x:c>
      <x:c r="T179" s="10" t="n">
        <x:f>EOMONTH(J179-'Сводка'!$B$11,-1)</x:f>
        <x:v>46022</x:v>
      </x:c>
      <x:c r="U179" s="4" t="n">
        <x:f>MATCH(J179,'Сводка'!$R$3:$R$397,0)</x:f>
        <x:v>190</x:v>
      </x:c>
      <x:c r="V179" s="4" t="n">
        <x:f>MATCH(J179-'Сводка'!$B$11,'Сводка'!$R$3:$R$397,0)</x:f>
        <x:v>189</x:v>
      </x:c>
      <x:c r="W179" s="4" t="n">
        <x:f>MATCH(T179,$J$388:$J$400,0)</x:f>
        <x:v>7</x:v>
      </x:c>
      <x:c r="X179" s="3"/>
      <x:c r="Y179" s="3"/>
      <x:c r="Z179" s="3"/>
    </x:row>
    <x:row r="180" ht="15" customHeight="1">
      <x:c r="A180" s="3"/>
      <x:c r="B180" s="3"/>
      <x:c r="C180" s="3"/>
      <x:c r="D180" s="3"/>
      <x:c r="E180" s="3"/>
      <x:c r="F180" s="3"/>
      <x:c r="G180" s="3"/>
      <x:c r="H180" s="3"/>
      <x:c r="I180" s="3"/>
      <x:c r="J180" s="10" t="n">
        <x:v>46031</x:v>
      </x:c>
      <x:c r="K180" s="8" t="n">
        <x:f>INDEX('Сводка'!$S$3:$S$397,U180)</x:f>
        <x:v>-10</x:v>
      </x:c>
      <x:c r="L180" s="8" t="n">
        <x:f>INDEX('Сводка'!$S$3:$S$397,V180)</x:f>
        <x:v>-7</x:v>
      </x:c>
      <x:c r="M180" s="8" t="n">
        <x:f>INDEX($K$388:$N$400,W180,1)*EXP(INDEX($K$388:$N$400,W180,2)*((J180-$T$405+1)/1000))+INDEX($O$388:$Z$400,W180,MONTH(J180))</x:f>
        <x:v>63.06260522105465</x:v>
      </x:c>
      <x:c r="N180" s="8" t="n">
        <x:f>K180-M180</x:f>
        <x:v>-73.06260522105465</x:v>
      </x:c>
      <x:c r="O180" s="8" t="n">
        <x:f>ABS(N180)</x:f>
        <x:v>73.06260522105465</x:v>
      </x:c>
      <x:c r="P180" s="8" t="n">
        <x:f>N180^2</x:f>
        <x:v>5338.144281687682</x:v>
      </x:c>
      <x:c r="Q180" s="8" t="n">
        <x:f>K180-L180</x:f>
        <x:v>-3</x:v>
      </x:c>
      <x:c r="R180" s="9" t="n">
        <x:f>IF(AND(INDEX('Сводка'!$T$3:$T$397,U180)=0,INDEX('Сводка'!$T$3:$T$397,V180)=0),1,0)</x:f>
        <x:v>1</x:v>
      </x:c>
      <x:c r="S180" s="9" t="n">
        <x:f>IF(AND(R180=1,O180&lt;=$G$13),1,0)</x:f>
        <x:v>0</x:v>
      </x:c>
      <x:c r="T180" s="10" t="n">
        <x:f>EOMONTH(J180-'Сводка'!$B$11,-1)</x:f>
        <x:v>46022</x:v>
      </x:c>
      <x:c r="U180" s="4" t="n">
        <x:f>MATCH(J180,'Сводка'!$R$3:$R$397,0)</x:f>
        <x:v>191</x:v>
      </x:c>
      <x:c r="V180" s="4" t="n">
        <x:f>MATCH(J180-'Сводка'!$B$11,'Сводка'!$R$3:$R$397,0)</x:f>
        <x:v>190</x:v>
      </x:c>
      <x:c r="W180" s="4" t="n">
        <x:f>MATCH(T180,$J$388:$J$400,0)</x:f>
        <x:v>7</x:v>
      </x:c>
      <x:c r="X180" s="3"/>
      <x:c r="Y180" s="3"/>
      <x:c r="Z180" s="3"/>
    </x:row>
    <x:row r="181" ht="15" customHeight="1">
      <x:c r="A181" s="3"/>
      <x:c r="B181" s="3"/>
      <x:c r="C181" s="3"/>
      <x:c r="D181" s="3"/>
      <x:c r="E181" s="3"/>
      <x:c r="F181" s="3"/>
      <x:c r="G181" s="3"/>
      <x:c r="H181" s="3"/>
      <x:c r="I181" s="3"/>
      <x:c r="J181" s="10" t="n">
        <x:v>46032</x:v>
      </x:c>
      <x:c r="K181" s="8" t="n">
        <x:f>INDEX('Сводка'!$S$3:$S$397,U181)</x:f>
        <x:v>-13</x:v>
      </x:c>
      <x:c r="L181" s="8" t="n">
        <x:f>INDEX('Сводка'!$S$3:$S$397,V181)</x:f>
        <x:v>-10</x:v>
      </x:c>
      <x:c r="M181" s="8" t="n">
        <x:f>INDEX($K$388:$N$400,W181,1)*EXP(INDEX($K$388:$N$400,W181,2)*((J181-$T$405+1)/1000))+INDEX($O$388:$Z$400,W181,MONTH(J181))</x:f>
        <x:v>63.097560805197176</x:v>
      </x:c>
      <x:c r="N181" s="8" t="n">
        <x:f>K181-M181</x:f>
        <x:v>-76.09756080519718</x:v>
      </x:c>
      <x:c r="O181" s="8" t="n">
        <x:f>ABS(N181)</x:f>
        <x:v>76.09756080519718</x:v>
      </x:c>
      <x:c r="P181" s="8" t="n">
        <x:f>N181^2</x:f>
        <x:v>5790.838760500682</x:v>
      </x:c>
      <x:c r="Q181" s="8" t="n">
        <x:f>K181-L181</x:f>
        <x:v>-3</x:v>
      </x:c>
      <x:c r="R181" s="9" t="n">
        <x:f>IF(AND(INDEX('Сводка'!$T$3:$T$397,U181)=0,INDEX('Сводка'!$T$3:$T$397,V181)=0),1,0)</x:f>
        <x:v>1</x:v>
      </x:c>
      <x:c r="S181" s="9" t="n">
        <x:f>IF(AND(R181=1,O181&lt;=$G$13),1,0)</x:f>
        <x:v>0</x:v>
      </x:c>
      <x:c r="T181" s="10" t="n">
        <x:f>EOMONTH(J181-'Сводка'!$B$11,-1)</x:f>
        <x:v>46022</x:v>
      </x:c>
      <x:c r="U181" s="4" t="n">
        <x:f>MATCH(J181,'Сводка'!$R$3:$R$397,0)</x:f>
        <x:v>192</x:v>
      </x:c>
      <x:c r="V181" s="4" t="n">
        <x:f>MATCH(J181-'Сводка'!$B$11,'Сводка'!$R$3:$R$397,0)</x:f>
        <x:v>191</x:v>
      </x:c>
      <x:c r="W181" s="4" t="n">
        <x:f>MATCH(T181,$J$388:$J$400,0)</x:f>
        <x:v>7</x:v>
      </x:c>
      <x:c r="X181" s="3"/>
      <x:c r="Y181" s="3"/>
      <x:c r="Z181" s="3"/>
    </x:row>
    <x:row r="182" ht="15" customHeight="1">
      <x:c r="A182" s="3"/>
      <x:c r="B182" s="3"/>
      <x:c r="C182" s="3"/>
      <x:c r="D182" s="3"/>
      <x:c r="E182" s="3"/>
      <x:c r="F182" s="3"/>
      <x:c r="G182" s="3"/>
      <x:c r="H182" s="3"/>
      <x:c r="I182" s="3"/>
      <x:c r="J182" s="10" t="n">
        <x:v>46033</x:v>
      </x:c>
      <x:c r="K182" s="8" t="n">
        <x:f>INDEX('Сводка'!$S$3:$S$397,U182)</x:f>
        <x:v>-17</x:v>
      </x:c>
      <x:c r="L182" s="8" t="n">
        <x:f>INDEX('Сводка'!$S$3:$S$397,V182)</x:f>
        <x:v>-13</x:v>
      </x:c>
      <x:c r="M182" s="8" t="n">
        <x:f>INDEX($K$388:$N$400,W182,1)*EXP(INDEX($K$388:$N$400,W182,2)*((J182-$T$405+1)/1000))+INDEX($O$388:$Z$400,W182,MONTH(J182))</x:f>
        <x:v>63.13252416208998</x:v>
      </x:c>
      <x:c r="N182" s="8" t="n">
        <x:f>K182-M182</x:f>
        <x:v>-80.13252416208998</x:v>
      </x:c>
      <x:c r="O182" s="8" t="n">
        <x:f>ABS(N182)</x:f>
        <x:v>80.13252416208998</x:v>
      </x:c>
      <x:c r="P182" s="8" t="n">
        <x:f>N182^2</x:f>
        <x:v>6421.2214285879345</x:v>
      </x:c>
      <x:c r="Q182" s="8" t="n">
        <x:f>K182-L182</x:f>
        <x:v>-4</x:v>
      </x:c>
      <x:c r="R182" s="9" t="n">
        <x:f>IF(AND(INDEX('Сводка'!$T$3:$T$397,U182)=0,INDEX('Сводка'!$T$3:$T$397,V182)=0),1,0)</x:f>
        <x:v>1</x:v>
      </x:c>
      <x:c r="S182" s="9" t="n">
        <x:f>IF(AND(R182=1,O182&lt;=$G$13),1,0)</x:f>
        <x:v>0</x:v>
      </x:c>
      <x:c r="T182" s="10" t="n">
        <x:f>EOMONTH(J182-'Сводка'!$B$11,-1)</x:f>
        <x:v>46022</x:v>
      </x:c>
      <x:c r="U182" s="4" t="n">
        <x:f>MATCH(J182,'Сводка'!$R$3:$R$397,0)</x:f>
        <x:v>193</x:v>
      </x:c>
      <x:c r="V182" s="4" t="n">
        <x:f>MATCH(J182-'Сводка'!$B$11,'Сводка'!$R$3:$R$397,0)</x:f>
        <x:v>192</x:v>
      </x:c>
      <x:c r="W182" s="4" t="n">
        <x:f>MATCH(T182,$J$388:$J$400,0)</x:f>
        <x:v>7</x:v>
      </x:c>
      <x:c r="X182" s="3"/>
      <x:c r="Y182" s="3"/>
      <x:c r="Z182" s="3"/>
    </x:row>
    <x:row r="183" ht="15" customHeight="1">
      <x:c r="A183" s="3"/>
      <x:c r="B183" s="3"/>
      <x:c r="C183" s="3"/>
      <x:c r="D183" s="3"/>
      <x:c r="E183" s="3"/>
      <x:c r="F183" s="3"/>
      <x:c r="G183" s="3"/>
      <x:c r="H183" s="3"/>
      <x:c r="I183" s="3"/>
      <x:c r="J183" s="10" t="n">
        <x:v>46034</x:v>
      </x:c>
      <x:c r="K183" s="8" t="n">
        <x:f>INDEX('Сводка'!$S$3:$S$397,U183)</x:f>
        <x:v>-19</x:v>
      </x:c>
      <x:c r="L183" s="8" t="n">
        <x:f>INDEX('Сводка'!$S$3:$S$397,V183)</x:f>
        <x:v>-17</x:v>
      </x:c>
      <x:c r="M183" s="8" t="n">
        <x:f>INDEX($K$388:$N$400,W183,1)*EXP(INDEX($K$388:$N$400,W183,2)*((J183-$T$405+1)/1000))+INDEX($O$388:$Z$400,W183,MONTH(J183))</x:f>
        <x:v>63.16749529346147</x:v>
      </x:c>
      <x:c r="N183" s="8" t="n">
        <x:f>K183-M183</x:f>
        <x:v>-82.16749529346147</x:v>
      </x:c>
      <x:c r="O183" s="8" t="n">
        <x:f>ABS(N183)</x:f>
        <x:v>82.16749529346147</x:v>
      </x:c>
      <x:c r="P183" s="8" t="n">
        <x:f>N183^2</x:f>
        <x:v>6751.497282801013</x:v>
      </x:c>
      <x:c r="Q183" s="8" t="n">
        <x:f>K183-L183</x:f>
        <x:v>-2</x:v>
      </x:c>
      <x:c r="R183" s="9" t="n">
        <x:f>IF(AND(INDEX('Сводка'!$T$3:$T$397,U183)=0,INDEX('Сводка'!$T$3:$T$397,V183)=0),1,0)</x:f>
        <x:v>1</x:v>
      </x:c>
      <x:c r="S183" s="9" t="n">
        <x:f>IF(AND(R183=1,O183&lt;=$G$13),1,0)</x:f>
        <x:v>0</x:v>
      </x:c>
      <x:c r="T183" s="10" t="n">
        <x:f>EOMONTH(J183-'Сводка'!$B$11,-1)</x:f>
        <x:v>46022</x:v>
      </x:c>
      <x:c r="U183" s="4" t="n">
        <x:f>MATCH(J183,'Сводка'!$R$3:$R$397,0)</x:f>
        <x:v>194</x:v>
      </x:c>
      <x:c r="V183" s="4" t="n">
        <x:f>MATCH(J183-'Сводка'!$B$11,'Сводка'!$R$3:$R$397,0)</x:f>
        <x:v>193</x:v>
      </x:c>
      <x:c r="W183" s="4" t="n">
        <x:f>MATCH(T183,$J$388:$J$400,0)</x:f>
        <x:v>7</x:v>
      </x:c>
      <x:c r="X183" s="3"/>
      <x:c r="Y183" s="3"/>
      <x:c r="Z183" s="3"/>
    </x:row>
    <x:row r="184" ht="15" customHeight="1">
      <x:c r="A184" s="3"/>
      <x:c r="B184" s="3"/>
      <x:c r="C184" s="3"/>
      <x:c r="D184" s="3"/>
      <x:c r="E184" s="3"/>
      <x:c r="F184" s="3"/>
      <x:c r="G184" s="3"/>
      <x:c r="H184" s="3"/>
      <x:c r="I184" s="3"/>
      <x:c r="J184" s="10" t="n">
        <x:v>46035</x:v>
      </x:c>
      <x:c r="K184" s="8" t="n">
        <x:f>INDEX('Сводка'!$S$3:$S$397,U184)</x:f>
        <x:v>-22</x:v>
      </x:c>
      <x:c r="L184" s="8" t="n">
        <x:f>INDEX('Сводка'!$S$3:$S$397,V184)</x:f>
        <x:v>-19</x:v>
      </x:c>
      <x:c r="M184" s="8" t="n">
        <x:f>INDEX($K$388:$N$400,W184,1)*EXP(INDEX($K$388:$N$400,W184,2)*((J184-$T$405+1)/1000))+INDEX($O$388:$Z$400,W184,MONTH(J184))</x:f>
        <x:v>63.202474201040346</x:v>
      </x:c>
      <x:c r="N184" s="8" t="n">
        <x:f>K184-M184</x:f>
        <x:v>-85.20247420104035</x:v>
      </x:c>
      <x:c r="O184" s="8" t="n">
        <x:f>ABS(N184)</x:f>
        <x:v>85.20247420104035</x:v>
      </x:c>
      <x:c r="P184" s="8" t="n">
        <x:f>N184^2</x:f>
        <x:v>7259.4616099789455</x:v>
      </x:c>
      <x:c r="Q184" s="8" t="n">
        <x:f>K184-L184</x:f>
        <x:v>-3</x:v>
      </x:c>
      <x:c r="R184" s="9" t="n">
        <x:f>IF(AND(INDEX('Сводка'!$T$3:$T$397,U184)=0,INDEX('Сводка'!$T$3:$T$397,V184)=0),1,0)</x:f>
        <x:v>1</x:v>
      </x:c>
      <x:c r="S184" s="9" t="n">
        <x:f>IF(AND(R184=1,O184&lt;=$G$13),1,0)</x:f>
        <x:v>0</x:v>
      </x:c>
      <x:c r="T184" s="10" t="n">
        <x:f>EOMONTH(J184-'Сводка'!$B$11,-1)</x:f>
        <x:v>46022</x:v>
      </x:c>
      <x:c r="U184" s="4" t="n">
        <x:f>MATCH(J184,'Сводка'!$R$3:$R$397,0)</x:f>
        <x:v>195</x:v>
      </x:c>
      <x:c r="V184" s="4" t="n">
        <x:f>MATCH(J184-'Сводка'!$B$11,'Сводка'!$R$3:$R$397,0)</x:f>
        <x:v>194</x:v>
      </x:c>
      <x:c r="W184" s="4" t="n">
        <x:f>MATCH(T184,$J$388:$J$400,0)</x:f>
        <x:v>7</x:v>
      </x:c>
      <x:c r="X184" s="3"/>
      <x:c r="Y184" s="3"/>
      <x:c r="Z184" s="3"/>
    </x:row>
    <x:row r="185" ht="15" customHeight="1">
      <x:c r="A185" s="3"/>
      <x:c r="B185" s="3"/>
      <x:c r="C185" s="3"/>
      <x:c r="D185" s="3"/>
      <x:c r="E185" s="3"/>
      <x:c r="F185" s="3"/>
      <x:c r="G185" s="3"/>
      <x:c r="H185" s="3"/>
      <x:c r="I185" s="3"/>
      <x:c r="J185" s="10" t="n">
        <x:v>46036</x:v>
      </x:c>
      <x:c r="K185" s="8" t="n">
        <x:f>INDEX('Сводка'!$S$3:$S$397,U185)</x:f>
        <x:v>-25</x:v>
      </x:c>
      <x:c r="L185" s="8" t="n">
        <x:f>INDEX('Сводка'!$S$3:$S$397,V185)</x:f>
        <x:v>-22</x:v>
      </x:c>
      <x:c r="M185" s="8" t="n">
        <x:f>INDEX($K$388:$N$400,W185,1)*EXP(INDEX($K$388:$N$400,W185,2)*((J185-$T$405+1)/1000))+INDEX($O$388:$Z$400,W185,MONTH(J185))</x:f>
        <x:v>63.23746088655567</x:v>
      </x:c>
      <x:c r="N185" s="8" t="n">
        <x:f>K185-M185</x:f>
        <x:v>-88.23746088655567</x:v>
      </x:c>
      <x:c r="O185" s="8" t="n">
        <x:f>ABS(N185)</x:f>
        <x:v>88.23746088655567</x:v>
      </x:c>
      <x:c r="P185" s="8" t="n">
        <x:f>N185^2</x:f>
        <x:v>7785.849503706441</x:v>
      </x:c>
      <x:c r="Q185" s="8" t="n">
        <x:f>K185-L185</x:f>
        <x:v>-3</x:v>
      </x:c>
      <x:c r="R185" s="9" t="n">
        <x:f>IF(AND(INDEX('Сводка'!$T$3:$T$397,U185)=0,INDEX('Сводка'!$T$3:$T$397,V185)=0),1,0)</x:f>
        <x:v>1</x:v>
      </x:c>
      <x:c r="S185" s="9" t="n">
        <x:f>IF(AND(R185=1,O185&lt;=$G$13),1,0)</x:f>
        <x:v>0</x:v>
      </x:c>
      <x:c r="T185" s="10" t="n">
        <x:f>EOMONTH(J185-'Сводка'!$B$11,-1)</x:f>
        <x:v>46022</x:v>
      </x:c>
      <x:c r="U185" s="4" t="n">
        <x:f>MATCH(J185,'Сводка'!$R$3:$R$397,0)</x:f>
        <x:v>196</x:v>
      </x:c>
      <x:c r="V185" s="4" t="n">
        <x:f>MATCH(J185-'Сводка'!$B$11,'Сводка'!$R$3:$R$397,0)</x:f>
        <x:v>195</x:v>
      </x:c>
      <x:c r="W185" s="4" t="n">
        <x:f>MATCH(T185,$J$388:$J$400,0)</x:f>
        <x:v>7</x:v>
      </x:c>
      <x:c r="X185" s="3"/>
      <x:c r="Y185" s="3"/>
      <x:c r="Z185" s="3"/>
    </x:row>
    <x:row r="186" ht="15" customHeight="1">
      <x:c r="A186" s="3"/>
      <x:c r="B186" s="3"/>
      <x:c r="C186" s="3"/>
      <x:c r="D186" s="3"/>
      <x:c r="E186" s="3"/>
      <x:c r="F186" s="3"/>
      <x:c r="G186" s="3"/>
      <x:c r="H186" s="3"/>
      <x:c r="I186" s="3"/>
      <x:c r="J186" s="10" t="n">
        <x:v>46037</x:v>
      </x:c>
      <x:c r="K186" s="8" t="n">
        <x:f>INDEX('Сводка'!$S$3:$S$397,U186)</x:f>
        <x:v>-26</x:v>
      </x:c>
      <x:c r="L186" s="8" t="n">
        <x:f>INDEX('Сводка'!$S$3:$S$397,V186)</x:f>
        <x:v>-25</x:v>
      </x:c>
      <x:c r="M186" s="8" t="n">
        <x:f>INDEX($K$388:$N$400,W186,1)*EXP(INDEX($K$388:$N$400,W186,2)*((J186-$T$405+1)/1000))+INDEX($O$388:$Z$400,W186,MONTH(J186))</x:f>
        <x:v>63.27245535173712</x:v>
      </x:c>
      <x:c r="N186" s="8" t="n">
        <x:f>K186-M186</x:f>
        <x:v>-89.27245535173712</x:v>
      </x:c>
      <x:c r="O186" s="8" t="n">
        <x:f>ABS(N186)</x:f>
        <x:v>89.27245535173712</x:v>
      </x:c>
      <x:c r="P186" s="8" t="n">
        <x:f>N186^2</x:f>
        <x:v>7969.571284527898</x:v>
      </x:c>
      <x:c r="Q186" s="8" t="n">
        <x:f>K186-L186</x:f>
        <x:v>-1</x:v>
      </x:c>
      <x:c r="R186" s="9" t="n">
        <x:f>IF(AND(INDEX('Сводка'!$T$3:$T$397,U186)=0,INDEX('Сводка'!$T$3:$T$397,V186)=0),1,0)</x:f>
        <x:v>1</x:v>
      </x:c>
      <x:c r="S186" s="9" t="n">
        <x:f>IF(AND(R186=1,O186&lt;=$G$13),1,0)</x:f>
        <x:v>0</x:v>
      </x:c>
      <x:c r="T186" s="10" t="n">
        <x:f>EOMONTH(J186-'Сводка'!$B$11,-1)</x:f>
        <x:v>46022</x:v>
      </x:c>
      <x:c r="U186" s="4" t="n">
        <x:f>MATCH(J186,'Сводка'!$R$3:$R$397,0)</x:f>
        <x:v>197</x:v>
      </x:c>
      <x:c r="V186" s="4" t="n">
        <x:f>MATCH(J186-'Сводка'!$B$11,'Сводка'!$R$3:$R$397,0)</x:f>
        <x:v>196</x:v>
      </x:c>
      <x:c r="W186" s="4" t="n">
        <x:f>MATCH(T186,$J$388:$J$400,0)</x:f>
        <x:v>7</x:v>
      </x:c>
      <x:c r="X186" s="3"/>
      <x:c r="Y186" s="3"/>
      <x:c r="Z186" s="3"/>
    </x:row>
    <x:row r="187" ht="15" customHeight="1">
      <x:c r="A187" s="3"/>
      <x:c r="B187" s="3"/>
      <x:c r="C187" s="3"/>
      <x:c r="D187" s="3"/>
      <x:c r="E187" s="3"/>
      <x:c r="F187" s="3"/>
      <x:c r="G187" s="3"/>
      <x:c r="H187" s="3"/>
      <x:c r="I187" s="3"/>
      <x:c r="J187" s="10" t="n">
        <x:v>46038</x:v>
      </x:c>
      <x:c r="K187" s="8" t="n">
        <x:f>INDEX('Сводка'!$S$3:$S$397,U187)</x:f>
        <x:v>-28</x:v>
      </x:c>
      <x:c r="L187" s="8" t="n">
        <x:f>INDEX('Сводка'!$S$3:$S$397,V187)</x:f>
        <x:v>-26</x:v>
      </x:c>
      <x:c r="M187" s="8" t="n">
        <x:f>INDEX($K$388:$N$400,W187,1)*EXP(INDEX($K$388:$N$400,W187,2)*((J187-$T$405+1)/1000))+INDEX($O$388:$Z$400,W187,MONTH(J187))</x:f>
        <x:v>63.30745759831443</x:v>
      </x:c>
      <x:c r="N187" s="8" t="n">
        <x:f>K187-M187</x:f>
        <x:v>-91.30745759831443</x:v>
      </x:c>
      <x:c r="O187" s="8" t="n">
        <x:f>ABS(N187)</x:f>
        <x:v>91.30745759831443</x:v>
      </x:c>
      <x:c r="P187" s="8" t="n">
        <x:f>N187^2</x:f>
        <x:v>8337.051813067987</x:v>
      </x:c>
      <x:c r="Q187" s="8" t="n">
        <x:f>K187-L187</x:f>
        <x:v>-2</x:v>
      </x:c>
      <x:c r="R187" s="9" t="n">
        <x:f>IF(AND(INDEX('Сводка'!$T$3:$T$397,U187)=0,INDEX('Сводка'!$T$3:$T$397,V187)=0),1,0)</x:f>
        <x:v>1</x:v>
      </x:c>
      <x:c r="S187" s="9" t="n">
        <x:f>IF(AND(R187=1,O187&lt;=$G$13),1,0)</x:f>
        <x:v>0</x:v>
      </x:c>
      <x:c r="T187" s="10" t="n">
        <x:f>EOMONTH(J187-'Сводка'!$B$11,-1)</x:f>
        <x:v>46022</x:v>
      </x:c>
      <x:c r="U187" s="4" t="n">
        <x:f>MATCH(J187,'Сводка'!$R$3:$R$397,0)</x:f>
        <x:v>198</x:v>
      </x:c>
      <x:c r="V187" s="4" t="n">
        <x:f>MATCH(J187-'Сводка'!$B$11,'Сводка'!$R$3:$R$397,0)</x:f>
        <x:v>197</x:v>
      </x:c>
      <x:c r="W187" s="4" t="n">
        <x:f>MATCH(T187,$J$388:$J$400,0)</x:f>
        <x:v>7</x:v>
      </x:c>
      <x:c r="X187" s="3"/>
      <x:c r="Y187" s="3"/>
      <x:c r="Z187" s="3"/>
    </x:row>
    <x:row r="188" ht="15" customHeight="1">
      <x:c r="A188" s="3"/>
      <x:c r="B188" s="3"/>
      <x:c r="C188" s="3"/>
      <x:c r="D188" s="3"/>
      <x:c r="E188" s="3"/>
      <x:c r="F188" s="3"/>
      <x:c r="G188" s="3"/>
      <x:c r="H188" s="3"/>
      <x:c r="I188" s="3"/>
      <x:c r="J188" s="10" t="n">
        <x:v>46039</x:v>
      </x:c>
      <x:c r="K188" s="8" t="n">
        <x:f>INDEX('Сводка'!$S$3:$S$397,U188)</x:f>
        <x:v>-29</x:v>
      </x:c>
      <x:c r="L188" s="8" t="n">
        <x:f>INDEX('Сводка'!$S$3:$S$397,V188)</x:f>
        <x:v>-28</x:v>
      </x:c>
      <x:c r="M188" s="8" t="n">
        <x:f>INDEX($K$388:$N$400,W188,1)*EXP(INDEX($K$388:$N$400,W188,2)*((J188-$T$405+1)/1000))+INDEX($O$388:$Z$400,W188,MONTH(J188))</x:f>
        <x:v>63.34246762801784</x:v>
      </x:c>
      <x:c r="N188" s="8" t="n">
        <x:f>K188-M188</x:f>
        <x:v>-92.34246762801784</x:v>
      </x:c>
      <x:c r="O188" s="8" t="n">
        <x:f>ABS(N188)</x:f>
        <x:v>92.34246762801784</x:v>
      </x:c>
      <x:c r="P188" s="8" t="n">
        <x:f>N188^2</x:f>
        <x:v>8527.131327631523</x:v>
      </x:c>
      <x:c r="Q188" s="8" t="n">
        <x:f>K188-L188</x:f>
        <x:v>-1</x:v>
      </x:c>
      <x:c r="R188" s="9" t="n">
        <x:f>IF(AND(INDEX('Сводка'!$T$3:$T$397,U188)=0,INDEX('Сводка'!$T$3:$T$397,V188)=0),1,0)</x:f>
        <x:v>1</x:v>
      </x:c>
      <x:c r="S188" s="9" t="n">
        <x:f>IF(AND(R188=1,O188&lt;=$G$13),1,0)</x:f>
        <x:v>0</x:v>
      </x:c>
      <x:c r="T188" s="10" t="n">
        <x:f>EOMONTH(J188-'Сводка'!$B$11,-1)</x:f>
        <x:v>46022</x:v>
      </x:c>
      <x:c r="U188" s="4" t="n">
        <x:f>MATCH(J188,'Сводка'!$R$3:$R$397,0)</x:f>
        <x:v>199</x:v>
      </x:c>
      <x:c r="V188" s="4" t="n">
        <x:f>MATCH(J188-'Сводка'!$B$11,'Сводка'!$R$3:$R$397,0)</x:f>
        <x:v>198</x:v>
      </x:c>
      <x:c r="W188" s="4" t="n">
        <x:f>MATCH(T188,$J$388:$J$400,0)</x:f>
        <x:v>7</x:v>
      </x:c>
      <x:c r="X188" s="3"/>
      <x:c r="Y188" s="3"/>
      <x:c r="Z188" s="3"/>
    </x:row>
    <x:row r="189" ht="15" customHeight="1">
      <x:c r="A189" s="3"/>
      <x:c r="B189" s="3"/>
      <x:c r="C189" s="3"/>
      <x:c r="D189" s="3"/>
      <x:c r="E189" s="3"/>
      <x:c r="F189" s="3"/>
      <x:c r="G189" s="3"/>
      <x:c r="H189" s="3"/>
      <x:c r="I189" s="3"/>
      <x:c r="J189" s="10" t="n">
        <x:v>46040</x:v>
      </x:c>
      <x:c r="K189" s="8" t="n">
        <x:f>INDEX('Сводка'!$S$3:$S$397,U189)</x:f>
        <x:v>-34</x:v>
      </x:c>
      <x:c r="L189" s="8" t="n">
        <x:f>INDEX('Сводка'!$S$3:$S$397,V189)</x:f>
        <x:v>-29</x:v>
      </x:c>
      <x:c r="M189" s="8" t="n">
        <x:f>INDEX($K$388:$N$400,W189,1)*EXP(INDEX($K$388:$N$400,W189,2)*((J189-$T$405+1)/1000))+INDEX($O$388:$Z$400,W189,MONTH(J189))</x:f>
        <x:v>63.37748544257825</x:v>
      </x:c>
      <x:c r="N189" s="8" t="n">
        <x:f>K189-M189</x:f>
        <x:v>-97.37748544257825</x:v>
      </x:c>
      <x:c r="O189" s="8" t="n">
        <x:f>ABS(N189)</x:f>
        <x:v>97.37748544257825</x:v>
      </x:c>
      <x:c r="P189" s="8" t="n">
        <x:f>N189^2</x:f>
        <x:v>9482.374671119538</x:v>
      </x:c>
      <x:c r="Q189" s="8" t="n">
        <x:f>K189-L189</x:f>
        <x:v>-5</x:v>
      </x:c>
      <x:c r="R189" s="9" t="n">
        <x:f>IF(AND(INDEX('Сводка'!$T$3:$T$397,U189)=0,INDEX('Сводка'!$T$3:$T$397,V189)=0),1,0)</x:f>
        <x:v>1</x:v>
      </x:c>
      <x:c r="S189" s="9" t="n">
        <x:f>IF(AND(R189=1,O189&lt;=$G$13),1,0)</x:f>
        <x:v>0</x:v>
      </x:c>
      <x:c r="T189" s="10" t="n">
        <x:f>EOMONTH(J189-'Сводка'!$B$11,-1)</x:f>
        <x:v>46022</x:v>
      </x:c>
      <x:c r="U189" s="4" t="n">
        <x:f>MATCH(J189,'Сводка'!$R$3:$R$397,0)</x:f>
        <x:v>200</x:v>
      </x:c>
      <x:c r="V189" s="4" t="n">
        <x:f>MATCH(J189-'Сводка'!$B$11,'Сводка'!$R$3:$R$397,0)</x:f>
        <x:v>199</x:v>
      </x:c>
      <x:c r="W189" s="4" t="n">
        <x:f>MATCH(T189,$J$388:$J$400,0)</x:f>
        <x:v>7</x:v>
      </x:c>
      <x:c r="X189" s="3"/>
      <x:c r="Y189" s="3"/>
      <x:c r="Z189" s="3"/>
    </x:row>
    <x:row r="190" ht="15" customHeight="1">
      <x:c r="A190" s="3"/>
      <x:c r="B190" s="3"/>
      <x:c r="C190" s="3"/>
      <x:c r="D190" s="3"/>
      <x:c r="E190" s="3"/>
      <x:c r="F190" s="3"/>
      <x:c r="G190" s="3"/>
      <x:c r="H190" s="3"/>
      <x:c r="I190" s="3"/>
      <x:c r="J190" s="10" t="n">
        <x:v>46041</x:v>
      </x:c>
      <x:c r="K190" s="8" t="n">
        <x:f>INDEX('Сводка'!$S$3:$S$397,U190)</x:f>
        <x:v>-34</x:v>
      </x:c>
      <x:c r="L190" s="8" t="n">
        <x:f>INDEX('Сводка'!$S$3:$S$397,V190)</x:f>
        <x:v>-34</x:v>
      </x:c>
      <x:c r="M190" s="8" t="n">
        <x:f>INDEX($K$388:$N$400,W190,1)*EXP(INDEX($K$388:$N$400,W190,2)*((J190-$T$405+1)/1000))+INDEX($O$388:$Z$400,W190,MONTH(J190))</x:f>
        <x:v>63.41251104372644</x:v>
      </x:c>
      <x:c r="N190" s="8" t="n">
        <x:f>K190-M190</x:f>
        <x:v>-97.41251104372644</x:v>
      </x:c>
      <x:c r="O190" s="8" t="n">
        <x:f>ABS(N190)</x:f>
        <x:v>97.41251104372644</x:v>
      </x:c>
      <x:c r="P190" s="8" t="n">
        <x:f>N190^2</x:f>
        <x:v>9489.197307844126</x:v>
      </x:c>
      <x:c r="Q190" s="8" t="n">
        <x:f>K190-L190</x:f>
        <x:v>0</x:v>
      </x:c>
      <x:c r="R190" s="9" t="n">
        <x:f>IF(AND(INDEX('Сводка'!$T$3:$T$397,U190)=0,INDEX('Сводка'!$T$3:$T$397,V190)=0),1,0)</x:f>
        <x:v>1</x:v>
      </x:c>
      <x:c r="S190" s="9" t="n">
        <x:f>IF(AND(R190=1,O190&lt;=$G$13),1,0)</x:f>
        <x:v>0</x:v>
      </x:c>
      <x:c r="T190" s="10" t="n">
        <x:f>EOMONTH(J190-'Сводка'!$B$11,-1)</x:f>
        <x:v>46022</x:v>
      </x:c>
      <x:c r="U190" s="4" t="n">
        <x:f>MATCH(J190,'Сводка'!$R$3:$R$397,0)</x:f>
        <x:v>201</x:v>
      </x:c>
      <x:c r="V190" s="4" t="n">
        <x:f>MATCH(J190-'Сводка'!$B$11,'Сводка'!$R$3:$R$397,0)</x:f>
        <x:v>200</x:v>
      </x:c>
      <x:c r="W190" s="4" t="n">
        <x:f>MATCH(T190,$J$388:$J$400,0)</x:f>
        <x:v>7</x:v>
      </x:c>
      <x:c r="X190" s="3"/>
      <x:c r="Y190" s="3"/>
      <x:c r="Z190" s="3"/>
    </x:row>
    <x:row r="191" ht="15" customHeight="1">
      <x:c r="A191" s="3"/>
      <x:c r="B191" s="3"/>
      <x:c r="C191" s="3"/>
      <x:c r="D191" s="3"/>
      <x:c r="E191" s="3"/>
      <x:c r="F191" s="3"/>
      <x:c r="G191" s="3"/>
      <x:c r="H191" s="3"/>
      <x:c r="I191" s="3"/>
      <x:c r="J191" s="10" t="n">
        <x:v>46042</x:v>
      </x:c>
      <x:c r="K191" s="8" t="n">
        <x:f>INDEX('Сводка'!$S$3:$S$397,U191)</x:f>
        <x:v>-39</x:v>
      </x:c>
      <x:c r="L191" s="8" t="n">
        <x:f>INDEX('Сводка'!$S$3:$S$397,V191)</x:f>
        <x:v>-34</x:v>
      </x:c>
      <x:c r="M191" s="8" t="n">
        <x:f>INDEX($K$388:$N$400,W191,1)*EXP(INDEX($K$388:$N$400,W191,2)*((J191-$T$405+1)/1000))+INDEX($O$388:$Z$400,W191,MONTH(J191))</x:f>
        <x:v>63.44754443319401</x:v>
      </x:c>
      <x:c r="N191" s="8" t="n">
        <x:f>K191-M191</x:f>
        <x:v>-102.44754443319401</x:v>
      </x:c>
      <x:c r="O191" s="8" t="n">
        <x:f>ABS(N191)</x:f>
        <x:v>102.44754443319401</x:v>
      </x:c>
      <x:c r="P191" s="8" t="n">
        <x:f>N191^2</x:f>
        <x:v>10495.49936039126</x:v>
      </x:c>
      <x:c r="Q191" s="8" t="n">
        <x:f>K191-L191</x:f>
        <x:v>-5</x:v>
      </x:c>
      <x:c r="R191" s="9" t="n">
        <x:f>IF(AND(INDEX('Сводка'!$T$3:$T$397,U191)=0,INDEX('Сводка'!$T$3:$T$397,V191)=0),1,0)</x:f>
        <x:v>1</x:v>
      </x:c>
      <x:c r="S191" s="9" t="n">
        <x:f>IF(AND(R191=1,O191&lt;=$G$13),1,0)</x:f>
        <x:v>0</x:v>
      </x:c>
      <x:c r="T191" s="10" t="n">
        <x:f>EOMONTH(J191-'Сводка'!$B$11,-1)</x:f>
        <x:v>46022</x:v>
      </x:c>
      <x:c r="U191" s="4" t="n">
        <x:f>MATCH(J191,'Сводка'!$R$3:$R$397,0)</x:f>
        <x:v>202</x:v>
      </x:c>
      <x:c r="V191" s="4" t="n">
        <x:f>MATCH(J191-'Сводка'!$B$11,'Сводка'!$R$3:$R$397,0)</x:f>
        <x:v>201</x:v>
      </x:c>
      <x:c r="W191" s="4" t="n">
        <x:f>MATCH(T191,$J$388:$J$400,0)</x:f>
        <x:v>7</x:v>
      </x:c>
      <x:c r="X191" s="3"/>
      <x:c r="Y191" s="3"/>
      <x:c r="Z191" s="3"/>
    </x:row>
    <x:row r="192" ht="15" customHeight="1">
      <x:c r="A192" s="3"/>
      <x:c r="B192" s="3"/>
      <x:c r="C192" s="3"/>
      <x:c r="D192" s="3"/>
      <x:c r="E192" s="3"/>
      <x:c r="F192" s="3"/>
      <x:c r="G192" s="3"/>
      <x:c r="H192" s="3"/>
      <x:c r="I192" s="3"/>
      <x:c r="J192" s="10" t="n">
        <x:v>46043</x:v>
      </x:c>
      <x:c r="K192" s="8" t="n">
        <x:f>INDEX('Сводка'!$S$3:$S$397,U192)</x:f>
        <x:v>-41</x:v>
      </x:c>
      <x:c r="L192" s="8" t="n">
        <x:f>INDEX('Сводка'!$S$3:$S$397,V192)</x:f>
        <x:v>-39</x:v>
      </x:c>
      <x:c r="M192" s="8" t="n">
        <x:f>INDEX($K$388:$N$400,W192,1)*EXP(INDEX($K$388:$N$400,W192,2)*((J192-$T$405+1)/1000))+INDEX($O$388:$Z$400,W192,MONTH(J192))</x:f>
        <x:v>63.482585612712725</x:v>
      </x:c>
      <x:c r="N192" s="8" t="n">
        <x:f>K192-M192</x:f>
        <x:v>-104.48258561271273</x:v>
      </x:c>
      <x:c r="O192" s="8" t="n">
        <x:f>ABS(N192)</x:f>
        <x:v>104.48258561271273</x:v>
      </x:c>
      <x:c r="P192" s="8" t="n">
        <x:f>N192^2</x:f>
        <x:v>10916.610696317844</x:v>
      </x:c>
      <x:c r="Q192" s="8" t="n">
        <x:f>K192-L192</x:f>
        <x:v>-2</x:v>
      </x:c>
      <x:c r="R192" s="9" t="n">
        <x:f>IF(AND(INDEX('Сводка'!$T$3:$T$397,U192)=0,INDEX('Сводка'!$T$3:$T$397,V192)=0),1,0)</x:f>
        <x:v>1</x:v>
      </x:c>
      <x:c r="S192" s="9" t="n">
        <x:f>IF(AND(R192=1,O192&lt;=$G$13),1,0)</x:f>
        <x:v>0</x:v>
      </x:c>
      <x:c r="T192" s="10" t="n">
        <x:f>EOMONTH(J192-'Сводка'!$B$11,-1)</x:f>
        <x:v>46022</x:v>
      </x:c>
      <x:c r="U192" s="4" t="n">
        <x:f>MATCH(J192,'Сводка'!$R$3:$R$397,0)</x:f>
        <x:v>203</x:v>
      </x:c>
      <x:c r="V192" s="4" t="n">
        <x:f>MATCH(J192-'Сводка'!$B$11,'Сводка'!$R$3:$R$397,0)</x:f>
        <x:v>202</x:v>
      </x:c>
      <x:c r="W192" s="4" t="n">
        <x:f>MATCH(T192,$J$388:$J$400,0)</x:f>
        <x:v>7</x:v>
      </x:c>
      <x:c r="X192" s="3"/>
      <x:c r="Y192" s="3"/>
      <x:c r="Z192" s="3"/>
    </x:row>
    <x:row r="193" ht="15" customHeight="1">
      <x:c r="A193" s="3"/>
      <x:c r="B193" s="3"/>
      <x:c r="C193" s="3"/>
      <x:c r="D193" s="3"/>
      <x:c r="E193" s="3"/>
      <x:c r="F193" s="3"/>
      <x:c r="G193" s="3"/>
      <x:c r="H193" s="3"/>
      <x:c r="I193" s="3"/>
      <x:c r="J193" s="10" t="n">
        <x:v>46044</x:v>
      </x:c>
      <x:c r="K193" s="8" t="n">
        <x:f>INDEX('Сводка'!$S$3:$S$397,U193)</x:f>
        <x:v>-41</x:v>
      </x:c>
      <x:c r="L193" s="8" t="n">
        <x:f>INDEX('Сводка'!$S$3:$S$397,V193)</x:f>
        <x:v>-41</x:v>
      </x:c>
      <x:c r="M193" s="8" t="n">
        <x:f>INDEX($K$388:$N$400,W193,1)*EXP(INDEX($K$388:$N$400,W193,2)*((J193-$T$405+1)/1000))+INDEX($O$388:$Z$400,W193,MONTH(J193))</x:f>
        <x:v>63.51763458401477</x:v>
      </x:c>
      <x:c r="N193" s="8" t="n">
        <x:f>K193-M193</x:f>
        <x:v>-104.51763458401477</x:v>
      </x:c>
      <x:c r="O193" s="8" t="n">
        <x:f>ABS(N193)</x:f>
        <x:v>104.51763458401477</x:v>
      </x:c>
      <x:c r="P193" s="8" t="n">
        <x:f>N193^2</x:f>
        <x:v>10923.935939037641</x:v>
      </x:c>
      <x:c r="Q193" s="8" t="n">
        <x:f>K193-L193</x:f>
        <x:v>0</x:v>
      </x:c>
      <x:c r="R193" s="9" t="n">
        <x:f>IF(AND(INDEX('Сводка'!$T$3:$T$397,U193)=0,INDEX('Сводка'!$T$3:$T$397,V193)=0),1,0)</x:f>
        <x:v>1</x:v>
      </x:c>
      <x:c r="S193" s="9" t="n">
        <x:f>IF(AND(R193=1,O193&lt;=$G$13),1,0)</x:f>
        <x:v>0</x:v>
      </x:c>
      <x:c r="T193" s="10" t="n">
        <x:f>EOMONTH(J193-'Сводка'!$B$11,-1)</x:f>
        <x:v>46022</x:v>
      </x:c>
      <x:c r="U193" s="4" t="n">
        <x:f>MATCH(J193,'Сводка'!$R$3:$R$397,0)</x:f>
        <x:v>204</x:v>
      </x:c>
      <x:c r="V193" s="4" t="n">
        <x:f>MATCH(J193-'Сводка'!$B$11,'Сводка'!$R$3:$R$397,0)</x:f>
        <x:v>203</x:v>
      </x:c>
      <x:c r="W193" s="4" t="n">
        <x:f>MATCH(T193,$J$388:$J$400,0)</x:f>
        <x:v>7</x:v>
      </x:c>
      <x:c r="X193" s="3"/>
      <x:c r="Y193" s="3"/>
      <x:c r="Z193" s="3"/>
    </x:row>
    <x:row r="194" ht="15" customHeight="1">
      <x:c r="A194" s="3"/>
      <x:c r="B194" s="3"/>
      <x:c r="C194" s="3"/>
      <x:c r="D194" s="3"/>
      <x:c r="E194" s="3"/>
      <x:c r="F194" s="3"/>
      <x:c r="G194" s="3"/>
      <x:c r="H194" s="3"/>
      <x:c r="I194" s="3"/>
      <x:c r="J194" s="10" t="n">
        <x:v>46045</x:v>
      </x:c>
      <x:c r="K194" s="8" t="n">
        <x:f>INDEX('Сводка'!$S$3:$S$397,U194)</x:f>
        <x:v>-37</x:v>
      </x:c>
      <x:c r="L194" s="8" t="n">
        <x:f>INDEX('Сводка'!$S$3:$S$397,V194)</x:f>
        <x:v>-41</x:v>
      </x:c>
      <x:c r="M194" s="8" t="n">
        <x:f>INDEX($K$388:$N$400,W194,1)*EXP(INDEX($K$388:$N$400,W194,2)*((J194-$T$405+1)/1000))+INDEX($O$388:$Z$400,W194,MONTH(J194))</x:f>
        <x:v>63.55269134883274</x:v>
      </x:c>
      <x:c r="N194" s="8" t="n">
        <x:f>K194-M194</x:f>
        <x:v>-100.55269134883274</x:v>
      </x:c>
      <x:c r="O194" s="8" t="n">
        <x:f>ABS(N194)</x:f>
        <x:v>100.55269134883274</x:v>
      </x:c>
      <x:c r="P194" s="8" t="n">
        <x:f>N194^2</x:f>
        <x:v>10110.843737493622</x:v>
      </x:c>
      <x:c r="Q194" s="8" t="n">
        <x:f>K194-L194</x:f>
        <x:v>4</x:v>
      </x:c>
      <x:c r="R194" s="9" t="n">
        <x:f>IF(AND(INDEX('Сводка'!$T$3:$T$397,U194)=0,INDEX('Сводка'!$T$3:$T$397,V194)=0),1,0)</x:f>
        <x:v>1</x:v>
      </x:c>
      <x:c r="S194" s="9" t="n">
        <x:f>IF(AND(R194=1,O194&lt;=$G$13),1,0)</x:f>
        <x:v>0</x:v>
      </x:c>
      <x:c r="T194" s="10" t="n">
        <x:f>EOMONTH(J194-'Сводка'!$B$11,-1)</x:f>
        <x:v>46022</x:v>
      </x:c>
      <x:c r="U194" s="4" t="n">
        <x:f>MATCH(J194,'Сводка'!$R$3:$R$397,0)</x:f>
        <x:v>205</x:v>
      </x:c>
      <x:c r="V194" s="4" t="n">
        <x:f>MATCH(J194-'Сводка'!$B$11,'Сводка'!$R$3:$R$397,0)</x:f>
        <x:v>204</x:v>
      </x:c>
      <x:c r="W194" s="4" t="n">
        <x:f>MATCH(T194,$J$388:$J$400,0)</x:f>
        <x:v>7</x:v>
      </x:c>
      <x:c r="X194" s="3"/>
      <x:c r="Y194" s="3"/>
      <x:c r="Z194" s="3"/>
    </x:row>
    <x:row r="195" ht="15" customHeight="1">
      <x:c r="A195" s="3"/>
      <x:c r="B195" s="3"/>
      <x:c r="C195" s="3"/>
      <x:c r="D195" s="3"/>
      <x:c r="E195" s="3"/>
      <x:c r="F195" s="3"/>
      <x:c r="G195" s="3"/>
      <x:c r="H195" s="3"/>
      <x:c r="I195" s="3"/>
      <x:c r="J195" s="10" t="n">
        <x:v>46046</x:v>
      </x:c>
      <x:c r="K195" s="8" t="n">
        <x:f>INDEX('Сводка'!$S$3:$S$397,U195)</x:f>
        <x:v>-39</x:v>
      </x:c>
      <x:c r="L195" s="8" t="n">
        <x:f>INDEX('Сводка'!$S$3:$S$397,V195)</x:f>
        <x:v>-37</x:v>
      </x:c>
      <x:c r="M195" s="8" t="n">
        <x:f>INDEX($K$388:$N$400,W195,1)*EXP(INDEX($K$388:$N$400,W195,2)*((J195-$T$405+1)/1000))+INDEX($O$388:$Z$400,W195,MONTH(J195))</x:f>
        <x:v>63.58775590889961</x:v>
      </x:c>
      <x:c r="N195" s="8" t="n">
        <x:f>K195-M195</x:f>
        <x:v>-102.58775590889961</x:v>
      </x:c>
      <x:c r="O195" s="8" t="n">
        <x:f>ABS(N195)</x:f>
        <x:v>102.58775590889961</x:v>
      </x:c>
      <x:c r="P195" s="8" t="n">
        <x:f>N195^2</x:f>
        <x:v>10524.247662423966</x:v>
      </x:c>
      <x:c r="Q195" s="8" t="n">
        <x:f>K195-L195</x:f>
        <x:v>-2</x:v>
      </x:c>
      <x:c r="R195" s="9" t="n">
        <x:f>IF(AND(INDEX('Сводка'!$T$3:$T$397,U195)=0,INDEX('Сводка'!$T$3:$T$397,V195)=0),1,0)</x:f>
        <x:v>1</x:v>
      </x:c>
      <x:c r="S195" s="9" t="n">
        <x:f>IF(AND(R195=1,O195&lt;=$G$13),1,0)</x:f>
        <x:v>0</x:v>
      </x:c>
      <x:c r="T195" s="10" t="n">
        <x:f>EOMONTH(J195-'Сводка'!$B$11,-1)</x:f>
        <x:v>46022</x:v>
      </x:c>
      <x:c r="U195" s="4" t="n">
        <x:f>MATCH(J195,'Сводка'!$R$3:$R$397,0)</x:f>
        <x:v>206</x:v>
      </x:c>
      <x:c r="V195" s="4" t="n">
        <x:f>MATCH(J195-'Сводка'!$B$11,'Сводка'!$R$3:$R$397,0)</x:f>
        <x:v>205</x:v>
      </x:c>
      <x:c r="W195" s="4" t="n">
        <x:f>MATCH(T195,$J$388:$J$400,0)</x:f>
        <x:v>7</x:v>
      </x:c>
      <x:c r="X195" s="3"/>
      <x:c r="Y195" s="3"/>
      <x:c r="Z195" s="3"/>
    </x:row>
    <x:row r="196" ht="15" customHeight="1">
      <x:c r="A196" s="3"/>
      <x:c r="B196" s="3"/>
      <x:c r="C196" s="3"/>
      <x:c r="D196" s="3"/>
      <x:c r="E196" s="3"/>
      <x:c r="F196" s="3"/>
      <x:c r="G196" s="3"/>
      <x:c r="H196" s="3"/>
      <x:c r="I196" s="3"/>
      <x:c r="J196" s="10" t="n">
        <x:v>46047</x:v>
      </x:c>
      <x:c r="K196" s="8" t="n">
        <x:f>INDEX('Сводка'!$S$3:$S$397,U196)</x:f>
        <x:v>-36</x:v>
      </x:c>
      <x:c r="L196" s="8" t="n">
        <x:f>INDEX('Сводка'!$S$3:$S$397,V196)</x:f>
        <x:v>-39</x:v>
      </x:c>
      <x:c r="M196" s="8" t="n">
        <x:f>INDEX($K$388:$N$400,W196,1)*EXP(INDEX($K$388:$N$400,W196,2)*((J196-$T$405+1)/1000))+INDEX($O$388:$Z$400,W196,MONTH(J196))</x:f>
        <x:v>63.622828265948826</x:v>
      </x:c>
      <x:c r="N196" s="8" t="n">
        <x:f>K196-M196</x:f>
        <x:v>-99.62282826594883</x:v>
      </x:c>
      <x:c r="O196" s="8" t="n">
        <x:f>ABS(N196)</x:f>
        <x:v>99.62282826594883</x:v>
      </x:c>
      <x:c r="P196" s="8" t="n">
        <x:f>N196^2</x:f>
        <x:v>9924.707911706731</x:v>
      </x:c>
      <x:c r="Q196" s="8" t="n">
        <x:f>K196-L196</x:f>
        <x:v>3</x:v>
      </x:c>
      <x:c r="R196" s="9" t="n">
        <x:f>IF(AND(INDEX('Сводка'!$T$3:$T$397,U196)=0,INDEX('Сводка'!$T$3:$T$397,V196)=0),1,0)</x:f>
        <x:v>1</x:v>
      </x:c>
      <x:c r="S196" s="9" t="n">
        <x:f>IF(AND(R196=1,O196&lt;=$G$13),1,0)</x:f>
        <x:v>0</x:v>
      </x:c>
      <x:c r="T196" s="10" t="n">
        <x:f>EOMONTH(J196-'Сводка'!$B$11,-1)</x:f>
        <x:v>46022</x:v>
      </x:c>
      <x:c r="U196" s="4" t="n">
        <x:f>MATCH(J196,'Сводка'!$R$3:$R$397,0)</x:f>
        <x:v>207</x:v>
      </x:c>
      <x:c r="V196" s="4" t="n">
        <x:f>MATCH(J196-'Сводка'!$B$11,'Сводка'!$R$3:$R$397,0)</x:f>
        <x:v>206</x:v>
      </x:c>
      <x:c r="W196" s="4" t="n">
        <x:f>MATCH(T196,$J$388:$J$400,0)</x:f>
        <x:v>7</x:v>
      </x:c>
      <x:c r="X196" s="3"/>
      <x:c r="Y196" s="3"/>
      <x:c r="Z196" s="3"/>
    </x:row>
    <x:row r="197" ht="15" customHeight="1">
      <x:c r="A197" s="3"/>
      <x:c r="B197" s="3"/>
      <x:c r="C197" s="3"/>
      <x:c r="D197" s="3"/>
      <x:c r="E197" s="3"/>
      <x:c r="F197" s="3"/>
      <x:c r="G197" s="3"/>
      <x:c r="H197" s="3"/>
      <x:c r="I197" s="3"/>
      <x:c r="J197" s="10" t="n">
        <x:v>46048</x:v>
      </x:c>
      <x:c r="K197" s="8" t="n">
        <x:f>INDEX('Сводка'!$S$3:$S$397,U197)</x:f>
        <x:v>-36</x:v>
      </x:c>
      <x:c r="L197" s="8" t="n">
        <x:f>INDEX('Сводка'!$S$3:$S$397,V197)</x:f>
        <x:v>-36</x:v>
      </x:c>
      <x:c r="M197" s="8" t="n">
        <x:f>INDEX($K$388:$N$400,W197,1)*EXP(INDEX($K$388:$N$400,W197,2)*((J197-$T$405+1)/1000))+INDEX($O$388:$Z$400,W197,MONTH(J197))</x:f>
        <x:v>63.65790842171394</x:v>
      </x:c>
      <x:c r="N197" s="8" t="n">
        <x:f>K197-M197</x:f>
        <x:v>-99.65790842171394</x:v>
      </x:c>
      <x:c r="O197" s="8" t="n">
        <x:f>ABS(N197)</x:f>
        <x:v>99.65790842171394</x:v>
      </x:c>
      <x:c r="P197" s="8" t="n">
        <x:f>N197^2</x:f>
        <x:v>9931.698710990722</x:v>
      </x:c>
      <x:c r="Q197" s="8" t="n">
        <x:f>K197-L197</x:f>
        <x:v>0</x:v>
      </x:c>
      <x:c r="R197" s="9" t="n">
        <x:f>IF(AND(INDEX('Сводка'!$T$3:$T$397,U197)=0,INDEX('Сводка'!$T$3:$T$397,V197)=0),1,0)</x:f>
        <x:v>1</x:v>
      </x:c>
      <x:c r="S197" s="9" t="n">
        <x:f>IF(AND(R197=1,O197&lt;=$G$13),1,0)</x:f>
        <x:v>0</x:v>
      </x:c>
      <x:c r="T197" s="10" t="n">
        <x:f>EOMONTH(J197-'Сводка'!$B$11,-1)</x:f>
        <x:v>46022</x:v>
      </x:c>
      <x:c r="U197" s="4" t="n">
        <x:f>MATCH(J197,'Сводка'!$R$3:$R$397,0)</x:f>
        <x:v>208</x:v>
      </x:c>
      <x:c r="V197" s="4" t="n">
        <x:f>MATCH(J197-'Сводка'!$B$11,'Сводка'!$R$3:$R$397,0)</x:f>
        <x:v>207</x:v>
      </x:c>
      <x:c r="W197" s="4" t="n">
        <x:f>MATCH(T197,$J$388:$J$400,0)</x:f>
        <x:v>7</x:v>
      </x:c>
      <x:c r="X197" s="3"/>
      <x:c r="Y197" s="3"/>
      <x:c r="Z197" s="3"/>
    </x:row>
    <x:row r="198" ht="15" customHeight="1">
      <x:c r="A198" s="3"/>
      <x:c r="B198" s="3"/>
      <x:c r="C198" s="3"/>
      <x:c r="D198" s="3"/>
      <x:c r="E198" s="3"/>
      <x:c r="F198" s="3"/>
      <x:c r="G198" s="3"/>
      <x:c r="H198" s="3"/>
      <x:c r="I198" s="3"/>
      <x:c r="J198" s="10" t="n">
        <x:v>46049</x:v>
      </x:c>
      <x:c r="K198" s="8" t="n">
        <x:f>INDEX('Сводка'!$S$3:$S$397,U198)</x:f>
        <x:v>-38</x:v>
      </x:c>
      <x:c r="L198" s="8" t="n">
        <x:f>INDEX('Сводка'!$S$3:$S$397,V198)</x:f>
        <x:v>-36</x:v>
      </x:c>
      <x:c r="M198" s="8" t="n">
        <x:f>INDEX($K$388:$N$400,W198,1)*EXP(INDEX($K$388:$N$400,W198,2)*((J198-$T$405+1)/1000))+INDEX($O$388:$Z$400,W198,MONTH(J198))</x:f>
        <x:v>63.69299637792922</x:v>
      </x:c>
      <x:c r="N198" s="8" t="n">
        <x:f>K198-M198</x:f>
        <x:v>-101.69299637792922</x:v>
      </x:c>
      <x:c r="O198" s="8" t="n">
        <x:f>ABS(N198)</x:f>
        <x:v>101.69299637792922</x:v>
      </x:c>
      <x:c r="P198" s="8" t="n">
        <x:f>N198^2</x:f>
        <x:v>10341.465512321525</x:v>
      </x:c>
      <x:c r="Q198" s="8" t="n">
        <x:f>K198-L198</x:f>
        <x:v>-2</x:v>
      </x:c>
      <x:c r="R198" s="9" t="n">
        <x:f>IF(AND(INDEX('Сводка'!$T$3:$T$397,U198)=0,INDEX('Сводка'!$T$3:$T$397,V198)=0),1,0)</x:f>
        <x:v>1</x:v>
      </x:c>
      <x:c r="S198" s="9" t="n">
        <x:f>IF(AND(R198=1,O198&lt;=$G$13),1,0)</x:f>
        <x:v>0</x:v>
      </x:c>
      <x:c r="T198" s="10" t="n">
        <x:f>EOMONTH(J198-'Сводка'!$B$11,-1)</x:f>
        <x:v>46022</x:v>
      </x:c>
      <x:c r="U198" s="4" t="n">
        <x:f>MATCH(J198,'Сводка'!$R$3:$R$397,0)</x:f>
        <x:v>209</x:v>
      </x:c>
      <x:c r="V198" s="4" t="n">
        <x:f>MATCH(J198-'Сводка'!$B$11,'Сводка'!$R$3:$R$397,0)</x:f>
        <x:v>208</x:v>
      </x:c>
      <x:c r="W198" s="4" t="n">
        <x:f>MATCH(T198,$J$388:$J$400,0)</x:f>
        <x:v>7</x:v>
      </x:c>
      <x:c r="X198" s="3"/>
      <x:c r="Y198" s="3"/>
      <x:c r="Z198" s="3"/>
    </x:row>
    <x:row r="199" ht="15" customHeight="1">
      <x:c r="A199" s="3"/>
      <x:c r="B199" s="3"/>
      <x:c r="C199" s="3"/>
      <x:c r="D199" s="3"/>
      <x:c r="E199" s="3"/>
      <x:c r="F199" s="3"/>
      <x:c r="G199" s="3"/>
      <x:c r="H199" s="3"/>
      <x:c r="I199" s="3"/>
      <x:c r="J199" s="10" t="n">
        <x:v>46050</x:v>
      </x:c>
      <x:c r="K199" s="8" t="n">
        <x:f>INDEX('Сводка'!$S$3:$S$397,U199)</x:f>
        <x:v>-33</x:v>
      </x:c>
      <x:c r="L199" s="8" t="n">
        <x:f>INDEX('Сводка'!$S$3:$S$397,V199)</x:f>
        <x:v>-38</x:v>
      </x:c>
      <x:c r="M199" s="8" t="n">
        <x:f>INDEX($K$388:$N$400,W199,1)*EXP(INDEX($K$388:$N$400,W199,2)*((J199-$T$405+1)/1000))+INDEX($O$388:$Z$400,W199,MONTH(J199))</x:f>
        <x:v>63.72809213632921</x:v>
      </x:c>
      <x:c r="N199" s="8" t="n">
        <x:f>K199-M199</x:f>
        <x:v>-96.72809213632921</x:v>
      </x:c>
      <x:c r="O199" s="8" t="n">
        <x:f>ABS(N199)</x:f>
        <x:v>96.72809213632921</x:v>
      </x:c>
      <x:c r="P199" s="8" t="n">
        <x:f>N199^2</x:f>
        <x:v>9356.323808334193</x:v>
      </x:c>
      <x:c r="Q199" s="8" t="n">
        <x:f>K199-L199</x:f>
        <x:v>5</x:v>
      </x:c>
      <x:c r="R199" s="9" t="n">
        <x:f>IF(AND(INDEX('Сводка'!$T$3:$T$397,U199)=0,INDEX('Сводка'!$T$3:$T$397,V199)=0),1,0)</x:f>
        <x:v>1</x:v>
      </x:c>
      <x:c r="S199" s="9" t="n">
        <x:f>IF(AND(R199=1,O199&lt;=$G$13),1,0)</x:f>
        <x:v>0</x:v>
      </x:c>
      <x:c r="T199" s="10" t="n">
        <x:f>EOMONTH(J199-'Сводка'!$B$11,-1)</x:f>
        <x:v>46022</x:v>
      </x:c>
      <x:c r="U199" s="4" t="n">
        <x:f>MATCH(J199,'Сводка'!$R$3:$R$397,0)</x:f>
        <x:v>210</x:v>
      </x:c>
      <x:c r="V199" s="4" t="n">
        <x:f>MATCH(J199-'Сводка'!$B$11,'Сводка'!$R$3:$R$397,0)</x:f>
        <x:v>209</x:v>
      </x:c>
      <x:c r="W199" s="4" t="n">
        <x:f>MATCH(T199,$J$388:$J$400,0)</x:f>
        <x:v>7</x:v>
      </x:c>
      <x:c r="X199" s="3"/>
      <x:c r="Y199" s="3"/>
      <x:c r="Z199" s="3"/>
    </x:row>
    <x:row r="200" ht="15" customHeight="1">
      <x:c r="A200" s="3"/>
      <x:c r="B200" s="3"/>
      <x:c r="C200" s="3"/>
      <x:c r="D200" s="3"/>
      <x:c r="E200" s="3"/>
      <x:c r="F200" s="3"/>
      <x:c r="G200" s="3"/>
      <x:c r="H200" s="3"/>
      <x:c r="I200" s="3"/>
      <x:c r="J200" s="10" t="n">
        <x:v>46051</x:v>
      </x:c>
      <x:c r="K200" s="8" t="n">
        <x:f>INDEX('Сводка'!$S$3:$S$397,U200)</x:f>
        <x:v>-33</x:v>
      </x:c>
      <x:c r="L200" s="8" t="n">
        <x:f>INDEX('Сводка'!$S$3:$S$397,V200)</x:f>
        <x:v>-33</x:v>
      </x:c>
      <x:c r="M200" s="8" t="n">
        <x:f>INDEX($K$388:$N$400,W200,1)*EXP(INDEX($K$388:$N$400,W200,2)*((J200-$T$405+1)/1000))+INDEX($O$388:$Z$400,W200,MONTH(J200))</x:f>
        <x:v>63.76319569864869</x:v>
      </x:c>
      <x:c r="N200" s="8" t="n">
        <x:f>K200-M200</x:f>
        <x:v>-96.76319569864869</x:v>
      </x:c>
      <x:c r="O200" s="8" t="n">
        <x:f>ABS(N200)</x:f>
        <x:v>96.76319569864869</x:v>
      </x:c>
      <x:c r="P200" s="8" t="n">
        <x:f>N200^2</x:f>
        <x:v>9363.116041814983</x:v>
      </x:c>
      <x:c r="Q200" s="8" t="n">
        <x:f>K200-L200</x:f>
        <x:v>0</x:v>
      </x:c>
      <x:c r="R200" s="9" t="n">
        <x:f>IF(AND(INDEX('Сводка'!$T$3:$T$397,U200)=0,INDEX('Сводка'!$T$3:$T$397,V200)=0),1,0)</x:f>
        <x:v>1</x:v>
      </x:c>
      <x:c r="S200" s="9" t="n">
        <x:f>IF(AND(R200=1,O200&lt;=$G$13),1,0)</x:f>
        <x:v>0</x:v>
      </x:c>
      <x:c r="T200" s="10" t="n">
        <x:f>EOMONTH(J200-'Сводка'!$B$11,-1)</x:f>
        <x:v>46022</x:v>
      </x:c>
      <x:c r="U200" s="4" t="n">
        <x:f>MATCH(J200,'Сводка'!$R$3:$R$397,0)</x:f>
        <x:v>211</x:v>
      </x:c>
      <x:c r="V200" s="4" t="n">
        <x:f>MATCH(J200-'Сводка'!$B$11,'Сводка'!$R$3:$R$397,0)</x:f>
        <x:v>210</x:v>
      </x:c>
      <x:c r="W200" s="4" t="n">
        <x:f>MATCH(T200,$J$388:$J$400,0)</x:f>
        <x:v>7</x:v>
      </x:c>
      <x:c r="X200" s="3"/>
      <x:c r="Y200" s="3"/>
      <x:c r="Z200" s="3"/>
    </x:row>
    <x:row r="201" ht="15" customHeight="1">
      <x:c r="A201" s="3"/>
      <x:c r="B201" s="3"/>
      <x:c r="C201" s="3"/>
      <x:c r="D201" s="3"/>
      <x:c r="E201" s="3"/>
      <x:c r="F201" s="3"/>
      <x:c r="G201" s="3"/>
      <x:c r="H201" s="3"/>
      <x:c r="I201" s="3"/>
      <x:c r="J201" s="10" t="n">
        <x:v>46052</x:v>
      </x:c>
      <x:c r="K201" s="8" t="n">
        <x:f>INDEX('Сводка'!$S$3:$S$397,U201)</x:f>
        <x:v>-36</x:v>
      </x:c>
      <x:c r="L201" s="8" t="n">
        <x:f>INDEX('Сводка'!$S$3:$S$397,V201)</x:f>
        <x:v>-33</x:v>
      </x:c>
      <x:c r="M201" s="8" t="n">
        <x:f>INDEX($K$388:$N$400,W201,1)*EXP(INDEX($K$388:$N$400,W201,2)*((J201-$T$405+1)/1000))+INDEX($O$388:$Z$400,W201,MONTH(J201))</x:f>
        <x:v>63.798307066622996</x:v>
      </x:c>
      <x:c r="N201" s="8" t="n">
        <x:f>K201-M201</x:f>
        <x:v>-99.798307066623</x:v>
      </x:c>
      <x:c r="O201" s="8" t="n">
        <x:f>ABS(N201)</x:f>
        <x:v>99.798307066623</x:v>
      </x:c>
      <x:c r="P201" s="8" t="n">
        <x:f>N201^2</x:f>
        <x:v>9959.702093363974</x:v>
      </x:c>
      <x:c r="Q201" s="8" t="n">
        <x:f>K201-L201</x:f>
        <x:v>-3</x:v>
      </x:c>
      <x:c r="R201" s="9" t="n">
        <x:f>IF(AND(INDEX('Сводка'!$T$3:$T$397,U201)=0,INDEX('Сводка'!$T$3:$T$397,V201)=0),1,0)</x:f>
        <x:v>1</x:v>
      </x:c>
      <x:c r="S201" s="9" t="n">
        <x:f>IF(AND(R201=1,O201&lt;=$G$13),1,0)</x:f>
        <x:v>0</x:v>
      </x:c>
      <x:c r="T201" s="10" t="n">
        <x:f>EOMONTH(J201-'Сводка'!$B$11,-1)</x:f>
        <x:v>46022</x:v>
      </x:c>
      <x:c r="U201" s="4" t="n">
        <x:f>MATCH(J201,'Сводка'!$R$3:$R$397,0)</x:f>
        <x:v>212</x:v>
      </x:c>
      <x:c r="V201" s="4" t="n">
        <x:f>MATCH(J201-'Сводка'!$B$11,'Сводка'!$R$3:$R$397,0)</x:f>
        <x:v>211</x:v>
      </x:c>
      <x:c r="W201" s="4" t="n">
        <x:f>MATCH(T201,$J$388:$J$400,0)</x:f>
        <x:v>7</x:v>
      </x:c>
      <x:c r="X201" s="3"/>
      <x:c r="Y201" s="3"/>
      <x:c r="Z201" s="3"/>
    </x:row>
    <x:row r="202" ht="15" customHeight="1">
      <x:c r="A202" s="3"/>
      <x:c r="B202" s="3"/>
      <x:c r="C202" s="3"/>
      <x:c r="D202" s="3"/>
      <x:c r="E202" s="3"/>
      <x:c r="F202" s="3"/>
      <x:c r="G202" s="3"/>
      <x:c r="H202" s="3"/>
      <x:c r="I202" s="3"/>
      <x:c r="J202" s="10" t="n">
        <x:v>46053</x:v>
      </x:c>
      <x:c r="K202" s="8" t="n">
        <x:f>INDEX('Сводка'!$S$3:$S$397,U202)</x:f>
        <x:v>-32</x:v>
      </x:c>
      <x:c r="L202" s="8" t="n">
        <x:f>INDEX('Сводка'!$S$3:$S$397,V202)</x:f>
        <x:v>-36</x:v>
      </x:c>
      <x:c r="M202" s="8" t="n">
        <x:f>INDEX($K$388:$N$400,W202,1)*EXP(INDEX($K$388:$N$400,W202,2)*((J202-$T$405+1)/1000))+INDEX($O$388:$Z$400,W202,MONTH(J202))</x:f>
        <x:v>63.83342624198785</x:v>
      </x:c>
      <x:c r="N202" s="8" t="n">
        <x:f>K202-M202</x:f>
        <x:v>-95.83342624198785</x:v>
      </x:c>
      <x:c r="O202" s="8" t="n">
        <x:f>ABS(N202)</x:f>
        <x:v>95.83342624198785</x:v>
      </x:c>
      <x:c r="P202" s="8" t="n">
        <x:f>N202^2</x:f>
        <x:v>9184.045585278525</x:v>
      </x:c>
      <x:c r="Q202" s="8" t="n">
        <x:f>K202-L202</x:f>
        <x:v>4</x:v>
      </x:c>
      <x:c r="R202" s="9" t="n">
        <x:f>IF(AND(INDEX('Сводка'!$T$3:$T$397,U202)=0,INDEX('Сводка'!$T$3:$T$397,V202)=0),1,0)</x:f>
        <x:v>1</x:v>
      </x:c>
      <x:c r="S202" s="9" t="n">
        <x:f>IF(AND(R202=1,O202&lt;=$G$13),1,0)</x:f>
        <x:v>0</x:v>
      </x:c>
      <x:c r="T202" s="10" t="n">
        <x:f>EOMONTH(J202-'Сводка'!$B$11,-1)</x:f>
        <x:v>46022</x:v>
      </x:c>
      <x:c r="U202" s="4" t="n">
        <x:f>MATCH(J202,'Сводка'!$R$3:$R$397,0)</x:f>
        <x:v>213</x:v>
      </x:c>
      <x:c r="V202" s="4" t="n">
        <x:f>MATCH(J202-'Сводка'!$B$11,'Сводка'!$R$3:$R$397,0)</x:f>
        <x:v>212</x:v>
      </x:c>
      <x:c r="W202" s="4" t="n">
        <x:f>MATCH(T202,$J$388:$J$400,0)</x:f>
        <x:v>7</x:v>
      </x:c>
      <x:c r="X202" s="3"/>
      <x:c r="Y202" s="3"/>
      <x:c r="Z202" s="3"/>
    </x:row>
    <x:row r="203" ht="15" customHeight="1">
      <x:c r="A203" s="3"/>
      <x:c r="B203" s="3"/>
      <x:c r="C203" s="3"/>
      <x:c r="D203" s="3"/>
      <x:c r="E203" s="3"/>
      <x:c r="F203" s="3"/>
      <x:c r="G203" s="3"/>
      <x:c r="H203" s="3"/>
      <x:c r="I203" s="3"/>
      <x:c r="J203" s="10" t="n">
        <x:v>46054</x:v>
      </x:c>
      <x:c r="K203" s="8" t="n">
        <x:f>INDEX('Сводка'!$S$3:$S$397,U203)</x:f>
        <x:v>-34</x:v>
      </x:c>
      <x:c r="L203" s="8" t="n">
        <x:f>INDEX('Сводка'!$S$3:$S$397,V203)</x:f>
        <x:v>-32</x:v>
      </x:c>
      <x:c r="M203" s="8" t="n">
        <x:f>INDEX($K$388:$N$400,W203,1)*EXP(INDEX($K$388:$N$400,W203,2)*((J203-$T$405+1)/1000))+INDEX($O$388:$Z$400,W203,MONTH(J203))</x:f>
        <x:v>12.917927979541929</x:v>
      </x:c>
      <x:c r="N203" s="8" t="n">
        <x:f>K203-M203</x:f>
        <x:v>-46.91792797954193</x:v>
      </x:c>
      <x:c r="O203" s="8" t="n">
        <x:f>ABS(N203)</x:f>
        <x:v>46.91792797954193</x:v>
      </x:c>
      <x:c r="P203" s="8" t="n">
        <x:f>N203^2</x:f>
        <x:v>2201.2919658934834</x:v>
      </x:c>
      <x:c r="Q203" s="8" t="n">
        <x:f>K203-L203</x:f>
        <x:v>-2</x:v>
      </x:c>
      <x:c r="R203" s="9" t="n">
        <x:f>IF(AND(INDEX('Сводка'!$T$3:$T$397,U203)=0,INDEX('Сводка'!$T$3:$T$397,V203)=0),1,0)</x:f>
        <x:v>1</x:v>
      </x:c>
      <x:c r="S203" s="9" t="n">
        <x:f>IF(AND(R203=1,O203&lt;=$G$13),1,0)</x:f>
        <x:v>0</x:v>
      </x:c>
      <x:c r="T203" s="10" t="n">
        <x:f>EOMONTH(J203-'Сводка'!$B$11,-1)</x:f>
        <x:v>46022</x:v>
      </x:c>
      <x:c r="U203" s="4" t="n">
        <x:f>MATCH(J203,'Сводка'!$R$3:$R$397,0)</x:f>
        <x:v>214</x:v>
      </x:c>
      <x:c r="V203" s="4" t="n">
        <x:f>MATCH(J203-'Сводка'!$B$11,'Сводка'!$R$3:$R$397,0)</x:f>
        <x:v>213</x:v>
      </x:c>
      <x:c r="W203" s="4" t="n">
        <x:f>MATCH(T203,$J$388:$J$400,0)</x:f>
        <x:v>7</x:v>
      </x:c>
      <x:c r="X203" s="3"/>
      <x:c r="Y203" s="3"/>
      <x:c r="Z203" s="3"/>
    </x:row>
    <x:row r="204" ht="15" customHeight="1">
      <x:c r="A204" s="3"/>
      <x:c r="B204" s="3"/>
      <x:c r="C204" s="3"/>
      <x:c r="D204" s="3"/>
      <x:c r="E204" s="3"/>
      <x:c r="F204" s="3"/>
      <x:c r="G204" s="3"/>
      <x:c r="H204" s="3"/>
      <x:c r="I204" s="3"/>
      <x:c r="J204" s="10" t="n">
        <x:v>46055</x:v>
      </x:c>
      <x:c r="K204" s="8" t="n">
        <x:f>INDEX('Сводка'!$S$3:$S$397,U204)</x:f>
        <x:v>-33</x:v>
      </x:c>
      <x:c r="L204" s="8" t="n">
        <x:f>INDEX('Сводка'!$S$3:$S$397,V204)</x:f>
        <x:v>-34</x:v>
      </x:c>
      <x:c r="M204" s="8" t="n">
        <x:f>INDEX($K$388:$N$400,W204,1)*EXP(INDEX($K$388:$N$400,W204,2)*((J204-$T$405+1)/1000))+INDEX($O$388:$Z$400,W204,MONTH(J204))</x:f>
        <x:v>10.6354996738161</x:v>
      </x:c>
      <x:c r="N204" s="8" t="n">
        <x:f>K204-M204</x:f>
        <x:v>-43.6354996738161</x:v>
      </x:c>
      <x:c r="O204" s="8" t="n">
        <x:f>ABS(N204)</x:f>
        <x:v>43.6354996738161</x:v>
      </x:c>
      <x:c r="P204" s="8" t="n">
        <x:f>N204^2</x:f>
        <x:v>1904.0568317836048</x:v>
      </x:c>
      <x:c r="Q204" s="8" t="n">
        <x:f>K204-L204</x:f>
        <x:v>1</x:v>
      </x:c>
      <x:c r="R204" s="9" t="n">
        <x:f>IF(AND(INDEX('Сводка'!$T$3:$T$397,U204)=0,INDEX('Сводка'!$T$3:$T$397,V204)=0),1,0)</x:f>
        <x:v>1</x:v>
      </x:c>
      <x:c r="S204" s="9" t="n">
        <x:f>IF(AND(R204=1,O204&lt;=$G$13),1,0)</x:f>
        <x:v>0</x:v>
      </x:c>
      <x:c r="T204" s="10" t="n">
        <x:f>EOMONTH(J204-'Сводка'!$B$11,-1)</x:f>
        <x:v>46053</x:v>
      </x:c>
      <x:c r="U204" s="4" t="n">
        <x:f>MATCH(J204,'Сводка'!$R$3:$R$397,0)</x:f>
        <x:v>215</x:v>
      </x:c>
      <x:c r="V204" s="4" t="n">
        <x:f>MATCH(J204-'Сводка'!$B$11,'Сводка'!$R$3:$R$397,0)</x:f>
        <x:v>214</x:v>
      </x:c>
      <x:c r="W204" s="4" t="n">
        <x:f>MATCH(T204,$J$388:$J$400,0)</x:f>
        <x:v>8</x:v>
      </x:c>
      <x:c r="X204" s="3"/>
      <x:c r="Y204" s="3"/>
      <x:c r="Z204" s="3"/>
    </x:row>
    <x:row r="205" ht="15" customHeight="1">
      <x:c r="A205" s="3"/>
      <x:c r="B205" s="3"/>
      <x:c r="C205" s="3"/>
      <x:c r="D205" s="3"/>
      <x:c r="E205" s="3"/>
      <x:c r="F205" s="3"/>
      <x:c r="G205" s="3"/>
      <x:c r="H205" s="3"/>
      <x:c r="I205" s="3"/>
      <x:c r="J205" s="10" t="n">
        <x:v>46056</x:v>
      </x:c>
      <x:c r="K205" s="8" t="n">
        <x:f>INDEX('Сводка'!$S$3:$S$397,U205)</x:f>
        <x:v>-36</x:v>
      </x:c>
      <x:c r="L205" s="8" t="n">
        <x:f>INDEX('Сводка'!$S$3:$S$397,V205)</x:f>
        <x:v>-33</x:v>
      </x:c>
      <x:c r="M205" s="8" t="n">
        <x:f>INDEX($K$388:$N$400,W205,1)*EXP(INDEX($K$388:$N$400,W205,2)*((J205-$T$405+1)/1000))+INDEX($O$388:$Z$400,W205,MONTH(J205))</x:f>
        <x:v>10.669569919920917</x:v>
      </x:c>
      <x:c r="N205" s="8" t="n">
        <x:f>K205-M205</x:f>
        <x:v>-46.66956991992092</x:v>
      </x:c>
      <x:c r="O205" s="8" t="n">
        <x:f>ABS(N205)</x:f>
        <x:v>46.66956991992092</x:v>
      </x:c>
      <x:c r="P205" s="8" t="n">
        <x:f>N205^2</x:f>
        <x:v>2178.048756510387</x:v>
      </x:c>
      <x:c r="Q205" s="8" t="n">
        <x:f>K205-L205</x:f>
        <x:v>-3</x:v>
      </x:c>
      <x:c r="R205" s="9" t="n">
        <x:f>IF(AND(INDEX('Сводка'!$T$3:$T$397,U205)=0,INDEX('Сводка'!$T$3:$T$397,V205)=0),1,0)</x:f>
        <x:v>1</x:v>
      </x:c>
      <x:c r="S205" s="9" t="n">
        <x:f>IF(AND(R205=1,O205&lt;=$G$13),1,0)</x:f>
        <x:v>0</x:v>
      </x:c>
      <x:c r="T205" s="10" t="n">
        <x:f>EOMONTH(J205-'Сводка'!$B$11,-1)</x:f>
        <x:v>46053</x:v>
      </x:c>
      <x:c r="U205" s="4" t="n">
        <x:f>MATCH(J205,'Сводка'!$R$3:$R$397,0)</x:f>
        <x:v>216</x:v>
      </x:c>
      <x:c r="V205" s="4" t="n">
        <x:f>MATCH(J205-'Сводка'!$B$11,'Сводка'!$R$3:$R$397,0)</x:f>
        <x:v>215</x:v>
      </x:c>
      <x:c r="W205" s="4" t="n">
        <x:f>MATCH(T205,$J$388:$J$400,0)</x:f>
        <x:v>8</x:v>
      </x:c>
      <x:c r="X205" s="3"/>
      <x:c r="Y205" s="3"/>
      <x:c r="Z205" s="3"/>
    </x:row>
    <x:row r="206" ht="15" customHeight="1">
      <x:c r="A206" s="3"/>
      <x:c r="B206" s="3"/>
      <x:c r="C206" s="3"/>
      <x:c r="D206" s="3"/>
      <x:c r="E206" s="3"/>
      <x:c r="F206" s="3"/>
      <x:c r="G206" s="3"/>
      <x:c r="H206" s="3"/>
      <x:c r="I206" s="3"/>
      <x:c r="J206" s="10" t="n">
        <x:v>46057</x:v>
      </x:c>
      <x:c r="K206" s="8" t="n">
        <x:f>INDEX('Сводка'!$S$3:$S$397,U206)</x:f>
        <x:v>-34</x:v>
      </x:c>
      <x:c r="L206" s="8" t="n">
        <x:f>INDEX('Сводка'!$S$3:$S$397,V206)</x:f>
        <x:v>-36</x:v>
      </x:c>
      <x:c r="M206" s="8" t="n">
        <x:f>INDEX($K$388:$N$400,W206,1)*EXP(INDEX($K$388:$N$400,W206,2)*((J206-$T$405+1)/1000))+INDEX($O$388:$Z$400,W206,MONTH(J206))</x:f>
        <x:v>10.70364762800125</x:v>
      </x:c>
      <x:c r="N206" s="8" t="n">
        <x:f>K206-M206</x:f>
        <x:v>-44.70364762800125</x:v>
      </x:c>
      <x:c r="O206" s="8" t="n">
        <x:f>ABS(N206)</x:f>
        <x:v>44.70364762800125</x:v>
      </x:c>
      <x:c r="P206" s="8" t="n">
        <x:f>N206^2</x:f>
        <x:v>1998.4161112485017</x:v>
      </x:c>
      <x:c r="Q206" s="8" t="n">
        <x:f>K206-L206</x:f>
        <x:v>2</x:v>
      </x:c>
      <x:c r="R206" s="9" t="n">
        <x:f>IF(AND(INDEX('Сводка'!$T$3:$T$397,U206)=0,INDEX('Сводка'!$T$3:$T$397,V206)=0),1,0)</x:f>
        <x:v>1</x:v>
      </x:c>
      <x:c r="S206" s="9" t="n">
        <x:f>IF(AND(R206=1,O206&lt;=$G$13),1,0)</x:f>
        <x:v>0</x:v>
      </x:c>
      <x:c r="T206" s="10" t="n">
        <x:f>EOMONTH(J206-'Сводка'!$B$11,-1)</x:f>
        <x:v>46053</x:v>
      </x:c>
      <x:c r="U206" s="4" t="n">
        <x:f>MATCH(J206,'Сводка'!$R$3:$R$397,0)</x:f>
        <x:v>217</x:v>
      </x:c>
      <x:c r="V206" s="4" t="n">
        <x:f>MATCH(J206-'Сводка'!$B$11,'Сводка'!$R$3:$R$397,0)</x:f>
        <x:v>216</x:v>
      </x:c>
      <x:c r="W206" s="4" t="n">
        <x:f>MATCH(T206,$J$388:$J$400,0)</x:f>
        <x:v>8</x:v>
      </x:c>
      <x:c r="X206" s="3"/>
      <x:c r="Y206" s="3"/>
      <x:c r="Z206" s="3"/>
    </x:row>
    <x:row r="207" ht="15" customHeight="1">
      <x:c r="A207" s="3"/>
      <x:c r="B207" s="3"/>
      <x:c r="C207" s="3"/>
      <x:c r="D207" s="3"/>
      <x:c r="E207" s="3"/>
      <x:c r="F207" s="3"/>
      <x:c r="G207" s="3"/>
      <x:c r="H207" s="3"/>
      <x:c r="I207" s="3"/>
      <x:c r="J207" s="10" t="n">
        <x:v>46058</x:v>
      </x:c>
      <x:c r="K207" s="8" t="n">
        <x:f>INDEX('Сводка'!$S$3:$S$397,U207)</x:f>
        <x:v>-35</x:v>
      </x:c>
      <x:c r="L207" s="8" t="n">
        <x:f>INDEX('Сводка'!$S$3:$S$397,V207)</x:f>
        <x:v>-34</x:v>
      </x:c>
      <x:c r="M207" s="8" t="n">
        <x:f>INDEX($K$388:$N$400,W207,1)*EXP(INDEX($K$388:$N$400,W207,2)*((J207-$T$405+1)/1000))+INDEX($O$388:$Z$400,W207,MONTH(J207))</x:f>
        <x:v>10.737732799691486</x:v>
      </x:c>
      <x:c r="N207" s="8" t="n">
        <x:f>K207-M207</x:f>
        <x:v>-45.737732799691486</x:v>
      </x:c>
      <x:c r="O207" s="8" t="n">
        <x:f>ABS(N207)</x:f>
        <x:v>45.737732799691486</x:v>
      </x:c>
      <x:c r="P207" s="8" t="n">
        <x:f>N207^2</x:f>
        <x:v>2091.9402016559743</x:v>
      </x:c>
      <x:c r="Q207" s="8" t="n">
        <x:f>K207-L207</x:f>
        <x:v>-1</x:v>
      </x:c>
      <x:c r="R207" s="9" t="n">
        <x:f>IF(AND(INDEX('Сводка'!$T$3:$T$397,U207)=0,INDEX('Сводка'!$T$3:$T$397,V207)=0),1,0)</x:f>
        <x:v>1</x:v>
      </x:c>
      <x:c r="S207" s="9" t="n">
        <x:f>IF(AND(R207=1,O207&lt;=$G$13),1,0)</x:f>
        <x:v>0</x:v>
      </x:c>
      <x:c r="T207" s="10" t="n">
        <x:f>EOMONTH(J207-'Сводка'!$B$11,-1)</x:f>
        <x:v>46053</x:v>
      </x:c>
      <x:c r="U207" s="4" t="n">
        <x:f>MATCH(J207,'Сводка'!$R$3:$R$397,0)</x:f>
        <x:v>218</x:v>
      </x:c>
      <x:c r="V207" s="4" t="n">
        <x:f>MATCH(J207-'Сводка'!$B$11,'Сводка'!$R$3:$R$397,0)</x:f>
        <x:v>217</x:v>
      </x:c>
      <x:c r="W207" s="4" t="n">
        <x:f>MATCH(T207,$J$388:$J$400,0)</x:f>
        <x:v>8</x:v>
      </x:c>
      <x:c r="X207" s="3"/>
      <x:c r="Y207" s="3"/>
      <x:c r="Z207" s="3"/>
    </x:row>
    <x:row r="208" ht="15" customHeight="1">
      <x:c r="A208" s="3"/>
      <x:c r="B208" s="3"/>
      <x:c r="C208" s="3"/>
      <x:c r="D208" s="3"/>
      <x:c r="E208" s="3"/>
      <x:c r="F208" s="3"/>
      <x:c r="G208" s="3"/>
      <x:c r="H208" s="3"/>
      <x:c r="I208" s="3"/>
      <x:c r="J208" s="10" t="n">
        <x:v>46059</x:v>
      </x:c>
      <x:c r="K208" s="8" t="n">
        <x:f>INDEX('Сводка'!$S$3:$S$397,U208)</x:f>
        <x:v>-38</x:v>
      </x:c>
      <x:c r="L208" s="8" t="n">
        <x:f>INDEX('Сводка'!$S$3:$S$397,V208)</x:f>
        <x:v>-35</x:v>
      </x:c>
      <x:c r="M208" s="8" t="n">
        <x:f>INDEX($K$388:$N$400,W208,1)*EXP(INDEX($K$388:$N$400,W208,2)*((J208-$T$405+1)/1000))+INDEX($O$388:$Z$400,W208,MONTH(J208))</x:f>
        <x:v>10.771825436626273</x:v>
      </x:c>
      <x:c r="N208" s="8" t="n">
        <x:f>K208-M208</x:f>
        <x:v>-48.77182543662627</x:v>
      </x:c>
      <x:c r="O208" s="8" t="n">
        <x:f>ABS(N208)</x:f>
        <x:v>48.77182543662627</x:v>
      </x:c>
      <x:c r="P208" s="8" t="n">
        <x:f>N208^2</x:f>
        <x:v>2378.6909564207454</x:v>
      </x:c>
      <x:c r="Q208" s="8" t="n">
        <x:f>K208-L208</x:f>
        <x:v>-3</x:v>
      </x:c>
      <x:c r="R208" s="9" t="n">
        <x:f>IF(AND(INDEX('Сводка'!$T$3:$T$397,U208)=0,INDEX('Сводка'!$T$3:$T$397,V208)=0),1,0)</x:f>
        <x:v>1</x:v>
      </x:c>
      <x:c r="S208" s="9" t="n">
        <x:f>IF(AND(R208=1,O208&lt;=$G$13),1,0)</x:f>
        <x:v>0</x:v>
      </x:c>
      <x:c r="T208" s="10" t="n">
        <x:f>EOMONTH(J208-'Сводка'!$B$11,-1)</x:f>
        <x:v>46053</x:v>
      </x:c>
      <x:c r="U208" s="4" t="n">
        <x:f>MATCH(J208,'Сводка'!$R$3:$R$397,0)</x:f>
        <x:v>219</x:v>
      </x:c>
      <x:c r="V208" s="4" t="n">
        <x:f>MATCH(J208-'Сводка'!$B$11,'Сводка'!$R$3:$R$397,0)</x:f>
        <x:v>218</x:v>
      </x:c>
      <x:c r="W208" s="4" t="n">
        <x:f>MATCH(T208,$J$388:$J$400,0)</x:f>
        <x:v>8</x:v>
      </x:c>
      <x:c r="X208" s="3"/>
      <x:c r="Y208" s="3"/>
      <x:c r="Z208" s="3"/>
    </x:row>
    <x:row r="209" ht="15" customHeight="1">
      <x:c r="A209" s="3"/>
      <x:c r="B209" s="3"/>
      <x:c r="C209" s="3"/>
      <x:c r="D209" s="3"/>
      <x:c r="E209" s="3"/>
      <x:c r="F209" s="3"/>
      <x:c r="G209" s="3"/>
      <x:c r="H209" s="3"/>
      <x:c r="I209" s="3"/>
      <x:c r="J209" s="10" t="n">
        <x:v>46060</x:v>
      </x:c>
      <x:c r="K209" s="8" t="n">
        <x:f>INDEX('Сводка'!$S$3:$S$397,U209)</x:f>
        <x:v>-41</x:v>
      </x:c>
      <x:c r="L209" s="8" t="n">
        <x:f>INDEX('Сводка'!$S$3:$S$397,V209)</x:f>
        <x:v>-38</x:v>
      </x:c>
      <x:c r="M209" s="8" t="n">
        <x:f>INDEX($K$388:$N$400,W209,1)*EXP(INDEX($K$388:$N$400,W209,2)*((J209-$T$405+1)/1000))+INDEX($O$388:$Z$400,W209,MONTH(J209))</x:f>
        <x:v>10.805925540440597</x:v>
      </x:c>
      <x:c r="N209" s="8" t="n">
        <x:f>K209-M209</x:f>
        <x:v>-51.8059255404406</x:v>
      </x:c>
      <x:c r="O209" s="8" t="n">
        <x:f>ABS(N209)</x:f>
        <x:v>51.8059255404406</x:v>
      </x:c>
      <x:c r="P209" s="8" t="n">
        <x:f>N209^2</x:f>
        <x:v>2683.8539211016755</x:v>
      </x:c>
      <x:c r="Q209" s="8" t="n">
        <x:f>K209-L209</x:f>
        <x:v>-3</x:v>
      </x:c>
      <x:c r="R209" s="9" t="n">
        <x:f>IF(AND(INDEX('Сводка'!$T$3:$T$397,U209)=0,INDEX('Сводка'!$T$3:$T$397,V209)=0),1,0)</x:f>
        <x:v>1</x:v>
      </x:c>
      <x:c r="S209" s="9" t="n">
        <x:f>IF(AND(R209=1,O209&lt;=$G$13),1,0)</x:f>
        <x:v>0</x:v>
      </x:c>
      <x:c r="T209" s="10" t="n">
        <x:f>EOMONTH(J209-'Сводка'!$B$11,-1)</x:f>
        <x:v>46053</x:v>
      </x:c>
      <x:c r="U209" s="4" t="n">
        <x:f>MATCH(J209,'Сводка'!$R$3:$R$397,0)</x:f>
        <x:v>220</x:v>
      </x:c>
      <x:c r="V209" s="4" t="n">
        <x:f>MATCH(J209-'Сводка'!$B$11,'Сводка'!$R$3:$R$397,0)</x:f>
        <x:v>219</x:v>
      </x:c>
      <x:c r="W209" s="4" t="n">
        <x:f>MATCH(T209,$J$388:$J$400,0)</x:f>
        <x:v>8</x:v>
      </x:c>
      <x:c r="X209" s="3"/>
      <x:c r="Y209" s="3"/>
      <x:c r="Z209" s="3"/>
    </x:row>
    <x:row r="210" ht="15" customHeight="1">
      <x:c r="A210" s="3"/>
      <x:c r="B210" s="3"/>
      <x:c r="C210" s="3"/>
      <x:c r="D210" s="3"/>
      <x:c r="E210" s="3"/>
      <x:c r="F210" s="3"/>
      <x:c r="G210" s="3"/>
      <x:c r="H210" s="3"/>
      <x:c r="I210" s="3"/>
      <x:c r="J210" s="10" t="n">
        <x:v>46061</x:v>
      </x:c>
      <x:c r="K210" s="8" t="n">
        <x:f>INDEX('Сводка'!$S$3:$S$397,U210)</x:f>
        <x:v>-43</x:v>
      </x:c>
      <x:c r="L210" s="8" t="n">
        <x:f>INDEX('Сводка'!$S$3:$S$397,V210)</x:f>
        <x:v>-41</x:v>
      </x:c>
      <x:c r="M210" s="8" t="n">
        <x:f>INDEX($K$388:$N$400,W210,1)*EXP(INDEX($K$388:$N$400,W210,2)*((J210-$T$405+1)/1000))+INDEX($O$388:$Z$400,W210,MONTH(J210))</x:f>
        <x:v>10.840033112769873</x:v>
      </x:c>
      <x:c r="N210" s="8" t="n">
        <x:f>K210-M210</x:f>
        <x:v>-53.84003311276987</x:v>
      </x:c>
      <x:c r="O210" s="8" t="n">
        <x:f>ABS(N210)</x:f>
        <x:v>53.84003311276987</x:v>
      </x:c>
      <x:c r="P210" s="8" t="n">
        <x:f>N210^2</x:f>
        <x:v>2898.7491655841563</x:v>
      </x:c>
      <x:c r="Q210" s="8" t="n">
        <x:f>K210-L210</x:f>
        <x:v>-2</x:v>
      </x:c>
      <x:c r="R210" s="9" t="n">
        <x:f>IF(AND(INDEX('Сводка'!$T$3:$T$397,U210)=0,INDEX('Сводка'!$T$3:$T$397,V210)=0),1,0)</x:f>
        <x:v>1</x:v>
      </x:c>
      <x:c r="S210" s="9" t="n">
        <x:f>IF(AND(R210=1,O210&lt;=$G$13),1,0)</x:f>
        <x:v>0</x:v>
      </x:c>
      <x:c r="T210" s="10" t="n">
        <x:f>EOMONTH(J210-'Сводка'!$B$11,-1)</x:f>
        <x:v>46053</x:v>
      </x:c>
      <x:c r="U210" s="4" t="n">
        <x:f>MATCH(J210,'Сводка'!$R$3:$R$397,0)</x:f>
        <x:v>221</x:v>
      </x:c>
      <x:c r="V210" s="4" t="n">
        <x:f>MATCH(J210-'Сводка'!$B$11,'Сводка'!$R$3:$R$397,0)</x:f>
        <x:v>220</x:v>
      </x:c>
      <x:c r="W210" s="4" t="n">
        <x:f>MATCH(T210,$J$388:$J$400,0)</x:f>
        <x:v>8</x:v>
      </x:c>
      <x:c r="X210" s="3"/>
      <x:c r="Y210" s="3"/>
      <x:c r="Z210" s="3"/>
    </x:row>
    <x:row r="211" ht="15" customHeight="1">
      <x:c r="A211" s="3"/>
      <x:c r="B211" s="3"/>
      <x:c r="C211" s="3"/>
      <x:c r="D211" s="3"/>
      <x:c r="E211" s="3"/>
      <x:c r="F211" s="3"/>
      <x:c r="G211" s="3"/>
      <x:c r="H211" s="3"/>
      <x:c r="I211" s="3"/>
      <x:c r="J211" s="10" t="n">
        <x:v>46062</x:v>
      </x:c>
      <x:c r="K211" s="8" t="n">
        <x:f>INDEX('Сводка'!$S$3:$S$397,U211)</x:f>
        <x:v>-43</x:v>
      </x:c>
      <x:c r="L211" s="8" t="n">
        <x:f>INDEX('Сводка'!$S$3:$S$397,V211)</x:f>
        <x:v>-43</x:v>
      </x:c>
      <x:c r="M211" s="8" t="n">
        <x:f>INDEX($K$388:$N$400,W211,1)*EXP(INDEX($K$388:$N$400,W211,2)*((J211-$T$405+1)/1000))+INDEX($O$388:$Z$400,W211,MONTH(J211))</x:f>
        <x:v>10.874148155249799</x:v>
      </x:c>
      <x:c r="N211" s="8" t="n">
        <x:f>K211-M211</x:f>
        <x:v>-53.8741481552498</x:v>
      </x:c>
      <x:c r="O211" s="8" t="n">
        <x:f>ABS(N211)</x:f>
        <x:v>53.8741481552498</x:v>
      </x:c>
      <x:c r="P211" s="8" t="n">
        <x:f>N211^2</x:f>
        <x:v>2902.423839453805</x:v>
      </x:c>
      <x:c r="Q211" s="8" t="n">
        <x:f>K211-L211</x:f>
        <x:v>0</x:v>
      </x:c>
      <x:c r="R211" s="9" t="n">
        <x:f>IF(AND(INDEX('Сводка'!$T$3:$T$397,U211)=0,INDEX('Сводка'!$T$3:$T$397,V211)=0),1,0)</x:f>
        <x:v>1</x:v>
      </x:c>
      <x:c r="S211" s="9" t="n">
        <x:f>IF(AND(R211=1,O211&lt;=$G$13),1,0)</x:f>
        <x:v>0</x:v>
      </x:c>
      <x:c r="T211" s="10" t="n">
        <x:f>EOMONTH(J211-'Сводка'!$B$11,-1)</x:f>
        <x:v>46053</x:v>
      </x:c>
      <x:c r="U211" s="4" t="n">
        <x:f>MATCH(J211,'Сводка'!$R$3:$R$397,0)</x:f>
        <x:v>222</x:v>
      </x:c>
      <x:c r="V211" s="4" t="n">
        <x:f>MATCH(J211-'Сводка'!$B$11,'Сводка'!$R$3:$R$397,0)</x:f>
        <x:v>221</x:v>
      </x:c>
      <x:c r="W211" s="4" t="n">
        <x:f>MATCH(T211,$J$388:$J$400,0)</x:f>
        <x:v>8</x:v>
      </x:c>
      <x:c r="X211" s="3"/>
      <x:c r="Y211" s="3"/>
      <x:c r="Z211" s="3"/>
    </x:row>
    <x:row r="212" ht="15" customHeight="1">
      <x:c r="A212" s="3"/>
      <x:c r="B212" s="3"/>
      <x:c r="C212" s="3"/>
      <x:c r="D212" s="3"/>
      <x:c r="E212" s="3"/>
      <x:c r="F212" s="3"/>
      <x:c r="G212" s="3"/>
      <x:c r="H212" s="3"/>
      <x:c r="I212" s="3"/>
      <x:c r="J212" s="10" t="n">
        <x:v>46063</x:v>
      </x:c>
      <x:c r="K212" s="8" t="n">
        <x:f>INDEX('Сводка'!$S$3:$S$397,U212)</x:f>
        <x:v>-44</x:v>
      </x:c>
      <x:c r="L212" s="8" t="n">
        <x:f>INDEX('Сводка'!$S$3:$S$397,V212)</x:f>
        <x:v>-43</x:v>
      </x:c>
      <x:c r="M212" s="8" t="n">
        <x:f>INDEX($K$388:$N$400,W212,1)*EXP(INDEX($K$388:$N$400,W212,2)*((J212-$T$405+1)/1000))+INDEX($O$388:$Z$400,W212,MONTH(J212))</x:f>
        <x:v>10.908270669516526</x:v>
      </x:c>
      <x:c r="N212" s="8" t="n">
        <x:f>K212-M212</x:f>
        <x:v>-54.908270669516526</x:v>
      </x:c>
      <x:c r="O212" s="8" t="n">
        <x:f>ABS(N212)</x:f>
        <x:v>54.908270669516526</x:v>
      </x:c>
      <x:c r="P212" s="8" t="n">
        <x:f>N212^2</x:f>
        <x:v>3014.9181879168887</x:v>
      </x:c>
      <x:c r="Q212" s="8" t="n">
        <x:f>K212-L212</x:f>
        <x:v>-1</x:v>
      </x:c>
      <x:c r="R212" s="9" t="n">
        <x:f>IF(AND(INDEX('Сводка'!$T$3:$T$397,U212)=0,INDEX('Сводка'!$T$3:$T$397,V212)=0),1,0)</x:f>
        <x:v>1</x:v>
      </x:c>
      <x:c r="S212" s="9" t="n">
        <x:f>IF(AND(R212=1,O212&lt;=$G$13),1,0)</x:f>
        <x:v>0</x:v>
      </x:c>
      <x:c r="T212" s="10" t="n">
        <x:f>EOMONTH(J212-'Сводка'!$B$11,-1)</x:f>
        <x:v>46053</x:v>
      </x:c>
      <x:c r="U212" s="4" t="n">
        <x:f>MATCH(J212,'Сводка'!$R$3:$R$397,0)</x:f>
        <x:v>223</x:v>
      </x:c>
      <x:c r="V212" s="4" t="n">
        <x:f>MATCH(J212-'Сводка'!$B$11,'Сводка'!$R$3:$R$397,0)</x:f>
        <x:v>222</x:v>
      </x:c>
      <x:c r="W212" s="4" t="n">
        <x:f>MATCH(T212,$J$388:$J$400,0)</x:f>
        <x:v>8</x:v>
      </x:c>
      <x:c r="X212" s="3"/>
      <x:c r="Y212" s="3"/>
      <x:c r="Z212" s="3"/>
    </x:row>
    <x:row r="213" ht="15" customHeight="1">
      <x:c r="A213" s="3"/>
      <x:c r="B213" s="3"/>
      <x:c r="C213" s="3"/>
      <x:c r="D213" s="3"/>
      <x:c r="E213" s="3"/>
      <x:c r="F213" s="3"/>
      <x:c r="G213" s="3"/>
      <x:c r="H213" s="3"/>
      <x:c r="I213" s="3"/>
      <x:c r="J213" s="10" t="n">
        <x:v>46064</x:v>
      </x:c>
      <x:c r="K213" s="8" t="n">
        <x:f>INDEX('Сводка'!$S$3:$S$397,U213)</x:f>
        <x:v>-44</x:v>
      </x:c>
      <x:c r="L213" s="8" t="n">
        <x:f>INDEX('Сводка'!$S$3:$S$397,V213)</x:f>
        <x:v>-44</x:v>
      </x:c>
      <x:c r="M213" s="8" t="n">
        <x:f>INDEX($K$388:$N$400,W213,1)*EXP(INDEX($K$388:$N$400,W213,2)*((J213-$T$405+1)/1000))+INDEX($O$388:$Z$400,W213,MONTH(J213))</x:f>
        <x:v>10.942400657206406</x:v>
      </x:c>
      <x:c r="N213" s="8" t="n">
        <x:f>K213-M213</x:f>
        <x:v>-54.942400657206406</x:v>
      </x:c>
      <x:c r="O213" s="8" t="n">
        <x:f>ABS(N213)</x:f>
        <x:v>54.942400657206406</x:v>
      </x:c>
      <x:c r="P213" s="8" t="n">
        <x:f>N213^2</x:f>
        <x:v>3018.667389976995</x:v>
      </x:c>
      <x:c r="Q213" s="8" t="n">
        <x:f>K213-L213</x:f>
        <x:v>0</x:v>
      </x:c>
      <x:c r="R213" s="9" t="n">
        <x:f>IF(AND(INDEX('Сводка'!$T$3:$T$397,U213)=0,INDEX('Сводка'!$T$3:$T$397,V213)=0),1,0)</x:f>
        <x:v>1</x:v>
      </x:c>
      <x:c r="S213" s="9" t="n">
        <x:f>IF(AND(R213=1,O213&lt;=$G$13),1,0)</x:f>
        <x:v>0</x:v>
      </x:c>
      <x:c r="T213" s="10" t="n">
        <x:f>EOMONTH(J213-'Сводка'!$B$11,-1)</x:f>
        <x:v>46053</x:v>
      </x:c>
      <x:c r="U213" s="4" t="n">
        <x:f>MATCH(J213,'Сводка'!$R$3:$R$397,0)</x:f>
        <x:v>224</x:v>
      </x:c>
      <x:c r="V213" s="4" t="n">
        <x:f>MATCH(J213-'Сводка'!$B$11,'Сводка'!$R$3:$R$397,0)</x:f>
        <x:v>223</x:v>
      </x:c>
      <x:c r="W213" s="4" t="n">
        <x:f>MATCH(T213,$J$388:$J$400,0)</x:f>
        <x:v>8</x:v>
      </x:c>
      <x:c r="X213" s="3"/>
      <x:c r="Y213" s="3"/>
      <x:c r="Z213" s="3"/>
    </x:row>
    <x:row r="214" ht="15" customHeight="1">
      <x:c r="A214" s="3"/>
      <x:c r="B214" s="3"/>
      <x:c r="C214" s="3"/>
      <x:c r="D214" s="3"/>
      <x:c r="E214" s="3"/>
      <x:c r="F214" s="3"/>
      <x:c r="G214" s="3"/>
      <x:c r="H214" s="3"/>
      <x:c r="I214" s="3"/>
      <x:c r="J214" s="10" t="n">
        <x:v>46065</x:v>
      </x:c>
      <x:c r="K214" s="8" t="n">
        <x:f>INDEX('Сводка'!$S$3:$S$397,U214)</x:f>
        <x:v>-44</x:v>
      </x:c>
      <x:c r="L214" s="8" t="n">
        <x:f>INDEX('Сводка'!$S$3:$S$397,V214)</x:f>
        <x:v>-44</x:v>
      </x:c>
      <x:c r="M214" s="8" t="n">
        <x:f>INDEX($K$388:$N$400,W214,1)*EXP(INDEX($K$388:$N$400,W214,2)*((J214-$T$405+1)/1000))+INDEX($O$388:$Z$400,W214,MONTH(J214))</x:f>
        <x:v>10.97653811995636</x:v>
      </x:c>
      <x:c r="N214" s="8" t="n">
        <x:f>K214-M214</x:f>
        <x:v>-54.97653811995636</x:v>
      </x:c>
      <x:c r="O214" s="8" t="n">
        <x:f>ABS(N214)</x:f>
        <x:v>54.97653811995636</x:v>
      </x:c>
      <x:c r="P214" s="8" t="n">
        <x:f>N214^2</x:f>
        <x:v>3022.419743655015</x:v>
      </x:c>
      <x:c r="Q214" s="8" t="n">
        <x:f>K214-L214</x:f>
        <x:v>0</x:v>
      </x:c>
      <x:c r="R214" s="9" t="n">
        <x:f>IF(AND(INDEX('Сводка'!$T$3:$T$397,U214)=0,INDEX('Сводка'!$T$3:$T$397,V214)=0),1,0)</x:f>
        <x:v>1</x:v>
      </x:c>
      <x:c r="S214" s="9" t="n">
        <x:f>IF(AND(R214=1,O214&lt;=$G$13),1,0)</x:f>
        <x:v>0</x:v>
      </x:c>
      <x:c r="T214" s="10" t="n">
        <x:f>EOMONTH(J214-'Сводка'!$B$11,-1)</x:f>
        <x:v>46053</x:v>
      </x:c>
      <x:c r="U214" s="4" t="n">
        <x:f>MATCH(J214,'Сводка'!$R$3:$R$397,0)</x:f>
        <x:v>225</x:v>
      </x:c>
      <x:c r="V214" s="4" t="n">
        <x:f>MATCH(J214-'Сводка'!$B$11,'Сводка'!$R$3:$R$397,0)</x:f>
        <x:v>224</x:v>
      </x:c>
      <x:c r="W214" s="4" t="n">
        <x:f>MATCH(T214,$J$388:$J$400,0)</x:f>
        <x:v>8</x:v>
      </x:c>
      <x:c r="X214" s="3"/>
      <x:c r="Y214" s="3"/>
      <x:c r="Z214" s="3"/>
    </x:row>
    <x:row r="215" ht="15" customHeight="1">
      <x:c r="A215" s="3"/>
      <x:c r="B215" s="3"/>
      <x:c r="C215" s="3"/>
      <x:c r="D215" s="3"/>
      <x:c r="E215" s="3"/>
      <x:c r="F215" s="3"/>
      <x:c r="G215" s="3"/>
      <x:c r="H215" s="3"/>
      <x:c r="I215" s="3"/>
      <x:c r="J215" s="10" t="n">
        <x:v>46066</x:v>
      </x:c>
      <x:c r="K215" s="8" t="n">
        <x:f>INDEX('Сводка'!$S$3:$S$397,U215)</x:f>
        <x:v>-41</x:v>
      </x:c>
      <x:c r="L215" s="8" t="n">
        <x:f>INDEX('Сводка'!$S$3:$S$397,V215)</x:f>
        <x:v>-44</x:v>
      </x:c>
      <x:c r="M215" s="8" t="n">
        <x:f>INDEX($K$388:$N$400,W215,1)*EXP(INDEX($K$388:$N$400,W215,2)*((J215-$T$405+1)/1000))+INDEX($O$388:$Z$400,W215,MONTH(J215))</x:f>
        <x:v>11.010683059403505</x:v>
      </x:c>
      <x:c r="N215" s="8" t="n">
        <x:f>K215-M215</x:f>
        <x:v>-52.010683059403505</x:v>
      </x:c>
      <x:c r="O215" s="8" t="n">
        <x:f>ABS(N215)</x:f>
        <x:v>52.010683059403505</x:v>
      </x:c>
      <x:c r="P215" s="8" t="n">
        <x:f>N215^2</x:f>
        <x:v>2705.1111523057225</x:v>
      </x:c>
      <x:c r="Q215" s="8" t="n">
        <x:f>K215-L215</x:f>
        <x:v>3</x:v>
      </x:c>
      <x:c r="R215" s="9" t="n">
        <x:f>IF(AND(INDEX('Сводка'!$T$3:$T$397,U215)=0,INDEX('Сводка'!$T$3:$T$397,V215)=0),1,0)</x:f>
        <x:v>1</x:v>
      </x:c>
      <x:c r="S215" s="9" t="n">
        <x:f>IF(AND(R215=1,O215&lt;=$G$13),1,0)</x:f>
        <x:v>0</x:v>
      </x:c>
      <x:c r="T215" s="10" t="n">
        <x:f>EOMONTH(J215-'Сводка'!$B$11,-1)</x:f>
        <x:v>46053</x:v>
      </x:c>
      <x:c r="U215" s="4" t="n">
        <x:f>MATCH(J215,'Сводка'!$R$3:$R$397,0)</x:f>
        <x:v>226</x:v>
      </x:c>
      <x:c r="V215" s="4" t="n">
        <x:f>MATCH(J215-'Сводка'!$B$11,'Сводка'!$R$3:$R$397,0)</x:f>
        <x:v>225</x:v>
      </x:c>
      <x:c r="W215" s="4" t="n">
        <x:f>MATCH(T215,$J$388:$J$400,0)</x:f>
        <x:v>8</x:v>
      </x:c>
      <x:c r="X215" s="3"/>
      <x:c r="Y215" s="3"/>
      <x:c r="Z215" s="3"/>
    </x:row>
    <x:row r="216" ht="15" customHeight="1">
      <x:c r="A216" s="3"/>
      <x:c r="B216" s="3"/>
      <x:c r="C216" s="3"/>
      <x:c r="D216" s="3"/>
      <x:c r="E216" s="3"/>
      <x:c r="F216" s="3"/>
      <x:c r="G216" s="3"/>
      <x:c r="H216" s="3"/>
      <x:c r="I216" s="3"/>
      <x:c r="J216" s="10" t="n">
        <x:v>46067</x:v>
      </x:c>
      <x:c r="K216" s="8" t="n">
        <x:f>INDEX('Сводка'!$S$3:$S$397,U216)</x:f>
        <x:v>-39</x:v>
      </x:c>
      <x:c r="L216" s="8" t="n">
        <x:f>INDEX('Сводка'!$S$3:$S$397,V216)</x:f>
        <x:v>-41</x:v>
      </x:c>
      <x:c r="M216" s="8" t="n">
        <x:f>INDEX($K$388:$N$400,W216,1)*EXP(INDEX($K$388:$N$400,W216,2)*((J216-$T$405+1)/1000))+INDEX($O$388:$Z$400,W216,MONTH(J216))</x:f>
        <x:v>11.044835477185302</x:v>
      </x:c>
      <x:c r="N216" s="8" t="n">
        <x:f>K216-M216</x:f>
        <x:v>-50.0448354771853</x:v>
      </x:c>
      <x:c r="O216" s="8" t="n">
        <x:f>ABS(N216)</x:f>
        <x:v>50.0448354771853</x:v>
      </x:c>
      <x:c r="P216" s="8" t="n">
        <x:f>N216^2</x:f>
        <x:v>2504.485557938545</x:v>
      </x:c>
      <x:c r="Q216" s="8" t="n">
        <x:f>K216-L216</x:f>
        <x:v>2</x:v>
      </x:c>
      <x:c r="R216" s="9" t="n">
        <x:f>IF(AND(INDEX('Сводка'!$T$3:$T$397,U216)=0,INDEX('Сводка'!$T$3:$T$397,V216)=0),1,0)</x:f>
        <x:v>1</x:v>
      </x:c>
      <x:c r="S216" s="9" t="n">
        <x:f>IF(AND(R216=1,O216&lt;=$G$13),1,0)</x:f>
        <x:v>0</x:v>
      </x:c>
      <x:c r="T216" s="10" t="n">
        <x:f>EOMONTH(J216-'Сводка'!$B$11,-1)</x:f>
        <x:v>46053</x:v>
      </x:c>
      <x:c r="U216" s="4" t="n">
        <x:f>MATCH(J216,'Сводка'!$R$3:$R$397,0)</x:f>
        <x:v>227</x:v>
      </x:c>
      <x:c r="V216" s="4" t="n">
        <x:f>MATCH(J216-'Сводка'!$B$11,'Сводка'!$R$3:$R$397,0)</x:f>
        <x:v>226</x:v>
      </x:c>
      <x:c r="W216" s="4" t="n">
        <x:f>MATCH(T216,$J$388:$J$400,0)</x:f>
        <x:v>8</x:v>
      </x:c>
      <x:c r="X216" s="3"/>
      <x:c r="Y216" s="3"/>
      <x:c r="Z216" s="3"/>
    </x:row>
    <x:row r="217" ht="15" customHeight="1">
      <x:c r="A217" s="3"/>
      <x:c r="B217" s="3"/>
      <x:c r="C217" s="3"/>
      <x:c r="D217" s="3"/>
      <x:c r="E217" s="3"/>
      <x:c r="F217" s="3"/>
      <x:c r="G217" s="3"/>
      <x:c r="H217" s="3"/>
      <x:c r="I217" s="3"/>
      <x:c r="J217" s="10" t="n">
        <x:v>46068</x:v>
      </x:c>
      <x:c r="K217" s="8" t="n">
        <x:f>INDEX('Сводка'!$S$3:$S$397,U217)</x:f>
        <x:v>-38</x:v>
      </x:c>
      <x:c r="L217" s="8" t="n">
        <x:f>INDEX('Сводка'!$S$3:$S$397,V217)</x:f>
        <x:v>-39</x:v>
      </x:c>
      <x:c r="M217" s="8" t="n">
        <x:f>INDEX($K$388:$N$400,W217,1)*EXP(INDEX($K$388:$N$400,W217,2)*((J217-$T$405+1)/1000))+INDEX($O$388:$Z$400,W217,MONTH(J217))</x:f>
        <x:v>11.078995374939751</x:v>
      </x:c>
      <x:c r="N217" s="8" t="n">
        <x:f>K217-M217</x:f>
        <x:v>-49.07899537493975</x:v>
      </x:c>
      <x:c r="O217" s="8" t="n">
        <x:f>ABS(N217)</x:f>
        <x:v>49.07899537493975</x:v>
      </x:c>
      <x:c r="P217" s="8" t="n">
        <x:f>N217^2</x:f>
        <x:v>2408.7477870133575</x:v>
      </x:c>
      <x:c r="Q217" s="8" t="n">
        <x:f>K217-L217</x:f>
        <x:v>1</x:v>
      </x:c>
      <x:c r="R217" s="9" t="n">
        <x:f>IF(AND(INDEX('Сводка'!$T$3:$T$397,U217)=0,INDEX('Сводка'!$T$3:$T$397,V217)=0),1,0)</x:f>
        <x:v>1</x:v>
      </x:c>
      <x:c r="S217" s="9" t="n">
        <x:f>IF(AND(R217=1,O217&lt;=$G$13),1,0)</x:f>
        <x:v>0</x:v>
      </x:c>
      <x:c r="T217" s="10" t="n">
        <x:f>EOMONTH(J217-'Сводка'!$B$11,-1)</x:f>
        <x:v>46053</x:v>
      </x:c>
      <x:c r="U217" s="4" t="n">
        <x:f>MATCH(J217,'Сводка'!$R$3:$R$397,0)</x:f>
        <x:v>228</x:v>
      </x:c>
      <x:c r="V217" s="4" t="n">
        <x:f>MATCH(J217-'Сводка'!$B$11,'Сводка'!$R$3:$R$397,0)</x:f>
        <x:v>227</x:v>
      </x:c>
      <x:c r="W217" s="4" t="n">
        <x:f>MATCH(T217,$J$388:$J$400,0)</x:f>
        <x:v>8</x:v>
      </x:c>
      <x:c r="X217" s="3"/>
      <x:c r="Y217" s="3"/>
      <x:c r="Z217" s="3"/>
    </x:row>
    <x:row r="218" ht="15" customHeight="1">
      <x:c r="A218" s="3"/>
      <x:c r="B218" s="3"/>
      <x:c r="C218" s="3"/>
      <x:c r="D218" s="3"/>
      <x:c r="E218" s="3"/>
      <x:c r="F218" s="3"/>
      <x:c r="G218" s="3"/>
      <x:c r="H218" s="3"/>
      <x:c r="I218" s="3"/>
      <x:c r="J218" s="10" t="n">
        <x:v>46069</x:v>
      </x:c>
      <x:c r="K218" s="8" t="n">
        <x:f>INDEX('Сводка'!$S$3:$S$397,U218)</x:f>
        <x:v>-38</x:v>
      </x:c>
      <x:c r="L218" s="8" t="n">
        <x:f>INDEX('Сводка'!$S$3:$S$397,V218)</x:f>
        <x:v>-38</x:v>
      </x:c>
      <x:c r="M218" s="8" t="n">
        <x:f>INDEX($K$388:$N$400,W218,1)*EXP(INDEX($K$388:$N$400,W218,2)*((J218-$T$405+1)/1000))+INDEX($O$388:$Z$400,W218,MONTH(J218))</x:f>
        <x:v>11.11316275430508</x:v>
      </x:c>
      <x:c r="N218" s="8" t="n">
        <x:f>K218-M218</x:f>
        <x:v>-49.11316275430508</x:v>
      </x:c>
      <x:c r="O218" s="8" t="n">
        <x:f>ABS(N218)</x:f>
        <x:v>49.11316275430508</x:v>
      </x:c>
      <x:c r="P218" s="8" t="n">
        <x:f>N218^2</x:f>
        <x:v>2412.10275573086</x:v>
      </x:c>
      <x:c r="Q218" s="8" t="n">
        <x:f>K218-L218</x:f>
        <x:v>0</x:v>
      </x:c>
      <x:c r="R218" s="9" t="n">
        <x:f>IF(AND(INDEX('Сводка'!$T$3:$T$397,U218)=0,INDEX('Сводка'!$T$3:$T$397,V218)=0),1,0)</x:f>
        <x:v>1</x:v>
      </x:c>
      <x:c r="S218" s="9" t="n">
        <x:f>IF(AND(R218=1,O218&lt;=$G$13),1,0)</x:f>
        <x:v>0</x:v>
      </x:c>
      <x:c r="T218" s="10" t="n">
        <x:f>EOMONTH(J218-'Сводка'!$B$11,-1)</x:f>
        <x:v>46053</x:v>
      </x:c>
      <x:c r="U218" s="4" t="n">
        <x:f>MATCH(J218,'Сводка'!$R$3:$R$397,0)</x:f>
        <x:v>229</x:v>
      </x:c>
      <x:c r="V218" s="4" t="n">
        <x:f>MATCH(J218-'Сводка'!$B$11,'Сводка'!$R$3:$R$397,0)</x:f>
        <x:v>228</x:v>
      </x:c>
      <x:c r="W218" s="4" t="n">
        <x:f>MATCH(T218,$J$388:$J$400,0)</x:f>
        <x:v>8</x:v>
      </x:c>
      <x:c r="X218" s="3"/>
      <x:c r="Y218" s="3"/>
      <x:c r="Z218" s="3"/>
    </x:row>
    <x:row r="219" ht="15" customHeight="1">
      <x:c r="A219" s="3"/>
      <x:c r="B219" s="3"/>
      <x:c r="C219" s="3"/>
      <x:c r="D219" s="3"/>
      <x:c r="E219" s="3"/>
      <x:c r="F219" s="3"/>
      <x:c r="G219" s="3"/>
      <x:c r="H219" s="3"/>
      <x:c r="I219" s="3"/>
      <x:c r="J219" s="10" t="n">
        <x:v>46070</x:v>
      </x:c>
      <x:c r="K219" s="8" t="n">
        <x:f>INDEX('Сводка'!$S$3:$S$397,U219)</x:f>
        <x:v>-40</x:v>
      </x:c>
      <x:c r="L219" s="8" t="n">
        <x:f>INDEX('Сводка'!$S$3:$S$397,V219)</x:f>
        <x:v>-38</x:v>
      </x:c>
      <x:c r="M219" s="8" t="n">
        <x:f>INDEX($K$388:$N$400,W219,1)*EXP(INDEX($K$388:$N$400,W219,2)*((J219-$T$405+1)/1000))+INDEX($O$388:$Z$400,W219,MONTH(J219))</x:f>
        <x:v>11.147337616919799</x:v>
      </x:c>
      <x:c r="N219" s="8" t="n">
        <x:f>K219-M219</x:f>
        <x:v>-51.1473376169198</x:v>
      </x:c>
      <x:c r="O219" s="8" t="n">
        <x:f>ABS(N219)</x:f>
        <x:v>51.1473376169198</x:v>
      </x:c>
      <x:c r="P219" s="8" t="n">
        <x:f>N219^2</x:f>
        <x:v>2616.050145299179</x:v>
      </x:c>
      <x:c r="Q219" s="8" t="n">
        <x:f>K219-L219</x:f>
        <x:v>-2</x:v>
      </x:c>
      <x:c r="R219" s="9" t="n">
        <x:f>IF(AND(INDEX('Сводка'!$T$3:$T$397,U219)=0,INDEX('Сводка'!$T$3:$T$397,V219)=0),1,0)</x:f>
        <x:v>1</x:v>
      </x:c>
      <x:c r="S219" s="9" t="n">
        <x:f>IF(AND(R219=1,O219&lt;=$G$13),1,0)</x:f>
        <x:v>0</x:v>
      </x:c>
      <x:c r="T219" s="10" t="n">
        <x:f>EOMONTH(J219-'Сводка'!$B$11,-1)</x:f>
        <x:v>46053</x:v>
      </x:c>
      <x:c r="U219" s="4" t="n">
        <x:f>MATCH(J219,'Сводка'!$R$3:$R$397,0)</x:f>
        <x:v>230</x:v>
      </x:c>
      <x:c r="V219" s="4" t="n">
        <x:f>MATCH(J219-'Сводка'!$B$11,'Сводка'!$R$3:$R$397,0)</x:f>
        <x:v>229</x:v>
      </x:c>
      <x:c r="W219" s="4" t="n">
        <x:f>MATCH(T219,$J$388:$J$400,0)</x:f>
        <x:v>8</x:v>
      </x:c>
      <x:c r="X219" s="3"/>
      <x:c r="Y219" s="3"/>
      <x:c r="Z219" s="3"/>
    </x:row>
    <x:row r="220" ht="15" customHeight="1">
      <x:c r="A220" s="3"/>
      <x:c r="B220" s="3"/>
      <x:c r="C220" s="3"/>
      <x:c r="D220" s="3"/>
      <x:c r="E220" s="3"/>
      <x:c r="F220" s="3"/>
      <x:c r="G220" s="3"/>
      <x:c r="H220" s="3"/>
      <x:c r="I220" s="3"/>
      <x:c r="J220" s="10" t="n">
        <x:v>46071</x:v>
      </x:c>
      <x:c r="K220" s="8" t="n">
        <x:f>INDEX('Сводка'!$S$3:$S$397,U220)</x:f>
        <x:v>-40</x:v>
      </x:c>
      <x:c r="L220" s="8" t="n">
        <x:f>INDEX('Сводка'!$S$3:$S$397,V220)</x:f>
        <x:v>-40</x:v>
      </x:c>
      <x:c r="M220" s="8" t="n">
        <x:f>INDEX($K$388:$N$400,W220,1)*EXP(INDEX($K$388:$N$400,W220,2)*((J220-$T$405+1)/1000))+INDEX($O$388:$Z$400,W220,MONTH(J220))</x:f>
        <x:v>11.181519964422876</x:v>
      </x:c>
      <x:c r="N220" s="8" t="n">
        <x:f>K220-M220</x:f>
        <x:v>-51.181519964422876</x:v>
      </x:c>
      <x:c r="O220" s="8" t="n">
        <x:f>ABS(N220)</x:f>
        <x:v>51.181519964422876</x:v>
      </x:c>
      <x:c r="P220" s="8" t="n">
        <x:f>N220^2</x:f>
        <x:v>2619.547985868617</x:v>
      </x:c>
      <x:c r="Q220" s="8" t="n">
        <x:f>K220-L220</x:f>
        <x:v>0</x:v>
      </x:c>
      <x:c r="R220" s="9" t="n">
        <x:f>IF(AND(INDEX('Сводка'!$T$3:$T$397,U220)=0,INDEX('Сводка'!$T$3:$T$397,V220)=0),1,0)</x:f>
        <x:v>1</x:v>
      </x:c>
      <x:c r="S220" s="9" t="n">
        <x:f>IF(AND(R220=1,O220&lt;=$G$13),1,0)</x:f>
        <x:v>0</x:v>
      </x:c>
      <x:c r="T220" s="10" t="n">
        <x:f>EOMONTH(J220-'Сводка'!$B$11,-1)</x:f>
        <x:v>46053</x:v>
      </x:c>
      <x:c r="U220" s="4" t="n">
        <x:f>MATCH(J220,'Сводка'!$R$3:$R$397,0)</x:f>
        <x:v>231</x:v>
      </x:c>
      <x:c r="V220" s="4" t="n">
        <x:f>MATCH(J220-'Сводка'!$B$11,'Сводка'!$R$3:$R$397,0)</x:f>
        <x:v>230</x:v>
      </x:c>
      <x:c r="W220" s="4" t="n">
        <x:f>MATCH(T220,$J$388:$J$400,0)</x:f>
        <x:v>8</x:v>
      </x:c>
      <x:c r="X220" s="3"/>
      <x:c r="Y220" s="3"/>
      <x:c r="Z220" s="3"/>
    </x:row>
    <x:row r="221" ht="15" customHeight="1">
      <x:c r="A221" s="3"/>
      <x:c r="B221" s="3"/>
      <x:c r="C221" s="3"/>
      <x:c r="D221" s="3"/>
      <x:c r="E221" s="3"/>
      <x:c r="F221" s="3"/>
      <x:c r="G221" s="3"/>
      <x:c r="H221" s="3"/>
      <x:c r="I221" s="3"/>
      <x:c r="J221" s="10" t="n">
        <x:v>46072</x:v>
      </x:c>
      <x:c r="K221" s="8" t="n">
        <x:f>INDEX('Сводка'!$S$3:$S$397,U221)</x:f>
        <x:v>-42</x:v>
      </x:c>
      <x:c r="L221" s="8" t="n">
        <x:f>INDEX('Сводка'!$S$3:$S$397,V221)</x:f>
        <x:v>-40</x:v>
      </x:c>
      <x:c r="M221" s="8" t="n">
        <x:f>INDEX($K$388:$N$400,W221,1)*EXP(INDEX($K$388:$N$400,W221,2)*((J221-$T$405+1)/1000))+INDEX($O$388:$Z$400,W221,MONTH(J221))</x:f>
        <x:v>11.215709798453844</x:v>
      </x:c>
      <x:c r="N221" s="8" t="n">
        <x:f>K221-M221</x:f>
        <x:v>-53.215709798453844</x:v>
      </x:c>
      <x:c r="O221" s="8" t="n">
        <x:f>ABS(N221)</x:f>
        <x:v>53.215709798453844</x:v>
      </x:c>
      <x:c r="P221" s="8" t="n">
        <x:f>N221^2</x:f>
        <x:v>2831.9117693532567</x:v>
      </x:c>
      <x:c r="Q221" s="8" t="n">
        <x:f>K221-L221</x:f>
        <x:v>-2</x:v>
      </x:c>
      <x:c r="R221" s="9" t="n">
        <x:f>IF(AND(INDEX('Сводка'!$T$3:$T$397,U221)=0,INDEX('Сводка'!$T$3:$T$397,V221)=0),1,0)</x:f>
        <x:v>1</x:v>
      </x:c>
      <x:c r="S221" s="9" t="n">
        <x:f>IF(AND(R221=1,O221&lt;=$G$13),1,0)</x:f>
        <x:v>0</x:v>
      </x:c>
      <x:c r="T221" s="10" t="n">
        <x:f>EOMONTH(J221-'Сводка'!$B$11,-1)</x:f>
        <x:v>46053</x:v>
      </x:c>
      <x:c r="U221" s="4" t="n">
        <x:f>MATCH(J221,'Сводка'!$R$3:$R$397,0)</x:f>
        <x:v>232</x:v>
      </x:c>
      <x:c r="V221" s="4" t="n">
        <x:f>MATCH(J221-'Сводка'!$B$11,'Сводка'!$R$3:$R$397,0)</x:f>
        <x:v>231</x:v>
      </x:c>
      <x:c r="W221" s="4" t="n">
        <x:f>MATCH(T221,$J$388:$J$400,0)</x:f>
        <x:v>8</x:v>
      </x:c>
      <x:c r="X221" s="3"/>
      <x:c r="Y221" s="3"/>
      <x:c r="Z221" s="3"/>
    </x:row>
    <x:row r="222" ht="15" customHeight="1">
      <x:c r="A222" s="3"/>
      <x:c r="B222" s="3"/>
      <x:c r="C222" s="3"/>
      <x:c r="D222" s="3"/>
      <x:c r="E222" s="3"/>
      <x:c r="F222" s="3"/>
      <x:c r="G222" s="3"/>
      <x:c r="H222" s="3"/>
      <x:c r="I222" s="3"/>
      <x:c r="J222" s="10" t="n">
        <x:v>46073</x:v>
      </x:c>
      <x:c r="K222" s="8" t="n">
        <x:f>INDEX('Сводка'!$S$3:$S$397,U222)</x:f>
        <x:v>-43</x:v>
      </x:c>
      <x:c r="L222" s="8" t="n">
        <x:f>INDEX('Сводка'!$S$3:$S$397,V222)</x:f>
        <x:v>-42</x:v>
      </x:c>
      <x:c r="M222" s="8" t="n">
        <x:f>INDEX($K$388:$N$400,W222,1)*EXP(INDEX($K$388:$N$400,W222,2)*((J222-$T$405+1)/1000))+INDEX($O$388:$Z$400,W222,MONTH(J222))</x:f>
        <x:v>11.249907120652097</x:v>
      </x:c>
      <x:c r="N222" s="8" t="n">
        <x:f>K222-M222</x:f>
        <x:v>-54.2499071206521</x:v>
      </x:c>
      <x:c r="O222" s="8" t="n">
        <x:f>ABS(N222)</x:f>
        <x:v>54.2499071206521</x:v>
      </x:c>
      <x:c r="P222" s="8" t="n">
        <x:f>N222^2</x:f>
        <x:v>2943.052422599379</x:v>
      </x:c>
      <x:c r="Q222" s="8" t="n">
        <x:f>K222-L222</x:f>
        <x:v>-1</x:v>
      </x:c>
      <x:c r="R222" s="9" t="n">
        <x:f>IF(AND(INDEX('Сводка'!$T$3:$T$397,U222)=0,INDEX('Сводка'!$T$3:$T$397,V222)=0),1,0)</x:f>
        <x:v>1</x:v>
      </x:c>
      <x:c r="S222" s="9" t="n">
        <x:f>IF(AND(R222=1,O222&lt;=$G$13),1,0)</x:f>
        <x:v>0</x:v>
      </x:c>
      <x:c r="T222" s="10" t="n">
        <x:f>EOMONTH(J222-'Сводка'!$B$11,-1)</x:f>
        <x:v>46053</x:v>
      </x:c>
      <x:c r="U222" s="4" t="n">
        <x:f>MATCH(J222,'Сводка'!$R$3:$R$397,0)</x:f>
        <x:v>233</x:v>
      </x:c>
      <x:c r="V222" s="4" t="n">
        <x:f>MATCH(J222-'Сводка'!$B$11,'Сводка'!$R$3:$R$397,0)</x:f>
        <x:v>232</x:v>
      </x:c>
      <x:c r="W222" s="4" t="n">
        <x:f>MATCH(T222,$J$388:$J$400,0)</x:f>
        <x:v>8</x:v>
      </x:c>
      <x:c r="X222" s="3"/>
      <x:c r="Y222" s="3"/>
      <x:c r="Z222" s="3"/>
    </x:row>
    <x:row r="223" ht="15" customHeight="1">
      <x:c r="A223" s="3"/>
      <x:c r="B223" s="3"/>
      <x:c r="C223" s="3"/>
      <x:c r="D223" s="3"/>
      <x:c r="E223" s="3"/>
      <x:c r="F223" s="3"/>
      <x:c r="G223" s="3"/>
      <x:c r="H223" s="3"/>
      <x:c r="I223" s="3"/>
      <x:c r="J223" s="10" t="n">
        <x:v>46074</x:v>
      </x:c>
      <x:c r="K223" s="8" t="n">
        <x:f>INDEX('Сводка'!$S$3:$S$397,U223)</x:f>
        <x:v>-43</x:v>
      </x:c>
      <x:c r="L223" s="8" t="n">
        <x:f>INDEX('Сводка'!$S$3:$S$397,V223)</x:f>
        <x:v>-43</x:v>
      </x:c>
      <x:c r="M223" s="8" t="n">
        <x:f>INDEX($K$388:$N$400,W223,1)*EXP(INDEX($K$388:$N$400,W223,2)*((J223-$T$405+1)/1000))+INDEX($O$388:$Z$400,W223,MONTH(J223))</x:f>
        <x:v>11.284111932657765</x:v>
      </x:c>
      <x:c r="N223" s="8" t="n">
        <x:f>K223-M223</x:f>
        <x:v>-54.284111932657765</x:v>
      </x:c>
      <x:c r="O223" s="8" t="n">
        <x:f>ABS(N223)</x:f>
        <x:v>54.284111932657765</x:v>
      </x:c>
      <x:c r="P223" s="8" t="n">
        <x:f>N223^2</x:f>
        <x:v>2946.764808317317</x:v>
      </x:c>
      <x:c r="Q223" s="8" t="n">
        <x:f>K223-L223</x:f>
        <x:v>0</x:v>
      </x:c>
      <x:c r="R223" s="9" t="n">
        <x:f>IF(AND(INDEX('Сводка'!$T$3:$T$397,U223)=0,INDEX('Сводка'!$T$3:$T$397,V223)=0),1,0)</x:f>
        <x:v>1</x:v>
      </x:c>
      <x:c r="S223" s="9" t="n">
        <x:f>IF(AND(R223=1,O223&lt;=$G$13),1,0)</x:f>
        <x:v>0</x:v>
      </x:c>
      <x:c r="T223" s="10" t="n">
        <x:f>EOMONTH(J223-'Сводка'!$B$11,-1)</x:f>
        <x:v>46053</x:v>
      </x:c>
      <x:c r="U223" s="4" t="n">
        <x:f>MATCH(J223,'Сводка'!$R$3:$R$397,0)</x:f>
        <x:v>234</x:v>
      </x:c>
      <x:c r="V223" s="4" t="n">
        <x:f>MATCH(J223-'Сводка'!$B$11,'Сводка'!$R$3:$R$397,0)</x:f>
        <x:v>233</x:v>
      </x:c>
      <x:c r="W223" s="4" t="n">
        <x:f>MATCH(T223,$J$388:$J$400,0)</x:f>
        <x:v>8</x:v>
      </x:c>
      <x:c r="X223" s="3"/>
      <x:c r="Y223" s="3"/>
      <x:c r="Z223" s="3"/>
    </x:row>
    <x:row r="224" ht="15" customHeight="1">
      <x:c r="A224" s="3"/>
      <x:c r="B224" s="3"/>
      <x:c r="C224" s="3"/>
      <x:c r="D224" s="3"/>
      <x:c r="E224" s="3"/>
      <x:c r="F224" s="3"/>
      <x:c r="G224" s="3"/>
      <x:c r="H224" s="3"/>
      <x:c r="I224" s="3"/>
      <x:c r="J224" s="10" t="n">
        <x:v>46075</x:v>
      </x:c>
      <x:c r="K224" s="8" t="n">
        <x:f>INDEX('Сводка'!$S$3:$S$397,U224)</x:f>
        <x:v>-43</x:v>
      </x:c>
      <x:c r="L224" s="8" t="n">
        <x:f>INDEX('Сводка'!$S$3:$S$397,V224)</x:f>
        <x:v>-43</x:v>
      </x:c>
      <x:c r="M224" s="8" t="n">
        <x:f>INDEX($K$388:$N$400,W224,1)*EXP(INDEX($K$388:$N$400,W224,2)*((J224-$T$405+1)/1000))+INDEX($O$388:$Z$400,W224,MONTH(J224))</x:f>
        <x:v>11.318324236111408</x:v>
      </x:c>
      <x:c r="N224" s="8" t="n">
        <x:f>K224-M224</x:f>
        <x:v>-54.31832423611141</x:v>
      </x:c>
      <x:c r="O224" s="8" t="n">
        <x:f>ABS(N224)</x:f>
        <x:v>54.31832423611141</x:v>
      </x:c>
      <x:c r="P224" s="8" t="n">
        <x:f>N224^2</x:f>
        <x:v>2950.480347819328</x:v>
      </x:c>
      <x:c r="Q224" s="8" t="n">
        <x:f>K224-L224</x:f>
        <x:v>0</x:v>
      </x:c>
      <x:c r="R224" s="9" t="n">
        <x:f>IF(AND(INDEX('Сводка'!$T$3:$T$397,U224)=0,INDEX('Сводка'!$T$3:$T$397,V224)=0),1,0)</x:f>
        <x:v>1</x:v>
      </x:c>
      <x:c r="S224" s="9" t="n">
        <x:f>IF(AND(R224=1,O224&lt;=$G$13),1,0)</x:f>
        <x:v>0</x:v>
      </x:c>
      <x:c r="T224" s="10" t="n">
        <x:f>EOMONTH(J224-'Сводка'!$B$11,-1)</x:f>
        <x:v>46053</x:v>
      </x:c>
      <x:c r="U224" s="4" t="n">
        <x:f>MATCH(J224,'Сводка'!$R$3:$R$397,0)</x:f>
        <x:v>235</x:v>
      </x:c>
      <x:c r="V224" s="4" t="n">
        <x:f>MATCH(J224-'Сводка'!$B$11,'Сводка'!$R$3:$R$397,0)</x:f>
        <x:v>234</x:v>
      </x:c>
      <x:c r="W224" s="4" t="n">
        <x:f>MATCH(T224,$J$388:$J$400,0)</x:f>
        <x:v>8</x:v>
      </x:c>
      <x:c r="X224" s="3"/>
      <x:c r="Y224" s="3"/>
      <x:c r="Z224" s="3"/>
    </x:row>
    <x:row r="225" ht="15" customHeight="1">
      <x:c r="A225" s="3"/>
      <x:c r="B225" s="3"/>
      <x:c r="C225" s="3"/>
      <x:c r="D225" s="3"/>
      <x:c r="E225" s="3"/>
      <x:c r="F225" s="3"/>
      <x:c r="G225" s="3"/>
      <x:c r="H225" s="3"/>
      <x:c r="I225" s="3"/>
      <x:c r="J225" s="10" t="n">
        <x:v>46076</x:v>
      </x:c>
      <x:c r="K225" s="8" t="n">
        <x:f>INDEX('Сводка'!$S$3:$S$397,U225)</x:f>
        <x:v>-44</x:v>
      </x:c>
      <x:c r="L225" s="8" t="n">
        <x:f>INDEX('Сводка'!$S$3:$S$397,V225)</x:f>
        <x:v>-43</x:v>
      </x:c>
      <x:c r="M225" s="8" t="n">
        <x:f>INDEX($K$388:$N$400,W225,1)*EXP(INDEX($K$388:$N$400,W225,2)*((J225-$T$405+1)/1000))+INDEX($O$388:$Z$400,W225,MONTH(J225))</x:f>
        <x:v>11.352544032653583</x:v>
      </x:c>
      <x:c r="N225" s="8" t="n">
        <x:f>K225-M225</x:f>
        <x:v>-55.35254403265358</x:v>
      </x:c>
      <x:c r="O225" s="8" t="n">
        <x:f>ABS(N225)</x:f>
        <x:v>55.35254403265358</x:v>
      </x:c>
      <x:c r="P225" s="8" t="n">
        <x:f>N225^2</x:f>
        <x:v>3063.9041308868536</x:v>
      </x:c>
      <x:c r="Q225" s="8" t="n">
        <x:f>K225-L225</x:f>
        <x:v>-1</x:v>
      </x:c>
      <x:c r="R225" s="9" t="n">
        <x:f>IF(AND(INDEX('Сводка'!$T$3:$T$397,U225)=0,INDEX('Сводка'!$T$3:$T$397,V225)=0),1,0)</x:f>
        <x:v>1</x:v>
      </x:c>
      <x:c r="S225" s="9" t="n">
        <x:f>IF(AND(R225=1,O225&lt;=$G$13),1,0)</x:f>
        <x:v>0</x:v>
      </x:c>
      <x:c r="T225" s="10" t="n">
        <x:f>EOMONTH(J225-'Сводка'!$B$11,-1)</x:f>
        <x:v>46053</x:v>
      </x:c>
      <x:c r="U225" s="4" t="n">
        <x:f>MATCH(J225,'Сводка'!$R$3:$R$397,0)</x:f>
        <x:v>236</x:v>
      </x:c>
      <x:c r="V225" s="4" t="n">
        <x:f>MATCH(J225-'Сводка'!$B$11,'Сводка'!$R$3:$R$397,0)</x:f>
        <x:v>235</x:v>
      </x:c>
      <x:c r="W225" s="4" t="n">
        <x:f>MATCH(T225,$J$388:$J$400,0)</x:f>
        <x:v>8</x:v>
      </x:c>
      <x:c r="X225" s="3"/>
      <x:c r="Y225" s="3"/>
      <x:c r="Z225" s="3"/>
    </x:row>
    <x:row r="226" ht="15" customHeight="1">
      <x:c r="A226" s="3"/>
      <x:c r="B226" s="3"/>
      <x:c r="C226" s="3"/>
      <x:c r="D226" s="3"/>
      <x:c r="E226" s="3"/>
      <x:c r="F226" s="3"/>
      <x:c r="G226" s="3"/>
      <x:c r="H226" s="3"/>
      <x:c r="I226" s="3"/>
      <x:c r="J226" s="10" t="n">
        <x:v>46077</x:v>
      </x:c>
      <x:c r="K226" s="8" t="n">
        <x:f>INDEX('Сводка'!$S$3:$S$397,U226)</x:f>
        <x:v>-46</x:v>
      </x:c>
      <x:c r="L226" s="8" t="n">
        <x:f>INDEX('Сводка'!$S$3:$S$397,V226)</x:f>
        <x:v>-44</x:v>
      </x:c>
      <x:c r="M226" s="8" t="n">
        <x:f>INDEX($K$388:$N$400,W226,1)*EXP(INDEX($K$388:$N$400,W226,2)*((J226-$T$405+1)/1000))+INDEX($O$388:$Z$400,W226,MONTH(J226))</x:f>
        <x:v>11.386771323925473</x:v>
      </x:c>
      <x:c r="N226" s="8" t="n">
        <x:f>K226-M226</x:f>
        <x:v>-57.38677132392547</x:v>
      </x:c>
      <x:c r="O226" s="8" t="n">
        <x:f>ABS(N226)</x:f>
        <x:v>57.38677132392547</x:v>
      </x:c>
      <x:c r="P226" s="8" t="n">
        <x:f>N226^2</x:f>
        <x:v>3293.241522984515</x:v>
      </x:c>
      <x:c r="Q226" s="8" t="n">
        <x:f>K226-L226</x:f>
        <x:v>-2</x:v>
      </x:c>
      <x:c r="R226" s="9" t="n">
        <x:f>IF(AND(INDEX('Сводка'!$T$3:$T$397,U226)=0,INDEX('Сводка'!$T$3:$T$397,V226)=0),1,0)</x:f>
        <x:v>1</x:v>
      </x:c>
      <x:c r="S226" s="9" t="n">
        <x:f>IF(AND(R226=1,O226&lt;=$G$13),1,0)</x:f>
        <x:v>0</x:v>
      </x:c>
      <x:c r="T226" s="10" t="n">
        <x:f>EOMONTH(J226-'Сводка'!$B$11,-1)</x:f>
        <x:v>46053</x:v>
      </x:c>
      <x:c r="U226" s="4" t="n">
        <x:f>MATCH(J226,'Сводка'!$R$3:$R$397,0)</x:f>
        <x:v>237</x:v>
      </x:c>
      <x:c r="V226" s="4" t="n">
        <x:f>MATCH(J226-'Сводка'!$B$11,'Сводка'!$R$3:$R$397,0)</x:f>
        <x:v>236</x:v>
      </x:c>
      <x:c r="W226" s="4" t="n">
        <x:f>MATCH(T226,$J$388:$J$400,0)</x:f>
        <x:v>8</x:v>
      </x:c>
      <x:c r="X226" s="3"/>
      <x:c r="Y226" s="3"/>
      <x:c r="Z226" s="3"/>
    </x:row>
    <x:row r="227" ht="15" customHeight="1">
      <x:c r="A227" s="3"/>
      <x:c r="B227" s="3"/>
      <x:c r="C227" s="3"/>
      <x:c r="D227" s="3"/>
      <x:c r="E227" s="3"/>
      <x:c r="F227" s="3"/>
      <x:c r="G227" s="3"/>
      <x:c r="H227" s="3"/>
      <x:c r="I227" s="3"/>
      <x:c r="J227" s="10" t="n">
        <x:v>46078</x:v>
      </x:c>
      <x:c r="K227" s="8" t="n">
        <x:f>INDEX('Сводка'!$S$3:$S$397,U227)</x:f>
        <x:v>-46</x:v>
      </x:c>
      <x:c r="L227" s="8" t="n">
        <x:f>INDEX('Сводка'!$S$3:$S$397,V227)</x:f>
        <x:v>-46</x:v>
      </x:c>
      <x:c r="M227" s="8" t="n">
        <x:f>INDEX($K$388:$N$400,W227,1)*EXP(INDEX($K$388:$N$400,W227,2)*((J227-$T$405+1)/1000))+INDEX($O$388:$Z$400,W227,MONTH(J227))</x:f>
        <x:v>11.421006111568516</x:v>
      </x:c>
      <x:c r="N227" s="8" t="n">
        <x:f>K227-M227</x:f>
        <x:v>-57.421006111568516</x:v>
      </x:c>
      <x:c r="O227" s="8" t="n">
        <x:f>ABS(N227)</x:f>
        <x:v>57.421006111568516</x:v>
      </x:c>
      <x:c r="P227" s="8" t="n">
        <x:f>N227^2</x:f>
        <x:v>3297.171942864789</x:v>
      </x:c>
      <x:c r="Q227" s="8" t="n">
        <x:f>K227-L227</x:f>
        <x:v>0</x:v>
      </x:c>
      <x:c r="R227" s="9" t="n">
        <x:f>IF(AND(INDEX('Сводка'!$T$3:$T$397,U227)=0,INDEX('Сводка'!$T$3:$T$397,V227)=0),1,0)</x:f>
        <x:v>1</x:v>
      </x:c>
      <x:c r="S227" s="9" t="n">
        <x:f>IF(AND(R227=1,O227&lt;=$G$13),1,0)</x:f>
        <x:v>0</x:v>
      </x:c>
      <x:c r="T227" s="10" t="n">
        <x:f>EOMONTH(J227-'Сводка'!$B$11,-1)</x:f>
        <x:v>46053</x:v>
      </x:c>
      <x:c r="U227" s="4" t="n">
        <x:f>MATCH(J227,'Сводка'!$R$3:$R$397,0)</x:f>
        <x:v>238</x:v>
      </x:c>
      <x:c r="V227" s="4" t="n">
        <x:f>MATCH(J227-'Сводка'!$B$11,'Сводка'!$R$3:$R$397,0)</x:f>
        <x:v>237</x:v>
      </x:c>
      <x:c r="W227" s="4" t="n">
        <x:f>MATCH(T227,$J$388:$J$400,0)</x:f>
        <x:v>8</x:v>
      </x:c>
      <x:c r="X227" s="3"/>
      <x:c r="Y227" s="3"/>
      <x:c r="Z227" s="3"/>
    </x:row>
    <x:row r="228" ht="15" customHeight="1">
      <x:c r="A228" s="3"/>
      <x:c r="B228" s="3"/>
      <x:c r="C228" s="3"/>
      <x:c r="D228" s="3"/>
      <x:c r="E228" s="3"/>
      <x:c r="F228" s="3"/>
      <x:c r="G228" s="3"/>
      <x:c r="H228" s="3"/>
      <x:c r="I228" s="3"/>
      <x:c r="J228" s="10" t="n">
        <x:v>46079</x:v>
      </x:c>
      <x:c r="K228" s="8" t="n">
        <x:f>INDEX('Сводка'!$S$3:$S$397,U228)</x:f>
        <x:v>-48</x:v>
      </x:c>
      <x:c r="L228" s="8" t="n">
        <x:f>INDEX('Сводка'!$S$3:$S$397,V228)</x:f>
        <x:v>-46</x:v>
      </x:c>
      <x:c r="M228" s="8" t="n">
        <x:f>INDEX($K$388:$N$400,W228,1)*EXP(INDEX($K$388:$N$400,W228,2)*((J228-$T$405+1)/1000))+INDEX($O$388:$Z$400,W228,MONTH(J228))</x:f>
        <x:v>11.455248397224693</x:v>
      </x:c>
      <x:c r="N228" s="8" t="n">
        <x:f>K228-M228</x:f>
        <x:v>-59.45524839722469</x:v>
      </x:c>
      <x:c r="O228" s="8" t="n">
        <x:f>ABS(N228)</x:f>
        <x:v>59.45524839722469</x:v>
      </x:c>
      <x:c r="P228" s="8" t="n">
        <x:f>N228^2</x:f>
        <x:v>3534.9265619756893</x:v>
      </x:c>
      <x:c r="Q228" s="8" t="n">
        <x:f>K228-L228</x:f>
        <x:v>-2</x:v>
      </x:c>
      <x:c r="R228" s="9" t="n">
        <x:f>IF(AND(INDEX('Сводка'!$T$3:$T$397,U228)=0,INDEX('Сводка'!$T$3:$T$397,V228)=0),1,0)</x:f>
        <x:v>1</x:v>
      </x:c>
      <x:c r="S228" s="9" t="n">
        <x:f>IF(AND(R228=1,O228&lt;=$G$13),1,0)</x:f>
        <x:v>0</x:v>
      </x:c>
      <x:c r="T228" s="10" t="n">
        <x:f>EOMONTH(J228-'Сводка'!$B$11,-1)</x:f>
        <x:v>46053</x:v>
      </x:c>
      <x:c r="U228" s="4" t="n">
        <x:f>MATCH(J228,'Сводка'!$R$3:$R$397,0)</x:f>
        <x:v>239</x:v>
      </x:c>
      <x:c r="V228" s="4" t="n">
        <x:f>MATCH(J228-'Сводка'!$B$11,'Сводка'!$R$3:$R$397,0)</x:f>
        <x:v>238</x:v>
      </x:c>
      <x:c r="W228" s="4" t="n">
        <x:f>MATCH(T228,$J$388:$J$400,0)</x:f>
        <x:v>8</x:v>
      </x:c>
      <x:c r="X228" s="3"/>
      <x:c r="Y228" s="3"/>
      <x:c r="Z228" s="3"/>
    </x:row>
    <x:row r="229" ht="15" customHeight="1">
      <x:c r="A229" s="3"/>
      <x:c r="B229" s="3"/>
      <x:c r="C229" s="3"/>
      <x:c r="D229" s="3"/>
      <x:c r="E229" s="3"/>
      <x:c r="F229" s="3"/>
      <x:c r="G229" s="3"/>
      <x:c r="H229" s="3"/>
      <x:c r="I229" s="3"/>
      <x:c r="J229" s="10" t="n">
        <x:v>46080</x:v>
      </x:c>
      <x:c r="K229" s="8" t="n">
        <x:f>INDEX('Сводка'!$S$3:$S$397,U229)</x:f>
        <x:v>-51</x:v>
      </x:c>
      <x:c r="L229" s="8" t="n">
        <x:f>INDEX('Сводка'!$S$3:$S$397,V229)</x:f>
        <x:v>-48</x:v>
      </x:c>
      <x:c r="M229" s="8" t="n">
        <x:f>INDEX($K$388:$N$400,W229,1)*EXP(INDEX($K$388:$N$400,W229,2)*((J229-$T$405+1)/1000))+INDEX($O$388:$Z$400,W229,MONTH(J229))</x:f>
        <x:v>11.489498182536039</x:v>
      </x:c>
      <x:c r="N229" s="8" t="n">
        <x:f>K229-M229</x:f>
        <x:v>-62.48949818253604</x:v>
      </x:c>
      <x:c r="O229" s="8" t="n">
        <x:f>ABS(N229)</x:f>
        <x:v>62.48949818253604</x:v>
      </x:c>
      <x:c r="P229" s="8" t="n">
        <x:f>N229^2</x:f>
        <x:v>3904.937383105175</x:v>
      </x:c>
      <x:c r="Q229" s="8" t="n">
        <x:f>K229-L229</x:f>
        <x:v>-3</x:v>
      </x:c>
      <x:c r="R229" s="9" t="n">
        <x:f>IF(AND(INDEX('Сводка'!$T$3:$T$397,U229)=0,INDEX('Сводка'!$T$3:$T$397,V229)=0),1,0)</x:f>
        <x:v>1</x:v>
      </x:c>
      <x:c r="S229" s="9" t="n">
        <x:f>IF(AND(R229=1,O229&lt;=$G$13),1,0)</x:f>
        <x:v>0</x:v>
      </x:c>
      <x:c r="T229" s="10" t="n">
        <x:f>EOMONTH(J229-'Сводка'!$B$11,-1)</x:f>
        <x:v>46053</x:v>
      </x:c>
      <x:c r="U229" s="4" t="n">
        <x:f>MATCH(J229,'Сводка'!$R$3:$R$397,0)</x:f>
        <x:v>240</x:v>
      </x:c>
      <x:c r="V229" s="4" t="n">
        <x:f>MATCH(J229-'Сводка'!$B$11,'Сводка'!$R$3:$R$397,0)</x:f>
        <x:v>239</x:v>
      </x:c>
      <x:c r="W229" s="4" t="n">
        <x:f>MATCH(T229,$J$388:$J$400,0)</x:f>
        <x:v>8</x:v>
      </x:c>
      <x:c r="X229" s="3"/>
      <x:c r="Y229" s="3"/>
      <x:c r="Z229" s="3"/>
    </x:row>
    <x:row r="230" ht="15" customHeight="1">
      <x:c r="A230" s="3"/>
      <x:c r="B230" s="3"/>
      <x:c r="C230" s="3"/>
      <x:c r="D230" s="3"/>
      <x:c r="E230" s="3"/>
      <x:c r="F230" s="3"/>
      <x:c r="G230" s="3"/>
      <x:c r="H230" s="3"/>
      <x:c r="I230" s="3"/>
      <x:c r="J230" s="10" t="n">
        <x:v>46081</x:v>
      </x:c>
      <x:c r="K230" s="8" t="n">
        <x:f>INDEX('Сводка'!$S$3:$S$397,U230)</x:f>
        <x:v>-54</x:v>
      </x:c>
      <x:c r="L230" s="8" t="n">
        <x:f>INDEX('Сводка'!$S$3:$S$397,V230)</x:f>
        <x:v>-51</x:v>
      </x:c>
      <x:c r="M230" s="8" t="n">
        <x:f>INDEX($K$388:$N$400,W230,1)*EXP(INDEX($K$388:$N$400,W230,2)*((J230-$T$405+1)/1000))+INDEX($O$388:$Z$400,W230,MONTH(J230))</x:f>
        <x:v>11.523755469145158</x:v>
      </x:c>
      <x:c r="N230" s="8" t="n">
        <x:f>K230-M230</x:f>
        <x:v>-65.52375546914516</x:v>
      </x:c>
      <x:c r="O230" s="8" t="n">
        <x:f>ABS(N230)</x:f>
        <x:v>65.52375546914516</x:v>
      </x:c>
      <x:c r="P230" s="8" t="n">
        <x:f>N230^2</x:f>
        <x:v>4293.36253078033</x:v>
      </x:c>
      <x:c r="Q230" s="8" t="n">
        <x:f>K230-L230</x:f>
        <x:v>-3</x:v>
      </x:c>
      <x:c r="R230" s="9" t="n">
        <x:f>IF(AND(INDEX('Сводка'!$T$3:$T$397,U230)=0,INDEX('Сводка'!$T$3:$T$397,V230)=0),1,0)</x:f>
        <x:v>1</x:v>
      </x:c>
      <x:c r="S230" s="9" t="n">
        <x:f>IF(AND(R230=1,O230&lt;=$G$13),1,0)</x:f>
        <x:v>0</x:v>
      </x:c>
      <x:c r="T230" s="10" t="n">
        <x:f>EOMONTH(J230-'Сводка'!$B$11,-1)</x:f>
        <x:v>46053</x:v>
      </x:c>
      <x:c r="U230" s="4" t="n">
        <x:f>MATCH(J230,'Сводка'!$R$3:$R$397,0)</x:f>
        <x:v>241</x:v>
      </x:c>
      <x:c r="V230" s="4" t="n">
        <x:f>MATCH(J230-'Сводка'!$B$11,'Сводка'!$R$3:$R$397,0)</x:f>
        <x:v>240</x:v>
      </x:c>
      <x:c r="W230" s="4" t="n">
        <x:f>MATCH(T230,$J$388:$J$400,0)</x:f>
        <x:v>8</x:v>
      </x:c>
      <x:c r="X230" s="3"/>
      <x:c r="Y230" s="3"/>
      <x:c r="Z230" s="3"/>
    </x:row>
    <x:row r="231" ht="15" customHeight="1">
      <x:c r="A231" s="3"/>
      <x:c r="B231" s="3"/>
      <x:c r="C231" s="3"/>
      <x:c r="D231" s="3"/>
      <x:c r="E231" s="3"/>
      <x:c r="F231" s="3"/>
      <x:c r="G231" s="3"/>
      <x:c r="H231" s="3"/>
      <x:c r="I231" s="3"/>
      <x:c r="J231" s="10" t="n">
        <x:v>46082</x:v>
      </x:c>
      <x:c r="K231" s="8" t="n">
        <x:f>INDEX('Сводка'!$S$3:$S$397,U231)</x:f>
        <x:v>-55</x:v>
      </x:c>
      <x:c r="L231" s="8" t="n">
        <x:f>INDEX('Сводка'!$S$3:$S$397,V231)</x:f>
        <x:v>-54</x:v>
      </x:c>
      <x:c r="M231" s="8" t="n">
        <x:f>INDEX($K$388:$N$400,W231,1)*EXP(INDEX($K$388:$N$400,W231,2)*((J231-$T$405+1)/1000))+INDEX($O$388:$Z$400,W231,MONTH(J231))</x:f>
        <x:v>-0.5575310637599671</x:v>
      </x:c>
      <x:c r="N231" s="8" t="n">
        <x:f>K231-M231</x:f>
        <x:v>-54.44246893624003</x:v>
      </x:c>
      <x:c r="O231" s="8" t="n">
        <x:f>ABS(N231)</x:f>
        <x:v>54.44246893624003</x:v>
      </x:c>
      <x:c r="P231" s="8" t="n">
        <x:f>N231^2</x:f>
        <x:v>2963.982423873461</x:v>
      </x:c>
      <x:c r="Q231" s="8" t="n">
        <x:f>K231-L231</x:f>
        <x:v>-1</x:v>
      </x:c>
      <x:c r="R231" s="9" t="n">
        <x:f>IF(AND(INDEX('Сводка'!$T$3:$T$397,U231)=0,INDEX('Сводка'!$T$3:$T$397,V231)=0),1,0)</x:f>
        <x:v>1</x:v>
      </x:c>
      <x:c r="S231" s="9" t="n">
        <x:f>IF(AND(R231=1,O231&lt;=$G$13),1,0)</x:f>
        <x:v>0</x:v>
      </x:c>
      <x:c r="T231" s="10" t="n">
        <x:f>EOMONTH(J231-'Сводка'!$B$11,-1)</x:f>
        <x:v>46053</x:v>
      </x:c>
      <x:c r="U231" s="4" t="n">
        <x:f>MATCH(J231,'Сводка'!$R$3:$R$397,0)</x:f>
        <x:v>242</x:v>
      </x:c>
      <x:c r="V231" s="4" t="n">
        <x:f>MATCH(J231-'Сводка'!$B$11,'Сводка'!$R$3:$R$397,0)</x:f>
        <x:v>241</x:v>
      </x:c>
      <x:c r="W231" s="4" t="n">
        <x:f>MATCH(T231,$J$388:$J$400,0)</x:f>
        <x:v>8</x:v>
      </x:c>
      <x:c r="X231" s="3"/>
      <x:c r="Y231" s="3"/>
      <x:c r="Z231" s="3"/>
    </x:row>
    <x:row r="232" ht="15" customHeight="1">
      <x:c r="A232" s="3"/>
      <x:c r="B232" s="3"/>
      <x:c r="C232" s="3"/>
      <x:c r="D232" s="3"/>
      <x:c r="E232" s="3"/>
      <x:c r="F232" s="3"/>
      <x:c r="G232" s="3"/>
      <x:c r="H232" s="3"/>
      <x:c r="I232" s="3"/>
      <x:c r="J232" s="10" t="n">
        <x:v>46083</x:v>
      </x:c>
      <x:c r="K232" s="8" t="n">
        <x:f>INDEX('Сводка'!$S$3:$S$397,U232)</x:f>
        <x:v>-57</x:v>
      </x:c>
      <x:c r="L232" s="8" t="n">
        <x:f>INDEX('Сводка'!$S$3:$S$397,V232)</x:f>
        <x:v>-55</x:v>
      </x:c>
      <x:c r="M232" s="8" t="n">
        <x:f>INDEX($K$388:$N$400,W232,1)*EXP(INDEX($K$388:$N$400,W232,2)*((J232-$T$405+1)/1000))+INDEX($O$388:$Z$400,W232,MONTH(J232))</x:f>
        <x:v>-1.7567445879867307</x:v>
      </x:c>
      <x:c r="N232" s="8" t="n">
        <x:f>K232-M232</x:f>
        <x:v>-55.24325541201327</x:v>
      </x:c>
      <x:c r="O232" s="8" t="n">
        <x:f>ABS(N232)</x:f>
        <x:v>55.24325541201327</x:v>
      </x:c>
      <x:c r="P232" s="8" t="n">
        <x:f>N232^2</x:f>
        <x:v>3051.8172685169334</x:v>
      </x:c>
      <x:c r="Q232" s="8" t="n">
        <x:f>K232-L232</x:f>
        <x:v>-2</x:v>
      </x:c>
      <x:c r="R232" s="9" t="n">
        <x:f>IF(AND(INDEX('Сводка'!$T$3:$T$397,U232)=0,INDEX('Сводка'!$T$3:$T$397,V232)=0),1,0)</x:f>
        <x:v>1</x:v>
      </x:c>
      <x:c r="S232" s="9" t="n">
        <x:f>IF(AND(R232=1,O232&lt;=$G$13),1,0)</x:f>
        <x:v>0</x:v>
      </x:c>
      <x:c r="T232" s="10" t="n">
        <x:f>EOMONTH(J232-'Сводка'!$B$11,-1)</x:f>
        <x:v>46081</x:v>
      </x:c>
      <x:c r="U232" s="4" t="n">
        <x:f>MATCH(J232,'Сводка'!$R$3:$R$397,0)</x:f>
        <x:v>243</x:v>
      </x:c>
      <x:c r="V232" s="4" t="n">
        <x:f>MATCH(J232-'Сводка'!$B$11,'Сводка'!$R$3:$R$397,0)</x:f>
        <x:v>242</x:v>
      </x:c>
      <x:c r="W232" s="4" t="n">
        <x:f>MATCH(T232,$J$388:$J$400,0)</x:f>
        <x:v>9</x:v>
      </x:c>
      <x:c r="X232" s="3"/>
      <x:c r="Y232" s="3"/>
      <x:c r="Z232" s="3"/>
    </x:row>
    <x:row r="233" ht="15" customHeight="1">
      <x:c r="A233" s="3"/>
      <x:c r="B233" s="3"/>
      <x:c r="C233" s="3"/>
      <x:c r="D233" s="3"/>
      <x:c r="E233" s="3"/>
      <x:c r="F233" s="3"/>
      <x:c r="G233" s="3"/>
      <x:c r="H233" s="3"/>
      <x:c r="I233" s="3"/>
      <x:c r="J233" s="10" t="n">
        <x:v>46084</x:v>
      </x:c>
      <x:c r="K233" s="8" t="n">
        <x:f>INDEX('Сводка'!$S$3:$S$397,U233)</x:f>
        <x:v>-58</x:v>
      </x:c>
      <x:c r="L233" s="8" t="n">
        <x:f>INDEX('Сводка'!$S$3:$S$397,V233)</x:f>
        <x:v>-57</x:v>
      </x:c>
      <x:c r="M233" s="8" t="n">
        <x:f>INDEX($K$388:$N$400,W233,1)*EXP(INDEX($K$388:$N$400,W233,2)*((J233-$T$405+1)/1000))+INDEX($O$388:$Z$400,W233,MONTH(J233))</x:f>
        <x:v>-1.7230460947478434</x:v>
      </x:c>
      <x:c r="N233" s="8" t="n">
        <x:f>K233-M233</x:f>
        <x:v>-56.27695390525216</x:v>
      </x:c>
      <x:c r="O233" s="8" t="n">
        <x:f>ABS(N233)</x:f>
        <x:v>56.27695390525216</x:v>
      </x:c>
      <x:c r="P233" s="8" t="n">
        <x:f>N233^2</x:f>
        <x:v>3167.095540853876</x:v>
      </x:c>
      <x:c r="Q233" s="8" t="n">
        <x:f>K233-L233</x:f>
        <x:v>-1</x:v>
      </x:c>
      <x:c r="R233" s="9" t="n">
        <x:f>IF(AND(INDEX('Сводка'!$T$3:$T$397,U233)=0,INDEX('Сводка'!$T$3:$T$397,V233)=0),1,0)</x:f>
        <x:v>1</x:v>
      </x:c>
      <x:c r="S233" s="9" t="n">
        <x:f>IF(AND(R233=1,O233&lt;=$G$13),1,0)</x:f>
        <x:v>0</x:v>
      </x:c>
      <x:c r="T233" s="10" t="n">
        <x:f>EOMONTH(J233-'Сводка'!$B$11,-1)</x:f>
        <x:v>46081</x:v>
      </x:c>
      <x:c r="U233" s="4" t="n">
        <x:f>MATCH(J233,'Сводка'!$R$3:$R$397,0)</x:f>
        <x:v>244</x:v>
      </x:c>
      <x:c r="V233" s="4" t="n">
        <x:f>MATCH(J233-'Сводка'!$B$11,'Сводка'!$R$3:$R$397,0)</x:f>
        <x:v>243</x:v>
      </x:c>
      <x:c r="W233" s="4" t="n">
        <x:f>MATCH(T233,$J$388:$J$400,0)</x:f>
        <x:v>9</x:v>
      </x:c>
      <x:c r="X233" s="3"/>
      <x:c r="Y233" s="3"/>
      <x:c r="Z233" s="3"/>
    </x:row>
    <x:row r="234" ht="15" customHeight="1">
      <x:c r="A234" s="3"/>
      <x:c r="B234" s="3"/>
      <x:c r="C234" s="3"/>
      <x:c r="D234" s="3"/>
      <x:c r="E234" s="3"/>
      <x:c r="F234" s="3"/>
      <x:c r="G234" s="3"/>
      <x:c r="H234" s="3"/>
      <x:c r="I234" s="3"/>
      <x:c r="J234" s="10" t="n">
        <x:v>46085</x:v>
      </x:c>
      <x:c r="K234" s="8" t="n">
        <x:f>INDEX('Сводка'!$S$3:$S$397,U234)</x:f>
        <x:v>-58</x:v>
      </x:c>
      <x:c r="L234" s="8" t="n">
        <x:f>INDEX('Сводка'!$S$3:$S$397,V234)</x:f>
        <x:v>-58</x:v>
      </x:c>
      <x:c r="M234" s="8" t="n">
        <x:f>INDEX($K$388:$N$400,W234,1)*EXP(INDEX($K$388:$N$400,W234,2)*((J234-$T$405+1)/1000))+INDEX($O$388:$Z$400,W234,MONTH(J234))</x:f>
        <x:v>-1.6893402815959746</x:v>
      </x:c>
      <x:c r="N234" s="8" t="n">
        <x:f>K234-M234</x:f>
        <x:v>-56.310659718404025</x:v>
      </x:c>
      <x:c r="O234" s="8" t="n">
        <x:f>ABS(N234)</x:f>
        <x:v>56.310659718404025</x:v>
      </x:c>
      <x:c r="P234" s="8" t="n">
        <x:f>N234^2</x:f>
        <x:v>3170.89039792189</x:v>
      </x:c>
      <x:c r="Q234" s="8" t="n">
        <x:f>K234-L234</x:f>
        <x:v>0</x:v>
      </x:c>
      <x:c r="R234" s="9" t="n">
        <x:f>IF(AND(INDEX('Сводка'!$T$3:$T$397,U234)=0,INDEX('Сводка'!$T$3:$T$397,V234)=0),1,0)</x:f>
        <x:v>1</x:v>
      </x:c>
      <x:c r="S234" s="9" t="n">
        <x:f>IF(AND(R234=1,O234&lt;=$G$13),1,0)</x:f>
        <x:v>0</x:v>
      </x:c>
      <x:c r="T234" s="10" t="n">
        <x:f>EOMONTH(J234-'Сводка'!$B$11,-1)</x:f>
        <x:v>46081</x:v>
      </x:c>
      <x:c r="U234" s="4" t="n">
        <x:f>MATCH(J234,'Сводка'!$R$3:$R$397,0)</x:f>
        <x:v>245</x:v>
      </x:c>
      <x:c r="V234" s="4" t="n">
        <x:f>MATCH(J234-'Сводка'!$B$11,'Сводка'!$R$3:$R$397,0)</x:f>
        <x:v>244</x:v>
      </x:c>
      <x:c r="W234" s="4" t="n">
        <x:f>MATCH(T234,$J$388:$J$400,0)</x:f>
        <x:v>9</x:v>
      </x:c>
      <x:c r="X234" s="3"/>
      <x:c r="Y234" s="3"/>
      <x:c r="Z234" s="3"/>
    </x:row>
    <x:row r="235" ht="15" customHeight="1">
      <x:c r="A235" s="3"/>
      <x:c r="B235" s="3"/>
      <x:c r="C235" s="3"/>
      <x:c r="D235" s="3"/>
      <x:c r="E235" s="3"/>
      <x:c r="F235" s="3"/>
      <x:c r="G235" s="3"/>
      <x:c r="H235" s="3"/>
      <x:c r="I235" s="3"/>
      <x:c r="J235" s="10" t="n">
        <x:v>46086</x:v>
      </x:c>
      <x:c r="K235" s="8" t="n">
        <x:f>INDEX('Сводка'!$S$3:$S$397,U235)</x:f>
        <x:v>-58</x:v>
      </x:c>
      <x:c r="L235" s="8" t="n">
        <x:f>INDEX('Сводка'!$S$3:$S$397,V235)</x:f>
        <x:v>-58</x:v>
      </x:c>
      <x:c r="M235" s="8" t="n">
        <x:f>INDEX($K$388:$N$400,W235,1)*EXP(INDEX($K$388:$N$400,W235,2)*((J235-$T$405+1)/1000))+INDEX($O$388:$Z$400,W235,MONTH(J235))</x:f>
        <x:v>-1.6556271469411286</x:v>
      </x:c>
      <x:c r="N235" s="8" t="n">
        <x:f>K235-M235</x:f>
        <x:v>-56.34437285305887</x:v>
      </x:c>
      <x:c r="O235" s="8" t="n">
        <x:f>ABS(N235)</x:f>
        <x:v>56.34437285305887</x:v>
      </x:c>
      <x:c r="P235" s="8" t="n">
        <x:f>N235^2</x:f>
        <x:v>3174.6883522045173</x:v>
      </x:c>
      <x:c r="Q235" s="8" t="n">
        <x:f>K235-L235</x:f>
        <x:v>0</x:v>
      </x:c>
      <x:c r="R235" s="9" t="n">
        <x:f>IF(AND(INDEX('Сводка'!$T$3:$T$397,U235)=0,INDEX('Сводка'!$T$3:$T$397,V235)=0),1,0)</x:f>
        <x:v>1</x:v>
      </x:c>
      <x:c r="S235" s="9" t="n">
        <x:f>IF(AND(R235=1,O235&lt;=$G$13),1,0)</x:f>
        <x:v>0</x:v>
      </x:c>
      <x:c r="T235" s="10" t="n">
        <x:f>EOMONTH(J235-'Сводка'!$B$11,-1)</x:f>
        <x:v>46081</x:v>
      </x:c>
      <x:c r="U235" s="4" t="n">
        <x:f>MATCH(J235,'Сводка'!$R$3:$R$397,0)</x:f>
        <x:v>246</x:v>
      </x:c>
      <x:c r="V235" s="4" t="n">
        <x:f>MATCH(J235-'Сводка'!$B$11,'Сводка'!$R$3:$R$397,0)</x:f>
        <x:v>245</x:v>
      </x:c>
      <x:c r="W235" s="4" t="n">
        <x:f>MATCH(T235,$J$388:$J$400,0)</x:f>
        <x:v>9</x:v>
      </x:c>
      <x:c r="X235" s="3"/>
      <x:c r="Y235" s="3"/>
      <x:c r="Z235" s="3"/>
    </x:row>
    <x:row r="236" ht="15" customHeight="1">
      <x:c r="A236" s="3"/>
      <x:c r="B236" s="3"/>
      <x:c r="C236" s="3"/>
      <x:c r="D236" s="3"/>
      <x:c r="E236" s="3"/>
      <x:c r="F236" s="3"/>
      <x:c r="G236" s="3"/>
      <x:c r="H236" s="3"/>
      <x:c r="I236" s="3"/>
      <x:c r="J236" s="10" t="n">
        <x:v>46087</x:v>
      </x:c>
      <x:c r="K236" s="8" t="n">
        <x:f>INDEX('Сводка'!$S$3:$S$397,U236)</x:f>
        <x:v>-57</x:v>
      </x:c>
      <x:c r="L236" s="8" t="n">
        <x:f>INDEX('Сводка'!$S$3:$S$397,V236)</x:f>
        <x:v>-58</x:v>
      </x:c>
      <x:c r="M236" s="8" t="n">
        <x:f>INDEX($K$388:$N$400,W236,1)*EXP(INDEX($K$388:$N$400,W236,2)*((J236-$T$405+1)/1000))+INDEX($O$388:$Z$400,W236,MONTH(J236))</x:f>
        <x:v>-1.6219066891930254</x:v>
      </x:c>
      <x:c r="N236" s="8" t="n">
        <x:f>K236-M236</x:f>
        <x:v>-55.378093310806975</x:v>
      </x:c>
      <x:c r="O236" s="8" t="n">
        <x:f>ABS(N236)</x:f>
        <x:v>55.378093310806975</x:v>
      </x:c>
      <x:c r="P236" s="8" t="n">
        <x:f>N236^2</x:f>
        <x:v>3066.733218740444</x:v>
      </x:c>
      <x:c r="Q236" s="8" t="n">
        <x:f>K236-L236</x:f>
        <x:v>1</x:v>
      </x:c>
      <x:c r="R236" s="9" t="n">
        <x:f>IF(AND(INDEX('Сводка'!$T$3:$T$397,U236)=0,INDEX('Сводка'!$T$3:$T$397,V236)=0),1,0)</x:f>
        <x:v>1</x:v>
      </x:c>
      <x:c r="S236" s="9" t="n">
        <x:f>IF(AND(R236=1,O236&lt;=$G$13),1,0)</x:f>
        <x:v>0</x:v>
      </x:c>
      <x:c r="T236" s="10" t="n">
        <x:f>EOMONTH(J236-'Сводка'!$B$11,-1)</x:f>
        <x:v>46081</x:v>
      </x:c>
      <x:c r="U236" s="4" t="n">
        <x:f>MATCH(J236,'Сводка'!$R$3:$R$397,0)</x:f>
        <x:v>247</x:v>
      </x:c>
      <x:c r="V236" s="4" t="n">
        <x:f>MATCH(J236-'Сводка'!$B$11,'Сводка'!$R$3:$R$397,0)</x:f>
        <x:v>246</x:v>
      </x:c>
      <x:c r="W236" s="4" t="n">
        <x:f>MATCH(T236,$J$388:$J$400,0)</x:f>
        <x:v>9</x:v>
      </x:c>
      <x:c r="X236" s="3"/>
      <x:c r="Y236" s="3"/>
      <x:c r="Z236" s="3"/>
    </x:row>
    <x:row r="237" ht="15" customHeight="1">
      <x:c r="A237" s="3"/>
      <x:c r="B237" s="3"/>
      <x:c r="C237" s="3"/>
      <x:c r="D237" s="3"/>
      <x:c r="E237" s="3"/>
      <x:c r="F237" s="3"/>
      <x:c r="G237" s="3"/>
      <x:c r="H237" s="3"/>
      <x:c r="I237" s="3"/>
      <x:c r="J237" s="10" t="n">
        <x:v>46088</x:v>
      </x:c>
      <x:c r="K237" s="8" t="n">
        <x:f>INDEX('Сводка'!$S$3:$S$397,U237)</x:f>
        <x:v>-57</x:v>
      </x:c>
      <x:c r="L237" s="8" t="n">
        <x:f>INDEX('Сводка'!$S$3:$S$397,V237)</x:f>
        <x:v>-57</x:v>
      </x:c>
      <x:c r="M237" s="8" t="n">
        <x:f>INDEX($K$388:$N$400,W237,1)*EXP(INDEX($K$388:$N$400,W237,2)*((J237-$T$405+1)/1000))+INDEX($O$388:$Z$400,W237,MONTH(J237))</x:f>
        <x:v>-1.5881789067607883</x:v>
      </x:c>
      <x:c r="N237" s="8" t="n">
        <x:f>K237-M237</x:f>
        <x:v>-55.41182109323921</x:v>
      </x:c>
      <x:c r="O237" s="8" t="n">
        <x:f>ABS(N237)</x:f>
        <x:v>55.41182109323921</x:v>
      </x:c>
      <x:c r="P237" s="8" t="n">
        <x:f>N237^2</x:f>
        <x:v>3070.46991686915</x:v>
      </x:c>
      <x:c r="Q237" s="8" t="n">
        <x:f>K237-L237</x:f>
        <x:v>0</x:v>
      </x:c>
      <x:c r="R237" s="9" t="n">
        <x:f>IF(AND(INDEX('Сводка'!$T$3:$T$397,U237)=0,INDEX('Сводка'!$T$3:$T$397,V237)=0),1,0)</x:f>
        <x:v>1</x:v>
      </x:c>
      <x:c r="S237" s="9" t="n">
        <x:f>IF(AND(R237=1,O237&lt;=$G$13),1,0)</x:f>
        <x:v>0</x:v>
      </x:c>
      <x:c r="T237" s="10" t="n">
        <x:f>EOMONTH(J237-'Сводка'!$B$11,-1)</x:f>
        <x:v>46081</x:v>
      </x:c>
      <x:c r="U237" s="4" t="n">
        <x:f>MATCH(J237,'Сводка'!$R$3:$R$397,0)</x:f>
        <x:v>248</x:v>
      </x:c>
      <x:c r="V237" s="4" t="n">
        <x:f>MATCH(J237-'Сводка'!$B$11,'Сводка'!$R$3:$R$397,0)</x:f>
        <x:v>247</x:v>
      </x:c>
      <x:c r="W237" s="4" t="n">
        <x:f>MATCH(T237,$J$388:$J$400,0)</x:f>
        <x:v>9</x:v>
      </x:c>
      <x:c r="X237" s="3"/>
      <x:c r="Y237" s="3"/>
      <x:c r="Z237" s="3"/>
    </x:row>
    <x:row r="238" ht="15" customHeight="1">
      <x:c r="A238" s="3"/>
      <x:c r="B238" s="3"/>
      <x:c r="C238" s="3"/>
      <x:c r="D238" s="3"/>
      <x:c r="E238" s="3"/>
      <x:c r="F238" s="3"/>
      <x:c r="G238" s="3"/>
      <x:c r="H238" s="3"/>
      <x:c r="I238" s="3"/>
      <x:c r="J238" s="10" t="n">
        <x:v>46089</x:v>
      </x:c>
      <x:c r="K238" s="8" t="n">
        <x:f>INDEX('Сводка'!$S$3:$S$397,U238)</x:f>
        <x:v>-59</x:v>
      </x:c>
      <x:c r="L238" s="8" t="n">
        <x:f>INDEX('Сводка'!$S$3:$S$397,V238)</x:f>
        <x:v>-57</x:v>
      </x:c>
      <x:c r="M238" s="8" t="n">
        <x:f>INDEX($K$388:$N$400,W238,1)*EXP(INDEX($K$388:$N$400,W238,2)*((J238-$T$405+1)/1000))+INDEX($O$388:$Z$400,W238,MONTH(J238))</x:f>
        <x:v>-1.554443798053569</x:v>
      </x:c>
      <x:c r="N238" s="8" t="n">
        <x:f>K238-M238</x:f>
        <x:v>-57.44555620194643</x:v>
      </x:c>
      <x:c r="O238" s="8" t="n">
        <x:f>ABS(N238)</x:f>
        <x:v>57.44555620194643</x:v>
      </x:c>
      <x:c r="P238" s="8" t="n">
        <x:f>N238^2</x:f>
        <x:v>3299.991927350986</x:v>
      </x:c>
      <x:c r="Q238" s="8" t="n">
        <x:f>K238-L238</x:f>
        <x:v>-2</x:v>
      </x:c>
      <x:c r="R238" s="9" t="n">
        <x:f>IF(AND(INDEX('Сводка'!$T$3:$T$397,U238)=0,INDEX('Сводка'!$T$3:$T$397,V238)=0),1,0)</x:f>
        <x:v>1</x:v>
      </x:c>
      <x:c r="S238" s="9" t="n">
        <x:f>IF(AND(R238=1,O238&lt;=$G$13),1,0)</x:f>
        <x:v>0</x:v>
      </x:c>
      <x:c r="T238" s="10" t="n">
        <x:f>EOMONTH(J238-'Сводка'!$B$11,-1)</x:f>
        <x:v>46081</x:v>
      </x:c>
      <x:c r="U238" s="4" t="n">
        <x:f>MATCH(J238,'Сводка'!$R$3:$R$397,0)</x:f>
        <x:v>249</x:v>
      </x:c>
      <x:c r="V238" s="4" t="n">
        <x:f>MATCH(J238-'Сводка'!$B$11,'Сводка'!$R$3:$R$397,0)</x:f>
        <x:v>248</x:v>
      </x:c>
      <x:c r="W238" s="4" t="n">
        <x:f>MATCH(T238,$J$388:$J$400,0)</x:f>
        <x:v>9</x:v>
      </x:c>
      <x:c r="X238" s="3"/>
      <x:c r="Y238" s="3"/>
      <x:c r="Z238" s="3"/>
    </x:row>
    <x:row r="239" ht="15" customHeight="1">
      <x:c r="A239" s="3"/>
      <x:c r="B239" s="3"/>
      <x:c r="C239" s="3"/>
      <x:c r="D239" s="3"/>
      <x:c r="E239" s="3"/>
      <x:c r="F239" s="3"/>
      <x:c r="G239" s="3"/>
      <x:c r="H239" s="3"/>
      <x:c r="I239" s="3"/>
      <x:c r="J239" s="10" t="n">
        <x:v>46090</x:v>
      </x:c>
      <x:c r="K239" s="8" t="n">
        <x:f>INDEX('Сводка'!$S$3:$S$397,U239)</x:f>
        <x:v>-61</x:v>
      </x:c>
      <x:c r="L239" s="8" t="n">
        <x:f>INDEX('Сводка'!$S$3:$S$397,V239)</x:f>
        <x:v>-59</x:v>
      </x:c>
      <x:c r="M239" s="8" t="n">
        <x:f>INDEX($K$388:$N$400,W239,1)*EXP(INDEX($K$388:$N$400,W239,2)*((J239-$T$405+1)/1000))+INDEX($O$388:$Z$400,W239,MONTH(J239))</x:f>
        <x:v>-1.520701361479837</x:v>
      </x:c>
      <x:c r="N239" s="8" t="n">
        <x:f>K239-M239</x:f>
        <x:v>-59.47929863852016</x:v>
      </x:c>
      <x:c r="O239" s="8" t="n">
        <x:f>ABS(N239)</x:f>
        <x:v>59.47929863852016</x:v>
      </x:c>
      <x:c r="P239" s="8" t="n">
        <x:f>N239^2</x:f>
        <x:v>3537.7869665302665</x:v>
      </x:c>
      <x:c r="Q239" s="8" t="n">
        <x:f>K239-L239</x:f>
        <x:v>-2</x:v>
      </x:c>
      <x:c r="R239" s="9" t="n">
        <x:f>IF(AND(INDEX('Сводка'!$T$3:$T$397,U239)=0,INDEX('Сводка'!$T$3:$T$397,V239)=0),1,0)</x:f>
        <x:v>1</x:v>
      </x:c>
      <x:c r="S239" s="9" t="n">
        <x:f>IF(AND(R239=1,O239&lt;=$G$13),1,0)</x:f>
        <x:v>0</x:v>
      </x:c>
      <x:c r="T239" s="10" t="n">
        <x:f>EOMONTH(J239-'Сводка'!$B$11,-1)</x:f>
        <x:v>46081</x:v>
      </x:c>
      <x:c r="U239" s="4" t="n">
        <x:f>MATCH(J239,'Сводка'!$R$3:$R$397,0)</x:f>
        <x:v>250</x:v>
      </x:c>
      <x:c r="V239" s="4" t="n">
        <x:f>MATCH(J239-'Сводка'!$B$11,'Сводка'!$R$3:$R$397,0)</x:f>
        <x:v>249</x:v>
      </x:c>
      <x:c r="W239" s="4" t="n">
        <x:f>MATCH(T239,$J$388:$J$400,0)</x:f>
        <x:v>9</x:v>
      </x:c>
      <x:c r="X239" s="3"/>
      <x:c r="Y239" s="3"/>
      <x:c r="Z239" s="3"/>
    </x:row>
    <x:row r="240" ht="15" customHeight="1">
      <x:c r="A240" s="3"/>
      <x:c r="B240" s="3"/>
      <x:c r="C240" s="3"/>
      <x:c r="D240" s="3"/>
      <x:c r="E240" s="3"/>
      <x:c r="F240" s="3"/>
      <x:c r="G240" s="3"/>
      <x:c r="H240" s="3"/>
      <x:c r="I240" s="3"/>
      <x:c r="J240" s="10" t="n">
        <x:v>46091</x:v>
      </x:c>
      <x:c r="K240" s="8" t="n">
        <x:f>INDEX('Сводка'!$S$3:$S$397,U240)</x:f>
        <x:v>-64</x:v>
      </x:c>
      <x:c r="L240" s="8" t="n">
        <x:f>INDEX('Сводка'!$S$3:$S$397,V240)</x:f>
        <x:v>-61</x:v>
      </x:c>
      <x:c r="M240" s="8" t="n">
        <x:f>INDEX($K$388:$N$400,W240,1)*EXP(INDEX($K$388:$N$400,W240,2)*((J240-$T$405+1)/1000))+INDEX($O$388:$Z$400,W240,MONTH(J240))</x:f>
        <x:v>-1.4869515954478345</x:v>
      </x:c>
      <x:c r="N240" s="8" t="n">
        <x:f>K240-M240</x:f>
        <x:v>-62.513048404552165</x:v>
      </x:c>
      <x:c r="O240" s="8" t="n">
        <x:f>ABS(N240)</x:f>
        <x:v>62.513048404552165</x:v>
      </x:c>
      <x:c r="P240" s="8" t="n">
        <x:f>N240^2</x:f>
        <x:v>3907.881220829882</x:v>
      </x:c>
      <x:c r="Q240" s="8" t="n">
        <x:f>K240-L240</x:f>
        <x:v>-3</x:v>
      </x:c>
      <x:c r="R240" s="9" t="n">
        <x:f>IF(AND(INDEX('Сводка'!$T$3:$T$397,U240)=0,INDEX('Сводка'!$T$3:$T$397,V240)=0),1,0)</x:f>
        <x:v>1</x:v>
      </x:c>
      <x:c r="S240" s="9" t="n">
        <x:f>IF(AND(R240=1,O240&lt;=$G$13),1,0)</x:f>
        <x:v>0</x:v>
      </x:c>
      <x:c r="T240" s="10" t="n">
        <x:f>EOMONTH(J240-'Сводка'!$B$11,-1)</x:f>
        <x:v>46081</x:v>
      </x:c>
      <x:c r="U240" s="4" t="n">
        <x:f>MATCH(J240,'Сводка'!$R$3:$R$397,0)</x:f>
        <x:v>251</x:v>
      </x:c>
      <x:c r="V240" s="4" t="n">
        <x:f>MATCH(J240-'Сводка'!$B$11,'Сводка'!$R$3:$R$397,0)</x:f>
        <x:v>250</x:v>
      </x:c>
      <x:c r="W240" s="4" t="n">
        <x:f>MATCH(T240,$J$388:$J$400,0)</x:f>
        <x:v>9</x:v>
      </x:c>
      <x:c r="X240" s="3"/>
      <x:c r="Y240" s="3"/>
      <x:c r="Z240" s="3"/>
    </x:row>
    <x:row r="241" ht="15" customHeight="1">
      <x:c r="A241" s="3"/>
      <x:c r="B241" s="3"/>
      <x:c r="C241" s="3"/>
      <x:c r="D241" s="3"/>
      <x:c r="E241" s="3"/>
      <x:c r="F241" s="3"/>
      <x:c r="G241" s="3"/>
      <x:c r="H241" s="3"/>
      <x:c r="I241" s="3"/>
      <x:c r="J241" s="10" t="n">
        <x:v>46092</x:v>
      </x:c>
      <x:c r="K241" s="8" t="n">
        <x:f>INDEX('Сводка'!$S$3:$S$397,U241)</x:f>
        <x:v>-69</x:v>
      </x:c>
      <x:c r="L241" s="8" t="n">
        <x:f>INDEX('Сводка'!$S$3:$S$397,V241)</x:f>
        <x:v>-64</x:v>
      </x:c>
      <x:c r="M241" s="8" t="n">
        <x:f>INDEX($K$388:$N$400,W241,1)*EXP(INDEX($K$388:$N$400,W241,2)*((J241-$T$405+1)/1000))+INDEX($O$388:$Z$400,W241,MONTH(J241))</x:f>
        <x:v>-1.4531944983655478</x:v>
      </x:c>
      <x:c r="N241" s="8" t="n">
        <x:f>K241-M241</x:f>
        <x:v>-67.54680550163445</x:v>
      </x:c>
      <x:c r="O241" s="8" t="n">
        <x:f>ABS(N241)</x:f>
        <x:v>67.54680550163445</x:v>
      </x:c>
      <x:c r="P241" s="8" t="n">
        <x:f>N241^2</x:f>
        <x:v>4562.570933475634</x:v>
      </x:c>
      <x:c r="Q241" s="8" t="n">
        <x:f>K241-L241</x:f>
        <x:v>-5</x:v>
      </x:c>
      <x:c r="R241" s="9" t="n">
        <x:f>IF(AND(INDEX('Сводка'!$T$3:$T$397,U241)=0,INDEX('Сводка'!$T$3:$T$397,V241)=0),1,0)</x:f>
        <x:v>1</x:v>
      </x:c>
      <x:c r="S241" s="9" t="n">
        <x:f>IF(AND(R241=1,O241&lt;=$G$13),1,0)</x:f>
        <x:v>0</x:v>
      </x:c>
      <x:c r="T241" s="10" t="n">
        <x:f>EOMONTH(J241-'Сводка'!$B$11,-1)</x:f>
        <x:v>46081</x:v>
      </x:c>
      <x:c r="U241" s="4" t="n">
        <x:f>MATCH(J241,'Сводка'!$R$3:$R$397,0)</x:f>
        <x:v>252</x:v>
      </x:c>
      <x:c r="V241" s="4" t="n">
        <x:f>MATCH(J241-'Сводка'!$B$11,'Сводка'!$R$3:$R$397,0)</x:f>
        <x:v>251</x:v>
      </x:c>
      <x:c r="W241" s="4" t="n">
        <x:f>MATCH(T241,$J$388:$J$400,0)</x:f>
        <x:v>9</x:v>
      </x:c>
      <x:c r="X241" s="3"/>
      <x:c r="Y241" s="3"/>
      <x:c r="Z241" s="3"/>
    </x:row>
    <x:row r="242" ht="15" customHeight="1">
      <x:c r="A242" s="3"/>
      <x:c r="B242" s="3"/>
      <x:c r="C242" s="3"/>
      <x:c r="D242" s="3"/>
      <x:c r="E242" s="3"/>
      <x:c r="F242" s="3"/>
      <x:c r="G242" s="3"/>
      <x:c r="H242" s="3"/>
      <x:c r="I242" s="3"/>
      <x:c r="J242" s="10" t="n">
        <x:v>46093</x:v>
      </x:c>
      <x:c r="K242" s="8" t="n">
        <x:f>INDEX('Сводка'!$S$3:$S$397,U242)</x:f>
        <x:v>-73</x:v>
      </x:c>
      <x:c r="L242" s="8" t="n">
        <x:f>INDEX('Сводка'!$S$3:$S$397,V242)</x:f>
        <x:v>-69</x:v>
      </x:c>
      <x:c r="M242" s="8" t="n">
        <x:f>INDEX($K$388:$N$400,W242,1)*EXP(INDEX($K$388:$N$400,W242,2)*((J242-$T$405+1)/1000))+INDEX($O$388:$Z$400,W242,MONTH(J242))</x:f>
        <x:v>-1.4194300686405654</x:v>
      </x:c>
      <x:c r="N242" s="8" t="n">
        <x:f>K242-M242</x:f>
        <x:v>-71.58056993135943</x:v>
      </x:c>
      <x:c r="O242" s="8" t="n">
        <x:f>ABS(N242)</x:f>
        <x:v>71.58056993135943</x:v>
      </x:c>
      <x:c r="P242" s="8" t="n">
        <x:f>N242^2</x:f>
        <x:v>5123.777991698238</x:v>
      </x:c>
      <x:c r="Q242" s="8" t="n">
        <x:f>K242-L242</x:f>
        <x:v>-4</x:v>
      </x:c>
      <x:c r="R242" s="9" t="n">
        <x:f>IF(AND(INDEX('Сводка'!$T$3:$T$397,U242)=0,INDEX('Сводка'!$T$3:$T$397,V242)=0),1,0)</x:f>
        <x:v>1</x:v>
      </x:c>
      <x:c r="S242" s="9" t="n">
        <x:f>IF(AND(R242=1,O242&lt;=$G$13),1,0)</x:f>
        <x:v>0</x:v>
      </x:c>
      <x:c r="T242" s="10" t="n">
        <x:f>EOMONTH(J242-'Сводка'!$B$11,-1)</x:f>
        <x:v>46081</x:v>
      </x:c>
      <x:c r="U242" s="4" t="n">
        <x:f>MATCH(J242,'Сводка'!$R$3:$R$397,0)</x:f>
        <x:v>253</x:v>
      </x:c>
      <x:c r="V242" s="4" t="n">
        <x:f>MATCH(J242-'Сводка'!$B$11,'Сводка'!$R$3:$R$397,0)</x:f>
        <x:v>252</x:v>
      </x:c>
      <x:c r="W242" s="4" t="n">
        <x:f>MATCH(T242,$J$388:$J$400,0)</x:f>
        <x:v>9</x:v>
      </x:c>
      <x:c r="X242" s="3"/>
      <x:c r="Y242" s="3"/>
      <x:c r="Z242" s="3"/>
    </x:row>
    <x:row r="243" ht="15" customHeight="1">
      <x:c r="A243" s="3"/>
      <x:c r="B243" s="3"/>
      <x:c r="C243" s="3"/>
      <x:c r="D243" s="3"/>
      <x:c r="E243" s="3"/>
      <x:c r="F243" s="3"/>
      <x:c r="G243" s="3"/>
      <x:c r="H243" s="3"/>
      <x:c r="I243" s="3"/>
      <x:c r="J243" s="10" t="n">
        <x:v>46094</x:v>
      </x:c>
      <x:c r="K243" s="8" t="n">
        <x:f>INDEX('Сводка'!$S$3:$S$397,U243)</x:f>
        <x:v>-73</x:v>
      </x:c>
      <x:c r="L243" s="8" t="n">
        <x:f>INDEX('Сводка'!$S$3:$S$397,V243)</x:f>
        <x:v>-73</x:v>
      </x:c>
      <x:c r="M243" s="8" t="n">
        <x:f>INDEX($K$388:$N$400,W243,1)*EXP(INDEX($K$388:$N$400,W243,2)*((J243-$T$405+1)/1000))+INDEX($O$388:$Z$400,W243,MONTH(J243))</x:f>
        <x:v>-1.3856583046799926</x:v>
      </x:c>
      <x:c r="N243" s="8" t="n">
        <x:f>K243-M243</x:f>
        <x:v>-71.61434169532001</x:v>
      </x:c>
      <x:c r="O243" s="8" t="n">
        <x:f>ABS(N243)</x:f>
        <x:v>71.61434169532001</x:v>
      </x:c>
      <x:c r="P243" s="8" t="n">
        <x:f>N243^2</x:f>
        <x:v>5128.6139364540495</x:v>
      </x:c>
      <x:c r="Q243" s="8" t="n">
        <x:f>K243-L243</x:f>
        <x:v>0</x:v>
      </x:c>
      <x:c r="R243" s="9" t="n">
        <x:f>IF(AND(INDEX('Сводка'!$T$3:$T$397,U243)=0,INDEX('Сводка'!$T$3:$T$397,V243)=0),1,0)</x:f>
        <x:v>1</x:v>
      </x:c>
      <x:c r="S243" s="9" t="n">
        <x:f>IF(AND(R243=1,O243&lt;=$G$13),1,0)</x:f>
        <x:v>0</x:v>
      </x:c>
      <x:c r="T243" s="10" t="n">
        <x:f>EOMONTH(J243-'Сводка'!$B$11,-1)</x:f>
        <x:v>46081</x:v>
      </x:c>
      <x:c r="U243" s="4" t="n">
        <x:f>MATCH(J243,'Сводка'!$R$3:$R$397,0)</x:f>
        <x:v>254</x:v>
      </x:c>
      <x:c r="V243" s="4" t="n">
        <x:f>MATCH(J243-'Сводка'!$B$11,'Сводка'!$R$3:$R$397,0)</x:f>
        <x:v>253</x:v>
      </x:c>
      <x:c r="W243" s="4" t="n">
        <x:f>MATCH(T243,$J$388:$J$400,0)</x:f>
        <x:v>9</x:v>
      </x:c>
      <x:c r="X243" s="3"/>
      <x:c r="Y243" s="3"/>
      <x:c r="Z243" s="3"/>
    </x:row>
    <x:row r="244" ht="15" customHeight="1">
      <x:c r="A244" s="3"/>
      <x:c r="B244" s="3"/>
      <x:c r="C244" s="3"/>
      <x:c r="D244" s="3"/>
      <x:c r="E244" s="3"/>
      <x:c r="F244" s="3"/>
      <x:c r="G244" s="3"/>
      <x:c r="H244" s="3"/>
      <x:c r="I244" s="3"/>
      <x:c r="J244" s="10" t="n">
        <x:v>46095</x:v>
      </x:c>
      <x:c r="K244" s="8" t="n">
        <x:f>INDEX('Сводка'!$S$3:$S$397,U244)</x:f>
        <x:v>-75</x:v>
      </x:c>
      <x:c r="L244" s="8" t="n">
        <x:f>INDEX('Сводка'!$S$3:$S$397,V244)</x:f>
        <x:v>-73</x:v>
      </x:c>
      <x:c r="M244" s="8" t="n">
        <x:f>INDEX($K$388:$N$400,W244,1)*EXP(INDEX($K$388:$N$400,W244,2)*((J244-$T$405+1)/1000))+INDEX($O$388:$Z$400,W244,MONTH(J244))</x:f>
        <x:v>-1.3518792048907358</x:v>
      </x:c>
      <x:c r="N244" s="8" t="n">
        <x:f>K244-M244</x:f>
        <x:v>-73.64812079510926</x:v>
      </x:c>
      <x:c r="O244" s="8" t="n">
        <x:f>ABS(N244)</x:f>
        <x:v>73.64812079510926</x:v>
      </x:c>
      <x:c r="P244" s="8" t="n">
        <x:f>N244^2</x:f>
        <x:v>5424.0456966510055</x:v>
      </x:c>
      <x:c r="Q244" s="8" t="n">
        <x:f>K244-L244</x:f>
        <x:v>-2</x:v>
      </x:c>
      <x:c r="R244" s="9" t="n">
        <x:f>IF(AND(INDEX('Сводка'!$T$3:$T$397,U244)=0,INDEX('Сводка'!$T$3:$T$397,V244)=0),1,0)</x:f>
        <x:v>1</x:v>
      </x:c>
      <x:c r="S244" s="9" t="n">
        <x:f>IF(AND(R244=1,O244&lt;=$G$13),1,0)</x:f>
        <x:v>0</x:v>
      </x:c>
      <x:c r="T244" s="10" t="n">
        <x:f>EOMONTH(J244-'Сводка'!$B$11,-1)</x:f>
        <x:v>46081</x:v>
      </x:c>
      <x:c r="U244" s="4" t="n">
        <x:f>MATCH(J244,'Сводка'!$R$3:$R$397,0)</x:f>
        <x:v>255</x:v>
      </x:c>
      <x:c r="V244" s="4" t="n">
        <x:f>MATCH(J244-'Сводка'!$B$11,'Сводка'!$R$3:$R$397,0)</x:f>
        <x:v>254</x:v>
      </x:c>
      <x:c r="W244" s="4" t="n">
        <x:f>MATCH(T244,$J$388:$J$400,0)</x:f>
        <x:v>9</x:v>
      </x:c>
      <x:c r="X244" s="3"/>
      <x:c r="Y244" s="3"/>
      <x:c r="Z244" s="3"/>
    </x:row>
    <x:row r="245" ht="15" customHeight="1">
      <x:c r="A245" s="3"/>
      <x:c r="B245" s="3"/>
      <x:c r="C245" s="3"/>
      <x:c r="D245" s="3"/>
      <x:c r="E245" s="3"/>
      <x:c r="F245" s="3"/>
      <x:c r="G245" s="3"/>
      <x:c r="H245" s="3"/>
      <x:c r="I245" s="3"/>
      <x:c r="J245" s="10" t="n">
        <x:v>46096</x:v>
      </x:c>
      <x:c r="K245" s="8" t="n">
        <x:f>INDEX('Сводка'!$S$3:$S$397,U245)</x:f>
        <x:v>-76</x:v>
      </x:c>
      <x:c r="L245" s="8" t="n">
        <x:f>INDEX('Сводка'!$S$3:$S$397,V245)</x:f>
        <x:v>-75</x:v>
      </x:c>
      <x:c r="M245" s="8" t="n">
        <x:f>INDEX($K$388:$N$400,W245,1)*EXP(INDEX($K$388:$N$400,W245,2)*((J245-$T$405+1)/1000))+INDEX($O$388:$Z$400,W245,MONTH(J245))</x:f>
        <x:v>-1.318092767679417</x:v>
      </x:c>
      <x:c r="N245" s="8" t="n">
        <x:f>K245-M245</x:f>
        <x:v>-74.68190723232058</x:v>
      </x:c>
      <x:c r="O245" s="8" t="n">
        <x:f>ABS(N245)</x:f>
        <x:v>74.68190723232058</x:v>
      </x:c>
      <x:c r="P245" s="8" t="n">
        <x:f>N245^2</x:f>
        <x:v>5577.387267856938</x:v>
      </x:c>
      <x:c r="Q245" s="8" t="n">
        <x:f>K245-L245</x:f>
        <x:v>-1</x:v>
      </x:c>
      <x:c r="R245" s="9" t="n">
        <x:f>IF(AND(INDEX('Сводка'!$T$3:$T$397,U245)=0,INDEX('Сводка'!$T$3:$T$397,V245)=0),1,0)</x:f>
        <x:v>1</x:v>
      </x:c>
      <x:c r="S245" s="9" t="n">
        <x:f>IF(AND(R245=1,O245&lt;=$G$13),1,0)</x:f>
        <x:v>0</x:v>
      </x:c>
      <x:c r="T245" s="10" t="n">
        <x:f>EOMONTH(J245-'Сводка'!$B$11,-1)</x:f>
        <x:v>46081</x:v>
      </x:c>
      <x:c r="U245" s="4" t="n">
        <x:f>MATCH(J245,'Сводка'!$R$3:$R$397,0)</x:f>
        <x:v>256</x:v>
      </x:c>
      <x:c r="V245" s="4" t="n">
        <x:f>MATCH(J245-'Сводка'!$B$11,'Сводка'!$R$3:$R$397,0)</x:f>
        <x:v>255</x:v>
      </x:c>
      <x:c r="W245" s="4" t="n">
        <x:f>MATCH(T245,$J$388:$J$400,0)</x:f>
        <x:v>9</x:v>
      </x:c>
      <x:c r="X245" s="3"/>
      <x:c r="Y245" s="3"/>
      <x:c r="Z245" s="3"/>
    </x:row>
    <x:row r="246" ht="15" customHeight="1">
      <x:c r="A246" s="3"/>
      <x:c r="B246" s="3"/>
      <x:c r="C246" s="3"/>
      <x:c r="D246" s="3"/>
      <x:c r="E246" s="3"/>
      <x:c r="F246" s="3"/>
      <x:c r="G246" s="3"/>
      <x:c r="H246" s="3"/>
      <x:c r="I246" s="3"/>
      <x:c r="J246" s="10" t="n">
        <x:v>46097</x:v>
      </x:c>
      <x:c r="K246" s="8" t="n">
        <x:f>INDEX('Сводка'!$S$3:$S$397,U246)</x:f>
        <x:v>-76</x:v>
      </x:c>
      <x:c r="L246" s="8" t="n">
        <x:f>INDEX('Сводка'!$S$3:$S$397,V246)</x:f>
        <x:v>-76</x:v>
      </x:c>
      <x:c r="M246" s="8" t="n">
        <x:f>INDEX($K$388:$N$400,W246,1)*EXP(INDEX($K$388:$N$400,W246,2)*((J246-$T$405+1)/1000))+INDEX($O$388:$Z$400,W246,MONTH(J246))</x:f>
        <x:v>-1.2842989914521468</x:v>
      </x:c>
      <x:c r="N246" s="8" t="n">
        <x:f>K246-M246</x:f>
        <x:v>-74.71570100854785</x:v>
      </x:c>
      <x:c r="O246" s="8" t="n">
        <x:f>ABS(N246)</x:f>
        <x:v>74.71570100854785</x:v>
      </x:c>
      <x:c r="P246" s="8" t="n">
        <x:f>N246^2</x:f>
        <x:v>5582.435977198718</x:v>
      </x:c>
      <x:c r="Q246" s="8" t="n">
        <x:f>K246-L246</x:f>
        <x:v>0</x:v>
      </x:c>
      <x:c r="R246" s="9" t="n">
        <x:f>IF(AND(INDEX('Сводка'!$T$3:$T$397,U246)=0,INDEX('Сводка'!$T$3:$T$397,V246)=0),1,0)</x:f>
        <x:v>1</x:v>
      </x:c>
      <x:c r="S246" s="9" t="n">
        <x:f>IF(AND(R246=1,O246&lt;=$G$13),1,0)</x:f>
        <x:v>0</x:v>
      </x:c>
      <x:c r="T246" s="10" t="n">
        <x:f>EOMONTH(J246-'Сводка'!$B$11,-1)</x:f>
        <x:v>46081</x:v>
      </x:c>
      <x:c r="U246" s="4" t="n">
        <x:f>MATCH(J246,'Сводка'!$R$3:$R$397,0)</x:f>
        <x:v>257</x:v>
      </x:c>
      <x:c r="V246" s="4" t="n">
        <x:f>MATCH(J246-'Сводка'!$B$11,'Сводка'!$R$3:$R$397,0)</x:f>
        <x:v>256</x:v>
      </x:c>
      <x:c r="W246" s="4" t="n">
        <x:f>MATCH(T246,$J$388:$J$400,0)</x:f>
        <x:v>9</x:v>
      </x:c>
      <x:c r="X246" s="3"/>
      <x:c r="Y246" s="3"/>
      <x:c r="Z246" s="3"/>
    </x:row>
    <x:row r="247" ht="15" customHeight="1">
      <x:c r="A247" s="3"/>
      <x:c r="B247" s="3"/>
      <x:c r="C247" s="3"/>
      <x:c r="D247" s="3"/>
      <x:c r="E247" s="3"/>
      <x:c r="F247" s="3"/>
      <x:c r="G247" s="3"/>
      <x:c r="H247" s="3"/>
      <x:c r="I247" s="3"/>
      <x:c r="J247" s="10" t="n">
        <x:v>46098</x:v>
      </x:c>
      <x:c r="K247" s="8" t="n">
        <x:f>INDEX('Сводка'!$S$3:$S$397,U247)</x:f>
        <x:v>-76</x:v>
      </x:c>
      <x:c r="L247" s="8" t="n">
        <x:f>INDEX('Сводка'!$S$3:$S$397,V247)</x:f>
        <x:v>-76</x:v>
      </x:c>
      <x:c r="M247" s="8" t="n">
        <x:f>INDEX($K$388:$N$400,W247,1)*EXP(INDEX($K$388:$N$400,W247,2)*((J247-$T$405+1)/1000))+INDEX($O$388:$Z$400,W247,MONTH(J247))</x:f>
        <x:v>-1.2504978746146946</x:v>
      </x:c>
      <x:c r="N247" s="8" t="n">
        <x:f>K247-M247</x:f>
        <x:v>-74.7495021253853</x:v>
      </x:c>
      <x:c r="O247" s="8" t="n">
        <x:f>ABS(N247)</x:f>
        <x:v>74.7495021253853</x:v>
      </x:c>
      <x:c r="P247" s="8" t="n">
        <x:f>N247^2</x:f>
        <x:v>5587.488067992982</x:v>
      </x:c>
      <x:c r="Q247" s="8" t="n">
        <x:f>K247-L247</x:f>
        <x:v>0</x:v>
      </x:c>
      <x:c r="R247" s="9" t="n">
        <x:f>IF(AND(INDEX('Сводка'!$T$3:$T$397,U247)=0,INDEX('Сводка'!$T$3:$T$397,V247)=0),1,0)</x:f>
        <x:v>1</x:v>
      </x:c>
      <x:c r="S247" s="9" t="n">
        <x:f>IF(AND(R247=1,O247&lt;=$G$13),1,0)</x:f>
        <x:v>0</x:v>
      </x:c>
      <x:c r="T247" s="10" t="n">
        <x:f>EOMONTH(J247-'Сводка'!$B$11,-1)</x:f>
        <x:v>46081</x:v>
      </x:c>
      <x:c r="U247" s="4" t="n">
        <x:f>MATCH(J247,'Сводка'!$R$3:$R$397,0)</x:f>
        <x:v>258</x:v>
      </x:c>
      <x:c r="V247" s="4" t="n">
        <x:f>MATCH(J247-'Сводка'!$B$11,'Сводка'!$R$3:$R$397,0)</x:f>
        <x:v>257</x:v>
      </x:c>
      <x:c r="W247" s="4" t="n">
        <x:f>MATCH(T247,$J$388:$J$400,0)</x:f>
        <x:v>9</x:v>
      </x:c>
      <x:c r="X247" s="3"/>
      <x:c r="Y247" s="3"/>
      <x:c r="Z247" s="3"/>
    </x:row>
    <x:row r="248" ht="15" customHeight="1">
      <x:c r="A248" s="3"/>
      <x:c r="B248" s="3"/>
      <x:c r="C248" s="3"/>
      <x:c r="D248" s="3"/>
      <x:c r="E248" s="3"/>
      <x:c r="F248" s="3"/>
      <x:c r="G248" s="3"/>
      <x:c r="H248" s="3"/>
      <x:c r="I248" s="3"/>
      <x:c r="J248" s="10" t="n">
        <x:v>46099</x:v>
      </x:c>
      <x:c r="K248" s="8" t="n">
        <x:f>INDEX('Сводка'!$S$3:$S$397,U248)</x:f>
        <x:v>-74</x:v>
      </x:c>
      <x:c r="L248" s="8" t="n">
        <x:f>INDEX('Сводка'!$S$3:$S$397,V248)</x:f>
        <x:v>-76</x:v>
      </x:c>
      <x:c r="M248" s="8" t="n">
        <x:f>INDEX($K$388:$N$400,W248,1)*EXP(INDEX($K$388:$N$400,W248,2)*((J248-$T$405+1)/1000))+INDEX($O$388:$Z$400,W248,MONTH(J248))</x:f>
        <x:v>-1.216689415572688</x:v>
      </x:c>
      <x:c r="N248" s="8" t="n">
        <x:f>K248-M248</x:f>
        <x:v>-72.78331058442731</x:v>
      </x:c>
      <x:c r="O248" s="8" t="n">
        <x:f>ABS(N248)</x:f>
        <x:v>72.78331058442731</x:v>
      </x:c>
      <x:c r="P248" s="8" t="n">
        <x:f>N248^2</x:f>
        <x:v>5297.410299629209</x:v>
      </x:c>
      <x:c r="Q248" s="8" t="n">
        <x:f>K248-L248</x:f>
        <x:v>2</x:v>
      </x:c>
      <x:c r="R248" s="9" t="n">
        <x:f>IF(AND(INDEX('Сводка'!$T$3:$T$397,U248)=0,INDEX('Сводка'!$T$3:$T$397,V248)=0),1,0)</x:f>
        <x:v>1</x:v>
      </x:c>
      <x:c r="S248" s="9" t="n">
        <x:f>IF(AND(R248=1,O248&lt;=$G$13),1,0)</x:f>
        <x:v>0</x:v>
      </x:c>
      <x:c r="T248" s="10" t="n">
        <x:f>EOMONTH(J248-'Сводка'!$B$11,-1)</x:f>
        <x:v>46081</x:v>
      </x:c>
      <x:c r="U248" s="4" t="n">
        <x:f>MATCH(J248,'Сводка'!$R$3:$R$397,0)</x:f>
        <x:v>259</x:v>
      </x:c>
      <x:c r="V248" s="4" t="n">
        <x:f>MATCH(J248-'Сводка'!$B$11,'Сводка'!$R$3:$R$397,0)</x:f>
        <x:v>258</x:v>
      </x:c>
      <x:c r="W248" s="4" t="n">
        <x:f>MATCH(T248,$J$388:$J$400,0)</x:f>
        <x:v>9</x:v>
      </x:c>
      <x:c r="X248" s="3"/>
      <x:c r="Y248" s="3"/>
      <x:c r="Z248" s="3"/>
    </x:row>
    <x:row r="249" ht="15" customHeight="1">
      <x:c r="A249" s="3"/>
      <x:c r="B249" s="3"/>
      <x:c r="C249" s="3"/>
      <x:c r="D249" s="3"/>
      <x:c r="E249" s="3"/>
      <x:c r="F249" s="3"/>
      <x:c r="G249" s="3"/>
      <x:c r="H249" s="3"/>
      <x:c r="I249" s="3"/>
      <x:c r="J249" s="10" t="n">
        <x:v>46100</x:v>
      </x:c>
      <x:c r="K249" s="8" t="n">
        <x:f>INDEX('Сводка'!$S$3:$S$397,U249)</x:f>
        <x:v>-73</x:v>
      </x:c>
      <x:c r="L249" s="8" t="n">
        <x:f>INDEX('Сводка'!$S$3:$S$397,V249)</x:f>
        <x:v>-74</x:v>
      </x:c>
      <x:c r="M249" s="8" t="n">
        <x:f>INDEX($K$388:$N$400,W249,1)*EXP(INDEX($K$388:$N$400,W249,2)*((J249-$T$405+1)/1000))+INDEX($O$388:$Z$400,W249,MONTH(J249))</x:f>
        <x:v>-1.1828736127311856</x:v>
      </x:c>
      <x:c r="N249" s="8" t="n">
        <x:f>K249-M249</x:f>
        <x:v>-71.81712638726881</x:v>
      </x:c>
      <x:c r="O249" s="8" t="n">
        <x:f>ABS(N249)</x:f>
        <x:v>71.81712638726881</x:v>
      </x:c>
      <x:c r="P249" s="8" t="n">
        <x:f>N249^2</x:f>
        <x:v>5157.699642524943</x:v>
      </x:c>
      <x:c r="Q249" s="8" t="n">
        <x:f>K249-L249</x:f>
        <x:v>1</x:v>
      </x:c>
      <x:c r="R249" s="9" t="n">
        <x:f>IF(AND(INDEX('Сводка'!$T$3:$T$397,U249)=0,INDEX('Сводка'!$T$3:$T$397,V249)=0),1,0)</x:f>
        <x:v>1</x:v>
      </x:c>
      <x:c r="S249" s="9" t="n">
        <x:f>IF(AND(R249=1,O249&lt;=$G$13),1,0)</x:f>
        <x:v>0</x:v>
      </x:c>
      <x:c r="T249" s="10" t="n">
        <x:f>EOMONTH(J249-'Сводка'!$B$11,-1)</x:f>
        <x:v>46081</x:v>
      </x:c>
      <x:c r="U249" s="4" t="n">
        <x:f>MATCH(J249,'Сводка'!$R$3:$R$397,0)</x:f>
        <x:v>260</x:v>
      </x:c>
      <x:c r="V249" s="4" t="n">
        <x:f>MATCH(J249-'Сводка'!$B$11,'Сводка'!$R$3:$R$397,0)</x:f>
        <x:v>259</x:v>
      </x:c>
      <x:c r="W249" s="4" t="n">
        <x:f>MATCH(T249,$J$388:$J$400,0)</x:f>
        <x:v>9</x:v>
      </x:c>
      <x:c r="X249" s="3"/>
      <x:c r="Y249" s="3"/>
      <x:c r="Z249" s="3"/>
    </x:row>
    <x:row r="250" ht="15" customHeight="1">
      <x:c r="A250" s="3"/>
      <x:c r="B250" s="3"/>
      <x:c r="C250" s="3"/>
      <x:c r="D250" s="3"/>
      <x:c r="E250" s="3"/>
      <x:c r="F250" s="3"/>
      <x:c r="G250" s="3"/>
      <x:c r="H250" s="3"/>
      <x:c r="I250" s="3"/>
      <x:c r="J250" s="10" t="n">
        <x:v>46101</x:v>
      </x:c>
      <x:c r="K250" s="8" t="n">
        <x:f>INDEX('Сводка'!$S$3:$S$397,U250)</x:f>
        <x:v>-73</x:v>
      </x:c>
      <x:c r="L250" s="8" t="n">
        <x:f>INDEX('Сводка'!$S$3:$S$397,V250)</x:f>
        <x:v>-73</x:v>
      </x:c>
      <x:c r="M250" s="8" t="n">
        <x:f>INDEX($K$388:$N$400,W250,1)*EXP(INDEX($K$388:$N$400,W250,2)*((J250-$T$405+1)/1000))+INDEX($O$388:$Z$400,W250,MONTH(J250))</x:f>
        <x:v>-1.1490504644949624</x:v>
      </x:c>
      <x:c r="N250" s="8" t="n">
        <x:f>K250-M250</x:f>
        <x:v>-71.85094953550504</x:v>
      </x:c>
      <x:c r="O250" s="8" t="n">
        <x:f>ABS(N250)</x:f>
        <x:v>71.85094953550504</x:v>
      </x:c>
      <x:c r="P250" s="8" t="n">
        <x:f>N250^2</x:f>
        <x:v>5162.558949153691</x:v>
      </x:c>
      <x:c r="Q250" s="8" t="n">
        <x:f>K250-L250</x:f>
        <x:v>0</x:v>
      </x:c>
      <x:c r="R250" s="9" t="n">
        <x:f>IF(AND(INDEX('Сводка'!$T$3:$T$397,U250)=0,INDEX('Сводка'!$T$3:$T$397,V250)=0),1,0)</x:f>
        <x:v>1</x:v>
      </x:c>
      <x:c r="S250" s="9" t="n">
        <x:f>IF(AND(R250=1,O250&lt;=$G$13),1,0)</x:f>
        <x:v>0</x:v>
      </x:c>
      <x:c r="T250" s="10" t="n">
        <x:f>EOMONTH(J250-'Сводка'!$B$11,-1)</x:f>
        <x:v>46081</x:v>
      </x:c>
      <x:c r="U250" s="4" t="n">
        <x:f>MATCH(J250,'Сводка'!$R$3:$R$397,0)</x:f>
        <x:v>261</x:v>
      </x:c>
      <x:c r="V250" s="4" t="n">
        <x:f>MATCH(J250-'Сводка'!$B$11,'Сводка'!$R$3:$R$397,0)</x:f>
        <x:v>260</x:v>
      </x:c>
      <x:c r="W250" s="4" t="n">
        <x:f>MATCH(T250,$J$388:$J$400,0)</x:f>
        <x:v>9</x:v>
      </x:c>
      <x:c r="X250" s="3"/>
      <x:c r="Y250" s="3"/>
      <x:c r="Z250" s="3"/>
    </x:row>
    <x:row r="251" ht="15" customHeight="1">
      <x:c r="A251" s="3"/>
      <x:c r="B251" s="3"/>
      <x:c r="C251" s="3"/>
      <x:c r="D251" s="3"/>
      <x:c r="E251" s="3"/>
      <x:c r="F251" s="3"/>
      <x:c r="G251" s="3"/>
      <x:c r="H251" s="3"/>
      <x:c r="I251" s="3"/>
      <x:c r="J251" s="10" t="n">
        <x:v>46102</x:v>
      </x:c>
      <x:c r="K251" s="8" t="n">
        <x:f>INDEX('Сводка'!$S$3:$S$397,U251)</x:f>
        <x:v>-71</x:v>
      </x:c>
      <x:c r="L251" s="8" t="n">
        <x:f>INDEX('Сводка'!$S$3:$S$397,V251)</x:f>
        <x:v>-73</x:v>
      </x:c>
      <x:c r="M251" s="8" t="n">
        <x:f>INDEX($K$388:$N$400,W251,1)*EXP(INDEX($K$388:$N$400,W251,2)*((J251-$T$405+1)/1000))+INDEX($O$388:$Z$400,W251,MONTH(J251))</x:f>
        <x:v>-1.1152199692685372</x:v>
      </x:c>
      <x:c r="N251" s="8" t="n">
        <x:f>K251-M251</x:f>
        <x:v>-69.88478003073146</x:v>
      </x:c>
      <x:c r="O251" s="8" t="n">
        <x:f>ABS(N251)</x:f>
        <x:v>69.88478003073146</x:v>
      </x:c>
      <x:c r="P251" s="8" t="n">
        <x:f>N251^2</x:f>
        <x:v>4883.882479943723</x:v>
      </x:c>
      <x:c r="Q251" s="8" t="n">
        <x:f>K251-L251</x:f>
        <x:v>2</x:v>
      </x:c>
      <x:c r="R251" s="9" t="n">
        <x:f>IF(AND(INDEX('Сводка'!$T$3:$T$397,U251)=0,INDEX('Сводка'!$T$3:$T$397,V251)=0),1,0)</x:f>
        <x:v>1</x:v>
      </x:c>
      <x:c r="S251" s="9" t="n">
        <x:f>IF(AND(R251=1,O251&lt;=$G$13),1,0)</x:f>
        <x:v>0</x:v>
      </x:c>
      <x:c r="T251" s="10" t="n">
        <x:f>EOMONTH(J251-'Сводка'!$B$11,-1)</x:f>
        <x:v>46081</x:v>
      </x:c>
      <x:c r="U251" s="4" t="n">
        <x:f>MATCH(J251,'Сводка'!$R$3:$R$397,0)</x:f>
        <x:v>262</x:v>
      </x:c>
      <x:c r="V251" s="4" t="n">
        <x:f>MATCH(J251-'Сводка'!$B$11,'Сводка'!$R$3:$R$397,0)</x:f>
        <x:v>261</x:v>
      </x:c>
      <x:c r="W251" s="4" t="n">
        <x:f>MATCH(T251,$J$388:$J$400,0)</x:f>
        <x:v>9</x:v>
      </x:c>
      <x:c r="X251" s="3"/>
      <x:c r="Y251" s="3"/>
      <x:c r="Z251" s="3"/>
    </x:row>
    <x:row r="252" ht="15" customHeight="1">
      <x:c r="A252" s="3"/>
      <x:c r="B252" s="3"/>
      <x:c r="C252" s="3"/>
      <x:c r="D252" s="3"/>
      <x:c r="E252" s="3"/>
      <x:c r="F252" s="3"/>
      <x:c r="G252" s="3"/>
      <x:c r="H252" s="3"/>
      <x:c r="I252" s="3"/>
      <x:c r="J252" s="10" t="n">
        <x:v>46103</x:v>
      </x:c>
      <x:c r="K252" s="8" t="n">
        <x:f>INDEX('Сводка'!$S$3:$S$397,U252)</x:f>
        <x:v>-71</x:v>
      </x:c>
      <x:c r="L252" s="8" t="n">
        <x:f>INDEX('Сводка'!$S$3:$S$397,V252)</x:f>
        <x:v>-71</x:v>
      </x:c>
      <x:c r="M252" s="8" t="n">
        <x:f>INDEX($K$388:$N$400,W252,1)*EXP(INDEX($K$388:$N$400,W252,2)*((J252-$T$405+1)/1000))+INDEX($O$388:$Z$400,W252,MONTH(J252))</x:f>
        <x:v>-1.0813821254560025</x:v>
      </x:c>
      <x:c r="N252" s="8" t="n">
        <x:f>K252-M252</x:f>
        <x:v>-69.918617874544</x:v>
      </x:c>
      <x:c r="O252" s="8" t="n">
        <x:f>ABS(N252)</x:f>
        <x:v>69.918617874544</x:v>
      </x:c>
      <x:c r="P252" s="8" t="n">
        <x:f>N252^2</x:f>
        <x:v>4888.613125486503</x:v>
      </x:c>
      <x:c r="Q252" s="8" t="n">
        <x:f>K252-L252</x:f>
        <x:v>0</x:v>
      </x:c>
      <x:c r="R252" s="9" t="n">
        <x:f>IF(AND(INDEX('Сводка'!$T$3:$T$397,U252)=0,INDEX('Сводка'!$T$3:$T$397,V252)=0),1,0)</x:f>
        <x:v>1</x:v>
      </x:c>
      <x:c r="S252" s="9" t="n">
        <x:f>IF(AND(R252=1,O252&lt;=$G$13),1,0)</x:f>
        <x:v>0</x:v>
      </x:c>
      <x:c r="T252" s="10" t="n">
        <x:f>EOMONTH(J252-'Сводка'!$B$11,-1)</x:f>
        <x:v>46081</x:v>
      </x:c>
      <x:c r="U252" s="4" t="n">
        <x:f>MATCH(J252,'Сводка'!$R$3:$R$397,0)</x:f>
        <x:v>263</x:v>
      </x:c>
      <x:c r="V252" s="4" t="n">
        <x:f>MATCH(J252-'Сводка'!$B$11,'Сводка'!$R$3:$R$397,0)</x:f>
        <x:v>262</x:v>
      </x:c>
      <x:c r="W252" s="4" t="n">
        <x:f>MATCH(T252,$J$388:$J$400,0)</x:f>
        <x:v>9</x:v>
      </x:c>
      <x:c r="X252" s="3"/>
      <x:c r="Y252" s="3"/>
      <x:c r="Z252" s="3"/>
    </x:row>
    <x:row r="253" ht="15" customHeight="1">
      <x:c r="A253" s="3"/>
      <x:c r="B253" s="3"/>
      <x:c r="C253" s="3"/>
      <x:c r="D253" s="3"/>
      <x:c r="E253" s="3"/>
      <x:c r="F253" s="3"/>
      <x:c r="G253" s="3"/>
      <x:c r="H253" s="3"/>
      <x:c r="I253" s="3"/>
      <x:c r="J253" s="10" t="n">
        <x:v>46104</x:v>
      </x:c>
      <x:c r="K253" s="8" t="n">
        <x:f>INDEX('Сводка'!$S$3:$S$397,U253)</x:f>
        <x:v>-71</x:v>
      </x:c>
      <x:c r="L253" s="8" t="n">
        <x:f>INDEX('Сводка'!$S$3:$S$397,V253)</x:f>
        <x:v>-71</x:v>
      </x:c>
      <x:c r="M253" s="8" t="n">
        <x:f>INDEX($K$388:$N$400,W253,1)*EXP(INDEX($K$388:$N$400,W253,2)*((J253-$T$405+1)/1000))+INDEX($O$388:$Z$400,W253,MONTH(J253))</x:f>
        <x:v>-1.0475369314609964</x:v>
      </x:c>
      <x:c r="N253" s="8" t="n">
        <x:f>K253-M253</x:f>
        <x:v>-69.952463068539</x:v>
      </x:c>
      <x:c r="O253" s="8" t="n">
        <x:f>ABS(N253)</x:f>
        <x:v>69.952463068539</x:v>
      </x:c>
      <x:c r="P253" s="8" t="n">
        <x:f>N253^2</x:f>
        <x:v>4893.347089355313</x:v>
      </x:c>
      <x:c r="Q253" s="8" t="n">
        <x:f>K253-L253</x:f>
        <x:v>0</x:v>
      </x:c>
      <x:c r="R253" s="9" t="n">
        <x:f>IF(AND(INDEX('Сводка'!$T$3:$T$397,U253)=0,INDEX('Сводка'!$T$3:$T$397,V253)=0),1,0)</x:f>
        <x:v>1</x:v>
      </x:c>
      <x:c r="S253" s="9" t="n">
        <x:f>IF(AND(R253=1,O253&lt;=$G$13),1,0)</x:f>
        <x:v>0</x:v>
      </x:c>
      <x:c r="T253" s="10" t="n">
        <x:f>EOMONTH(J253-'Сводка'!$B$11,-1)</x:f>
        <x:v>46081</x:v>
      </x:c>
      <x:c r="U253" s="4" t="n">
        <x:f>MATCH(J253,'Сводка'!$R$3:$R$397,0)</x:f>
        <x:v>264</x:v>
      </x:c>
      <x:c r="V253" s="4" t="n">
        <x:f>MATCH(J253-'Сводка'!$B$11,'Сводка'!$R$3:$R$397,0)</x:f>
        <x:v>263</x:v>
      </x:c>
      <x:c r="W253" s="4" t="n">
        <x:f>MATCH(T253,$J$388:$J$400,0)</x:f>
        <x:v>9</x:v>
      </x:c>
      <x:c r="X253" s="3"/>
      <x:c r="Y253" s="3"/>
      <x:c r="Z253" s="3"/>
    </x:row>
    <x:row r="254" ht="15" customHeight="1">
      <x:c r="A254" s="3"/>
      <x:c r="B254" s="3"/>
      <x:c r="C254" s="3"/>
      <x:c r="D254" s="3"/>
      <x:c r="E254" s="3"/>
      <x:c r="F254" s="3"/>
      <x:c r="G254" s="3"/>
      <x:c r="H254" s="3"/>
      <x:c r="I254" s="3"/>
      <x:c r="J254" s="10" t="n">
        <x:v>46105</x:v>
      </x:c>
      <x:c r="K254" s="8" t="n">
        <x:f>INDEX('Сводка'!$S$3:$S$397,U254)</x:f>
        <x:v>-71</x:v>
      </x:c>
      <x:c r="L254" s="8" t="n">
        <x:f>INDEX('Сводка'!$S$3:$S$397,V254)</x:f>
        <x:v>-71</x:v>
      </x:c>
      <x:c r="M254" s="8" t="n">
        <x:f>INDEX($K$388:$N$400,W254,1)*EXP(INDEX($K$388:$N$400,W254,2)*((J254-$T$405+1)/1000))+INDEX($O$388:$Z$400,W254,MONTH(J254))</x:f>
        <x:v>-1.013684385687128</x:v>
      </x:c>
      <x:c r="N254" s="8" t="n">
        <x:f>K254-M254</x:f>
        <x:v>-69.98631561431287</x:v>
      </x:c>
      <x:c r="O254" s="8" t="n">
        <x:f>ABS(N254)</x:f>
        <x:v>69.98631561431287</x:v>
      </x:c>
      <x:c r="P254" s="8" t="n">
        <x:f>N254^2</x:f>
        <x:v>4898.084373266213</x:v>
      </x:c>
      <x:c r="Q254" s="8" t="n">
        <x:f>K254-L254</x:f>
        <x:v>0</x:v>
      </x:c>
      <x:c r="R254" s="9" t="n">
        <x:f>IF(AND(INDEX('Сводка'!$T$3:$T$397,U254)=0,INDEX('Сводка'!$T$3:$T$397,V254)=0),1,0)</x:f>
        <x:v>1</x:v>
      </x:c>
      <x:c r="S254" s="9" t="n">
        <x:f>IF(AND(R254=1,O254&lt;=$G$13),1,0)</x:f>
        <x:v>0</x:v>
      </x:c>
      <x:c r="T254" s="10" t="n">
        <x:f>EOMONTH(J254-'Сводка'!$B$11,-1)</x:f>
        <x:v>46081</x:v>
      </x:c>
      <x:c r="U254" s="4" t="n">
        <x:f>MATCH(J254,'Сводка'!$R$3:$R$397,0)</x:f>
        <x:v>265</x:v>
      </x:c>
      <x:c r="V254" s="4" t="n">
        <x:f>MATCH(J254-'Сводка'!$B$11,'Сводка'!$R$3:$R$397,0)</x:f>
        <x:v>264</x:v>
      </x:c>
      <x:c r="W254" s="4" t="n">
        <x:f>MATCH(T254,$J$388:$J$400,0)</x:f>
        <x:v>9</x:v>
      </x:c>
      <x:c r="X254" s="3"/>
      <x:c r="Y254" s="3"/>
      <x:c r="Z254" s="3"/>
    </x:row>
    <x:row r="255" ht="15" customHeight="1">
      <x:c r="A255" s="3"/>
      <x:c r="B255" s="3"/>
      <x:c r="C255" s="3"/>
      <x:c r="D255" s="3"/>
      <x:c r="E255" s="3"/>
      <x:c r="F255" s="3"/>
      <x:c r="G255" s="3"/>
      <x:c r="H255" s="3"/>
      <x:c r="I255" s="3"/>
      <x:c r="J255" s="10" t="n">
        <x:v>46106</x:v>
      </x:c>
      <x:c r="K255" s="8" t="n">
        <x:f>INDEX('Сводка'!$S$3:$S$397,U255)</x:f>
        <x:v>-72</x:v>
      </x:c>
      <x:c r="L255" s="8" t="n">
        <x:f>INDEX('Сводка'!$S$3:$S$397,V255)</x:f>
        <x:v>-71</x:v>
      </x:c>
      <x:c r="M255" s="8" t="n">
        <x:f>INDEX($K$388:$N$400,W255,1)*EXP(INDEX($K$388:$N$400,W255,2)*((J255-$T$405+1)/1000))+INDEX($O$388:$Z$400,W255,MONTH(J255))</x:f>
        <x:v>-0.9798244865373249</x:v>
      </x:c>
      <x:c r="N255" s="8" t="n">
        <x:f>K255-M255</x:f>
        <x:v>-71.02017551346268</x:v>
      </x:c>
      <x:c r="O255" s="8" t="n">
        <x:f>ABS(N255)</x:f>
        <x:v>71.02017551346268</x:v>
      </x:c>
      <x:c r="P255" s="8" t="n">
        <x:f>N255^2</x:f>
        <x:v>5043.865329963043</x:v>
      </x:c>
      <x:c r="Q255" s="8" t="n">
        <x:f>K255-L255</x:f>
        <x:v>-1</x:v>
      </x:c>
      <x:c r="R255" s="9" t="n">
        <x:f>IF(AND(INDEX('Сводка'!$T$3:$T$397,U255)=0,INDEX('Сводка'!$T$3:$T$397,V255)=0),1,0)</x:f>
        <x:v>1</x:v>
      </x:c>
      <x:c r="S255" s="9" t="n">
        <x:f>IF(AND(R255=1,O255&lt;=$G$13),1,0)</x:f>
        <x:v>0</x:v>
      </x:c>
      <x:c r="T255" s="10" t="n">
        <x:f>EOMONTH(J255-'Сводка'!$B$11,-1)</x:f>
        <x:v>46081</x:v>
      </x:c>
      <x:c r="U255" s="4" t="n">
        <x:f>MATCH(J255,'Сводка'!$R$3:$R$397,0)</x:f>
        <x:v>266</x:v>
      </x:c>
      <x:c r="V255" s="4" t="n">
        <x:f>MATCH(J255-'Сводка'!$B$11,'Сводка'!$R$3:$R$397,0)</x:f>
        <x:v>265</x:v>
      </x:c>
      <x:c r="W255" s="4" t="n">
        <x:f>MATCH(T255,$J$388:$J$400,0)</x:f>
        <x:v>9</x:v>
      </x:c>
      <x:c r="X255" s="3"/>
      <x:c r="Y255" s="3"/>
      <x:c r="Z255" s="3"/>
    </x:row>
    <x:row r="256" ht="15" customHeight="1">
      <x:c r="A256" s="3"/>
      <x:c r="B256" s="3"/>
      <x:c r="C256" s="3"/>
      <x:c r="D256" s="3"/>
      <x:c r="E256" s="3"/>
      <x:c r="F256" s="3"/>
      <x:c r="G256" s="3"/>
      <x:c r="H256" s="3"/>
      <x:c r="I256" s="3"/>
      <x:c r="J256" s="10" t="n">
        <x:v>46107</x:v>
      </x:c>
      <x:c r="K256" s="8" t="n">
        <x:f>INDEX('Сводка'!$S$3:$S$397,U256)</x:f>
        <x:v>-72</x:v>
      </x:c>
      <x:c r="L256" s="8" t="n">
        <x:f>INDEX('Сводка'!$S$3:$S$397,V256)</x:f>
        <x:v>-72</x:v>
      </x:c>
      <x:c r="M256" s="8" t="n">
        <x:f>INDEX($K$388:$N$400,W256,1)*EXP(INDEX($K$388:$N$400,W256,2)*((J256-$T$405+1)/1000))+INDEX($O$388:$Z$400,W256,MONTH(J256))</x:f>
        <x:v>-0.9459572324142584</x:v>
      </x:c>
      <x:c r="N256" s="8" t="n">
        <x:f>K256-M256</x:f>
        <x:v>-71.05404276758574</x:v>
      </x:c>
      <x:c r="O256" s="8" t="n">
        <x:f>ABS(N256)</x:f>
        <x:v>71.05404276758574</x:v>
      </x:c>
      <x:c r="P256" s="8" t="n">
        <x:f>N256^2</x:f>
        <x:v>5048.6769936179035</x:v>
      </x:c>
      <x:c r="Q256" s="8" t="n">
        <x:f>K256-L256</x:f>
        <x:v>0</x:v>
      </x:c>
      <x:c r="R256" s="9" t="n">
        <x:f>IF(AND(INDEX('Сводка'!$T$3:$T$397,U256)=0,INDEX('Сводка'!$T$3:$T$397,V256)=0),1,0)</x:f>
        <x:v>1</x:v>
      </x:c>
      <x:c r="S256" s="9" t="n">
        <x:f>IF(AND(R256=1,O256&lt;=$G$13),1,0)</x:f>
        <x:v>0</x:v>
      </x:c>
      <x:c r="T256" s="10" t="n">
        <x:f>EOMONTH(J256-'Сводка'!$B$11,-1)</x:f>
        <x:v>46081</x:v>
      </x:c>
      <x:c r="U256" s="4" t="n">
        <x:f>MATCH(J256,'Сводка'!$R$3:$R$397,0)</x:f>
        <x:v>267</x:v>
      </x:c>
      <x:c r="V256" s="4" t="n">
        <x:f>MATCH(J256-'Сводка'!$B$11,'Сводка'!$R$3:$R$397,0)</x:f>
        <x:v>266</x:v>
      </x:c>
      <x:c r="W256" s="4" t="n">
        <x:f>MATCH(T256,$J$388:$J$400,0)</x:f>
        <x:v>9</x:v>
      </x:c>
      <x:c r="X256" s="3"/>
      <x:c r="Y256" s="3"/>
      <x:c r="Z256" s="3"/>
    </x:row>
    <x:row r="257" ht="15" customHeight="1">
      <x:c r="A257" s="3"/>
      <x:c r="B257" s="3"/>
      <x:c r="C257" s="3"/>
      <x:c r="D257" s="3"/>
      <x:c r="E257" s="3"/>
      <x:c r="F257" s="3"/>
      <x:c r="G257" s="3"/>
      <x:c r="H257" s="3"/>
      <x:c r="I257" s="3"/>
      <x:c r="J257" s="10" t="n">
        <x:v>46108</x:v>
      </x:c>
      <x:c r="K257" s="8" t="n">
        <x:f>INDEX('Сводка'!$S$3:$S$397,U257)</x:f>
        <x:v>-71</x:v>
      </x:c>
      <x:c r="L257" s="8" t="n">
        <x:f>INDEX('Сводка'!$S$3:$S$397,V257)</x:f>
        <x:v>-72</x:v>
      </x:c>
      <x:c r="M257" s="8" t="n">
        <x:f>INDEX($K$388:$N$400,W257,1)*EXP(INDEX($K$388:$N$400,W257,2)*((J257-$T$405+1)/1000))+INDEX($O$388:$Z$400,W257,MONTH(J257))</x:f>
        <x:v>-0.9120826217204581</x:v>
      </x:c>
      <x:c r="N257" s="8" t="n">
        <x:f>K257-M257</x:f>
        <x:v>-70.08791737827954</x:v>
      </x:c>
      <x:c r="O257" s="8" t="n">
        <x:f>ABS(N257)</x:f>
        <x:v>70.08791737827954</x:v>
      </x:c>
      <x:c r="P257" s="8" t="n">
        <x:f>N257^2</x:f>
        <x:v>4912.3161624245395</x:v>
      </x:c>
      <x:c r="Q257" s="8" t="n">
        <x:f>K257-L257</x:f>
        <x:v>1</x:v>
      </x:c>
      <x:c r="R257" s="9" t="n">
        <x:f>IF(AND(INDEX('Сводка'!$T$3:$T$397,U257)=0,INDEX('Сводка'!$T$3:$T$397,V257)=0),1,0)</x:f>
        <x:v>1</x:v>
      </x:c>
      <x:c r="S257" s="9" t="n">
        <x:f>IF(AND(R257=1,O257&lt;=$G$13),1,0)</x:f>
        <x:v>0</x:v>
      </x:c>
      <x:c r="T257" s="10" t="n">
        <x:f>EOMONTH(J257-'Сводка'!$B$11,-1)</x:f>
        <x:v>46081</x:v>
      </x:c>
      <x:c r="U257" s="4" t="n">
        <x:f>MATCH(J257,'Сводка'!$R$3:$R$397,0)</x:f>
        <x:v>268</x:v>
      </x:c>
      <x:c r="V257" s="4" t="n">
        <x:f>MATCH(J257-'Сводка'!$B$11,'Сводка'!$R$3:$R$397,0)</x:f>
        <x:v>267</x:v>
      </x:c>
      <x:c r="W257" s="4" t="n">
        <x:f>MATCH(T257,$J$388:$J$400,0)</x:f>
        <x:v>9</x:v>
      </x:c>
      <x:c r="X257" s="3"/>
      <x:c r="Y257" s="3"/>
      <x:c r="Z257" s="3"/>
    </x:row>
    <x:row r="258" ht="15" customHeight="1">
      <x:c r="A258" s="3"/>
      <x:c r="B258" s="3"/>
      <x:c r="C258" s="3"/>
      <x:c r="D258" s="3"/>
      <x:c r="E258" s="3"/>
      <x:c r="F258" s="3"/>
      <x:c r="G258" s="3"/>
      <x:c r="H258" s="3"/>
      <x:c r="I258" s="3"/>
      <x:c r="J258" s="10" t="n">
        <x:v>46109</x:v>
      </x:c>
      <x:c r="K258" s="8" t="n">
        <x:f>INDEX('Сводка'!$S$3:$S$397,U258)</x:f>
        <x:v>-71</x:v>
      </x:c>
      <x:c r="L258" s="8" t="n">
        <x:f>INDEX('Сводка'!$S$3:$S$397,V258)</x:f>
        <x:v>-71</x:v>
      </x:c>
      <x:c r="M258" s="8" t="n">
        <x:f>INDEX($K$388:$N$400,W258,1)*EXP(INDEX($K$388:$N$400,W258,2)*((J258-$T$405+1)/1000))+INDEX($O$388:$Z$400,W258,MONTH(J258))</x:f>
        <x:v>-0.8782006528578847</x:v>
      </x:c>
      <x:c r="N258" s="8" t="n">
        <x:f>K258-M258</x:f>
        <x:v>-70.12179934714212</x:v>
      </x:c>
      <x:c r="O258" s="8" t="n">
        <x:f>ABS(N258)</x:f>
        <x:v>70.12179934714212</x:v>
      </x:c>
      <x:c r="P258" s="8" t="n">
        <x:f>N258^2</x:f>
        <x:v>4917.066743680861</x:v>
      </x:c>
      <x:c r="Q258" s="8" t="n">
        <x:f>K258-L258</x:f>
        <x:v>0</x:v>
      </x:c>
      <x:c r="R258" s="9" t="n">
        <x:f>IF(AND(INDEX('Сводка'!$T$3:$T$397,U258)=0,INDEX('Сводка'!$T$3:$T$397,V258)=0),1,0)</x:f>
        <x:v>1</x:v>
      </x:c>
      <x:c r="S258" s="9" t="n">
        <x:f>IF(AND(R258=1,O258&lt;=$G$13),1,0)</x:f>
        <x:v>0</x:v>
      </x:c>
      <x:c r="T258" s="10" t="n">
        <x:f>EOMONTH(J258-'Сводка'!$B$11,-1)</x:f>
        <x:v>46081</x:v>
      </x:c>
      <x:c r="U258" s="4" t="n">
        <x:f>MATCH(J258,'Сводка'!$R$3:$R$397,0)</x:f>
        <x:v>269</x:v>
      </x:c>
      <x:c r="V258" s="4" t="n">
        <x:f>MATCH(J258-'Сводка'!$B$11,'Сводка'!$R$3:$R$397,0)</x:f>
        <x:v>268</x:v>
      </x:c>
      <x:c r="W258" s="4" t="n">
        <x:f>MATCH(T258,$J$388:$J$400,0)</x:f>
        <x:v>9</x:v>
      </x:c>
      <x:c r="X258" s="3"/>
      <x:c r="Y258" s="3"/>
      <x:c r="Z258" s="3"/>
    </x:row>
    <x:row r="259" ht="15" customHeight="1">
      <x:c r="A259" s="3"/>
      <x:c r="B259" s="3"/>
      <x:c r="C259" s="3"/>
      <x:c r="D259" s="3"/>
      <x:c r="E259" s="3"/>
      <x:c r="F259" s="3"/>
      <x:c r="G259" s="3"/>
      <x:c r="H259" s="3"/>
      <x:c r="I259" s="3"/>
      <x:c r="J259" s="10" t="n">
        <x:v>46110</x:v>
      </x:c>
      <x:c r="K259" s="8" t="n">
        <x:f>INDEX('Сводка'!$S$3:$S$397,U259)</x:f>
        <x:v>-71</x:v>
      </x:c>
      <x:c r="L259" s="8" t="n">
        <x:f>INDEX('Сводка'!$S$3:$S$397,V259)</x:f>
        <x:v>-71</x:v>
      </x:c>
      <x:c r="M259" s="8" t="n">
        <x:f>INDEX($K$388:$N$400,W259,1)*EXP(INDEX($K$388:$N$400,W259,2)*((J259-$T$405+1)/1000))+INDEX($O$388:$Z$400,W259,MONTH(J259))</x:f>
        <x:v>-0.8443113242281299</x:v>
      </x:c>
      <x:c r="N259" s="8" t="n">
        <x:f>K259-M259</x:f>
        <x:v>-70.15568867577187</x:v>
      </x:c>
      <x:c r="O259" s="8" t="n">
        <x:f>ABS(N259)</x:f>
        <x:v>70.15568867577187</x:v>
      </x:c>
      <x:c r="P259" s="8" t="n">
        <x:f>N259^2</x:f>
        <x:v>4921.8206535718255</x:v>
      </x:c>
      <x:c r="Q259" s="8" t="n">
        <x:f>K259-L259</x:f>
        <x:v>0</x:v>
      </x:c>
      <x:c r="R259" s="9" t="n">
        <x:f>IF(AND(INDEX('Сводка'!$T$3:$T$397,U259)=0,INDEX('Сводка'!$T$3:$T$397,V259)=0),1,0)</x:f>
        <x:v>1</x:v>
      </x:c>
      <x:c r="S259" s="9" t="n">
        <x:f>IF(AND(R259=1,O259&lt;=$G$13),1,0)</x:f>
        <x:v>0</x:v>
      </x:c>
      <x:c r="T259" s="10" t="n">
        <x:f>EOMONTH(J259-'Сводка'!$B$11,-1)</x:f>
        <x:v>46081</x:v>
      </x:c>
      <x:c r="U259" s="4" t="n">
        <x:f>MATCH(J259,'Сводка'!$R$3:$R$397,0)</x:f>
        <x:v>270</x:v>
      </x:c>
      <x:c r="V259" s="4" t="n">
        <x:f>MATCH(J259-'Сводка'!$B$11,'Сводка'!$R$3:$R$397,0)</x:f>
        <x:v>269</x:v>
      </x:c>
      <x:c r="W259" s="4" t="n">
        <x:f>MATCH(T259,$J$388:$J$400,0)</x:f>
        <x:v>9</x:v>
      </x:c>
      <x:c r="X259" s="3"/>
      <x:c r="Y259" s="3"/>
      <x:c r="Z259" s="3"/>
    </x:row>
    <x:row r="260" ht="15" customHeight="1">
      <x:c r="A260" s="3"/>
      <x:c r="B260" s="3"/>
      <x:c r="C260" s="3"/>
      <x:c r="D260" s="3"/>
      <x:c r="E260" s="3"/>
      <x:c r="F260" s="3"/>
      <x:c r="G260" s="3"/>
      <x:c r="H260" s="3"/>
      <x:c r="I260" s="3"/>
      <x:c r="J260" s="10" t="n">
        <x:v>46111</x:v>
      </x:c>
      <x:c r="K260" s="8" t="n">
        <x:f>INDEX('Сводка'!$S$3:$S$397,U260)</x:f>
        <x:v>-69</x:v>
      </x:c>
      <x:c r="L260" s="8" t="n">
        <x:f>INDEX('Сводка'!$S$3:$S$397,V260)</x:f>
        <x:v>-71</x:v>
      </x:c>
      <x:c r="M260" s="8" t="n">
        <x:f>INDEX($K$388:$N$400,W260,1)*EXP(INDEX($K$388:$N$400,W260,2)*((J260-$T$405+1)/1000))+INDEX($O$388:$Z$400,W260,MONTH(J260))</x:f>
        <x:v>-0.8104146342325294</x:v>
      </x:c>
      <x:c r="N260" s="8" t="n">
        <x:f>K260-M260</x:f>
        <x:v>-68.18958536576747</x:v>
      </x:c>
      <x:c r="O260" s="8" t="n">
        <x:f>ABS(N260)</x:f>
        <x:v>68.18958536576747</x:v>
      </x:c>
      <x:c r="P260" s="8" t="n">
        <x:f>N260^2</x:f>
        <x:v>4649.8195523552895</x:v>
      </x:c>
      <x:c r="Q260" s="8" t="n">
        <x:f>K260-L260</x:f>
        <x:v>2</x:v>
      </x:c>
      <x:c r="R260" s="9" t="n">
        <x:f>IF(AND(INDEX('Сводка'!$T$3:$T$397,U260)=0,INDEX('Сводка'!$T$3:$T$397,V260)=0),1,0)</x:f>
        <x:v>1</x:v>
      </x:c>
      <x:c r="S260" s="9" t="n">
        <x:f>IF(AND(R260=1,O260&lt;=$G$13),1,0)</x:f>
        <x:v>0</x:v>
      </x:c>
      <x:c r="T260" s="10" t="n">
        <x:f>EOMONTH(J260-'Сводка'!$B$11,-1)</x:f>
        <x:v>46081</x:v>
      </x:c>
      <x:c r="U260" s="4" t="n">
        <x:f>MATCH(J260,'Сводка'!$R$3:$R$397,0)</x:f>
        <x:v>271</x:v>
      </x:c>
      <x:c r="V260" s="4" t="n">
        <x:f>MATCH(J260-'Сводка'!$B$11,'Сводка'!$R$3:$R$397,0)</x:f>
        <x:v>270</x:v>
      </x:c>
      <x:c r="W260" s="4" t="n">
        <x:f>MATCH(T260,$J$388:$J$400,0)</x:f>
        <x:v>9</x:v>
      </x:c>
      <x:c r="X260" s="3"/>
      <x:c r="Y260" s="3"/>
      <x:c r="Z260" s="3"/>
    </x:row>
    <x:row r="261" ht="15" customHeight="1">
      <x:c r="A261" s="3"/>
      <x:c r="B261" s="3"/>
      <x:c r="C261" s="3"/>
      <x:c r="D261" s="3"/>
      <x:c r="E261" s="3"/>
      <x:c r="F261" s="3"/>
      <x:c r="G261" s="3"/>
      <x:c r="H261" s="3"/>
      <x:c r="I261" s="3"/>
      <x:c r="J261" s="10" t="n">
        <x:v>46112</x:v>
      </x:c>
      <x:c r="K261" s="8" t="n">
        <x:f>INDEX('Сводка'!$S$3:$S$397,U261)</x:f>
        <x:v>-67</x:v>
      </x:c>
      <x:c r="L261" s="8" t="n">
        <x:f>INDEX('Сводка'!$S$3:$S$397,V261)</x:f>
        <x:v>-69</x:v>
      </x:c>
      <x:c r="M261" s="8" t="n">
        <x:f>INDEX($K$388:$N$400,W261,1)*EXP(INDEX($K$388:$N$400,W261,2)*((J261-$T$405+1)/1000))+INDEX($O$388:$Z$400,W261,MONTH(J261))</x:f>
        <x:v>-0.7765105812722197</x:v>
      </x:c>
      <x:c r="N261" s="8" t="n">
        <x:f>K261-M261</x:f>
        <x:v>-66.22348941872778</x:v>
      </x:c>
      <x:c r="O261" s="8" t="n">
        <x:f>ABS(N261)</x:f>
        <x:v>66.22348941872778</x:v>
      </x:c>
      <x:c r="P261" s="8" t="n">
        <x:f>N261^2</x:f>
        <x:v>4385.55055079235</x:v>
      </x:c>
      <x:c r="Q261" s="8" t="n">
        <x:f>K261-L261</x:f>
        <x:v>2</x:v>
      </x:c>
      <x:c r="R261" s="9" t="n">
        <x:f>IF(AND(INDEX('Сводка'!$T$3:$T$397,U261)=0,INDEX('Сводка'!$T$3:$T$397,V261)=0),1,0)</x:f>
        <x:v>1</x:v>
      </x:c>
      <x:c r="S261" s="9" t="n">
        <x:f>IF(AND(R261=1,O261&lt;=$G$13),1,0)</x:f>
        <x:v>0</x:v>
      </x:c>
      <x:c r="T261" s="10" t="n">
        <x:f>EOMONTH(J261-'Сводка'!$B$11,-1)</x:f>
        <x:v>46081</x:v>
      </x:c>
      <x:c r="U261" s="4" t="n">
        <x:f>MATCH(J261,'Сводка'!$R$3:$R$397,0)</x:f>
        <x:v>272</x:v>
      </x:c>
      <x:c r="V261" s="4" t="n">
        <x:f>MATCH(J261-'Сводка'!$B$11,'Сводка'!$R$3:$R$397,0)</x:f>
        <x:v>271</x:v>
      </x:c>
      <x:c r="W261" s="4" t="n">
        <x:f>MATCH(T261,$J$388:$J$400,0)</x:f>
        <x:v>9</x:v>
      </x:c>
      <x:c r="X261" s="3"/>
      <x:c r="Y261" s="3"/>
      <x:c r="Z261" s="3"/>
    </x:row>
    <x:row r="262" ht="15" customHeight="1">
      <x:c r="A262" s="3"/>
      <x:c r="B262" s="3"/>
      <x:c r="C262" s="3"/>
      <x:c r="D262" s="3"/>
      <x:c r="E262" s="3"/>
      <x:c r="F262" s="3"/>
      <x:c r="G262" s="3"/>
      <x:c r="H262" s="3"/>
      <x:c r="I262" s="3"/>
      <x:c r="J262" s="10" t="n">
        <x:v>46113</x:v>
      </x:c>
      <x:c r="K262" s="8" t="n">
        <x:f>INDEX('Сводка'!$S$3:$S$397,U262)</x:f>
        <x:v>-65</x:v>
      </x:c>
      <x:c r="L262" s="8" t="n">
        <x:f>INDEX('Сводка'!$S$3:$S$397,V262)</x:f>
        <x:v>-67</x:v>
      </x:c>
      <x:c r="M262" s="8" t="n">
        <x:f>INDEX($K$388:$N$400,W262,1)*EXP(INDEX($K$388:$N$400,W262,2)*((J262-$T$405+1)/1000))+INDEX($O$388:$Z$400,W262,MONTH(J262))</x:f>
        <x:v>114.85839479863105</x:v>
      </x:c>
      <x:c r="N262" s="8" t="n">
        <x:f>K262-M262</x:f>
        <x:v>-179.85839479863105</x:v>
      </x:c>
      <x:c r="O262" s="8" t="n">
        <x:f>ABS(N262)</x:f>
        <x:v>179.85839479863105</x:v>
      </x:c>
      <x:c r="P262" s="8" t="n">
        <x:f>N262^2</x:f>
        <x:v>32349.042179540233</x:v>
      </x:c>
      <x:c r="Q262" s="8" t="n">
        <x:f>K262-L262</x:f>
        <x:v>2</x:v>
      </x:c>
      <x:c r="R262" s="9" t="n">
        <x:f>IF(AND(INDEX('Сводка'!$T$3:$T$397,U262)=0,INDEX('Сводка'!$T$3:$T$397,V262)=0),1,0)</x:f>
        <x:v>1</x:v>
      </x:c>
      <x:c r="S262" s="9" t="n">
        <x:f>IF(AND(R262=1,O262&lt;=$G$13),1,0)</x:f>
        <x:v>0</x:v>
      </x:c>
      <x:c r="T262" s="10" t="n">
        <x:f>EOMONTH(J262-'Сводка'!$B$11,-1)</x:f>
        <x:v>46081</x:v>
      </x:c>
      <x:c r="U262" s="4" t="n">
        <x:f>MATCH(J262,'Сводка'!$R$3:$R$397,0)</x:f>
        <x:v>273</x:v>
      </x:c>
      <x:c r="V262" s="4" t="n">
        <x:f>MATCH(J262-'Сводка'!$B$11,'Сводка'!$R$3:$R$397,0)</x:f>
        <x:v>272</x:v>
      </x:c>
      <x:c r="W262" s="4" t="n">
        <x:f>MATCH(T262,$J$388:$J$400,0)</x:f>
        <x:v>9</x:v>
      </x:c>
      <x:c r="X262" s="3"/>
      <x:c r="Y262" s="3"/>
      <x:c r="Z262" s="3"/>
    </x:row>
    <x:row r="263" ht="15" customHeight="1">
      <x:c r="A263" s="3"/>
      <x:c r="B263" s="3"/>
      <x:c r="C263" s="3"/>
      <x:c r="D263" s="3"/>
      <x:c r="E263" s="3"/>
      <x:c r="F263" s="3"/>
      <x:c r="G263" s="3"/>
      <x:c r="H263" s="3"/>
      <x:c r="I263" s="3"/>
      <x:c r="J263" s="10" t="n">
        <x:v>46114</x:v>
      </x:c>
      <x:c r="K263" s="8" t="n">
        <x:f>INDEX('Сводка'!$S$3:$S$397,U263)</x:f>
        <x:v>-59</x:v>
      </x:c>
      <x:c r="L263" s="8" t="n">
        <x:f>INDEX('Сводка'!$S$3:$S$397,V263)</x:f>
        <x:v>-65</x:v>
      </x:c>
      <x:c r="M263" s="8" t="n">
        <x:f>INDEX($K$388:$N$400,W263,1)*EXP(INDEX($K$388:$N$400,W263,2)*((J263-$T$405+1)/1000))+INDEX($O$388:$Z$400,W263,MONTH(J263))</x:f>
        <x:v>113.28387641771367</x:v>
      </x:c>
      <x:c r="N263" s="8" t="n">
        <x:f>K263-M263</x:f>
        <x:v>-172.28387641771366</x:v>
      </x:c>
      <x:c r="O263" s="8" t="n">
        <x:f>ABS(N263)</x:f>
        <x:v>172.28387641771366</x:v>
      </x:c>
      <x:c r="P263" s="8" t="n">
        <x:f>N263^2</x:f>
        <x:v>29681.73407351403</x:v>
      </x:c>
      <x:c r="Q263" s="8" t="n">
        <x:f>K263-L263</x:f>
        <x:v>6</x:v>
      </x:c>
      <x:c r="R263" s="9" t="n">
        <x:f>IF(AND(INDEX('Сводка'!$T$3:$T$397,U263)=0,INDEX('Сводка'!$T$3:$T$397,V263)=0),1,0)</x:f>
        <x:v>1</x:v>
      </x:c>
      <x:c r="S263" s="9" t="n">
        <x:f>IF(AND(R263=1,O263&lt;=$G$13),1,0)</x:f>
        <x:v>0</x:v>
      </x:c>
      <x:c r="T263" s="10" t="n">
        <x:f>EOMONTH(J263-'Сводка'!$B$11,-1)</x:f>
        <x:v>46112</x:v>
      </x:c>
      <x:c r="U263" s="4" t="n">
        <x:f>MATCH(J263,'Сводка'!$R$3:$R$397,0)</x:f>
        <x:v>274</x:v>
      </x:c>
      <x:c r="V263" s="4" t="n">
        <x:f>MATCH(J263-'Сводка'!$B$11,'Сводка'!$R$3:$R$397,0)</x:f>
        <x:v>273</x:v>
      </x:c>
      <x:c r="W263" s="4" t="n">
        <x:f>MATCH(T263,$J$388:$J$400,0)</x:f>
        <x:v>10</x:v>
      </x:c>
      <x:c r="X263" s="3"/>
      <x:c r="Y263" s="3"/>
      <x:c r="Z263" s="3"/>
    </x:row>
    <x:row r="264" ht="15" customHeight="1">
      <x:c r="A264" s="3"/>
      <x:c r="B264" s="3"/>
      <x:c r="C264" s="3"/>
      <x:c r="D264" s="3"/>
      <x:c r="E264" s="3"/>
      <x:c r="F264" s="3"/>
      <x:c r="G264" s="3"/>
      <x:c r="H264" s="3"/>
      <x:c r="I264" s="3"/>
      <x:c r="J264" s="10" t="n">
        <x:v>46115</x:v>
      </x:c>
      <x:c r="K264" s="8" t="n">
        <x:f>INDEX('Сводка'!$S$3:$S$397,U264)</x:f>
        <x:v>-52</x:v>
      </x:c>
      <x:c r="L264" s="8" t="n">
        <x:f>INDEX('Сводка'!$S$3:$S$397,V264)</x:f>
        <x:v>-59</x:v>
      </x:c>
      <x:c r="M264" s="8" t="n">
        <x:f>INDEX($K$388:$N$400,W264,1)*EXP(INDEX($K$388:$N$400,W264,2)*((J264-$T$405+1)/1000))+INDEX($O$388:$Z$400,W264,MONTH(J264))</x:f>
        <x:v>113.31702449513368</x:v>
      </x:c>
      <x:c r="N264" s="8" t="n">
        <x:f>K264-M264</x:f>
        <x:v>-165.3170244951337</x:v>
      </x:c>
      <x:c r="O264" s="8" t="n">
        <x:f>ABS(N264)</x:f>
        <x:v>165.3170244951337</x:v>
      </x:c>
      <x:c r="P264" s="8" t="n">
        <x:f>N264^2</x:f>
        <x:v>27329.718587924635</x:v>
      </x:c>
      <x:c r="Q264" s="8" t="n">
        <x:f>K264-L264</x:f>
        <x:v>7</x:v>
      </x:c>
      <x:c r="R264" s="9" t="n">
        <x:f>IF(AND(INDEX('Сводка'!$T$3:$T$397,U264)=0,INDEX('Сводка'!$T$3:$T$397,V264)=0),1,0)</x:f>
        <x:v>1</x:v>
      </x:c>
      <x:c r="S264" s="9" t="n">
        <x:f>IF(AND(R264=1,O264&lt;=$G$13),1,0)</x:f>
        <x:v>0</x:v>
      </x:c>
      <x:c r="T264" s="10" t="n">
        <x:f>EOMONTH(J264-'Сводка'!$B$11,-1)</x:f>
        <x:v>46112</x:v>
      </x:c>
      <x:c r="U264" s="4" t="n">
        <x:f>MATCH(J264,'Сводка'!$R$3:$R$397,0)</x:f>
        <x:v>275</x:v>
      </x:c>
      <x:c r="V264" s="4" t="n">
        <x:f>MATCH(J264-'Сводка'!$B$11,'Сводка'!$R$3:$R$397,0)</x:f>
        <x:v>274</x:v>
      </x:c>
      <x:c r="W264" s="4" t="n">
        <x:f>MATCH(T264,$J$388:$J$400,0)</x:f>
        <x:v>10</x:v>
      </x:c>
      <x:c r="X264" s="3"/>
      <x:c r="Y264" s="3"/>
      <x:c r="Z264" s="3"/>
    </x:row>
    <x:row r="265" ht="15" customHeight="1">
      <x:c r="A265" s="3"/>
      <x:c r="B265" s="3"/>
      <x:c r="C265" s="3"/>
      <x:c r="D265" s="3"/>
      <x:c r="E265" s="3"/>
      <x:c r="F265" s="3"/>
      <x:c r="G265" s="3"/>
      <x:c r="H265" s="3"/>
      <x:c r="I265" s="3"/>
      <x:c r="J265" s="10" t="n">
        <x:v>46116</x:v>
      </x:c>
      <x:c r="K265" s="8" t="n">
        <x:f>INDEX('Сводка'!$S$3:$S$397,U265)</x:f>
        <x:v>-42</x:v>
      </x:c>
      <x:c r="L265" s="8" t="n">
        <x:f>INDEX('Сводка'!$S$3:$S$397,V265)</x:f>
        <x:v>-52</x:v>
      </x:c>
      <x:c r="M265" s="8" t="n">
        <x:f>INDEX($K$388:$N$400,W265,1)*EXP(INDEX($K$388:$N$400,W265,2)*((J265-$T$405+1)/1000))+INDEX($O$388:$Z$400,W265,MONTH(J265))</x:f>
        <x:v>113.35017969090283</x:v>
      </x:c>
      <x:c r="N265" s="8" t="n">
        <x:f>K265-M265</x:f>
        <x:v>-155.35017969090285</x:v>
      </x:c>
      <x:c r="O265" s="8" t="n">
        <x:f>ABS(N265)</x:f>
        <x:v>155.35017969090285</x:v>
      </x:c>
      <x:c r="P265" s="8" t="n">
        <x:f>N265^2</x:f>
        <x:v>24133.678329995804</x:v>
      </x:c>
      <x:c r="Q265" s="8" t="n">
        <x:f>K265-L265</x:f>
        <x:v>10</x:v>
      </x:c>
      <x:c r="R265" s="9" t="n">
        <x:f>IF(AND(INDEX('Сводка'!$T$3:$T$397,U265)=0,INDEX('Сводка'!$T$3:$T$397,V265)=0),1,0)</x:f>
        <x:v>1</x:v>
      </x:c>
      <x:c r="S265" s="9" t="n">
        <x:f>IF(AND(R265=1,O265&lt;=$G$13),1,0)</x:f>
        <x:v>0</x:v>
      </x:c>
      <x:c r="T265" s="10" t="n">
        <x:f>EOMONTH(J265-'Сводка'!$B$11,-1)</x:f>
        <x:v>46112</x:v>
      </x:c>
      <x:c r="U265" s="4" t="n">
        <x:f>MATCH(J265,'Сводка'!$R$3:$R$397,0)</x:f>
        <x:v>276</x:v>
      </x:c>
      <x:c r="V265" s="4" t="n">
        <x:f>MATCH(J265-'Сводка'!$B$11,'Сводка'!$R$3:$R$397,0)</x:f>
        <x:v>275</x:v>
      </x:c>
      <x:c r="W265" s="4" t="n">
        <x:f>MATCH(T265,$J$388:$J$400,0)</x:f>
        <x:v>10</x:v>
      </x:c>
      <x:c r="X265" s="3"/>
      <x:c r="Y265" s="3"/>
      <x:c r="Z265" s="3"/>
    </x:row>
    <x:row r="266" ht="15" customHeight="1">
      <x:c r="A266" s="3"/>
      <x:c r="B266" s="3"/>
      <x:c r="C266" s="3"/>
      <x:c r="D266" s="3"/>
      <x:c r="E266" s="3"/>
      <x:c r="F266" s="3"/>
      <x:c r="G266" s="3"/>
      <x:c r="H266" s="3"/>
      <x:c r="I266" s="3"/>
      <x:c r="J266" s="10" t="n">
        <x:v>46117</x:v>
      </x:c>
      <x:c r="K266" s="8" t="n">
        <x:f>INDEX('Сводка'!$S$3:$S$397,U266)</x:f>
        <x:v>-35</x:v>
      </x:c>
      <x:c r="L266" s="8" t="n">
        <x:f>INDEX('Сводка'!$S$3:$S$397,V266)</x:f>
        <x:v>-42</x:v>
      </x:c>
      <x:c r="M266" s="8" t="n">
        <x:f>INDEX($K$388:$N$400,W266,1)*EXP(INDEX($K$388:$N$400,W266,2)*((J266-$T$405+1)/1000))+INDEX($O$388:$Z$400,W266,MONTH(J266))</x:f>
        <x:v>113.38334200654977</x:v>
      </x:c>
      <x:c r="N266" s="8" t="n">
        <x:f>K266-M266</x:f>
        <x:v>-148.38334200654975</x:v>
      </x:c>
      <x:c r="O266" s="8" t="n">
        <x:f>ABS(N266)</x:f>
        <x:v>148.38334200654975</x:v>
      </x:c>
      <x:c r="P266" s="8" t="n">
        <x:f>N266^2</x:f>
        <x:v>22017.61618503271</x:v>
      </x:c>
      <x:c r="Q266" s="8" t="n">
        <x:f>K266-L266</x:f>
        <x:v>7</x:v>
      </x:c>
      <x:c r="R266" s="9" t="n">
        <x:f>IF(AND(INDEX('Сводка'!$T$3:$T$397,U266)=0,INDEX('Сводка'!$T$3:$T$397,V266)=0),1,0)</x:f>
        <x:v>1</x:v>
      </x:c>
      <x:c r="S266" s="9" t="n">
        <x:f>IF(AND(R266=1,O266&lt;=$G$13),1,0)</x:f>
        <x:v>0</x:v>
      </x:c>
      <x:c r="T266" s="10" t="n">
        <x:f>EOMONTH(J266-'Сводка'!$B$11,-1)</x:f>
        <x:v>46112</x:v>
      </x:c>
      <x:c r="U266" s="4" t="n">
        <x:f>MATCH(J266,'Сводка'!$R$3:$R$397,0)</x:f>
        <x:v>277</x:v>
      </x:c>
      <x:c r="V266" s="4" t="n">
        <x:f>MATCH(J266-'Сводка'!$B$11,'Сводка'!$R$3:$R$397,0)</x:f>
        <x:v>276</x:v>
      </x:c>
      <x:c r="W266" s="4" t="n">
        <x:f>MATCH(T266,$J$388:$J$400,0)</x:f>
        <x:v>10</x:v>
      </x:c>
      <x:c r="X266" s="3"/>
      <x:c r="Y266" s="3"/>
      <x:c r="Z266" s="3"/>
    </x:row>
    <x:row r="267" ht="15" customHeight="1">
      <x:c r="A267" s="3"/>
      <x:c r="B267" s="3"/>
      <x:c r="C267" s="3"/>
      <x:c r="D267" s="3"/>
      <x:c r="E267" s="3"/>
      <x:c r="F267" s="3"/>
      <x:c r="G267" s="3"/>
      <x:c r="H267" s="3"/>
      <x:c r="I267" s="3"/>
      <x:c r="J267" s="10" t="n">
        <x:v>46118</x:v>
      </x:c>
      <x:c r="K267" s="8" t="n">
        <x:f>INDEX('Сводка'!$S$3:$S$397,U267)</x:f>
        <x:v>-17</x:v>
      </x:c>
      <x:c r="L267" s="8" t="n">
        <x:f>INDEX('Сводка'!$S$3:$S$397,V267)</x:f>
        <x:v>-35</x:v>
      </x:c>
      <x:c r="M267" s="8" t="n">
        <x:f>INDEX($K$388:$N$400,W267,1)*EXP(INDEX($K$388:$N$400,W267,2)*((J267-$T$405+1)/1000))+INDEX($O$388:$Z$400,W267,MONTH(J267))</x:f>
        <x:v>113.41651144360334</x:v>
      </x:c>
      <x:c r="N267" s="8" t="n">
        <x:f>K267-M267</x:f>
        <x:v>-130.41651144360333</x:v>
      </x:c>
      <x:c r="O267" s="8" t="n">
        <x:f>ABS(N267)</x:f>
        <x:v>130.41651144360333</x:v>
      </x:c>
      <x:c r="P267" s="8" t="n">
        <x:f>N267^2</x:f>
        <x:v>17008.466457119517</x:v>
      </x:c>
      <x:c r="Q267" s="8" t="n">
        <x:f>K267-L267</x:f>
        <x:v>18</x:v>
      </x:c>
      <x:c r="R267" s="9" t="n">
        <x:f>IF(AND(INDEX('Сводка'!$T$3:$T$397,U267)=0,INDEX('Сводка'!$T$3:$T$397,V267)=0),1,0)</x:f>
        <x:v>1</x:v>
      </x:c>
      <x:c r="S267" s="9" t="n">
        <x:f>IF(AND(R267=1,O267&lt;=$G$13),1,0)</x:f>
        <x:v>0</x:v>
      </x:c>
      <x:c r="T267" s="10" t="n">
        <x:f>EOMONTH(J267-'Сводка'!$B$11,-1)</x:f>
        <x:v>46112</x:v>
      </x:c>
      <x:c r="U267" s="4" t="n">
        <x:f>MATCH(J267,'Сводка'!$R$3:$R$397,0)</x:f>
        <x:v>278</x:v>
      </x:c>
      <x:c r="V267" s="4" t="n">
        <x:f>MATCH(J267-'Сводка'!$B$11,'Сводка'!$R$3:$R$397,0)</x:f>
        <x:v>277</x:v>
      </x:c>
      <x:c r="W267" s="4" t="n">
        <x:f>MATCH(T267,$J$388:$J$400,0)</x:f>
        <x:v>10</x:v>
      </x:c>
      <x:c r="X267" s="3"/>
      <x:c r="Y267" s="3"/>
      <x:c r="Z267" s="3"/>
    </x:row>
    <x:row r="268" ht="15" customHeight="1">
      <x:c r="A268" s="3"/>
      <x:c r="B268" s="3"/>
      <x:c r="C268" s="3"/>
      <x:c r="D268" s="3"/>
      <x:c r="E268" s="3"/>
      <x:c r="F268" s="3"/>
      <x:c r="G268" s="3"/>
      <x:c r="H268" s="3"/>
      <x:c r="I268" s="3"/>
      <x:c r="J268" s="10" t="n">
        <x:v>46119</x:v>
      </x:c>
      <x:c r="K268" s="8" t="n">
        <x:f>INDEX('Сводка'!$S$3:$S$397,U268)</x:f>
        <x:v>-3</x:v>
      </x:c>
      <x:c r="L268" s="8" t="n">
        <x:f>INDEX('Сводка'!$S$3:$S$397,V268)</x:f>
        <x:v>-17</x:v>
      </x:c>
      <x:c r="M268" s="8" t="n">
        <x:f>INDEX($K$388:$N$400,W268,1)*EXP(INDEX($K$388:$N$400,W268,2)*((J268-$T$405+1)/1000))+INDEX($O$388:$Z$400,W268,MONTH(J268))</x:f>
        <x:v>113.4496880035929</x:v>
      </x:c>
      <x:c r="N268" s="8" t="n">
        <x:f>K268-M268</x:f>
        <x:v>-116.4496880035929</x:v>
      </x:c>
      <x:c r="O268" s="8" t="n">
        <x:f>ABS(N268)</x:f>
        <x:v>116.4496880035929</x:v>
      </x:c>
      <x:c r="P268" s="8" t="n">
        <x:f>N268^2</x:f>
        <x:v>13560.529836134127</x:v>
      </x:c>
      <x:c r="Q268" s="8" t="n">
        <x:f>K268-L268</x:f>
        <x:v>14</x:v>
      </x:c>
      <x:c r="R268" s="9" t="n">
        <x:f>IF(AND(INDEX('Сводка'!$T$3:$T$397,U268)=0,INDEX('Сводка'!$T$3:$T$397,V268)=0),1,0)</x:f>
        <x:v>1</x:v>
      </x:c>
      <x:c r="S268" s="9" t="n">
        <x:f>IF(AND(R268=1,O268&lt;=$G$13),1,0)</x:f>
        <x:v>0</x:v>
      </x:c>
      <x:c r="T268" s="10" t="n">
        <x:f>EOMONTH(J268-'Сводка'!$B$11,-1)</x:f>
        <x:v>46112</x:v>
      </x:c>
      <x:c r="U268" s="4" t="n">
        <x:f>MATCH(J268,'Сводка'!$R$3:$R$397,0)</x:f>
        <x:v>279</x:v>
      </x:c>
      <x:c r="V268" s="4" t="n">
        <x:f>MATCH(J268-'Сводка'!$B$11,'Сводка'!$R$3:$R$397,0)</x:f>
        <x:v>278</x:v>
      </x:c>
      <x:c r="W268" s="4" t="n">
        <x:f>MATCH(T268,$J$388:$J$400,0)</x:f>
        <x:v>10</x:v>
      </x:c>
      <x:c r="X268" s="3"/>
      <x:c r="Y268" s="3"/>
      <x:c r="Z268" s="3"/>
    </x:row>
    <x:row r="269" ht="15" customHeight="1">
      <x:c r="A269" s="3"/>
      <x:c r="B269" s="3"/>
      <x:c r="C269" s="3"/>
      <x:c r="D269" s="3"/>
      <x:c r="E269" s="3"/>
      <x:c r="F269" s="3"/>
      <x:c r="G269" s="3"/>
      <x:c r="H269" s="3"/>
      <x:c r="I269" s="3"/>
      <x:c r="J269" s="10" t="n">
        <x:v>46120</x:v>
      </x:c>
      <x:c r="K269" s="8" t="n">
        <x:f>INDEX('Сводка'!$S$3:$S$397,U269)</x:f>
        <x:v>17</x:v>
      </x:c>
      <x:c r="L269" s="8" t="n">
        <x:f>INDEX('Сводка'!$S$3:$S$397,V269)</x:f>
        <x:v>-3</x:v>
      </x:c>
      <x:c r="M269" s="8" t="n">
        <x:f>INDEX($K$388:$N$400,W269,1)*EXP(INDEX($K$388:$N$400,W269,2)*((J269-$T$405+1)/1000))+INDEX($O$388:$Z$400,W269,MONTH(J269))</x:f>
        <x:v>113.48287168804809</x:v>
      </x:c>
      <x:c r="N269" s="8" t="n">
        <x:f>K269-M269</x:f>
        <x:v>-96.48287168804809</x:v>
      </x:c>
      <x:c r="O269" s="8" t="n">
        <x:f>ABS(N269)</x:f>
        <x:v>96.48287168804809</x:v>
      </x:c>
      <x:c r="P269" s="8" t="n">
        <x:f>N269^2</x:f>
        <x:v>9308.944529172351</x:v>
      </x:c>
      <x:c r="Q269" s="8" t="n">
        <x:f>K269-L269</x:f>
        <x:v>20</x:v>
      </x:c>
      <x:c r="R269" s="9" t="n">
        <x:f>IF(AND(INDEX('Сводка'!$T$3:$T$397,U269)=0,INDEX('Сводка'!$T$3:$T$397,V269)=0),1,0)</x:f>
        <x:v>1</x:v>
      </x:c>
      <x:c r="S269" s="9" t="n">
        <x:f>IF(AND(R269=1,O269&lt;=$G$13),1,0)</x:f>
        <x:v>0</x:v>
      </x:c>
      <x:c r="T269" s="10" t="n">
        <x:f>EOMONTH(J269-'Сводка'!$B$11,-1)</x:f>
        <x:v>46112</x:v>
      </x:c>
      <x:c r="U269" s="4" t="n">
        <x:f>MATCH(J269,'Сводка'!$R$3:$R$397,0)</x:f>
        <x:v>280</x:v>
      </x:c>
      <x:c r="V269" s="4" t="n">
        <x:f>MATCH(J269-'Сводка'!$B$11,'Сводка'!$R$3:$R$397,0)</x:f>
        <x:v>279</x:v>
      </x:c>
      <x:c r="W269" s="4" t="n">
        <x:f>MATCH(T269,$J$388:$J$400,0)</x:f>
        <x:v>10</x:v>
      </x:c>
      <x:c r="X269" s="3"/>
      <x:c r="Y269" s="3"/>
      <x:c r="Z269" s="3"/>
    </x:row>
    <x:row r="270" ht="15" customHeight="1">
      <x:c r="A270" s="3"/>
      <x:c r="B270" s="3"/>
      <x:c r="C270" s="3"/>
      <x:c r="D270" s="3"/>
      <x:c r="E270" s="3"/>
      <x:c r="F270" s="3"/>
      <x:c r="G270" s="3"/>
      <x:c r="H270" s="3"/>
      <x:c r="I270" s="3"/>
      <x:c r="J270" s="10" t="n">
        <x:v>46121</x:v>
      </x:c>
      <x:c r="K270" s="8" t="n">
        <x:f>INDEX('Сводка'!$S$3:$S$397,U270)</x:f>
        <x:v>44</x:v>
      </x:c>
      <x:c r="L270" s="8" t="n">
        <x:f>INDEX('Сводка'!$S$3:$S$397,V270)</x:f>
        <x:v>17</x:v>
      </x:c>
      <x:c r="M270" s="8" t="n">
        <x:f>INDEX($K$388:$N$400,W270,1)*EXP(INDEX($K$388:$N$400,W270,2)*((J270-$T$405+1)/1000))+INDEX($O$388:$Z$400,W270,MONTH(J270))</x:f>
        <x:v>113.51606249849875</x:v>
      </x:c>
      <x:c r="N270" s="8" t="n">
        <x:f>K270-M270</x:f>
        <x:v>-69.51606249849875</x:v>
      </x:c>
      <x:c r="O270" s="8" t="n">
        <x:f>ABS(N270)</x:f>
        <x:v>69.51606249849875</x:v>
      </x:c>
      <x:c r="P270" s="8" t="n">
        <x:f>N270^2</x:f>
        <x:v>4832.482945295185</x:v>
      </x:c>
      <x:c r="Q270" s="8" t="n">
        <x:f>K270-L270</x:f>
        <x:v>27</x:v>
      </x:c>
      <x:c r="R270" s="9" t="n">
        <x:f>IF(AND(INDEX('Сводка'!$T$3:$T$397,U270)=0,INDEX('Сводка'!$T$3:$T$397,V270)=0),1,0)</x:f>
        <x:v>1</x:v>
      </x:c>
      <x:c r="S270" s="9" t="n">
        <x:f>IF(AND(R270=1,O270&lt;=$G$13),1,0)</x:f>
        <x:v>0</x:v>
      </x:c>
      <x:c r="T270" s="10" t="n">
        <x:f>EOMONTH(J270-'Сводка'!$B$11,-1)</x:f>
        <x:v>46112</x:v>
      </x:c>
      <x:c r="U270" s="4" t="n">
        <x:f>MATCH(J270,'Сводка'!$R$3:$R$397,0)</x:f>
        <x:v>281</x:v>
      </x:c>
      <x:c r="V270" s="4" t="n">
        <x:f>MATCH(J270-'Сводка'!$B$11,'Сводка'!$R$3:$R$397,0)</x:f>
        <x:v>280</x:v>
      </x:c>
      <x:c r="W270" s="4" t="n">
        <x:f>MATCH(T270,$J$388:$J$400,0)</x:f>
        <x:v>10</x:v>
      </x:c>
      <x:c r="X270" s="3"/>
      <x:c r="Y270" s="3"/>
      <x:c r="Z270" s="3"/>
    </x:row>
    <x:row r="271" ht="15" customHeight="1">
      <x:c r="A271" s="3"/>
      <x:c r="B271" s="3"/>
      <x:c r="C271" s="3"/>
      <x:c r="D271" s="3"/>
      <x:c r="E271" s="3"/>
      <x:c r="F271" s="3"/>
      <x:c r="G271" s="3"/>
      <x:c r="H271" s="3"/>
      <x:c r="I271" s="3"/>
      <x:c r="J271" s="10" t="n">
        <x:v>46122</x:v>
      </x:c>
      <x:c r="K271" s="8" t="n">
        <x:f>INDEX('Сводка'!$S$3:$S$397,U271)</x:f>
        <x:v>82</x:v>
      </x:c>
      <x:c r="L271" s="8" t="n">
        <x:f>INDEX('Сводка'!$S$3:$S$397,V271)</x:f>
        <x:v>44</x:v>
      </x:c>
      <x:c r="M271" s="8" t="n">
        <x:f>INDEX($K$388:$N$400,W271,1)*EXP(INDEX($K$388:$N$400,W271,2)*((J271-$T$405+1)/1000))+INDEX($O$388:$Z$400,W271,MONTH(J271))</x:f>
        <x:v>113.54926043647525</x:v>
      </x:c>
      <x:c r="N271" s="8" t="n">
        <x:f>K271-M271</x:f>
        <x:v>-31.54926043647525</x:v>
      </x:c>
      <x:c r="O271" s="8" t="n">
        <x:f>ABS(N271)</x:f>
        <x:v>31.54926043647525</x:v>
      </x:c>
      <x:c r="P271" s="8" t="n">
        <x:f>N271^2</x:f>
        <x:v>995.3558340885426</x:v>
      </x:c>
      <x:c r="Q271" s="8" t="n">
        <x:f>K271-L271</x:f>
        <x:v>38</x:v>
      </x:c>
      <x:c r="R271" s="9" t="n">
        <x:f>IF(AND(INDEX('Сводка'!$T$3:$T$397,U271)=0,INDEX('Сводка'!$T$3:$T$397,V271)=0),1,0)</x:f>
        <x:v>1</x:v>
      </x:c>
      <x:c r="S271" s="9" t="n">
        <x:f>IF(AND(R271=1,O271&lt;=$G$13),1,0)</x:f>
        <x:v>0</x:v>
      </x:c>
      <x:c r="T271" s="10" t="n">
        <x:f>EOMONTH(J271-'Сводка'!$B$11,-1)</x:f>
        <x:v>46112</x:v>
      </x:c>
      <x:c r="U271" s="4" t="n">
        <x:f>MATCH(J271,'Сводка'!$R$3:$R$397,0)</x:f>
        <x:v>282</x:v>
      </x:c>
      <x:c r="V271" s="4" t="n">
        <x:f>MATCH(J271-'Сводка'!$B$11,'Сводка'!$R$3:$R$397,0)</x:f>
        <x:v>281</x:v>
      </x:c>
      <x:c r="W271" s="4" t="n">
        <x:f>MATCH(T271,$J$388:$J$400,0)</x:f>
        <x:v>10</x:v>
      </x:c>
      <x:c r="X271" s="3"/>
      <x:c r="Y271" s="3"/>
      <x:c r="Z271" s="3"/>
    </x:row>
    <x:row r="272" ht="15" customHeight="1">
      <x:c r="A272" s="3"/>
      <x:c r="B272" s="3"/>
      <x:c r="C272" s="3"/>
      <x:c r="D272" s="3"/>
      <x:c r="E272" s="3"/>
      <x:c r="F272" s="3"/>
      <x:c r="G272" s="3"/>
      <x:c r="H272" s="3"/>
      <x:c r="I272" s="3"/>
      <x:c r="J272" s="10" t="n">
        <x:v>46123</x:v>
      </x:c>
      <x:c r="K272" s="8" t="n">
        <x:f>INDEX('Сводка'!$S$3:$S$397,U272)</x:f>
        <x:v>96</x:v>
      </x:c>
      <x:c r="L272" s="8" t="n">
        <x:f>INDEX('Сводка'!$S$3:$S$397,V272)</x:f>
        <x:v>82</x:v>
      </x:c>
      <x:c r="M272" s="8" t="n">
        <x:f>INDEX($K$388:$N$400,W272,1)*EXP(INDEX($K$388:$N$400,W272,2)*((J272-$T$405+1)/1000))+INDEX($O$388:$Z$400,W272,MONTH(J272))</x:f>
        <x:v>113.58246550350817</x:v>
      </x:c>
      <x:c r="N272" s="8" t="n">
        <x:f>K272-M272</x:f>
        <x:v>-17.582465503508175</x:v>
      </x:c>
      <x:c r="O272" s="8" t="n">
        <x:f>ABS(N272)</x:f>
        <x:v>17.582465503508175</x:v>
      </x:c>
      <x:c r="P272" s="8" t="n">
        <x:f>N272^2</x:f>
        <x:v>309.143093182055</x:v>
      </x:c>
      <x:c r="Q272" s="8" t="n">
        <x:f>K272-L272</x:f>
        <x:v>14</x:v>
      </x:c>
      <x:c r="R272" s="9" t="n">
        <x:f>IF(AND(INDEX('Сводка'!$T$3:$T$397,U272)=0,INDEX('Сводка'!$T$3:$T$397,V272)=0),1,0)</x:f>
        <x:v>1</x:v>
      </x:c>
      <x:c r="S272" s="9" t="n">
        <x:f>IF(AND(R272=1,O272&lt;=$G$13),1,0)</x:f>
        <x:v>0</x:v>
      </x:c>
      <x:c r="T272" s="10" t="n">
        <x:f>EOMONTH(J272-'Сводка'!$B$11,-1)</x:f>
        <x:v>46112</x:v>
      </x:c>
      <x:c r="U272" s="4" t="n">
        <x:f>MATCH(J272,'Сводка'!$R$3:$R$397,0)</x:f>
        <x:v>283</x:v>
      </x:c>
      <x:c r="V272" s="4" t="n">
        <x:f>MATCH(J272-'Сводка'!$B$11,'Сводка'!$R$3:$R$397,0)</x:f>
        <x:v>282</x:v>
      </x:c>
      <x:c r="W272" s="4" t="n">
        <x:f>MATCH(T272,$J$388:$J$400,0)</x:f>
        <x:v>10</x:v>
      </x:c>
      <x:c r="X272" s="3"/>
      <x:c r="Y272" s="3"/>
      <x:c r="Z272" s="3"/>
    </x:row>
    <x:row r="273" ht="15" customHeight="1">
      <x:c r="A273" s="3"/>
      <x:c r="B273" s="3"/>
      <x:c r="C273" s="3"/>
      <x:c r="D273" s="3"/>
      <x:c r="E273" s="3"/>
      <x:c r="F273" s="3"/>
      <x:c r="G273" s="3"/>
      <x:c r="H273" s="3"/>
      <x:c r="I273" s="3"/>
      <x:c r="J273" s="10" t="n">
        <x:v>46124</x:v>
      </x:c>
      <x:c r="K273" s="8" t="n">
        <x:f>INDEX('Сводка'!$S$3:$S$397,U273)</x:f>
        <x:v>163</x:v>
      </x:c>
      <x:c r="L273" s="8" t="n">
        <x:f>INDEX('Сводка'!$S$3:$S$397,V273)</x:f>
        <x:v>96</x:v>
      </x:c>
      <x:c r="M273" s="8" t="n">
        <x:f>INDEX($K$388:$N$400,W273,1)*EXP(INDEX($K$388:$N$400,W273,2)*((J273-$T$405+1)/1000))+INDEX($O$388:$Z$400,W273,MONTH(J273))</x:f>
        <x:v>113.61567770112829</x:v>
      </x:c>
      <x:c r="N273" s="8" t="n">
        <x:f>K273-M273</x:f>
        <x:v>49.38432229887171</x:v>
      </x:c>
      <x:c r="O273" s="8" t="n">
        <x:f>ABS(N273)</x:f>
        <x:v>49.38432229887171</x:v>
      </x:c>
      <x:c r="P273" s="8" t="n">
        <x:f>N273^2</x:f>
        <x:v>2438.8112889188374</x:v>
      </x:c>
      <x:c r="Q273" s="8" t="n">
        <x:f>K273-L273</x:f>
        <x:v>67</x:v>
      </x:c>
      <x:c r="R273" s="9" t="n">
        <x:f>IF(AND(INDEX('Сводка'!$T$3:$T$397,U273)=0,INDEX('Сводка'!$T$3:$T$397,V273)=0),1,0)</x:f>
        <x:v>1</x:v>
      </x:c>
      <x:c r="S273" s="9" t="n">
        <x:f>IF(AND(R273=1,O273&lt;=$G$13),1,0)</x:f>
        <x:v>0</x:v>
      </x:c>
      <x:c r="T273" s="10" t="n">
        <x:f>EOMONTH(J273-'Сводка'!$B$11,-1)</x:f>
        <x:v>46112</x:v>
      </x:c>
      <x:c r="U273" s="4" t="n">
        <x:f>MATCH(J273,'Сводка'!$R$3:$R$397,0)</x:f>
        <x:v>284</x:v>
      </x:c>
      <x:c r="V273" s="4" t="n">
        <x:f>MATCH(J273-'Сводка'!$B$11,'Сводка'!$R$3:$R$397,0)</x:f>
        <x:v>283</x:v>
      </x:c>
      <x:c r="W273" s="4" t="n">
        <x:f>MATCH(T273,$J$388:$J$400,0)</x:f>
        <x:v>10</x:v>
      </x:c>
      <x:c r="X273" s="3"/>
      <x:c r="Y273" s="3"/>
      <x:c r="Z273" s="3"/>
    </x:row>
    <x:row r="274" ht="15" customHeight="1">
      <x:c r="A274" s="3"/>
      <x:c r="B274" s="3"/>
      <x:c r="C274" s="3"/>
      <x:c r="D274" s="3"/>
      <x:c r="E274" s="3"/>
      <x:c r="F274" s="3"/>
      <x:c r="G274" s="3"/>
      <x:c r="H274" s="3"/>
      <x:c r="I274" s="3"/>
      <x:c r="J274" s="10" t="n">
        <x:v>46125</x:v>
      </x:c>
      <x:c r="K274" s="8" t="n">
        <x:f>INDEX('Сводка'!$S$3:$S$397,U274)</x:f>
        <x:v>100</x:v>
      </x:c>
      <x:c r="L274" s="8" t="n">
        <x:f>INDEX('Сводка'!$S$3:$S$397,V274)</x:f>
        <x:v>163</x:v>
      </x:c>
      <x:c r="M274" s="8" t="n">
        <x:f>INDEX($K$388:$N$400,W274,1)*EXP(INDEX($K$388:$N$400,W274,2)*((J274-$T$405+1)/1000))+INDEX($O$388:$Z$400,W274,MONTH(J274))</x:f>
        <x:v>113.64889703086702</x:v>
      </x:c>
      <x:c r="N274" s="8" t="n">
        <x:f>K274-M274</x:f>
        <x:v>-13.648897030867019</x:v>
      </x:c>
      <x:c r="O274" s="8" t="n">
        <x:f>ABS(N274)</x:f>
        <x:v>13.648897030867019</x:v>
      </x:c>
      <x:c r="P274" s="8" t="n">
        <x:f>N274^2</x:f>
        <x:v>186.29239015921053</x:v>
      </x:c>
      <x:c r="Q274" s="8" t="n">
        <x:f>K274-L274</x:f>
        <x:v>-63</x:v>
      </x:c>
      <x:c r="R274" s="9" t="n">
        <x:f>IF(AND(INDEX('Сводка'!$T$3:$T$397,U274)=0,INDEX('Сводка'!$T$3:$T$397,V274)=0),1,0)</x:f>
        <x:v>1</x:v>
      </x:c>
      <x:c r="S274" s="9" t="n">
        <x:f>IF(AND(R274=1,O274&lt;=$G$13),1,0)</x:f>
        <x:v>0</x:v>
      </x:c>
      <x:c r="T274" s="10" t="n">
        <x:f>EOMONTH(J274-'Сводка'!$B$11,-1)</x:f>
        <x:v>46112</x:v>
      </x:c>
      <x:c r="U274" s="4" t="n">
        <x:f>MATCH(J274,'Сводка'!$R$3:$R$397,0)</x:f>
        <x:v>285</x:v>
      </x:c>
      <x:c r="V274" s="4" t="n">
        <x:f>MATCH(J274-'Сводка'!$B$11,'Сводка'!$R$3:$R$397,0)</x:f>
        <x:v>284</x:v>
      </x:c>
      <x:c r="W274" s="4" t="n">
        <x:f>MATCH(T274,$J$388:$J$400,0)</x:f>
        <x:v>10</x:v>
      </x:c>
      <x:c r="X274" s="3"/>
      <x:c r="Y274" s="3"/>
      <x:c r="Z274" s="3"/>
    </x:row>
    <x:row r="275" ht="15" customHeight="1">
      <x:c r="A275" s="3"/>
      <x:c r="B275" s="3"/>
      <x:c r="C275" s="3"/>
      <x:c r="D275" s="3"/>
      <x:c r="E275" s="3"/>
      <x:c r="F275" s="3"/>
      <x:c r="G275" s="3"/>
      <x:c r="H275" s="3"/>
      <x:c r="I275" s="3"/>
      <x:c r="J275" s="10" t="n">
        <x:v>46126</x:v>
      </x:c>
      <x:c r="K275" s="8" t="n">
        <x:f>INDEX('Сводка'!$S$3:$S$397,U275)</x:f>
        <x:v>36</x:v>
      </x:c>
      <x:c r="L275" s="8" t="n">
        <x:f>INDEX('Сводка'!$S$3:$S$397,V275)</x:f>
        <x:v>100</x:v>
      </x:c>
      <x:c r="M275" s="8" t="n">
        <x:f>INDEX($K$388:$N$400,W275,1)*EXP(INDEX($K$388:$N$400,W275,2)*((J275-$T$405+1)/1000))+INDEX($O$388:$Z$400,W275,MONTH(J275))</x:f>
        <x:v>113.68212349425583</x:v>
      </x:c>
      <x:c r="N275" s="8" t="n">
        <x:f>K275-M275</x:f>
        <x:v>-77.68212349425583</x:v>
      </x:c>
      <x:c r="O275" s="8" t="n">
        <x:f>ABS(N275)</x:f>
        <x:v>77.68212349425583</x:v>
      </x:c>
      <x:c r="P275" s="8" t="n">
        <x:f>N275^2</x:f>
        <x:v>6034.512310576814</x:v>
      </x:c>
      <x:c r="Q275" s="8" t="n">
        <x:f>K275-L275</x:f>
        <x:v>-64</x:v>
      </x:c>
      <x:c r="R275" s="9" t="n">
        <x:f>IF(AND(INDEX('Сводка'!$T$3:$T$397,U275)=0,INDEX('Сводка'!$T$3:$T$397,V275)=0),1,0)</x:f>
        <x:v>1</x:v>
      </x:c>
      <x:c r="S275" s="9" t="n">
        <x:f>IF(AND(R275=1,O275&lt;=$G$13),1,0)</x:f>
        <x:v>0</x:v>
      </x:c>
      <x:c r="T275" s="10" t="n">
        <x:f>EOMONTH(J275-'Сводка'!$B$11,-1)</x:f>
        <x:v>46112</x:v>
      </x:c>
      <x:c r="U275" s="4" t="n">
        <x:f>MATCH(J275,'Сводка'!$R$3:$R$397,0)</x:f>
        <x:v>286</x:v>
      </x:c>
      <x:c r="V275" s="4" t="n">
        <x:f>MATCH(J275-'Сводка'!$B$11,'Сводка'!$R$3:$R$397,0)</x:f>
        <x:v>285</x:v>
      </x:c>
      <x:c r="W275" s="4" t="n">
        <x:f>MATCH(T275,$J$388:$J$400,0)</x:f>
        <x:v>10</x:v>
      </x:c>
      <x:c r="X275" s="3"/>
      <x:c r="Y275" s="3"/>
      <x:c r="Z275" s="3"/>
    </x:row>
    <x:row r="276" ht="15" customHeight="1">
      <x:c r="A276" s="3"/>
      <x:c r="B276" s="3"/>
      <x:c r="C276" s="3"/>
      <x:c r="D276" s="3"/>
      <x:c r="E276" s="3"/>
      <x:c r="F276" s="3"/>
      <x:c r="G276" s="3"/>
      <x:c r="H276" s="3"/>
      <x:c r="I276" s="3"/>
      <x:c r="J276" s="10" t="n">
        <x:v>46127</x:v>
      </x:c>
      <x:c r="K276" s="8" t="n">
        <x:f>INDEX('Сводка'!$S$3:$S$397,U276)</x:f>
        <x:v>-4</x:v>
      </x:c>
      <x:c r="L276" s="8" t="n">
        <x:f>INDEX('Сводка'!$S$3:$S$397,V276)</x:f>
        <x:v>36</x:v>
      </x:c>
      <x:c r="M276" s="8" t="n">
        <x:f>INDEX($K$388:$N$400,W276,1)*EXP(INDEX($K$388:$N$400,W276,2)*((J276-$T$405+1)/1000))+INDEX($O$388:$Z$400,W276,MONTH(J276))</x:f>
        <x:v>113.71535709282678</x:v>
      </x:c>
      <x:c r="N276" s="8" t="n">
        <x:f>K276-M276</x:f>
        <x:v>-117.71535709282678</x:v>
      </x:c>
      <x:c r="O276" s="8" t="n">
        <x:f>ABS(N276)</x:f>
        <x:v>117.71535709282678</x:v>
      </x:c>
      <x:c r="P276" s="8" t="n">
        <x:f>N276^2</x:f>
        <x:v>13856.905295491724</x:v>
      </x:c>
      <x:c r="Q276" s="8" t="n">
        <x:f>K276-L276</x:f>
        <x:v>-40</x:v>
      </x:c>
      <x:c r="R276" s="9" t="n">
        <x:f>IF(AND(INDEX('Сводка'!$T$3:$T$397,U276)=0,INDEX('Сводка'!$T$3:$T$397,V276)=0),1,0)</x:f>
        <x:v>1</x:v>
      </x:c>
      <x:c r="S276" s="9" t="n">
        <x:f>IF(AND(R276=1,O276&lt;=$G$13),1,0)</x:f>
        <x:v>0</x:v>
      </x:c>
      <x:c r="T276" s="10" t="n">
        <x:f>EOMONTH(J276-'Сводка'!$B$11,-1)</x:f>
        <x:v>46112</x:v>
      </x:c>
      <x:c r="U276" s="4" t="n">
        <x:f>MATCH(J276,'Сводка'!$R$3:$R$397,0)</x:f>
        <x:v>287</x:v>
      </x:c>
      <x:c r="V276" s="4" t="n">
        <x:f>MATCH(J276-'Сводка'!$B$11,'Сводка'!$R$3:$R$397,0)</x:f>
        <x:v>286</x:v>
      </x:c>
      <x:c r="W276" s="4" t="n">
        <x:f>MATCH(T276,$J$388:$J$400,0)</x:f>
        <x:v>10</x:v>
      </x:c>
      <x:c r="X276" s="3"/>
      <x:c r="Y276" s="3"/>
      <x:c r="Z276" s="3"/>
    </x:row>
    <x:row r="277" ht="15" customHeight="1">
      <x:c r="A277" s="3"/>
      <x:c r="B277" s="3"/>
      <x:c r="C277" s="3"/>
      <x:c r="D277" s="3"/>
      <x:c r="E277" s="3"/>
      <x:c r="F277" s="3"/>
      <x:c r="G277" s="3"/>
      <x:c r="H277" s="3"/>
      <x:c r="I277" s="3"/>
      <x:c r="J277" s="10" t="n">
        <x:v>46128</x:v>
      </x:c>
      <x:c r="K277" s="8" t="n">
        <x:f>INDEX('Сводка'!$S$3:$S$397,U277)</x:f>
        <x:v>-14</x:v>
      </x:c>
      <x:c r="L277" s="8" t="n">
        <x:f>INDEX('Сводка'!$S$3:$S$397,V277)</x:f>
        <x:v>-4</x:v>
      </x:c>
      <x:c r="M277" s="8" t="n">
        <x:f>INDEX($K$388:$N$400,W277,1)*EXP(INDEX($K$388:$N$400,W277,2)*((J277-$T$405+1)/1000))+INDEX($O$388:$Z$400,W277,MONTH(J277))</x:f>
        <x:v>113.74859782811193</x:v>
      </x:c>
      <x:c r="N277" s="8" t="n">
        <x:f>K277-M277</x:f>
        <x:v>-127.74859782811193</x:v>
      </x:c>
      <x:c r="O277" s="8" t="n">
        <x:f>ABS(N277)</x:f>
        <x:v>127.74859782811193</x:v>
      </x:c>
      <x:c r="P277" s="8" t="n">
        <x:f>N277^2</x:f>
        <x:v>16319.704247048683</x:v>
      </x:c>
      <x:c r="Q277" s="8" t="n">
        <x:f>K277-L277</x:f>
        <x:v>-10</x:v>
      </x:c>
      <x:c r="R277" s="9" t="n">
        <x:f>IF(AND(INDEX('Сводка'!$T$3:$T$397,U277)=0,INDEX('Сводка'!$T$3:$T$397,V277)=0),1,0)</x:f>
        <x:v>1</x:v>
      </x:c>
      <x:c r="S277" s="9" t="n">
        <x:f>IF(AND(R277=1,O277&lt;=$G$13),1,0)</x:f>
        <x:v>0</x:v>
      </x:c>
      <x:c r="T277" s="10" t="n">
        <x:f>EOMONTH(J277-'Сводка'!$B$11,-1)</x:f>
        <x:v>46112</x:v>
      </x:c>
      <x:c r="U277" s="4" t="n">
        <x:f>MATCH(J277,'Сводка'!$R$3:$R$397,0)</x:f>
        <x:v>288</x:v>
      </x:c>
      <x:c r="V277" s="4" t="n">
        <x:f>MATCH(J277-'Сводка'!$B$11,'Сводка'!$R$3:$R$397,0)</x:f>
        <x:v>287</x:v>
      </x:c>
      <x:c r="W277" s="4" t="n">
        <x:f>MATCH(T277,$J$388:$J$400,0)</x:f>
        <x:v>10</x:v>
      </x:c>
      <x:c r="X277" s="3"/>
      <x:c r="Y277" s="3"/>
      <x:c r="Z277" s="3"/>
    </x:row>
    <x:row r="278" ht="15" customHeight="1">
      <x:c r="A278" s="3"/>
      <x:c r="B278" s="3"/>
      <x:c r="C278" s="3"/>
      <x:c r="D278" s="3"/>
      <x:c r="E278" s="3"/>
      <x:c r="F278" s="3"/>
      <x:c r="G278" s="3"/>
      <x:c r="H278" s="3"/>
      <x:c r="I278" s="3"/>
      <x:c r="J278" s="10" t="n">
        <x:v>46129</x:v>
      </x:c>
      <x:c r="K278" s="8" t="n">
        <x:f>INDEX('Сводка'!$S$3:$S$397,U278)</x:f>
        <x:v>-6</x:v>
      </x:c>
      <x:c r="L278" s="8" t="n">
        <x:f>INDEX('Сводка'!$S$3:$S$397,V278)</x:f>
        <x:v>-14</x:v>
      </x:c>
      <x:c r="M278" s="8" t="n">
        <x:f>INDEX($K$388:$N$400,W278,1)*EXP(INDEX($K$388:$N$400,W278,2)*((J278-$T$405+1)/1000))+INDEX($O$388:$Z$400,W278,MONTH(J278))</x:f>
        <x:v>113.78184570164397</x:v>
      </x:c>
      <x:c r="N278" s="8" t="n">
        <x:f>K278-M278</x:f>
        <x:v>-119.78184570164397</x:v>
      </x:c>
      <x:c r="O278" s="8" t="n">
        <x:f>ABS(N278)</x:f>
        <x:v>119.78184570164397</x:v>
      </x:c>
      <x:c r="P278" s="8" t="n">
        <x:f>N278^2</x:f>
        <x:v>14347.690559692444</x:v>
      </x:c>
      <x:c r="Q278" s="8" t="n">
        <x:f>K278-L278</x:f>
        <x:v>8</x:v>
      </x:c>
      <x:c r="R278" s="9" t="n">
        <x:f>IF(AND(INDEX('Сводка'!$T$3:$T$397,U278)=0,INDEX('Сводка'!$T$3:$T$397,V278)=0),1,0)</x:f>
        <x:v>1</x:v>
      </x:c>
      <x:c r="S278" s="9" t="n">
        <x:f>IF(AND(R278=1,O278&lt;=$G$13),1,0)</x:f>
        <x:v>0</x:v>
      </x:c>
      <x:c r="T278" s="10" t="n">
        <x:f>EOMONTH(J278-'Сводка'!$B$11,-1)</x:f>
        <x:v>46112</x:v>
      </x:c>
      <x:c r="U278" s="4" t="n">
        <x:f>MATCH(J278,'Сводка'!$R$3:$R$397,0)</x:f>
        <x:v>289</x:v>
      </x:c>
      <x:c r="V278" s="4" t="n">
        <x:f>MATCH(J278-'Сводка'!$B$11,'Сводка'!$R$3:$R$397,0)</x:f>
        <x:v>288</x:v>
      </x:c>
      <x:c r="W278" s="4" t="n">
        <x:f>MATCH(T278,$J$388:$J$400,0)</x:f>
        <x:v>10</x:v>
      </x:c>
      <x:c r="X278" s="3"/>
      <x:c r="Y278" s="3"/>
      <x:c r="Z278" s="3"/>
    </x:row>
    <x:row r="279" ht="15" customHeight="1">
      <x:c r="A279" s="3"/>
      <x:c r="B279" s="3"/>
      <x:c r="C279" s="3"/>
      <x:c r="D279" s="3"/>
      <x:c r="E279" s="3"/>
      <x:c r="F279" s="3"/>
      <x:c r="G279" s="3"/>
      <x:c r="H279" s="3"/>
      <x:c r="I279" s="3"/>
      <x:c r="J279" s="10" t="n">
        <x:v>46130</x:v>
      </x:c>
      <x:c r="K279" s="8" t="n">
        <x:f>INDEX('Сводка'!$S$3:$S$397,U279)</x:f>
        <x:v>-4</x:v>
      </x:c>
      <x:c r="L279" s="8" t="n">
        <x:f>INDEX('Сводка'!$S$3:$S$397,V279)</x:f>
        <x:v>-6</x:v>
      </x:c>
      <x:c r="M279" s="8" t="n">
        <x:f>INDEX($K$388:$N$400,W279,1)*EXP(INDEX($K$388:$N$400,W279,2)*((J279-$T$405+1)/1000))+INDEX($O$388:$Z$400,W279,MONTH(J279))</x:f>
        <x:v>113.81510071495576</x:v>
      </x:c>
      <x:c r="N279" s="8" t="n">
        <x:f>K279-M279</x:f>
        <x:v>-117.81510071495576</x:v>
      </x:c>
      <x:c r="O279" s="8" t="n">
        <x:f>ABS(N279)</x:f>
        <x:v>117.81510071495576</x:v>
      </x:c>
      <x:c r="P279" s="8" t="n">
        <x:f>N279^2</x:f>
        <x:v>13880.39795647517</x:v>
      </x:c>
      <x:c r="Q279" s="8" t="n">
        <x:f>K279-L279</x:f>
        <x:v>2</x:v>
      </x:c>
      <x:c r="R279" s="9" t="n">
        <x:f>IF(AND(INDEX('Сводка'!$T$3:$T$397,U279)=0,INDEX('Сводка'!$T$3:$T$397,V279)=0),1,0)</x:f>
        <x:v>1</x:v>
      </x:c>
      <x:c r="S279" s="9" t="n">
        <x:f>IF(AND(R279=1,O279&lt;=$G$13),1,0)</x:f>
        <x:v>0</x:v>
      </x:c>
      <x:c r="T279" s="10" t="n">
        <x:f>EOMONTH(J279-'Сводка'!$B$11,-1)</x:f>
        <x:v>46112</x:v>
      </x:c>
      <x:c r="U279" s="4" t="n">
        <x:f>MATCH(J279,'Сводка'!$R$3:$R$397,0)</x:f>
        <x:v>290</x:v>
      </x:c>
      <x:c r="V279" s="4" t="n">
        <x:f>MATCH(J279-'Сводка'!$B$11,'Сводка'!$R$3:$R$397,0)</x:f>
        <x:v>289</x:v>
      </x:c>
      <x:c r="W279" s="4" t="n">
        <x:f>MATCH(T279,$J$388:$J$400,0)</x:f>
        <x:v>10</x:v>
      </x:c>
      <x:c r="X279" s="3"/>
      <x:c r="Y279" s="3"/>
      <x:c r="Z279" s="3"/>
    </x:row>
    <x:row r="280" ht="15" customHeight="1">
      <x:c r="A280" s="3"/>
      <x:c r="B280" s="3"/>
      <x:c r="C280" s="3"/>
      <x:c r="D280" s="3"/>
      <x:c r="E280" s="3"/>
      <x:c r="F280" s="3"/>
      <x:c r="G280" s="3"/>
      <x:c r="H280" s="3"/>
      <x:c r="I280" s="3"/>
      <x:c r="J280" s="10" t="n">
        <x:v>46131</x:v>
      </x:c>
      <x:c r="K280" s="8" t="n">
        <x:f>INDEX('Сводка'!$S$3:$S$397,U280)</x:f>
        <x:v>64</x:v>
      </x:c>
      <x:c r="L280" s="8" t="n">
        <x:f>INDEX('Сводка'!$S$3:$S$397,V280)</x:f>
        <x:v>-4</x:v>
      </x:c>
      <x:c r="M280" s="8" t="n">
        <x:f>INDEX($K$388:$N$400,W280,1)*EXP(INDEX($K$388:$N$400,W280,2)*((J280-$T$405+1)/1000))+INDEX($O$388:$Z$400,W280,MONTH(J280))</x:f>
        <x:v>113.84836286958047</x:v>
      </x:c>
      <x:c r="N280" s="8" t="n">
        <x:f>K280-M280</x:f>
        <x:v>-49.84836286958047</x:v>
      </x:c>
      <x:c r="O280" s="8" t="n">
        <x:f>ABS(N280)</x:f>
        <x:v>49.84836286958047</x:v>
      </x:c>
      <x:c r="P280" s="8" t="n">
        <x:f>N280^2</x:f>
        <x:v>2484.859280777369</x:v>
      </x:c>
      <x:c r="Q280" s="8" t="n">
        <x:f>K280-L280</x:f>
        <x:v>68</x:v>
      </x:c>
      <x:c r="R280" s="9" t="n">
        <x:f>IF(AND(INDEX('Сводка'!$T$3:$T$397,U280)=0,INDEX('Сводка'!$T$3:$T$397,V280)=0),1,0)</x:f>
        <x:v>1</x:v>
      </x:c>
      <x:c r="S280" s="9" t="n">
        <x:f>IF(AND(R280=1,O280&lt;=$G$13),1,0)</x:f>
        <x:v>0</x:v>
      </x:c>
      <x:c r="T280" s="10" t="n">
        <x:f>EOMONTH(J280-'Сводка'!$B$11,-1)</x:f>
        <x:v>46112</x:v>
      </x:c>
      <x:c r="U280" s="4" t="n">
        <x:f>MATCH(J280,'Сводка'!$R$3:$R$397,0)</x:f>
        <x:v>291</x:v>
      </x:c>
      <x:c r="V280" s="4" t="n">
        <x:f>MATCH(J280-'Сводка'!$B$11,'Сводка'!$R$3:$R$397,0)</x:f>
        <x:v>290</x:v>
      </x:c>
      <x:c r="W280" s="4" t="n">
        <x:f>MATCH(T280,$J$388:$J$400,0)</x:f>
        <x:v>10</x:v>
      </x:c>
      <x:c r="X280" s="3"/>
      <x:c r="Y280" s="3"/>
      <x:c r="Z280" s="3"/>
    </x:row>
    <x:row r="281" ht="15" customHeight="1">
      <x:c r="A281" s="3"/>
      <x:c r="B281" s="3"/>
      <x:c r="C281" s="3"/>
      <x:c r="D281" s="3"/>
      <x:c r="E281" s="3"/>
      <x:c r="F281" s="3"/>
      <x:c r="G281" s="3"/>
      <x:c r="H281" s="3"/>
      <x:c r="I281" s="3"/>
      <x:c r="J281" s="10" t="n">
        <x:v>46132</x:v>
      </x:c>
      <x:c r="K281" s="8" t="n">
        <x:f>INDEX('Сводка'!$S$3:$S$397,U281)</x:f>
        <x:v>82</x:v>
      </x:c>
      <x:c r="L281" s="8" t="n">
        <x:f>INDEX('Сводка'!$S$3:$S$397,V281)</x:f>
        <x:v>64</x:v>
      </x:c>
      <x:c r="M281" s="8" t="n">
        <x:f>INDEX($K$388:$N$400,W281,1)*EXP(INDEX($K$388:$N$400,W281,2)*((J281-$T$405+1)/1000))+INDEX($O$388:$Z$400,W281,MONTH(J281))</x:f>
        <x:v>113.8816321670517</x:v>
      </x:c>
      <x:c r="N281" s="8" t="n">
        <x:f>K281-M281</x:f>
        <x:v>-31.881632167051706</x:v>
      </x:c>
      <x:c r="O281" s="8" t="n">
        <x:f>ABS(N281)</x:f>
        <x:v>31.881632167051706</x:v>
      </x:c>
      <x:c r="P281" s="8" t="n">
        <x:f>N281^2</x:f>
        <x:v>1016.438469635186</x:v>
      </x:c>
      <x:c r="Q281" s="8" t="n">
        <x:f>K281-L281</x:f>
        <x:v>18</x:v>
      </x:c>
      <x:c r="R281" s="9" t="n">
        <x:f>IF(AND(INDEX('Сводка'!$T$3:$T$397,U281)=0,INDEX('Сводка'!$T$3:$T$397,V281)=0),1,0)</x:f>
        <x:v>1</x:v>
      </x:c>
      <x:c r="S281" s="9" t="n">
        <x:f>IF(AND(R281=1,O281&lt;=$G$13),1,0)</x:f>
        <x:v>0</x:v>
      </x:c>
      <x:c r="T281" s="10" t="n">
        <x:f>EOMONTH(J281-'Сводка'!$B$11,-1)</x:f>
        <x:v>46112</x:v>
      </x:c>
      <x:c r="U281" s="4" t="n">
        <x:f>MATCH(J281,'Сводка'!$R$3:$R$397,0)</x:f>
        <x:v>292</x:v>
      </x:c>
      <x:c r="V281" s="4" t="n">
        <x:f>MATCH(J281-'Сводка'!$B$11,'Сводка'!$R$3:$R$397,0)</x:f>
        <x:v>291</x:v>
      </x:c>
      <x:c r="W281" s="4" t="n">
        <x:f>MATCH(T281,$J$388:$J$400,0)</x:f>
        <x:v>10</x:v>
      </x:c>
      <x:c r="X281" s="3"/>
      <x:c r="Y281" s="3"/>
      <x:c r="Z281" s="3"/>
    </x:row>
    <x:row r="282" ht="15" customHeight="1">
      <x:c r="A282" s="3"/>
      <x:c r="B282" s="3"/>
      <x:c r="C282" s="3"/>
      <x:c r="D282" s="3"/>
      <x:c r="E282" s="3"/>
      <x:c r="F282" s="3"/>
      <x:c r="G282" s="3"/>
      <x:c r="H282" s="3"/>
      <x:c r="I282" s="3"/>
      <x:c r="J282" s="10" t="n">
        <x:v>46133</x:v>
      </x:c>
      <x:c r="K282" s="8" t="n">
        <x:f>INDEX('Сводка'!$S$3:$S$397,U282)</x:f>
        <x:v>64</x:v>
      </x:c>
      <x:c r="L282" s="8" t="n">
        <x:f>INDEX('Сводка'!$S$3:$S$397,V282)</x:f>
        <x:v>82</x:v>
      </x:c>
      <x:c r="M282" s="8" t="n">
        <x:f>INDEX($K$388:$N$400,W282,1)*EXP(INDEX($K$388:$N$400,W282,2)*((J282-$T$405+1)/1000))+INDEX($O$388:$Z$400,W282,MONTH(J282))</x:f>
        <x:v>113.91490860890342</x:v>
      </x:c>
      <x:c r="N282" s="8" t="n">
        <x:f>K282-M282</x:f>
        <x:v>-49.91490860890342</x:v>
      </x:c>
      <x:c r="O282" s="8" t="n">
        <x:f>ABS(N282)</x:f>
        <x:v>49.91490860890342</x:v>
      </x:c>
      <x:c r="P282" s="8" t="n">
        <x:f>N282^2</x:f>
        <x:v>2491.4981014351806</x:v>
      </x:c>
      <x:c r="Q282" s="8" t="n">
        <x:f>K282-L282</x:f>
        <x:v>-18</x:v>
      </x:c>
      <x:c r="R282" s="9" t="n">
        <x:f>IF(AND(INDEX('Сводка'!$T$3:$T$397,U282)=0,INDEX('Сводка'!$T$3:$T$397,V282)=0),1,0)</x:f>
        <x:v>1</x:v>
      </x:c>
      <x:c r="S282" s="9" t="n">
        <x:f>IF(AND(R282=1,O282&lt;=$G$13),1,0)</x:f>
        <x:v>0</x:v>
      </x:c>
      <x:c r="T282" s="10" t="n">
        <x:f>EOMONTH(J282-'Сводка'!$B$11,-1)</x:f>
        <x:v>46112</x:v>
      </x:c>
      <x:c r="U282" s="4" t="n">
        <x:f>MATCH(J282,'Сводка'!$R$3:$R$397,0)</x:f>
        <x:v>293</x:v>
      </x:c>
      <x:c r="V282" s="4" t="n">
        <x:f>MATCH(J282-'Сводка'!$B$11,'Сводка'!$R$3:$R$397,0)</x:f>
        <x:v>292</x:v>
      </x:c>
      <x:c r="W282" s="4" t="n">
        <x:f>MATCH(T282,$J$388:$J$400,0)</x:f>
        <x:v>10</x:v>
      </x:c>
      <x:c r="X282" s="3"/>
      <x:c r="Y282" s="3"/>
      <x:c r="Z282" s="3"/>
    </x:row>
    <x:row r="283" ht="15" customHeight="1">
      <x:c r="A283" s="3"/>
      <x:c r="B283" s="3"/>
      <x:c r="C283" s="3"/>
      <x:c r="D283" s="3"/>
      <x:c r="E283" s="3"/>
      <x:c r="F283" s="3"/>
      <x:c r="G283" s="3"/>
      <x:c r="H283" s="3"/>
      <x:c r="I283" s="3"/>
      <x:c r="J283" s="10" t="n">
        <x:v>46134</x:v>
      </x:c>
      <x:c r="K283" s="8" t="n">
        <x:f>INDEX('Сводка'!$S$3:$S$397,U283)</x:f>
        <x:v>63</x:v>
      </x:c>
      <x:c r="L283" s="8" t="n">
        <x:f>INDEX('Сводка'!$S$3:$S$397,V283)</x:f>
        <x:v>64</x:v>
      </x:c>
      <x:c r="M283" s="8" t="n">
        <x:f>INDEX($K$388:$N$400,W283,1)*EXP(INDEX($K$388:$N$400,W283,2)*((J283-$T$405+1)/1000))+INDEX($O$388:$Z$400,W283,MONTH(J283))</x:f>
        <x:v>113.94819219666964</x:v>
      </x:c>
      <x:c r="N283" s="8" t="n">
        <x:f>K283-M283</x:f>
        <x:v>-50.94819219666964</x:v>
      </x:c>
      <x:c r="O283" s="8" t="n">
        <x:f>ABS(N283)</x:f>
        <x:v>50.94819219666964</x:v>
      </x:c>
      <x:c r="P283" s="8" t="n">
        <x:f>N283^2</x:f>
        <x:v>2595.718288108789</x:v>
      </x:c>
      <x:c r="Q283" s="8" t="n">
        <x:f>K283-L283</x:f>
        <x:v>-1</x:v>
      </x:c>
      <x:c r="R283" s="9" t="n">
        <x:f>IF(AND(INDEX('Сводка'!$T$3:$T$397,U283)=0,INDEX('Сводка'!$T$3:$T$397,V283)=0),1,0)</x:f>
        <x:v>1</x:v>
      </x:c>
      <x:c r="S283" s="9" t="n">
        <x:f>IF(AND(R283=1,O283&lt;=$G$13),1,0)</x:f>
        <x:v>0</x:v>
      </x:c>
      <x:c r="T283" s="10" t="n">
        <x:f>EOMONTH(J283-'Сводка'!$B$11,-1)</x:f>
        <x:v>46112</x:v>
      </x:c>
      <x:c r="U283" s="4" t="n">
        <x:f>MATCH(J283,'Сводка'!$R$3:$R$397,0)</x:f>
        <x:v>294</x:v>
      </x:c>
      <x:c r="V283" s="4" t="n">
        <x:f>MATCH(J283-'Сводка'!$B$11,'Сводка'!$R$3:$R$397,0)</x:f>
        <x:v>293</x:v>
      </x:c>
      <x:c r="W283" s="4" t="n">
        <x:f>MATCH(T283,$J$388:$J$400,0)</x:f>
        <x:v>10</x:v>
      </x:c>
      <x:c r="X283" s="3"/>
      <x:c r="Y283" s="3"/>
      <x:c r="Z283" s="3"/>
    </x:row>
    <x:row r="284" ht="15" customHeight="1">
      <x:c r="A284" s="3"/>
      <x:c r="B284" s="3"/>
      <x:c r="C284" s="3"/>
      <x:c r="D284" s="3"/>
      <x:c r="E284" s="3"/>
      <x:c r="F284" s="3"/>
      <x:c r="G284" s="3"/>
      <x:c r="H284" s="3"/>
      <x:c r="I284" s="3"/>
      <x:c r="J284" s="10" t="n">
        <x:v>46135</x:v>
      </x:c>
      <x:c r="K284" s="8" t="n">
        <x:f>INDEX('Сводка'!$S$3:$S$397,U284)</x:f>
        <x:v>55</x:v>
      </x:c>
      <x:c r="L284" s="8" t="n">
        <x:f>INDEX('Сводка'!$S$3:$S$397,V284)</x:f>
        <x:v>63</x:v>
      </x:c>
      <x:c r="M284" s="8" t="n">
        <x:f>INDEX($K$388:$N$400,W284,1)*EXP(INDEX($K$388:$N$400,W284,2)*((J284-$T$405+1)/1000))+INDEX($O$388:$Z$400,W284,MONTH(J284))</x:f>
        <x:v>113.98148293188508</x:v>
      </x:c>
      <x:c r="N284" s="8" t="n">
        <x:f>K284-M284</x:f>
        <x:v>-58.98148293188508</x:v>
      </x:c>
      <x:c r="O284" s="8" t="n">
        <x:f>ABS(N284)</x:f>
        <x:v>58.98148293188508</x:v>
      </x:c>
      <x:c r="P284" s="8" t="n">
        <x:f>N284^2</x:f>
        <x:v>3478.8153288442513</x:v>
      </x:c>
      <x:c r="Q284" s="8" t="n">
        <x:f>K284-L284</x:f>
        <x:v>-8</x:v>
      </x:c>
      <x:c r="R284" s="9" t="n">
        <x:f>IF(AND(INDEX('Сводка'!$T$3:$T$397,U284)=0,INDEX('Сводка'!$T$3:$T$397,V284)=0),1,0)</x:f>
        <x:v>1</x:v>
      </x:c>
      <x:c r="S284" s="9" t="n">
        <x:f>IF(AND(R284=1,O284&lt;=$G$13),1,0)</x:f>
        <x:v>0</x:v>
      </x:c>
      <x:c r="T284" s="10" t="n">
        <x:f>EOMONTH(J284-'Сводка'!$B$11,-1)</x:f>
        <x:v>46112</x:v>
      </x:c>
      <x:c r="U284" s="4" t="n">
        <x:f>MATCH(J284,'Сводка'!$R$3:$R$397,0)</x:f>
        <x:v>295</x:v>
      </x:c>
      <x:c r="V284" s="4" t="n">
        <x:f>MATCH(J284-'Сводка'!$B$11,'Сводка'!$R$3:$R$397,0)</x:f>
        <x:v>294</x:v>
      </x:c>
      <x:c r="W284" s="4" t="n">
        <x:f>MATCH(T284,$J$388:$J$400,0)</x:f>
        <x:v>10</x:v>
      </x:c>
      <x:c r="X284" s="3"/>
      <x:c r="Y284" s="3"/>
      <x:c r="Z284" s="3"/>
    </x:row>
    <x:row r="285" ht="15" customHeight="1">
      <x:c r="A285" s="3"/>
      <x:c r="B285" s="3"/>
      <x:c r="C285" s="3"/>
      <x:c r="D285" s="3"/>
      <x:c r="E285" s="3"/>
      <x:c r="F285" s="3"/>
      <x:c r="G285" s="3"/>
      <x:c r="H285" s="3"/>
      <x:c r="I285" s="3"/>
      <x:c r="J285" s="10" t="n">
        <x:v>46136</x:v>
      </x:c>
      <x:c r="K285" s="8" t="n">
        <x:f>INDEX('Сводка'!$S$3:$S$397,U285)</x:f>
        <x:v>53</x:v>
      </x:c>
      <x:c r="L285" s="8" t="n">
        <x:f>INDEX('Сводка'!$S$3:$S$397,V285)</x:f>
        <x:v>55</x:v>
      </x:c>
      <x:c r="M285" s="8" t="n">
        <x:f>INDEX($K$388:$N$400,W285,1)*EXP(INDEX($K$388:$N$400,W285,2)*((J285-$T$405+1)/1000))+INDEX($O$388:$Z$400,W285,MONTH(J285))</x:f>
        <x:v>114.01478081608458</x:v>
      </x:c>
      <x:c r="N285" s="8" t="n">
        <x:f>K285-M285</x:f>
        <x:v>-61.01478081608458</x:v>
      </x:c>
      <x:c r="O285" s="8" t="n">
        <x:f>ABS(N285)</x:f>
        <x:v>61.01478081608458</x:v>
      </x:c>
      <x:c r="P285" s="8" t="n">
        <x:f>N285^2</x:f>
        <x:v>3722.803478034843</x:v>
      </x:c>
      <x:c r="Q285" s="8" t="n">
        <x:f>K285-L285</x:f>
        <x:v>-2</x:v>
      </x:c>
      <x:c r="R285" s="9" t="n">
        <x:f>IF(AND(INDEX('Сводка'!$T$3:$T$397,U285)=0,INDEX('Сводка'!$T$3:$T$397,V285)=0),1,0)</x:f>
        <x:v>1</x:v>
      </x:c>
      <x:c r="S285" s="9" t="n">
        <x:f>IF(AND(R285=1,O285&lt;=$G$13),1,0)</x:f>
        <x:v>0</x:v>
      </x:c>
      <x:c r="T285" s="10" t="n">
        <x:f>EOMONTH(J285-'Сводка'!$B$11,-1)</x:f>
        <x:v>46112</x:v>
      </x:c>
      <x:c r="U285" s="4" t="n">
        <x:f>MATCH(J285,'Сводка'!$R$3:$R$397,0)</x:f>
        <x:v>296</x:v>
      </x:c>
      <x:c r="V285" s="4" t="n">
        <x:f>MATCH(J285-'Сводка'!$B$11,'Сводка'!$R$3:$R$397,0)</x:f>
        <x:v>295</x:v>
      </x:c>
      <x:c r="W285" s="4" t="n">
        <x:f>MATCH(T285,$J$388:$J$400,0)</x:f>
        <x:v>10</x:v>
      </x:c>
      <x:c r="X285" s="3"/>
      <x:c r="Y285" s="3"/>
      <x:c r="Z285" s="3"/>
    </x:row>
    <x:row r="286" ht="15" customHeight="1">
      <x:c r="A286" s="3"/>
      <x:c r="B286" s="3"/>
      <x:c r="C286" s="3"/>
      <x:c r="D286" s="3"/>
      <x:c r="E286" s="3"/>
      <x:c r="F286" s="3"/>
      <x:c r="G286" s="3"/>
      <x:c r="H286" s="3"/>
      <x:c r="I286" s="3"/>
      <x:c r="J286" s="10" t="n">
        <x:v>46137</x:v>
      </x:c>
      <x:c r="K286" s="8" t="n">
        <x:f>INDEX('Сводка'!$S$3:$S$397,U286)</x:f>
        <x:v>58</x:v>
      </x:c>
      <x:c r="L286" s="8" t="n">
        <x:f>INDEX('Сводка'!$S$3:$S$397,V286)</x:f>
        <x:v>53</x:v>
      </x:c>
      <x:c r="M286" s="8" t="n">
        <x:f>INDEX($K$388:$N$400,W286,1)*EXP(INDEX($K$388:$N$400,W286,2)*((J286-$T$405+1)/1000))+INDEX($O$388:$Z$400,W286,MONTH(J286))</x:f>
        <x:v>114.04808585080325</x:v>
      </x:c>
      <x:c r="N286" s="8" t="n">
        <x:f>K286-M286</x:f>
        <x:v>-56.04808585080325</x:v>
      </x:c>
      <x:c r="O286" s="8" t="n">
        <x:f>ABS(N286)</x:f>
        <x:v>56.04808585080325</x:v>
      </x:c>
      <x:c r="P286" s="8" t="n">
        <x:f>N286^2</x:f>
        <x:v>3141.3879275390113</x:v>
      </x:c>
      <x:c r="Q286" s="8" t="n">
        <x:f>K286-L286</x:f>
        <x:v>5</x:v>
      </x:c>
      <x:c r="R286" s="9" t="n">
        <x:f>IF(AND(INDEX('Сводка'!$T$3:$T$397,U286)=0,INDEX('Сводка'!$T$3:$T$397,V286)=0),1,0)</x:f>
        <x:v>1</x:v>
      </x:c>
      <x:c r="S286" s="9" t="n">
        <x:f>IF(AND(R286=1,O286&lt;=$G$13),1,0)</x:f>
        <x:v>0</x:v>
      </x:c>
      <x:c r="T286" s="10" t="n">
        <x:f>EOMONTH(J286-'Сводка'!$B$11,-1)</x:f>
        <x:v>46112</x:v>
      </x:c>
      <x:c r="U286" s="4" t="n">
        <x:f>MATCH(J286,'Сводка'!$R$3:$R$397,0)</x:f>
        <x:v>297</x:v>
      </x:c>
      <x:c r="V286" s="4" t="n">
        <x:f>MATCH(J286-'Сводка'!$B$11,'Сводка'!$R$3:$R$397,0)</x:f>
        <x:v>296</x:v>
      </x:c>
      <x:c r="W286" s="4" t="n">
        <x:f>MATCH(T286,$J$388:$J$400,0)</x:f>
        <x:v>10</x:v>
      </x:c>
      <x:c r="X286" s="3"/>
      <x:c r="Y286" s="3"/>
      <x:c r="Z286" s="3"/>
    </x:row>
    <x:row r="287" ht="15" customHeight="1">
      <x:c r="A287" s="3"/>
      <x:c r="B287" s="3"/>
      <x:c r="C287" s="3"/>
      <x:c r="D287" s="3"/>
      <x:c r="E287" s="3"/>
      <x:c r="F287" s="3"/>
      <x:c r="G287" s="3"/>
      <x:c r="H287" s="3"/>
      <x:c r="I287" s="3"/>
      <x:c r="J287" s="10" t="n">
        <x:v>46138</x:v>
      </x:c>
      <x:c r="K287" s="8" t="n">
        <x:f>INDEX('Сводка'!$S$3:$S$397,U287)</x:f>
        <x:v>58</x:v>
      </x:c>
      <x:c r="L287" s="8" t="n">
        <x:f>INDEX('Сводка'!$S$3:$S$397,V287)</x:f>
        <x:v>58</x:v>
      </x:c>
      <x:c r="M287" s="8" t="n">
        <x:f>INDEX($K$388:$N$400,W287,1)*EXP(INDEX($K$388:$N$400,W287,2)*((J287-$T$405+1)/1000))+INDEX($O$388:$Z$400,W287,MONTH(J287))</x:f>
        <x:v>114.08139803757665</x:v>
      </x:c>
      <x:c r="N287" s="8" t="n">
        <x:f>K287-M287</x:f>
        <x:v>-56.08139803757665</x:v>
      </x:c>
      <x:c r="O287" s="8" t="n">
        <x:f>ABS(N287)</x:f>
        <x:v>56.08139803757665</x:v>
      </x:c>
      <x:c r="P287" s="8" t="n">
        <x:f>N287^2</x:f>
        <x:v>3145.123205849106</x:v>
      </x:c>
      <x:c r="Q287" s="8" t="n">
        <x:f>K287-L287</x:f>
        <x:v>0</x:v>
      </x:c>
      <x:c r="R287" s="9" t="n">
        <x:f>IF(AND(INDEX('Сводка'!$T$3:$T$397,U287)=0,INDEX('Сводка'!$T$3:$T$397,V287)=0),1,0)</x:f>
        <x:v>1</x:v>
      </x:c>
      <x:c r="S287" s="9" t="n">
        <x:f>IF(AND(R287=1,O287&lt;=$G$13),1,0)</x:f>
        <x:v>0</x:v>
      </x:c>
      <x:c r="T287" s="10" t="n">
        <x:f>EOMONTH(J287-'Сводка'!$B$11,-1)</x:f>
        <x:v>46112</x:v>
      </x:c>
      <x:c r="U287" s="4" t="n">
        <x:f>MATCH(J287,'Сводка'!$R$3:$R$397,0)</x:f>
        <x:v>298</x:v>
      </x:c>
      <x:c r="V287" s="4" t="n">
        <x:f>MATCH(J287-'Сводка'!$B$11,'Сводка'!$R$3:$R$397,0)</x:f>
        <x:v>297</x:v>
      </x:c>
      <x:c r="W287" s="4" t="n">
        <x:f>MATCH(T287,$J$388:$J$400,0)</x:f>
        <x:v>10</x:v>
      </x:c>
      <x:c r="X287" s="3"/>
      <x:c r="Y287" s="3"/>
      <x:c r="Z287" s="3"/>
    </x:row>
    <x:row r="288" ht="15" customHeight="1">
      <x:c r="A288" s="3"/>
      <x:c r="B288" s="3"/>
      <x:c r="C288" s="3"/>
      <x:c r="D288" s="3"/>
      <x:c r="E288" s="3"/>
      <x:c r="F288" s="3"/>
      <x:c r="G288" s="3"/>
      <x:c r="H288" s="3"/>
      <x:c r="I288" s="3"/>
      <x:c r="J288" s="10" t="n">
        <x:v>46139</x:v>
      </x:c>
      <x:c r="K288" s="8" t="n">
        <x:f>INDEX('Сводка'!$S$3:$S$397,U288)</x:f>
        <x:v>61</x:v>
      </x:c>
      <x:c r="L288" s="8" t="n">
        <x:f>INDEX('Сводка'!$S$3:$S$397,V288)</x:f>
        <x:v>58</x:v>
      </x:c>
      <x:c r="M288" s="8" t="n">
        <x:f>INDEX($K$388:$N$400,W288,1)*EXP(INDEX($K$388:$N$400,W288,2)*((J288-$T$405+1)/1000))+INDEX($O$388:$Z$400,W288,MONTH(J288))</x:f>
        <x:v>114.11471737794069</x:v>
      </x:c>
      <x:c r="N288" s="8" t="n">
        <x:f>K288-M288</x:f>
        <x:v>-53.11471737794069</x:v>
      </x:c>
      <x:c r="O288" s="8" t="n">
        <x:f>ABS(N288)</x:f>
        <x:v>53.11471737794069</x:v>
      </x:c>
      <x:c r="P288" s="8" t="n">
        <x:f>N288^2</x:f>
        <x:v>2821.173202138515</x:v>
      </x:c>
      <x:c r="Q288" s="8" t="n">
        <x:f>K288-L288</x:f>
        <x:v>3</x:v>
      </x:c>
      <x:c r="R288" s="9" t="n">
        <x:f>IF(AND(INDEX('Сводка'!$T$3:$T$397,U288)=0,INDEX('Сводка'!$T$3:$T$397,V288)=0),1,0)</x:f>
        <x:v>1</x:v>
      </x:c>
      <x:c r="S288" s="9" t="n">
        <x:f>IF(AND(R288=1,O288&lt;=$G$13),1,0)</x:f>
        <x:v>0</x:v>
      </x:c>
      <x:c r="T288" s="10" t="n">
        <x:f>EOMONTH(J288-'Сводка'!$B$11,-1)</x:f>
        <x:v>46112</x:v>
      </x:c>
      <x:c r="U288" s="4" t="n">
        <x:f>MATCH(J288,'Сводка'!$R$3:$R$397,0)</x:f>
        <x:v>299</x:v>
      </x:c>
      <x:c r="V288" s="4" t="n">
        <x:f>MATCH(J288-'Сводка'!$B$11,'Сводка'!$R$3:$R$397,0)</x:f>
        <x:v>298</x:v>
      </x:c>
      <x:c r="W288" s="4" t="n">
        <x:f>MATCH(T288,$J$388:$J$400,0)</x:f>
        <x:v>10</x:v>
      </x:c>
      <x:c r="X288" s="3"/>
      <x:c r="Y288" s="3"/>
      <x:c r="Z288" s="3"/>
    </x:row>
    <x:row r="289" ht="15" customHeight="1">
      <x:c r="A289" s="3"/>
      <x:c r="B289" s="3"/>
      <x:c r="C289" s="3"/>
      <x:c r="D289" s="3"/>
      <x:c r="E289" s="3"/>
      <x:c r="F289" s="3"/>
      <x:c r="G289" s="3"/>
      <x:c r="H289" s="3"/>
      <x:c r="I289" s="3"/>
      <x:c r="J289" s="10" t="n">
        <x:v>46140</x:v>
      </x:c>
      <x:c r="K289" s="8" t="n">
        <x:f>INDEX('Сводка'!$S$3:$S$397,U289)</x:f>
        <x:v>47</x:v>
      </x:c>
      <x:c r="L289" s="8" t="n">
        <x:f>INDEX('Сводка'!$S$3:$S$397,V289)</x:f>
        <x:v>61</x:v>
      </x:c>
      <x:c r="M289" s="8" t="n">
        <x:f>INDEX($K$388:$N$400,W289,1)*EXP(INDEX($K$388:$N$400,W289,2)*((J289-$T$405+1)/1000))+INDEX($O$388:$Z$400,W289,MONTH(J289))</x:f>
        <x:v>114.1480438734316</x:v>
      </x:c>
      <x:c r="N289" s="8" t="n">
        <x:f>K289-M289</x:f>
        <x:v>-67.1480438734316</x:v>
      </x:c>
      <x:c r="O289" s="8" t="n">
        <x:f>ABS(N289)</x:f>
        <x:v>67.1480438734316</x:v>
      </x:c>
      <x:c r="P289" s="8" t="n">
        <x:f>N289^2</x:f>
        <x:v>4508.859796028296</x:v>
      </x:c>
      <x:c r="Q289" s="8" t="n">
        <x:f>K289-L289</x:f>
        <x:v>-14</x:v>
      </x:c>
      <x:c r="R289" s="9" t="n">
        <x:f>IF(AND(INDEX('Сводка'!$T$3:$T$397,U289)=0,INDEX('Сводка'!$T$3:$T$397,V289)=0),1,0)</x:f>
        <x:v>1</x:v>
      </x:c>
      <x:c r="S289" s="9" t="n">
        <x:f>IF(AND(R289=1,O289&lt;=$G$13),1,0)</x:f>
        <x:v>0</x:v>
      </x:c>
      <x:c r="T289" s="10" t="n">
        <x:f>EOMONTH(J289-'Сводка'!$B$11,-1)</x:f>
        <x:v>46112</x:v>
      </x:c>
      <x:c r="U289" s="4" t="n">
        <x:f>MATCH(J289,'Сводка'!$R$3:$R$397,0)</x:f>
        <x:v>300</x:v>
      </x:c>
      <x:c r="V289" s="4" t="n">
        <x:f>MATCH(J289-'Сводка'!$B$11,'Сводка'!$R$3:$R$397,0)</x:f>
        <x:v>299</x:v>
      </x:c>
      <x:c r="W289" s="4" t="n">
        <x:f>MATCH(T289,$J$388:$J$400,0)</x:f>
        <x:v>10</x:v>
      </x:c>
      <x:c r="X289" s="3"/>
      <x:c r="Y289" s="3"/>
      <x:c r="Z289" s="3"/>
    </x:row>
    <x:row r="290" ht="15" customHeight="1">
      <x:c r="A290" s="3"/>
      <x:c r="B290" s="3"/>
      <x:c r="C290" s="3"/>
      <x:c r="D290" s="3"/>
      <x:c r="E290" s="3"/>
      <x:c r="F290" s="3"/>
      <x:c r="G290" s="3"/>
      <x:c r="H290" s="3"/>
      <x:c r="I290" s="3"/>
      <x:c r="J290" s="10" t="n">
        <x:v>46141</x:v>
      </x:c>
      <x:c r="K290" s="8" t="n">
        <x:f>INDEX('Сводка'!$S$3:$S$397,U290)</x:f>
        <x:v>37</x:v>
      </x:c>
      <x:c r="L290" s="8" t="n">
        <x:f>INDEX('Сводка'!$S$3:$S$397,V290)</x:f>
        <x:v>47</x:v>
      </x:c>
      <x:c r="M290" s="8" t="n">
        <x:f>INDEX($K$388:$N$400,W290,1)*EXP(INDEX($K$388:$N$400,W290,2)*((J290-$T$405+1)/1000))+INDEX($O$388:$Z$400,W290,MONTH(J290))</x:f>
        <x:v>114.18137752558577</x:v>
      </x:c>
      <x:c r="N290" s="8" t="n">
        <x:f>K290-M290</x:f>
        <x:v>-77.18137752558577</x:v>
      </x:c>
      <x:c r="O290" s="8" t="n">
        <x:f>ABS(N290)</x:f>
        <x:v>77.18137752558577</x:v>
      </x:c>
      <x:c r="P290" s="8" t="n">
        <x:f>N290^2</x:f>
        <x:v>5956.965036746997</x:v>
      </x:c>
      <x:c r="Q290" s="8" t="n">
        <x:f>K290-L290</x:f>
        <x:v>-10</x:v>
      </x:c>
      <x:c r="R290" s="9" t="n">
        <x:f>IF(AND(INDEX('Сводка'!$T$3:$T$397,U290)=0,INDEX('Сводка'!$T$3:$T$397,V290)=0),1,0)</x:f>
        <x:v>1</x:v>
      </x:c>
      <x:c r="S290" s="9" t="n">
        <x:f>IF(AND(R290=1,O290&lt;=$G$13),1,0)</x:f>
        <x:v>0</x:v>
      </x:c>
      <x:c r="T290" s="10" t="n">
        <x:f>EOMONTH(J290-'Сводка'!$B$11,-1)</x:f>
        <x:v>46112</x:v>
      </x:c>
      <x:c r="U290" s="4" t="n">
        <x:f>MATCH(J290,'Сводка'!$R$3:$R$397,0)</x:f>
        <x:v>301</x:v>
      </x:c>
      <x:c r="V290" s="4" t="n">
        <x:f>MATCH(J290-'Сводка'!$B$11,'Сводка'!$R$3:$R$397,0)</x:f>
        <x:v>300</x:v>
      </x:c>
      <x:c r="W290" s="4" t="n">
        <x:f>MATCH(T290,$J$388:$J$400,0)</x:f>
        <x:v>10</x:v>
      </x:c>
      <x:c r="X290" s="3"/>
      <x:c r="Y290" s="3"/>
      <x:c r="Z290" s="3"/>
    </x:row>
    <x:row r="291" ht="15" customHeight="1">
      <x:c r="A291" s="3"/>
      <x:c r="B291" s="3"/>
      <x:c r="C291" s="3"/>
      <x:c r="D291" s="3"/>
      <x:c r="E291" s="3"/>
      <x:c r="F291" s="3"/>
      <x:c r="G291" s="3"/>
      <x:c r="H291" s="3"/>
      <x:c r="I291" s="3"/>
      <x:c r="J291" s="10" t="n">
        <x:v>46142</x:v>
      </x:c>
      <x:c r="K291" s="8" t="n">
        <x:f>INDEX('Сводка'!$S$3:$S$397,U291)</x:f>
        <x:v>33</x:v>
      </x:c>
      <x:c r="L291" s="8" t="n">
        <x:f>INDEX('Сводка'!$S$3:$S$397,V291)</x:f>
        <x:v>37</x:v>
      </x:c>
      <x:c r="M291" s="8" t="n">
        <x:f>INDEX($K$388:$N$400,W291,1)*EXP(INDEX($K$388:$N$400,W291,2)*((J291-$T$405+1)/1000))+INDEX($O$388:$Z$400,W291,MONTH(J291))</x:f>
        <x:v>114.21471833594016</x:v>
      </x:c>
      <x:c r="N291" s="8" t="n">
        <x:f>K291-M291</x:f>
        <x:v>-81.21471833594016</x:v>
      </x:c>
      <x:c r="O291" s="8" t="n">
        <x:f>ABS(N291)</x:f>
        <x:v>81.21471833594016</x:v>
      </x:c>
      <x:c r="P291" s="8" t="n">
        <x:f>N291^2</x:f>
        <x:v>6595.830474386095</x:v>
      </x:c>
      <x:c r="Q291" s="8" t="n">
        <x:f>K291-L291</x:f>
        <x:v>-4</x:v>
      </x:c>
      <x:c r="R291" s="9" t="n">
        <x:f>IF(AND(INDEX('Сводка'!$T$3:$T$397,U291)=0,INDEX('Сводка'!$T$3:$T$397,V291)=0),1,0)</x:f>
        <x:v>1</x:v>
      </x:c>
      <x:c r="S291" s="9" t="n">
        <x:f>IF(AND(R291=1,O291&lt;=$G$13),1,0)</x:f>
        <x:v>0</x:v>
      </x:c>
      <x:c r="T291" s="10" t="n">
        <x:f>EOMONTH(J291-'Сводка'!$B$11,-1)</x:f>
        <x:v>46112</x:v>
      </x:c>
      <x:c r="U291" s="4" t="n">
        <x:f>MATCH(J291,'Сводка'!$R$3:$R$397,0)</x:f>
        <x:v>302</x:v>
      </x:c>
      <x:c r="V291" s="4" t="n">
        <x:f>MATCH(J291-'Сводка'!$B$11,'Сводка'!$R$3:$R$397,0)</x:f>
        <x:v>301</x:v>
      </x:c>
      <x:c r="W291" s="4" t="n">
        <x:f>MATCH(T291,$J$388:$J$400,0)</x:f>
        <x:v>10</x:v>
      </x:c>
      <x:c r="X291" s="3"/>
      <x:c r="Y291" s="3"/>
      <x:c r="Z291" s="3"/>
    </x:row>
    <x:row r="292" ht="15" customHeight="1">
      <x:c r="A292" s="3"/>
      <x:c r="B292" s="3"/>
      <x:c r="C292" s="3"/>
      <x:c r="D292" s="3"/>
      <x:c r="E292" s="3"/>
      <x:c r="F292" s="3"/>
      <x:c r="G292" s="3"/>
      <x:c r="H292" s="3"/>
      <x:c r="I292" s="3"/>
      <x:c r="J292" s="10" t="n">
        <x:v>46143</x:v>
      </x:c>
      <x:c r="K292" s="8" t="n">
        <x:f>INDEX('Сводка'!$S$3:$S$397,U292)</x:f>
        <x:v>44</x:v>
      </x:c>
      <x:c r="L292" s="8" t="n">
        <x:f>INDEX('Сводка'!$S$3:$S$397,V292)</x:f>
        <x:v>33</x:v>
      </x:c>
      <x:c r="M292" s="8" t="n">
        <x:f>INDEX($K$388:$N$400,W292,1)*EXP(INDEX($K$388:$N$400,W292,2)*((J292-$T$405+1)/1000))+INDEX($O$388:$Z$400,W292,MONTH(J292))</x:f>
        <x:v>209.34655662681712</x:v>
      </x:c>
      <x:c r="N292" s="8" t="n">
        <x:f>K292-M292</x:f>
        <x:v>-165.34655662681712</x:v>
      </x:c>
      <x:c r="O292" s="8" t="n">
        <x:f>ABS(N292)</x:f>
        <x:v>165.34655662681712</x:v>
      </x:c>
      <x:c r="P292" s="8" t="n">
        <x:f>N292^2</x:f>
        <x:v>27339.48378834524</x:v>
      </x:c>
      <x:c r="Q292" s="8" t="n">
        <x:f>K292-L292</x:f>
        <x:v>11</x:v>
      </x:c>
      <x:c r="R292" s="9" t="n">
        <x:f>IF(AND(INDEX('Сводка'!$T$3:$T$397,U292)=0,INDEX('Сводка'!$T$3:$T$397,V292)=0),1,0)</x:f>
        <x:v>1</x:v>
      </x:c>
      <x:c r="S292" s="9" t="n">
        <x:f>IF(AND(R292=1,O292&lt;=$G$13),1,0)</x:f>
        <x:v>0</x:v>
      </x:c>
      <x:c r="T292" s="10" t="n">
        <x:f>EOMONTH(J292-'Сводка'!$B$11,-1)</x:f>
        <x:v>46112</x:v>
      </x:c>
      <x:c r="U292" s="4" t="n">
        <x:f>MATCH(J292,'Сводка'!$R$3:$R$397,0)</x:f>
        <x:v>303</x:v>
      </x:c>
      <x:c r="V292" s="4" t="n">
        <x:f>MATCH(J292-'Сводка'!$B$11,'Сводка'!$R$3:$R$397,0)</x:f>
        <x:v>302</x:v>
      </x:c>
      <x:c r="W292" s="4" t="n">
        <x:f>MATCH(T292,$J$388:$J$400,0)</x:f>
        <x:v>10</x:v>
      </x:c>
      <x:c r="X292" s="3"/>
      <x:c r="Y292" s="3"/>
      <x:c r="Z292" s="3"/>
    </x:row>
    <x:row r="293" ht="15" customHeight="1">
      <x:c r="A293" s="3"/>
      <x:c r="B293" s="3"/>
      <x:c r="C293" s="3"/>
      <x:c r="D293" s="3"/>
      <x:c r="E293" s="3"/>
      <x:c r="F293" s="3"/>
      <x:c r="G293" s="3"/>
      <x:c r="H293" s="3"/>
      <x:c r="I293" s="3"/>
      <x:c r="J293" s="10" t="n">
        <x:v>46144</x:v>
      </x:c>
      <x:c r="K293" s="8" t="n">
        <x:f>INDEX('Сводка'!$S$3:$S$397,U293)</x:f>
        <x:v>61</x:v>
      </x:c>
      <x:c r="L293" s="8" t="n">
        <x:f>INDEX('Сводка'!$S$3:$S$397,V293)</x:f>
        <x:v>44</x:v>
      </x:c>
      <x:c r="M293" s="8" t="n">
        <x:f>INDEX($K$388:$N$400,W293,1)*EXP(INDEX($K$388:$N$400,W293,2)*((J293-$T$405+1)/1000))+INDEX($O$388:$Z$400,W293,MONTH(J293))</x:f>
        <x:v>207.53054852576378</x:v>
      </x:c>
      <x:c r="N293" s="8" t="n">
        <x:f>K293-M293</x:f>
        <x:v>-146.53054852576378</x:v>
      </x:c>
      <x:c r="O293" s="8" t="n">
        <x:f>ABS(N293)</x:f>
        <x:v>146.53054852576378</x:v>
      </x:c>
      <x:c r="P293" s="8" t="n">
        <x:f>N293^2</x:f>
        <x:v>21471.201651261214</x:v>
      </x:c>
      <x:c r="Q293" s="8" t="n">
        <x:f>K293-L293</x:f>
        <x:v>17</x:v>
      </x:c>
      <x:c r="R293" s="9" t="n">
        <x:f>IF(AND(INDEX('Сводка'!$T$3:$T$397,U293)=0,INDEX('Сводка'!$T$3:$T$397,V293)=0),1,0)</x:f>
        <x:v>1</x:v>
      </x:c>
      <x:c r="S293" s="9" t="n">
        <x:f>IF(AND(R293=1,O293&lt;=$G$13),1,0)</x:f>
        <x:v>0</x:v>
      </x:c>
      <x:c r="T293" s="10" t="n">
        <x:f>EOMONTH(J293-'Сводка'!$B$11,-1)</x:f>
        <x:v>46142</x:v>
      </x:c>
      <x:c r="U293" s="4" t="n">
        <x:f>MATCH(J293,'Сводка'!$R$3:$R$397,0)</x:f>
        <x:v>304</x:v>
      </x:c>
      <x:c r="V293" s="4" t="n">
        <x:f>MATCH(J293-'Сводка'!$B$11,'Сводка'!$R$3:$R$397,0)</x:f>
        <x:v>303</x:v>
      </x:c>
      <x:c r="W293" s="4" t="n">
        <x:f>MATCH(T293,$J$388:$J$400,0)</x:f>
        <x:v>11</x:v>
      </x:c>
      <x:c r="X293" s="3"/>
      <x:c r="Y293" s="3"/>
      <x:c r="Z293" s="3"/>
    </x:row>
    <x:row r="294" ht="15" customHeight="1">
      <x:c r="A294" s="3"/>
      <x:c r="B294" s="3"/>
      <x:c r="C294" s="3"/>
      <x:c r="D294" s="3"/>
      <x:c r="E294" s="3"/>
      <x:c r="F294" s="3"/>
      <x:c r="G294" s="3"/>
      <x:c r="H294" s="3"/>
      <x:c r="I294" s="3"/>
      <x:c r="J294" s="10" t="n">
        <x:v>46145</x:v>
      </x:c>
      <x:c r="K294" s="8" t="n">
        <x:f>INDEX('Сводка'!$S$3:$S$397,U294)</x:f>
        <x:v>76</x:v>
      </x:c>
      <x:c r="L294" s="8" t="n">
        <x:f>INDEX('Сводка'!$S$3:$S$397,V294)</x:f>
        <x:v>61</x:v>
      </x:c>
      <x:c r="M294" s="8" t="n">
        <x:f>INDEX($K$388:$N$400,W294,1)*EXP(INDEX($K$388:$N$400,W294,2)*((J294-$T$405+1)/1000))+INDEX($O$388:$Z$400,W294,MONTH(J294))</x:f>
        <x:v>207.5630108386315</x:v>
      </x:c>
      <x:c r="N294" s="8" t="n">
        <x:f>K294-M294</x:f>
        <x:v>-131.5630108386315</x:v>
      </x:c>
      <x:c r="O294" s="8" t="n">
        <x:f>ABS(N294)</x:f>
        <x:v>131.5630108386315</x:v>
      </x:c>
      <x:c r="P294" s="8" t="n">
        <x:f>N294^2</x:f>
        <x:v>17308.825820925867</x:v>
      </x:c>
      <x:c r="Q294" s="8" t="n">
        <x:f>K294-L294</x:f>
        <x:v>15</x:v>
      </x:c>
      <x:c r="R294" s="9" t="n">
        <x:f>IF(AND(INDEX('Сводка'!$T$3:$T$397,U294)=0,INDEX('Сводка'!$T$3:$T$397,V294)=0),1,0)</x:f>
        <x:v>1</x:v>
      </x:c>
      <x:c r="S294" s="9" t="n">
        <x:f>IF(AND(R294=1,O294&lt;=$G$13),1,0)</x:f>
        <x:v>0</x:v>
      </x:c>
      <x:c r="T294" s="10" t="n">
        <x:f>EOMONTH(J294-'Сводка'!$B$11,-1)</x:f>
        <x:v>46142</x:v>
      </x:c>
      <x:c r="U294" s="4" t="n">
        <x:f>MATCH(J294,'Сводка'!$R$3:$R$397,0)</x:f>
        <x:v>305</x:v>
      </x:c>
      <x:c r="V294" s="4" t="n">
        <x:f>MATCH(J294-'Сводка'!$B$11,'Сводка'!$R$3:$R$397,0)</x:f>
        <x:v>304</x:v>
      </x:c>
      <x:c r="W294" s="4" t="n">
        <x:f>MATCH(T294,$J$388:$J$400,0)</x:f>
        <x:v>11</x:v>
      </x:c>
      <x:c r="X294" s="3"/>
      <x:c r="Y294" s="3"/>
      <x:c r="Z294" s="3"/>
    </x:row>
    <x:row r="295" ht="15" customHeight="1">
      <x:c r="A295" s="3"/>
      <x:c r="B295" s="3"/>
      <x:c r="C295" s="3"/>
      <x:c r="D295" s="3"/>
      <x:c r="E295" s="3"/>
      <x:c r="F295" s="3"/>
      <x:c r="G295" s="3"/>
      <x:c r="H295" s="3"/>
      <x:c r="I295" s="3"/>
      <x:c r="J295" s="10" t="n">
        <x:v>46146</x:v>
      </x:c>
      <x:c r="K295" s="8" t="n">
        <x:f>INDEX('Сводка'!$S$3:$S$397,U295)</x:f>
        <x:v>83</x:v>
      </x:c>
      <x:c r="L295" s="8" t="n">
        <x:f>INDEX('Сводка'!$S$3:$S$397,V295)</x:f>
        <x:v>76</x:v>
      </x:c>
      <x:c r="M295" s="8" t="n">
        <x:f>INDEX($K$388:$N$400,W295,1)*EXP(INDEX($K$388:$N$400,W295,2)*((J295-$T$405+1)/1000))+INDEX($O$388:$Z$400,W295,MONTH(J295))</x:f>
        <x:v>207.5954800288872</x:v>
      </x:c>
      <x:c r="N295" s="8" t="n">
        <x:f>K295-M295</x:f>
        <x:v>-124.59548002888721</x:v>
      </x:c>
      <x:c r="O295" s="8" t="n">
        <x:f>ABS(N295)</x:f>
        <x:v>124.59548002888721</x:v>
      </x:c>
      <x:c r="P295" s="8" t="n">
        <x:f>N295^2</x:f>
        <x:v>15524.03364362883</x:v>
      </x:c>
      <x:c r="Q295" s="8" t="n">
        <x:f>K295-L295</x:f>
        <x:v>7</x:v>
      </x:c>
      <x:c r="R295" s="9" t="n">
        <x:f>IF(AND(INDEX('Сводка'!$T$3:$T$397,U295)=0,INDEX('Сводка'!$T$3:$T$397,V295)=0),1,0)</x:f>
        <x:v>1</x:v>
      </x:c>
      <x:c r="S295" s="9" t="n">
        <x:f>IF(AND(R295=1,O295&lt;=$G$13),1,0)</x:f>
        <x:v>0</x:v>
      </x:c>
      <x:c r="T295" s="10" t="n">
        <x:f>EOMONTH(J295-'Сводка'!$B$11,-1)</x:f>
        <x:v>46142</x:v>
      </x:c>
      <x:c r="U295" s="4" t="n">
        <x:f>MATCH(J295,'Сводка'!$R$3:$R$397,0)</x:f>
        <x:v>306</x:v>
      </x:c>
      <x:c r="V295" s="4" t="n">
        <x:f>MATCH(J295-'Сводка'!$B$11,'Сводка'!$R$3:$R$397,0)</x:f>
        <x:v>305</x:v>
      </x:c>
      <x:c r="W295" s="4" t="n">
        <x:f>MATCH(T295,$J$388:$J$400,0)</x:f>
        <x:v>11</x:v>
      </x:c>
      <x:c r="X295" s="3"/>
      <x:c r="Y295" s="3"/>
      <x:c r="Z295" s="3"/>
    </x:row>
    <x:row r="296" ht="15" customHeight="1">
      <x:c r="A296" s="3"/>
      <x:c r="B296" s="3"/>
      <x:c r="C296" s="3"/>
      <x:c r="D296" s="3"/>
      <x:c r="E296" s="3"/>
      <x:c r="F296" s="3"/>
      <x:c r="G296" s="3"/>
      <x:c r="H296" s="3"/>
      <x:c r="I296" s="3"/>
      <x:c r="J296" s="10" t="n">
        <x:v>46147</x:v>
      </x:c>
      <x:c r="K296" s="8" t="n">
        <x:f>INDEX('Сводка'!$S$3:$S$397,U296)</x:f>
        <x:v>87</x:v>
      </x:c>
      <x:c r="L296" s="8" t="n">
        <x:f>INDEX('Сводка'!$S$3:$S$397,V296)</x:f>
        <x:v>83</x:v>
      </x:c>
      <x:c r="M296" s="8" t="n">
        <x:f>INDEX($K$388:$N$400,W296,1)*EXP(INDEX($K$388:$N$400,W296,2)*((J296-$T$405+1)/1000))+INDEX($O$388:$Z$400,W296,MONTH(J296))</x:f>
        <x:v>207.62795609798775</x:v>
      </x:c>
      <x:c r="N296" s="8" t="n">
        <x:f>K296-M296</x:f>
        <x:v>-120.62795609798775</x:v>
      </x:c>
      <x:c r="O296" s="8" t="n">
        <x:f>ABS(N296)</x:f>
        <x:v>120.62795609798775</x:v>
      </x:c>
      <x:c r="P296" s="8" t="n">
        <x:f>N296^2</x:f>
        <x:v>14551.10379237806</x:v>
      </x:c>
      <x:c r="Q296" s="8" t="n">
        <x:f>K296-L296</x:f>
        <x:v>4</x:v>
      </x:c>
      <x:c r="R296" s="9" t="n">
        <x:f>IF(AND(INDEX('Сводка'!$T$3:$T$397,U296)=0,INDEX('Сводка'!$T$3:$T$397,V296)=0),1,0)</x:f>
        <x:v>1</x:v>
      </x:c>
      <x:c r="S296" s="9" t="n">
        <x:f>IF(AND(R296=1,O296&lt;=$G$13),1,0)</x:f>
        <x:v>0</x:v>
      </x:c>
      <x:c r="T296" s="10" t="n">
        <x:f>EOMONTH(J296-'Сводка'!$B$11,-1)</x:f>
        <x:v>46142</x:v>
      </x:c>
      <x:c r="U296" s="4" t="n">
        <x:f>MATCH(J296,'Сводка'!$R$3:$R$397,0)</x:f>
        <x:v>307</x:v>
      </x:c>
      <x:c r="V296" s="4" t="n">
        <x:f>MATCH(J296-'Сводка'!$B$11,'Сводка'!$R$3:$R$397,0)</x:f>
        <x:v>306</x:v>
      </x:c>
      <x:c r="W296" s="4" t="n">
        <x:f>MATCH(T296,$J$388:$J$400,0)</x:f>
        <x:v>11</x:v>
      </x:c>
      <x:c r="X296" s="3"/>
      <x:c r="Y296" s="3"/>
      <x:c r="Z296" s="3"/>
    </x:row>
    <x:row r="297" ht="15" customHeight="1">
      <x:c r="A297" s="3"/>
      <x:c r="B297" s="3"/>
      <x:c r="C297" s="3"/>
      <x:c r="D297" s="3"/>
      <x:c r="E297" s="3"/>
      <x:c r="F297" s="3"/>
      <x:c r="G297" s="3"/>
      <x:c r="H297" s="3"/>
      <x:c r="I297" s="3"/>
      <x:c r="J297" s="10" t="n">
        <x:v>46148</x:v>
      </x:c>
      <x:c r="K297" s="8" t="n">
        <x:f>INDEX('Сводка'!$S$3:$S$397,U297)</x:f>
        <x:v>92</x:v>
      </x:c>
      <x:c r="L297" s="8" t="n">
        <x:f>INDEX('Сводка'!$S$3:$S$397,V297)</x:f>
        <x:v>87</x:v>
      </x:c>
      <x:c r="M297" s="8" t="n">
        <x:f>INDEX($K$388:$N$400,W297,1)*EXP(INDEX($K$388:$N$400,W297,2)*((J297-$T$405+1)/1000))+INDEX($O$388:$Z$400,W297,MONTH(J297))</x:f>
        <x:v>207.66043904739058</x:v>
      </x:c>
      <x:c r="N297" s="8" t="n">
        <x:f>K297-M297</x:f>
        <x:v>-115.66043904739058</x:v>
      </x:c>
      <x:c r="O297" s="8" t="n">
        <x:f>ABS(N297)</x:f>
        <x:v>115.66043904739058</x:v>
      </x:c>
      <x:c r="P297" s="8" t="n">
        <x:f>N297^2</x:f>
        <x:v>13377.337160635152</x:v>
      </x:c>
      <x:c r="Q297" s="8" t="n">
        <x:f>K297-L297</x:f>
        <x:v>5</x:v>
      </x:c>
      <x:c r="R297" s="9" t="n">
        <x:f>IF(AND(INDEX('Сводка'!$T$3:$T$397,U297)=0,INDEX('Сводка'!$T$3:$T$397,V297)=0),1,0)</x:f>
        <x:v>1</x:v>
      </x:c>
      <x:c r="S297" s="9" t="n">
        <x:f>IF(AND(R297=1,O297&lt;=$G$13),1,0)</x:f>
        <x:v>0</x:v>
      </x:c>
      <x:c r="T297" s="10" t="n">
        <x:f>EOMONTH(J297-'Сводка'!$B$11,-1)</x:f>
        <x:v>46142</x:v>
      </x:c>
      <x:c r="U297" s="4" t="n">
        <x:f>MATCH(J297,'Сводка'!$R$3:$R$397,0)</x:f>
        <x:v>308</x:v>
      </x:c>
      <x:c r="V297" s="4" t="n">
        <x:f>MATCH(J297-'Сводка'!$B$11,'Сводка'!$R$3:$R$397,0)</x:f>
        <x:v>307</x:v>
      </x:c>
      <x:c r="W297" s="4" t="n">
        <x:f>MATCH(T297,$J$388:$J$400,0)</x:f>
        <x:v>11</x:v>
      </x:c>
      <x:c r="X297" s="3"/>
      <x:c r="Y297" s="3"/>
      <x:c r="Z297" s="3"/>
    </x:row>
    <x:row r="298" ht="15" customHeight="1">
      <x:c r="A298" s="3"/>
      <x:c r="B298" s="3"/>
      <x:c r="C298" s="3"/>
      <x:c r="D298" s="3"/>
      <x:c r="E298" s="3"/>
      <x:c r="F298" s="3"/>
      <x:c r="G298" s="3"/>
      <x:c r="H298" s="3"/>
      <x:c r="I298" s="3"/>
      <x:c r="J298" s="10" t="n">
        <x:v>46149</x:v>
      </x:c>
      <x:c r="K298" s="8" t="n">
        <x:f>INDEX('Сводка'!$S$3:$S$397,U298)</x:f>
        <x:v>99</x:v>
      </x:c>
      <x:c r="L298" s="8" t="n">
        <x:f>INDEX('Сводка'!$S$3:$S$397,V298)</x:f>
        <x:v>92</x:v>
      </x:c>
      <x:c r="M298" s="8" t="n">
        <x:f>INDEX($K$388:$N$400,W298,1)*EXP(INDEX($K$388:$N$400,W298,2)*((J298-$T$405+1)/1000))+INDEX($O$388:$Z$400,W298,MONTH(J298))</x:f>
        <x:v>207.69292887855335</x:v>
      </x:c>
      <x:c r="N298" s="8" t="n">
        <x:f>K298-M298</x:f>
        <x:v>-108.69292887855335</x:v>
      </x:c>
      <x:c r="O298" s="8" t="n">
        <x:f>ABS(N298)</x:f>
        <x:v>108.69292887855335</x:v>
      </x:c>
      <x:c r="P298" s="8" t="n">
        <x:f>N298^2</x:f>
        <x:v>11814.152788198257</x:v>
      </x:c>
      <x:c r="Q298" s="8" t="n">
        <x:f>K298-L298</x:f>
        <x:v>7</x:v>
      </x:c>
      <x:c r="R298" s="9" t="n">
        <x:f>IF(AND(INDEX('Сводка'!$T$3:$T$397,U298)=0,INDEX('Сводка'!$T$3:$T$397,V298)=0),1,0)</x:f>
        <x:v>1</x:v>
      </x:c>
      <x:c r="S298" s="9" t="n">
        <x:f>IF(AND(R298=1,O298&lt;=$G$13),1,0)</x:f>
        <x:v>0</x:v>
      </x:c>
      <x:c r="T298" s="10" t="n">
        <x:f>EOMONTH(J298-'Сводка'!$B$11,-1)</x:f>
        <x:v>46142</x:v>
      </x:c>
      <x:c r="U298" s="4" t="n">
        <x:f>MATCH(J298,'Сводка'!$R$3:$R$397,0)</x:f>
        <x:v>309</x:v>
      </x:c>
      <x:c r="V298" s="4" t="n">
        <x:f>MATCH(J298-'Сводка'!$B$11,'Сводка'!$R$3:$R$397,0)</x:f>
        <x:v>308</x:v>
      </x:c>
      <x:c r="W298" s="4" t="n">
        <x:f>MATCH(T298,$J$388:$J$400,0)</x:f>
        <x:v>11</x:v>
      </x:c>
      <x:c r="X298" s="3"/>
      <x:c r="Y298" s="3"/>
      <x:c r="Z298" s="3"/>
    </x:row>
    <x:row r="299" ht="15" customHeight="1">
      <x:c r="A299" s="3"/>
      <x:c r="B299" s="3"/>
      <x:c r="C299" s="3"/>
      <x:c r="D299" s="3"/>
      <x:c r="E299" s="3"/>
      <x:c r="F299" s="3"/>
      <x:c r="G299" s="3"/>
      <x:c r="H299" s="3"/>
      <x:c r="I299" s="3"/>
      <x:c r="J299" s="10" t="n">
        <x:v>46150</x:v>
      </x:c>
      <x:c r="K299" s="8" t="n">
        <x:f>INDEX('Сводка'!$S$3:$S$397,U299)</x:f>
        <x:v>108</x:v>
      </x:c>
      <x:c r="L299" s="8" t="n">
        <x:f>INDEX('Сводка'!$S$3:$S$397,V299)</x:f>
        <x:v>99</x:v>
      </x:c>
      <x:c r="M299" s="8" t="n">
        <x:f>INDEX($K$388:$N$400,W299,1)*EXP(INDEX($K$388:$N$400,W299,2)*((J299-$T$405+1)/1000))+INDEX($O$388:$Z$400,W299,MONTH(J299))</x:f>
        <x:v>207.72542559293396</x:v>
      </x:c>
      <x:c r="N299" s="8" t="n">
        <x:f>K299-M299</x:f>
        <x:v>-99.72542559293396</x:v>
      </x:c>
      <x:c r="O299" s="8" t="n">
        <x:f>ABS(N299)</x:f>
        <x:v>99.72542559293396</x:v>
      </x:c>
      <x:c r="P299" s="8" t="n">
        <x:f>N299^2</x:f>
        <x:v>9945.160509691808</x:v>
      </x:c>
      <x:c r="Q299" s="8" t="n">
        <x:f>K299-L299</x:f>
        <x:v>9</x:v>
      </x:c>
      <x:c r="R299" s="9" t="n">
        <x:f>IF(AND(INDEX('Сводка'!$T$3:$T$397,U299)=0,INDEX('Сводка'!$T$3:$T$397,V299)=0),1,0)</x:f>
        <x:v>1</x:v>
      </x:c>
      <x:c r="S299" s="9" t="n">
        <x:f>IF(AND(R299=1,O299&lt;=$G$13),1,0)</x:f>
        <x:v>0</x:v>
      </x:c>
      <x:c r="T299" s="10" t="n">
        <x:f>EOMONTH(J299-'Сводка'!$B$11,-1)</x:f>
        <x:v>46142</x:v>
      </x:c>
      <x:c r="U299" s="4" t="n">
        <x:f>MATCH(J299,'Сводка'!$R$3:$R$397,0)</x:f>
        <x:v>310</x:v>
      </x:c>
      <x:c r="V299" s="4" t="n">
        <x:f>MATCH(J299-'Сводка'!$B$11,'Сводка'!$R$3:$R$397,0)</x:f>
        <x:v>309</x:v>
      </x:c>
      <x:c r="W299" s="4" t="n">
        <x:f>MATCH(T299,$J$388:$J$400,0)</x:f>
        <x:v>11</x:v>
      </x:c>
      <x:c r="X299" s="3"/>
      <x:c r="Y299" s="3"/>
      <x:c r="Z299" s="3"/>
    </x:row>
    <x:row r="300" ht="15" customHeight="1">
      <x:c r="A300" s="3"/>
      <x:c r="B300" s="3"/>
      <x:c r="C300" s="3"/>
      <x:c r="D300" s="3"/>
      <x:c r="E300" s="3"/>
      <x:c r="F300" s="3"/>
      <x:c r="G300" s="3"/>
      <x:c r="H300" s="3"/>
      <x:c r="I300" s="3"/>
      <x:c r="J300" s="10" t="n">
        <x:v>46151</x:v>
      </x:c>
      <x:c r="K300" s="8" t="n">
        <x:f>INDEX('Сводка'!$S$3:$S$397,U300)</x:f>
        <x:v>120</x:v>
      </x:c>
      <x:c r="L300" s="8" t="n">
        <x:f>INDEX('Сводка'!$S$3:$S$397,V300)</x:f>
        <x:v>108</x:v>
      </x:c>
      <x:c r="M300" s="8" t="n">
        <x:f>INDEX($K$388:$N$400,W300,1)*EXP(INDEX($K$388:$N$400,W300,2)*((J300-$T$405+1)/1000))+INDEX($O$388:$Z$400,W300,MONTH(J300))</x:f>
        <x:v>207.75792919199063</x:v>
      </x:c>
      <x:c r="N300" s="8" t="n">
        <x:f>K300-M300</x:f>
        <x:v>-87.75792919199063</x:v>
      </x:c>
      <x:c r="O300" s="8" t="n">
        <x:f>ABS(N300)</x:f>
        <x:v>87.75792919199063</x:v>
      </x:c>
      <x:c r="P300" s="8" t="n">
        <x:f>N300^2</x:f>
        <x:v>7701.454136066441</x:v>
      </x:c>
      <x:c r="Q300" s="8" t="n">
        <x:f>K300-L300</x:f>
        <x:v>12</x:v>
      </x:c>
      <x:c r="R300" s="9" t="n">
        <x:f>IF(AND(INDEX('Сводка'!$T$3:$T$397,U300)=0,INDEX('Сводка'!$T$3:$T$397,V300)=0),1,0)</x:f>
        <x:v>1</x:v>
      </x:c>
      <x:c r="S300" s="9" t="n">
        <x:f>IF(AND(R300=1,O300&lt;=$G$13),1,0)</x:f>
        <x:v>0</x:v>
      </x:c>
      <x:c r="T300" s="10" t="n">
        <x:f>EOMONTH(J300-'Сводка'!$B$11,-1)</x:f>
        <x:v>46142</x:v>
      </x:c>
      <x:c r="U300" s="4" t="n">
        <x:f>MATCH(J300,'Сводка'!$R$3:$R$397,0)</x:f>
        <x:v>311</x:v>
      </x:c>
      <x:c r="V300" s="4" t="n">
        <x:f>MATCH(J300-'Сводка'!$B$11,'Сводка'!$R$3:$R$397,0)</x:f>
        <x:v>310</x:v>
      </x:c>
      <x:c r="W300" s="4" t="n">
        <x:f>MATCH(T300,$J$388:$J$400,0)</x:f>
        <x:v>11</x:v>
      </x:c>
      <x:c r="X300" s="3"/>
      <x:c r="Y300" s="3"/>
      <x:c r="Z300" s="3"/>
    </x:row>
    <x:row r="301" ht="15" customHeight="1">
      <x:c r="A301" s="3"/>
      <x:c r="B301" s="3"/>
      <x:c r="C301" s="3"/>
      <x:c r="D301" s="3"/>
      <x:c r="E301" s="3"/>
      <x:c r="F301" s="3"/>
      <x:c r="G301" s="3"/>
      <x:c r="H301" s="3"/>
      <x:c r="I301" s="3"/>
      <x:c r="J301" s="10" t="n">
        <x:v>46152</x:v>
      </x:c>
      <x:c r="K301" s="8" t="n">
        <x:f>INDEX('Сводка'!$S$3:$S$397,U301)</x:f>
        <x:v>137</x:v>
      </x:c>
      <x:c r="L301" s="8" t="n">
        <x:f>INDEX('Сводка'!$S$3:$S$397,V301)</x:f>
        <x:v>120</x:v>
      </x:c>
      <x:c r="M301" s="8" t="n">
        <x:f>INDEX($K$388:$N$400,W301,1)*EXP(INDEX($K$388:$N$400,W301,2)*((J301-$T$405+1)/1000))+INDEX($O$388:$Z$400,W301,MONTH(J301))</x:f>
        <x:v>207.79043967718212</x:v>
      </x:c>
      <x:c r="N301" s="8" t="n">
        <x:f>K301-M301</x:f>
        <x:v>-70.79043967718212</x:v>
      </x:c>
      <x:c r="O301" s="8" t="n">
        <x:f>ABS(N301)</x:f>
        <x:v>70.79043967718212</x:v>
      </x:c>
      <x:c r="P301" s="8" t="n">
        <x:f>N301^2</x:f>
        <x:v>5011.28634968876</x:v>
      </x:c>
      <x:c r="Q301" s="8" t="n">
        <x:f>K301-L301</x:f>
        <x:v>17</x:v>
      </x:c>
      <x:c r="R301" s="9" t="n">
        <x:f>IF(AND(INDEX('Сводка'!$T$3:$T$397,U301)=0,INDEX('Сводка'!$T$3:$T$397,V301)=0),1,0)</x:f>
        <x:v>1</x:v>
      </x:c>
      <x:c r="S301" s="9" t="n">
        <x:f>IF(AND(R301=1,O301&lt;=$G$13),1,0)</x:f>
        <x:v>0</x:v>
      </x:c>
      <x:c r="T301" s="10" t="n">
        <x:f>EOMONTH(J301-'Сводка'!$B$11,-1)</x:f>
        <x:v>46142</x:v>
      </x:c>
      <x:c r="U301" s="4" t="n">
        <x:f>MATCH(J301,'Сводка'!$R$3:$R$397,0)</x:f>
        <x:v>312</x:v>
      </x:c>
      <x:c r="V301" s="4" t="n">
        <x:f>MATCH(J301-'Сводка'!$B$11,'Сводка'!$R$3:$R$397,0)</x:f>
        <x:v>311</x:v>
      </x:c>
      <x:c r="W301" s="4" t="n">
        <x:f>MATCH(T301,$J$388:$J$400,0)</x:f>
        <x:v>11</x:v>
      </x:c>
      <x:c r="X301" s="3"/>
      <x:c r="Y301" s="3"/>
      <x:c r="Z301" s="3"/>
    </x:row>
    <x:row r="302" ht="15" customHeight="1">
      <x:c r="A302" s="3"/>
      <x:c r="B302" s="3"/>
      <x:c r="C302" s="3"/>
      <x:c r="D302" s="3"/>
      <x:c r="E302" s="3"/>
      <x:c r="F302" s="3"/>
      <x:c r="G302" s="3"/>
      <x:c r="H302" s="3"/>
      <x:c r="I302" s="3"/>
      <x:c r="J302" s="10" t="n">
        <x:v>46153</x:v>
      </x:c>
      <x:c r="K302" s="8" t="n">
        <x:f>INDEX('Сводка'!$S$3:$S$397,U302)</x:f>
        <x:v>152</x:v>
      </x:c>
      <x:c r="L302" s="8" t="n">
        <x:f>INDEX('Сводка'!$S$3:$S$397,V302)</x:f>
        <x:v>137</x:v>
      </x:c>
      <x:c r="M302" s="8" t="n">
        <x:f>INDEX($K$388:$N$400,W302,1)*EXP(INDEX($K$388:$N$400,W302,2)*((J302-$T$405+1)/1000))+INDEX($O$388:$Z$400,W302,MONTH(J302))</x:f>
        <x:v>207.8229570499671</x:v>
      </x:c>
      <x:c r="N302" s="8" t="n">
        <x:f>K302-M302</x:f>
        <x:v>-55.8229570499671</x:v>
      </x:c>
      <x:c r="O302" s="8" t="n">
        <x:f>ABS(N302)</x:f>
        <x:v>55.8229570499671</x:v>
      </x:c>
      <x:c r="P302" s="8" t="n">
        <x:f>N302^2</x:f>
        <x:v>3116.202533802472</x:v>
      </x:c>
      <x:c r="Q302" s="8" t="n">
        <x:f>K302-L302</x:f>
        <x:v>15</x:v>
      </x:c>
      <x:c r="R302" s="9" t="n">
        <x:f>IF(AND(INDEX('Сводка'!$T$3:$T$397,U302)=0,INDEX('Сводка'!$T$3:$T$397,V302)=0),1,0)</x:f>
        <x:v>1</x:v>
      </x:c>
      <x:c r="S302" s="9" t="n">
        <x:f>IF(AND(R302=1,O302&lt;=$G$13),1,0)</x:f>
        <x:v>0</x:v>
      </x:c>
      <x:c r="T302" s="10" t="n">
        <x:f>EOMONTH(J302-'Сводка'!$B$11,-1)</x:f>
        <x:v>46142</x:v>
      </x:c>
      <x:c r="U302" s="4" t="n">
        <x:f>MATCH(J302,'Сводка'!$R$3:$R$397,0)</x:f>
        <x:v>313</x:v>
      </x:c>
      <x:c r="V302" s="4" t="n">
        <x:f>MATCH(J302-'Сводка'!$B$11,'Сводка'!$R$3:$R$397,0)</x:f>
        <x:v>312</x:v>
      </x:c>
      <x:c r="W302" s="4" t="n">
        <x:f>MATCH(T302,$J$388:$J$400,0)</x:f>
        <x:v>11</x:v>
      </x:c>
      <x:c r="X302" s="3"/>
      <x:c r="Y302" s="3"/>
      <x:c r="Z302" s="3"/>
    </x:row>
    <x:row r="303" ht="15" customHeight="1">
      <x:c r="A303" s="3"/>
      <x:c r="B303" s="3"/>
      <x:c r="C303" s="3"/>
      <x:c r="D303" s="3"/>
      <x:c r="E303" s="3"/>
      <x:c r="F303" s="3"/>
      <x:c r="G303" s="3"/>
      <x:c r="H303" s="3"/>
      <x:c r="I303" s="3"/>
      <x:c r="J303" s="10" t="n">
        <x:v>46154</x:v>
      </x:c>
      <x:c r="K303" s="8" t="n">
        <x:f>INDEX('Сводка'!$S$3:$S$397,U303)</x:f>
        <x:v>160</x:v>
      </x:c>
      <x:c r="L303" s="8" t="n">
        <x:f>INDEX('Сводка'!$S$3:$S$397,V303)</x:f>
        <x:v>152</x:v>
      </x:c>
      <x:c r="M303" s="8" t="n">
        <x:f>INDEX($K$388:$N$400,W303,1)*EXP(INDEX($K$388:$N$400,W303,2)*((J303-$T$405+1)/1000))+INDEX($O$388:$Z$400,W303,MONTH(J303))</x:f>
        <x:v>207.85548131180485</x:v>
      </x:c>
      <x:c r="N303" s="8" t="n">
        <x:f>K303-M303</x:f>
        <x:v>-47.85548131180485</x:v>
      </x:c>
      <x:c r="O303" s="8" t="n">
        <x:f>ABS(N303)</x:f>
        <x:v>47.85548131180485</x:v>
      </x:c>
      <x:c r="P303" s="8" t="n">
        <x:f>N303^2</x:f>
        <x:v>2290.1470915845034</x:v>
      </x:c>
      <x:c r="Q303" s="8" t="n">
        <x:f>K303-L303</x:f>
        <x:v>8</x:v>
      </x:c>
      <x:c r="R303" s="9" t="n">
        <x:f>IF(AND(INDEX('Сводка'!$T$3:$T$397,U303)=0,INDEX('Сводка'!$T$3:$T$397,V303)=0),1,0)</x:f>
        <x:v>1</x:v>
      </x:c>
      <x:c r="S303" s="9" t="n">
        <x:f>IF(AND(R303=1,O303&lt;=$G$13),1,0)</x:f>
        <x:v>0</x:v>
      </x:c>
      <x:c r="T303" s="10" t="n">
        <x:f>EOMONTH(J303-'Сводка'!$B$11,-1)</x:f>
        <x:v>46142</x:v>
      </x:c>
      <x:c r="U303" s="4" t="n">
        <x:f>MATCH(J303,'Сводка'!$R$3:$R$397,0)</x:f>
        <x:v>314</x:v>
      </x:c>
      <x:c r="V303" s="4" t="n">
        <x:f>MATCH(J303-'Сводка'!$B$11,'Сводка'!$R$3:$R$397,0)</x:f>
        <x:v>313</x:v>
      </x:c>
      <x:c r="W303" s="4" t="n">
        <x:f>MATCH(T303,$J$388:$J$400,0)</x:f>
        <x:v>11</x:v>
      </x:c>
      <x:c r="X303" s="3"/>
      <x:c r="Y303" s="3"/>
      <x:c r="Z303" s="3"/>
    </x:row>
    <x:row r="304" ht="15" customHeight="1">
      <x:c r="A304" s="3"/>
      <x:c r="B304" s="3"/>
      <x:c r="C304" s="3"/>
      <x:c r="D304" s="3"/>
      <x:c r="E304" s="3"/>
      <x:c r="F304" s="3"/>
      <x:c r="G304" s="3"/>
      <x:c r="H304" s="3"/>
      <x:c r="I304" s="3"/>
      <x:c r="J304" s="10" t="n">
        <x:v>46155</x:v>
      </x:c>
      <x:c r="K304" s="8" t="n">
        <x:f>INDEX('Сводка'!$S$3:$S$397,U304)</x:f>
        <x:v>162</x:v>
      </x:c>
      <x:c r="L304" s="8" t="n">
        <x:f>INDEX('Сводка'!$S$3:$S$397,V304)</x:f>
        <x:v>160</x:v>
      </x:c>
      <x:c r="M304" s="8" t="n">
        <x:f>INDEX($K$388:$N$400,W304,1)*EXP(INDEX($K$388:$N$400,W304,2)*((J304-$T$405+1)/1000))+INDEX($O$388:$Z$400,W304,MONTH(J304))</x:f>
        <x:v>207.88801246415488</x:v>
      </x:c>
      <x:c r="N304" s="8" t="n">
        <x:f>K304-M304</x:f>
        <x:v>-45.88801246415488</x:v>
      </x:c>
      <x:c r="O304" s="8" t="n">
        <x:f>ABS(N304)</x:f>
        <x:v>45.88801246415488</x:v>
      </x:c>
      <x:c r="P304" s="8" t="n">
        <x:f>N304^2</x:f>
        <x:v>2105.709687910434</x:v>
      </x:c>
      <x:c r="Q304" s="8" t="n">
        <x:f>K304-L304</x:f>
        <x:v>2</x:v>
      </x:c>
      <x:c r="R304" s="9" t="n">
        <x:f>IF(AND(INDEX('Сводка'!$T$3:$T$397,U304)=0,INDEX('Сводка'!$T$3:$T$397,V304)=0),1,0)</x:f>
        <x:v>1</x:v>
      </x:c>
      <x:c r="S304" s="9" t="n">
        <x:f>IF(AND(R304=1,O304&lt;=$G$13),1,0)</x:f>
        <x:v>0</x:v>
      </x:c>
      <x:c r="T304" s="10" t="n">
        <x:f>EOMONTH(J304-'Сводка'!$B$11,-1)</x:f>
        <x:v>46142</x:v>
      </x:c>
      <x:c r="U304" s="4" t="n">
        <x:f>MATCH(J304,'Сводка'!$R$3:$R$397,0)</x:f>
        <x:v>315</x:v>
      </x:c>
      <x:c r="V304" s="4" t="n">
        <x:f>MATCH(J304-'Сводка'!$B$11,'Сводка'!$R$3:$R$397,0)</x:f>
        <x:v>314</x:v>
      </x:c>
      <x:c r="W304" s="4" t="n">
        <x:f>MATCH(T304,$J$388:$J$400,0)</x:f>
        <x:v>11</x:v>
      </x:c>
      <x:c r="X304" s="3"/>
      <x:c r="Y304" s="3"/>
      <x:c r="Z304" s="3"/>
    </x:row>
    <x:row r="305" ht="15" customHeight="1">
      <x:c r="A305" s="3"/>
      <x:c r="B305" s="3"/>
      <x:c r="C305" s="3"/>
      <x:c r="D305" s="3"/>
      <x:c r="E305" s="3"/>
      <x:c r="F305" s="3"/>
      <x:c r="G305" s="3"/>
      <x:c r="H305" s="3"/>
      <x:c r="I305" s="3"/>
      <x:c r="J305" s="10" t="n">
        <x:v>46156</x:v>
      </x:c>
      <x:c r="K305" s="8" t="n">
        <x:f>INDEX('Сводка'!$S$3:$S$397,U305)</x:f>
        <x:v>161</x:v>
      </x:c>
      <x:c r="L305" s="8" t="n">
        <x:f>INDEX('Сводка'!$S$3:$S$397,V305)</x:f>
        <x:v>162</x:v>
      </x:c>
      <x:c r="M305" s="8" t="n">
        <x:f>INDEX($K$388:$N$400,W305,1)*EXP(INDEX($K$388:$N$400,W305,2)*((J305-$T$405+1)/1000))+INDEX($O$388:$Z$400,W305,MONTH(J305))</x:f>
        <x:v>207.920550508477</x:v>
      </x:c>
      <x:c r="N305" s="8" t="n">
        <x:f>K305-M305</x:f>
        <x:v>-46.92055050847699</x:v>
      </x:c>
      <x:c r="O305" s="8" t="n">
        <x:f>ABS(N305)</x:f>
        <x:v>46.92055050847699</x:v>
      </x:c>
      <x:c r="P305" s="8" t="n">
        <x:f>N305^2</x:f>
        <x:v>2201.5380600185404</x:v>
      </x:c>
      <x:c r="Q305" s="8" t="n">
        <x:f>K305-L305</x:f>
        <x:v>-1</x:v>
      </x:c>
      <x:c r="R305" s="9" t="n">
        <x:f>IF(AND(INDEX('Сводка'!$T$3:$T$397,U305)=0,INDEX('Сводка'!$T$3:$T$397,V305)=0),1,0)</x:f>
        <x:v>1</x:v>
      </x:c>
      <x:c r="S305" s="9" t="n">
        <x:f>IF(AND(R305=1,O305&lt;=$G$13),1,0)</x:f>
        <x:v>0</x:v>
      </x:c>
      <x:c r="T305" s="10" t="n">
        <x:f>EOMONTH(J305-'Сводка'!$B$11,-1)</x:f>
        <x:v>46142</x:v>
      </x:c>
      <x:c r="U305" s="4" t="n">
        <x:f>MATCH(J305,'Сводка'!$R$3:$R$397,0)</x:f>
        <x:v>316</x:v>
      </x:c>
      <x:c r="V305" s="4" t="n">
        <x:f>MATCH(J305-'Сводка'!$B$11,'Сводка'!$R$3:$R$397,0)</x:f>
        <x:v>315</x:v>
      </x:c>
      <x:c r="W305" s="4" t="n">
        <x:f>MATCH(T305,$J$388:$J$400,0)</x:f>
        <x:v>11</x:v>
      </x:c>
      <x:c r="X305" s="3"/>
      <x:c r="Y305" s="3"/>
      <x:c r="Z305" s="3"/>
    </x:row>
    <x:row r="306" ht="15" customHeight="1">
      <x:c r="A306" s="3"/>
      <x:c r="B306" s="3"/>
      <x:c r="C306" s="3"/>
      <x:c r="D306" s="3"/>
      <x:c r="E306" s="3"/>
      <x:c r="F306" s="3"/>
      <x:c r="G306" s="3"/>
      <x:c r="H306" s="3"/>
      <x:c r="I306" s="3"/>
      <x:c r="J306" s="10" t="n">
        <x:v>46157</x:v>
      </x:c>
      <x:c r="K306" s="8" t="n">
        <x:f>INDEX('Сводка'!$S$3:$S$397,U306)</x:f>
        <x:v>154</x:v>
      </x:c>
      <x:c r="L306" s="8" t="n">
        <x:f>INDEX('Сводка'!$S$3:$S$397,V306)</x:f>
        <x:v>161</x:v>
      </x:c>
      <x:c r="M306" s="8" t="n">
        <x:f>INDEX($K$388:$N$400,W306,1)*EXP(INDEX($K$388:$N$400,W306,2)*((J306-$T$405+1)/1000))+INDEX($O$388:$Z$400,W306,MONTH(J306))</x:f>
        <x:v>207.95309544623126</x:v>
      </x:c>
      <x:c r="N306" s="8" t="n">
        <x:f>K306-M306</x:f>
        <x:v>-53.95309544623126</x:v>
      </x:c>
      <x:c r="O306" s="8" t="n">
        <x:f>ABS(N306)</x:f>
        <x:v>53.95309544623126</x:v>
      </x:c>
      <x:c r="P306" s="8" t="n">
        <x:f>N306^2</x:f>
        <x:v>2910.93650823014</x:v>
      </x:c>
      <x:c r="Q306" s="8" t="n">
        <x:f>K306-L306</x:f>
        <x:v>-7</x:v>
      </x:c>
      <x:c r="R306" s="9" t="n">
        <x:f>IF(AND(INDEX('Сводка'!$T$3:$T$397,U306)=0,INDEX('Сводка'!$T$3:$T$397,V306)=0),1,0)</x:f>
        <x:v>1</x:v>
      </x:c>
      <x:c r="S306" s="9" t="n">
        <x:f>IF(AND(R306=1,O306&lt;=$G$13),1,0)</x:f>
        <x:v>0</x:v>
      </x:c>
      <x:c r="T306" s="10" t="n">
        <x:f>EOMONTH(J306-'Сводка'!$B$11,-1)</x:f>
        <x:v>46142</x:v>
      </x:c>
      <x:c r="U306" s="4" t="n">
        <x:f>MATCH(J306,'Сводка'!$R$3:$R$397,0)</x:f>
        <x:v>317</x:v>
      </x:c>
      <x:c r="V306" s="4" t="n">
        <x:f>MATCH(J306-'Сводка'!$B$11,'Сводка'!$R$3:$R$397,0)</x:f>
        <x:v>316</x:v>
      </x:c>
      <x:c r="W306" s="4" t="n">
        <x:f>MATCH(T306,$J$388:$J$400,0)</x:f>
        <x:v>11</x:v>
      </x:c>
      <x:c r="X306" s="3"/>
      <x:c r="Y306" s="3"/>
      <x:c r="Z306" s="3"/>
    </x:row>
    <x:row r="307" ht="15" customHeight="1">
      <x:c r="A307" s="3"/>
      <x:c r="B307" s="3"/>
      <x:c r="C307" s="3"/>
      <x:c r="D307" s="3"/>
      <x:c r="E307" s="3"/>
      <x:c r="F307" s="3"/>
      <x:c r="G307" s="3"/>
      <x:c r="H307" s="3"/>
      <x:c r="I307" s="3"/>
      <x:c r="J307" s="10" t="n">
        <x:v>46158</x:v>
      </x:c>
      <x:c r="K307" s="8" t="n">
        <x:f>INDEX('Сводка'!$S$3:$S$397,U307)</x:f>
        <x:v>148</x:v>
      </x:c>
      <x:c r="L307" s="8" t="n">
        <x:f>INDEX('Сводка'!$S$3:$S$397,V307)</x:f>
        <x:v>154</x:v>
      </x:c>
      <x:c r="M307" s="8" t="n">
        <x:f>INDEX($K$388:$N$400,W307,1)*EXP(INDEX($K$388:$N$400,W307,2)*((J307-$T$405+1)/1000))+INDEX($O$388:$Z$400,W307,MONTH(J307))</x:f>
        <x:v>207.98564727887822</x:v>
      </x:c>
      <x:c r="N307" s="8" t="n">
        <x:f>K307-M307</x:f>
        <x:v>-59.98564727887822</x:v>
      </x:c>
      <x:c r="O307" s="8" t="n">
        <x:f>ABS(N307)</x:f>
        <x:v>59.98564727887822</x:v>
      </x:c>
      <x:c r="P307" s="8" t="n">
        <x:f>N307^2</x:f>
        <x:v>3598.27787946599</x:v>
      </x:c>
      <x:c r="Q307" s="8" t="n">
        <x:f>K307-L307</x:f>
        <x:v>-6</x:v>
      </x:c>
      <x:c r="R307" s="9" t="n">
        <x:f>IF(AND(INDEX('Сводка'!$T$3:$T$397,U307)=0,INDEX('Сводка'!$T$3:$T$397,V307)=0),1,0)</x:f>
        <x:v>1</x:v>
      </x:c>
      <x:c r="S307" s="9" t="n">
        <x:f>IF(AND(R307=1,O307&lt;=$G$13),1,0)</x:f>
        <x:v>0</x:v>
      </x:c>
      <x:c r="T307" s="10" t="n">
        <x:f>EOMONTH(J307-'Сводка'!$B$11,-1)</x:f>
        <x:v>46142</x:v>
      </x:c>
      <x:c r="U307" s="4" t="n">
        <x:f>MATCH(J307,'Сводка'!$R$3:$R$397,0)</x:f>
        <x:v>318</x:v>
      </x:c>
      <x:c r="V307" s="4" t="n">
        <x:f>MATCH(J307-'Сводка'!$B$11,'Сводка'!$R$3:$R$397,0)</x:f>
        <x:v>317</x:v>
      </x:c>
      <x:c r="W307" s="4" t="n">
        <x:f>MATCH(T307,$J$388:$J$400,0)</x:f>
        <x:v>11</x:v>
      </x:c>
      <x:c r="X307" s="3"/>
      <x:c r="Y307" s="3"/>
      <x:c r="Z307" s="3"/>
    </x:row>
    <x:row r="308" ht="15" customHeight="1">
      <x:c r="A308" s="3"/>
      <x:c r="B308" s="3"/>
      <x:c r="C308" s="3"/>
      <x:c r="D308" s="3"/>
      <x:c r="E308" s="3"/>
      <x:c r="F308" s="3"/>
      <x:c r="G308" s="3"/>
      <x:c r="H308" s="3"/>
      <x:c r="I308" s="3"/>
      <x:c r="J308" s="10" t="n">
        <x:v>46159</x:v>
      </x:c>
      <x:c r="K308" s="8" t="n">
        <x:f>INDEX('Сводка'!$S$3:$S$397,U308)</x:f>
        <x:v>141</x:v>
      </x:c>
      <x:c r="L308" s="8" t="n">
        <x:f>INDEX('Сводка'!$S$3:$S$397,V308)</x:f>
        <x:v>148</x:v>
      </x:c>
      <x:c r="M308" s="8" t="n">
        <x:f>INDEX($K$388:$N$400,W308,1)*EXP(INDEX($K$388:$N$400,W308,2)*((J308-$T$405+1)/1000))+INDEX($O$388:$Z$400,W308,MONTH(J308))</x:f>
        <x:v>208.01820600787846</x:v>
      </x:c>
      <x:c r="N308" s="8" t="n">
        <x:f>K308-M308</x:f>
        <x:v>-67.01820600787846</x:v>
      </x:c>
      <x:c r="O308" s="8" t="n">
        <x:f>ABS(N308)</x:f>
        <x:v>67.01820600787846</x:v>
      </x:c>
      <x:c r="P308" s="8" t="n">
        <x:f>N308^2</x:f>
        <x:v>4491.439936514436</x:v>
      </x:c>
      <x:c r="Q308" s="8" t="n">
        <x:f>K308-L308</x:f>
        <x:v>-7</x:v>
      </x:c>
      <x:c r="R308" s="9" t="n">
        <x:f>IF(AND(INDEX('Сводка'!$T$3:$T$397,U308)=0,INDEX('Сводка'!$T$3:$T$397,V308)=0),1,0)</x:f>
        <x:v>1</x:v>
      </x:c>
      <x:c r="S308" s="9" t="n">
        <x:f>IF(AND(R308=1,O308&lt;=$G$13),1,0)</x:f>
        <x:v>0</x:v>
      </x:c>
      <x:c r="T308" s="10" t="n">
        <x:f>EOMONTH(J308-'Сводка'!$B$11,-1)</x:f>
        <x:v>46142</x:v>
      </x:c>
      <x:c r="U308" s="4" t="n">
        <x:f>MATCH(J308,'Сводка'!$R$3:$R$397,0)</x:f>
        <x:v>319</x:v>
      </x:c>
      <x:c r="V308" s="4" t="n">
        <x:f>MATCH(J308-'Сводка'!$B$11,'Сводка'!$R$3:$R$397,0)</x:f>
        <x:v>318</x:v>
      </x:c>
      <x:c r="W308" s="4" t="n">
        <x:f>MATCH(T308,$J$388:$J$400,0)</x:f>
        <x:v>11</x:v>
      </x:c>
      <x:c r="X308" s="3"/>
      <x:c r="Y308" s="3"/>
      <x:c r="Z308" s="3"/>
    </x:row>
    <x:row r="309" ht="15" customHeight="1">
      <x:c r="A309" s="3"/>
      <x:c r="B309" s="3"/>
      <x:c r="C309" s="3"/>
      <x:c r="D309" s="3"/>
      <x:c r="E309" s="3"/>
      <x:c r="F309" s="3"/>
      <x:c r="G309" s="3"/>
      <x:c r="H309" s="3"/>
      <x:c r="I309" s="3"/>
      <x:c r="J309" s="10" t="n">
        <x:v>46160</x:v>
      </x:c>
      <x:c r="K309" s="8" t="n">
        <x:f>INDEX('Сводка'!$S$3:$S$397,U309)</x:f>
        <x:v>139</x:v>
      </x:c>
      <x:c r="L309" s="8" t="n">
        <x:f>INDEX('Сводка'!$S$3:$S$397,V309)</x:f>
        <x:v>141</x:v>
      </x:c>
      <x:c r="M309" s="8" t="n">
        <x:f>INDEX($K$388:$N$400,W309,1)*EXP(INDEX($K$388:$N$400,W309,2)*((J309-$T$405+1)/1000))+INDEX($O$388:$Z$400,W309,MONTH(J309))</x:f>
        <x:v>208.0507716346931</x:v>
      </x:c>
      <x:c r="N309" s="8" t="n">
        <x:f>K309-M309</x:f>
        <x:v>-69.05077163469309</x:v>
      </x:c>
      <x:c r="O309" s="8" t="n">
        <x:f>ABS(N309)</x:f>
        <x:v>69.05077163469309</x:v>
      </x:c>
      <x:c r="P309" s="8" t="n">
        <x:f>N309^2</x:f>
        <x:v>4768.009063346536</x:v>
      </x:c>
      <x:c r="Q309" s="8" t="n">
        <x:f>K309-L309</x:f>
        <x:v>-2</x:v>
      </x:c>
      <x:c r="R309" s="9" t="n">
        <x:f>IF(AND(INDEX('Сводка'!$T$3:$T$397,U309)=0,INDEX('Сводка'!$T$3:$T$397,V309)=0),1,0)</x:f>
        <x:v>1</x:v>
      </x:c>
      <x:c r="S309" s="9" t="n">
        <x:f>IF(AND(R309=1,O309&lt;=$G$13),1,0)</x:f>
        <x:v>0</x:v>
      </x:c>
      <x:c r="T309" s="10" t="n">
        <x:f>EOMONTH(J309-'Сводка'!$B$11,-1)</x:f>
        <x:v>46142</x:v>
      </x:c>
      <x:c r="U309" s="4" t="n">
        <x:f>MATCH(J309,'Сводка'!$R$3:$R$397,0)</x:f>
        <x:v>320</x:v>
      </x:c>
      <x:c r="V309" s="4" t="n">
        <x:f>MATCH(J309-'Сводка'!$B$11,'Сводка'!$R$3:$R$397,0)</x:f>
        <x:v>319</x:v>
      </x:c>
      <x:c r="W309" s="4" t="n">
        <x:f>MATCH(T309,$J$388:$J$400,0)</x:f>
        <x:v>11</x:v>
      </x:c>
      <x:c r="X309" s="3"/>
      <x:c r="Y309" s="3"/>
      <x:c r="Z309" s="3"/>
    </x:row>
    <x:row r="310" ht="15" customHeight="1">
      <x:c r="A310" s="3"/>
      <x:c r="B310" s="3"/>
      <x:c r="C310" s="3"/>
      <x:c r="D310" s="3"/>
      <x:c r="E310" s="3"/>
      <x:c r="F310" s="3"/>
      <x:c r="G310" s="3"/>
      <x:c r="H310" s="3"/>
      <x:c r="I310" s="3"/>
      <x:c r="J310" s="10" t="n">
        <x:v>46161</x:v>
      </x:c>
      <x:c r="K310" s="8" t="n">
        <x:f>INDEX('Сводка'!$S$3:$S$397,U310)</x:f>
        <x:v>135</x:v>
      </x:c>
      <x:c r="L310" s="8" t="n">
        <x:f>INDEX('Сводка'!$S$3:$S$397,V310)</x:f>
        <x:v>139</x:v>
      </x:c>
      <x:c r="M310" s="8" t="n">
        <x:f>INDEX($K$388:$N$400,W310,1)*EXP(INDEX($K$388:$N$400,W310,2)*((J310-$T$405+1)/1000))+INDEX($O$388:$Z$400,W310,MONTH(J310))</x:f>
        <x:v>208.0833441607835</x:v>
      </x:c>
      <x:c r="N310" s="8" t="n">
        <x:f>K310-M310</x:f>
        <x:v>-73.0833441607835</x:v>
      </x:c>
      <x:c r="O310" s="8" t="n">
        <x:f>ABS(N310)</x:f>
        <x:v>73.0833441607835</x:v>
      </x:c>
      <x:c r="P310" s="8" t="n">
        <x:f>N310^2</x:f>
        <x:v>5341.175193723528</x:v>
      </x:c>
      <x:c r="Q310" s="8" t="n">
        <x:f>K310-L310</x:f>
        <x:v>-4</x:v>
      </x:c>
      <x:c r="R310" s="9" t="n">
        <x:f>IF(AND(INDEX('Сводка'!$T$3:$T$397,U310)=0,INDEX('Сводка'!$T$3:$T$397,V310)=0),1,0)</x:f>
        <x:v>1</x:v>
      </x:c>
      <x:c r="S310" s="9" t="n">
        <x:f>IF(AND(R310=1,O310&lt;=$G$13),1,0)</x:f>
        <x:v>0</x:v>
      </x:c>
      <x:c r="T310" s="10" t="n">
        <x:f>EOMONTH(J310-'Сводка'!$B$11,-1)</x:f>
        <x:v>46142</x:v>
      </x:c>
      <x:c r="U310" s="4" t="n">
        <x:f>MATCH(J310,'Сводка'!$R$3:$R$397,0)</x:f>
        <x:v>321</x:v>
      </x:c>
      <x:c r="V310" s="4" t="n">
        <x:f>MATCH(J310-'Сводка'!$B$11,'Сводка'!$R$3:$R$397,0)</x:f>
        <x:v>320</x:v>
      </x:c>
      <x:c r="W310" s="4" t="n">
        <x:f>MATCH(T310,$J$388:$J$400,0)</x:f>
        <x:v>11</x:v>
      </x:c>
      <x:c r="X310" s="3"/>
      <x:c r="Y310" s="3"/>
      <x:c r="Z310" s="3"/>
    </x:row>
    <x:row r="311" ht="15" customHeight="1">
      <x:c r="A311" s="3"/>
      <x:c r="B311" s="3"/>
      <x:c r="C311" s="3"/>
      <x:c r="D311" s="3"/>
      <x:c r="E311" s="3"/>
      <x:c r="F311" s="3"/>
      <x:c r="G311" s="3"/>
      <x:c r="H311" s="3"/>
      <x:c r="I311" s="3"/>
      <x:c r="J311" s="10" t="n">
        <x:v>46162</x:v>
      </x:c>
      <x:c r="K311" s="8" t="n">
        <x:f>INDEX('Сводка'!$S$3:$S$397,U311)</x:f>
        <x:v>135</x:v>
      </x:c>
      <x:c r="L311" s="8" t="n">
        <x:f>INDEX('Сводка'!$S$3:$S$397,V311)</x:f>
        <x:v>135</x:v>
      </x:c>
      <x:c r="M311" s="8" t="n">
        <x:f>INDEX($K$388:$N$400,W311,1)*EXP(INDEX($K$388:$N$400,W311,2)*((J311-$T$405+1)/1000))+INDEX($O$388:$Z$400,W311,MONTH(J311))</x:f>
        <x:v>208.1159235876113</x:v>
      </x:c>
      <x:c r="N311" s="8" t="n">
        <x:f>K311-M311</x:f>
        <x:v>-73.11592358761129</x:v>
      </x:c>
      <x:c r="O311" s="8" t="n">
        <x:f>ABS(N311)</x:f>
        <x:v>73.11592358761129</x:v>
      </x:c>
      <x:c r="P311" s="8" t="n">
        <x:f>N311^2</x:f>
        <x:v>5345.938282069414</x:v>
      </x:c>
      <x:c r="Q311" s="8" t="n">
        <x:f>K311-L311</x:f>
        <x:v>0</x:v>
      </x:c>
      <x:c r="R311" s="9" t="n">
        <x:f>IF(AND(INDEX('Сводка'!$T$3:$T$397,U311)=0,INDEX('Сводка'!$T$3:$T$397,V311)=0),1,0)</x:f>
        <x:v>1</x:v>
      </x:c>
      <x:c r="S311" s="9" t="n">
        <x:f>IF(AND(R311=1,O311&lt;=$G$13),1,0)</x:f>
        <x:v>0</x:v>
      </x:c>
      <x:c r="T311" s="10" t="n">
        <x:f>EOMONTH(J311-'Сводка'!$B$11,-1)</x:f>
        <x:v>46142</x:v>
      </x:c>
      <x:c r="U311" s="4" t="n">
        <x:f>MATCH(J311,'Сводка'!$R$3:$R$397,0)</x:f>
        <x:v>322</x:v>
      </x:c>
      <x:c r="V311" s="4" t="n">
        <x:f>MATCH(J311-'Сводка'!$B$11,'Сводка'!$R$3:$R$397,0)</x:f>
        <x:v>321</x:v>
      </x:c>
      <x:c r="W311" s="4" t="n">
        <x:f>MATCH(T311,$J$388:$J$400,0)</x:f>
        <x:v>11</x:v>
      </x:c>
      <x:c r="X311" s="3"/>
      <x:c r="Y311" s="3"/>
      <x:c r="Z311" s="3"/>
    </x:row>
    <x:row r="312" ht="15" customHeight="1">
      <x:c r="A312" s="3"/>
      <x:c r="B312" s="3"/>
      <x:c r="C312" s="3"/>
      <x:c r="D312" s="3"/>
      <x:c r="E312" s="3"/>
      <x:c r="F312" s="3"/>
      <x:c r="G312" s="3"/>
      <x:c r="H312" s="3"/>
      <x:c r="I312" s="3"/>
      <x:c r="J312" s="10" t="n">
        <x:v>46163</x:v>
      </x:c>
      <x:c r="K312" s="8" t="n">
        <x:f>INDEX('Сводка'!$S$3:$S$397,U312)</x:f>
        <x:v>134</x:v>
      </x:c>
      <x:c r="L312" s="8" t="n">
        <x:f>INDEX('Сводка'!$S$3:$S$397,V312)</x:f>
        <x:v>135</x:v>
      </x:c>
      <x:c r="M312" s="8" t="n">
        <x:f>INDEX($K$388:$N$400,W312,1)*EXP(INDEX($K$388:$N$400,W312,2)*((J312-$T$405+1)/1000))+INDEX($O$388:$Z$400,W312,MONTH(J312))</x:f>
        <x:v>208.1485099166385</x:v>
      </x:c>
      <x:c r="N312" s="8" t="n">
        <x:f>K312-M312</x:f>
        <x:v>-74.14850991663849</x:v>
      </x:c>
      <x:c r="O312" s="8" t="n">
        <x:f>ABS(N312)</x:f>
        <x:v>74.14850991663849</x:v>
      </x:c>
      <x:c r="P312" s="8" t="n">
        <x:f>N312^2</x:f>
        <x:v>5498.001522857836</x:v>
      </x:c>
      <x:c r="Q312" s="8" t="n">
        <x:f>K312-L312</x:f>
        <x:v>-1</x:v>
      </x:c>
      <x:c r="R312" s="9" t="n">
        <x:f>IF(AND(INDEX('Сводка'!$T$3:$T$397,U312)=0,INDEX('Сводка'!$T$3:$T$397,V312)=0),1,0)</x:f>
        <x:v>1</x:v>
      </x:c>
      <x:c r="S312" s="9" t="n">
        <x:f>IF(AND(R312=1,O312&lt;=$G$13),1,0)</x:f>
        <x:v>0</x:v>
      </x:c>
      <x:c r="T312" s="10" t="n">
        <x:f>EOMONTH(J312-'Сводка'!$B$11,-1)</x:f>
        <x:v>46142</x:v>
      </x:c>
      <x:c r="U312" s="4" t="n">
        <x:f>MATCH(J312,'Сводка'!$R$3:$R$397,0)</x:f>
        <x:v>323</x:v>
      </x:c>
      <x:c r="V312" s="4" t="n">
        <x:f>MATCH(J312-'Сводка'!$B$11,'Сводка'!$R$3:$R$397,0)</x:f>
        <x:v>322</x:v>
      </x:c>
      <x:c r="W312" s="4" t="n">
        <x:f>MATCH(T312,$J$388:$J$400,0)</x:f>
        <x:v>11</x:v>
      </x:c>
      <x:c r="X312" s="3"/>
      <x:c r="Y312" s="3"/>
      <x:c r="Z312" s="3"/>
    </x:row>
    <x:row r="313" ht="15" customHeight="1">
      <x:c r="A313" s="3"/>
      <x:c r="B313" s="3"/>
      <x:c r="C313" s="3"/>
      <x:c r="D313" s="3"/>
      <x:c r="E313" s="3"/>
      <x:c r="F313" s="3"/>
      <x:c r="G313" s="3"/>
      <x:c r="H313" s="3"/>
      <x:c r="I313" s="3"/>
      <x:c r="J313" s="10" t="n">
        <x:v>46164</x:v>
      </x:c>
      <x:c r="K313" s="8" t="n">
        <x:f>INDEX('Сводка'!$S$3:$S$397,U313)</x:f>
        <x:v>131</x:v>
      </x:c>
      <x:c r="L313" s="8" t="n">
        <x:f>INDEX('Сводка'!$S$3:$S$397,V313)</x:f>
        <x:v>134</x:v>
      </x:c>
      <x:c r="M313" s="8" t="n">
        <x:f>INDEX($K$388:$N$400,W313,1)*EXP(INDEX($K$388:$N$400,W313,2)*((J313-$T$405+1)/1000))+INDEX($O$388:$Z$400,W313,MONTH(J313))</x:f>
        <x:v>208.18110314932738</x:v>
      </x:c>
      <x:c r="N313" s="8" t="n">
        <x:f>K313-M313</x:f>
        <x:v>-77.18110314932738</x:v>
      </x:c>
      <x:c r="O313" s="8" t="n">
        <x:f>ABS(N313)</x:f>
        <x:v>77.18110314932738</x:v>
      </x:c>
      <x:c r="P313" s="8" t="n">
        <x:f>N313^2</x:f>
        <x:v>5956.922683347114</x:v>
      </x:c>
      <x:c r="Q313" s="8" t="n">
        <x:f>K313-L313</x:f>
        <x:v>-3</x:v>
      </x:c>
      <x:c r="R313" s="9" t="n">
        <x:f>IF(AND(INDEX('Сводка'!$T$3:$T$397,U313)=0,INDEX('Сводка'!$T$3:$T$397,V313)=0),1,0)</x:f>
        <x:v>1</x:v>
      </x:c>
      <x:c r="S313" s="9" t="n">
        <x:f>IF(AND(R313=1,O313&lt;=$G$13),1,0)</x:f>
        <x:v>0</x:v>
      </x:c>
      <x:c r="T313" s="10" t="n">
        <x:f>EOMONTH(J313-'Сводка'!$B$11,-1)</x:f>
        <x:v>46142</x:v>
      </x:c>
      <x:c r="U313" s="4" t="n">
        <x:f>MATCH(J313,'Сводка'!$R$3:$R$397,0)</x:f>
        <x:v>324</x:v>
      </x:c>
      <x:c r="V313" s="4" t="n">
        <x:f>MATCH(J313-'Сводка'!$B$11,'Сводка'!$R$3:$R$397,0)</x:f>
        <x:v>323</x:v>
      </x:c>
      <x:c r="W313" s="4" t="n">
        <x:f>MATCH(T313,$J$388:$J$400,0)</x:f>
        <x:v>11</x:v>
      </x:c>
      <x:c r="X313" s="3"/>
      <x:c r="Y313" s="3"/>
      <x:c r="Z313" s="3"/>
    </x:row>
    <x:row r="314" ht="15" customHeight="1">
      <x:c r="A314" s="3"/>
      <x:c r="B314" s="3"/>
      <x:c r="C314" s="3"/>
      <x:c r="D314" s="3"/>
      <x:c r="E314" s="3"/>
      <x:c r="F314" s="3"/>
      <x:c r="G314" s="3"/>
      <x:c r="H314" s="3"/>
      <x:c r="I314" s="3"/>
      <x:c r="J314" s="10" t="n">
        <x:v>46165</x:v>
      </x:c>
      <x:c r="K314" s="8" t="n">
        <x:f>INDEX('Сводка'!$S$3:$S$397,U314)</x:f>
        <x:v>126</x:v>
      </x:c>
      <x:c r="L314" s="8" t="n">
        <x:f>INDEX('Сводка'!$S$3:$S$397,V314)</x:f>
        <x:v>131</x:v>
      </x:c>
      <x:c r="M314" s="8" t="n">
        <x:f>INDEX($K$388:$N$400,W314,1)*EXP(INDEX($K$388:$N$400,W314,2)*((J314-$T$405+1)/1000))+INDEX($O$388:$Z$400,W314,MONTH(J314))</x:f>
        <x:v>208.2137032871405</x:v>
      </x:c>
      <x:c r="N314" s="8" t="n">
        <x:f>K314-M314</x:f>
        <x:v>-82.2137032871405</x:v>
      </x:c>
      <x:c r="O314" s="8" t="n">
        <x:f>ABS(N314)</x:f>
        <x:v>82.2137032871405</x:v>
      </x:c>
      <x:c r="P314" s="8" t="n">
        <x:f>N314^2</x:f>
        <x:v>6759.093008185977</x:v>
      </x:c>
      <x:c r="Q314" s="8" t="n">
        <x:f>K314-L314</x:f>
        <x:v>-5</x:v>
      </x:c>
      <x:c r="R314" s="9" t="n">
        <x:f>IF(AND(INDEX('Сводка'!$T$3:$T$397,U314)=0,INDEX('Сводка'!$T$3:$T$397,V314)=0),1,0)</x:f>
        <x:v>1</x:v>
      </x:c>
      <x:c r="S314" s="9" t="n">
        <x:f>IF(AND(R314=1,O314&lt;=$G$13),1,0)</x:f>
        <x:v>0</x:v>
      </x:c>
      <x:c r="T314" s="10" t="n">
        <x:f>EOMONTH(J314-'Сводка'!$B$11,-1)</x:f>
        <x:v>46142</x:v>
      </x:c>
      <x:c r="U314" s="4" t="n">
        <x:f>MATCH(J314,'Сводка'!$R$3:$R$397,0)</x:f>
        <x:v>325</x:v>
      </x:c>
      <x:c r="V314" s="4" t="n">
        <x:f>MATCH(J314-'Сводка'!$B$11,'Сводка'!$R$3:$R$397,0)</x:f>
        <x:v>324</x:v>
      </x:c>
      <x:c r="W314" s="4" t="n">
        <x:f>MATCH(T314,$J$388:$J$400,0)</x:f>
        <x:v>11</x:v>
      </x:c>
      <x:c r="X314" s="3"/>
      <x:c r="Y314" s="3"/>
      <x:c r="Z314" s="3"/>
    </x:row>
    <x:row r="315" ht="15" customHeight="1">
      <x:c r="A315" s="3"/>
      <x:c r="B315" s="3"/>
      <x:c r="C315" s="3"/>
      <x:c r="D315" s="3"/>
      <x:c r="E315" s="3"/>
      <x:c r="F315" s="3"/>
      <x:c r="G315" s="3"/>
      <x:c r="H315" s="3"/>
      <x:c r="I315" s="3"/>
      <x:c r="J315" s="10" t="n">
        <x:v>46166</x:v>
      </x:c>
      <x:c r="K315" s="8" t="n">
        <x:f>INDEX('Сводка'!$S$3:$S$397,U315)</x:f>
        <x:v>119</x:v>
      </x:c>
      <x:c r="L315" s="8" t="n">
        <x:f>INDEX('Сводка'!$S$3:$S$397,V315)</x:f>
        <x:v>126</x:v>
      </x:c>
      <x:c r="M315" s="8" t="n">
        <x:f>INDEX($K$388:$N$400,W315,1)*EXP(INDEX($K$388:$N$400,W315,2)*((J315-$T$405+1)/1000))+INDEX($O$388:$Z$400,W315,MONTH(J315))</x:f>
        <x:v>208.24631033154083</x:v>
      </x:c>
      <x:c r="N315" s="8" t="n">
        <x:f>K315-M315</x:f>
        <x:v>-89.24631033154083</x:v>
      </x:c>
      <x:c r="O315" s="8" t="n">
        <x:f>ABS(N315)</x:f>
        <x:v>89.24631033154083</x:v>
      </x:c>
      <x:c r="P315" s="8" t="n">
        <x:f>N315^2</x:f>
        <x:v>7964.90390779369</x:v>
      </x:c>
      <x:c r="Q315" s="8" t="n">
        <x:f>K315-L315</x:f>
        <x:v>-7</x:v>
      </x:c>
      <x:c r="R315" s="9" t="n">
        <x:f>IF(AND(INDEX('Сводка'!$T$3:$T$397,U315)=0,INDEX('Сводка'!$T$3:$T$397,V315)=0),1,0)</x:f>
        <x:v>1</x:v>
      </x:c>
      <x:c r="S315" s="9" t="n">
        <x:f>IF(AND(R315=1,O315&lt;=$G$13),1,0)</x:f>
        <x:v>0</x:v>
      </x:c>
      <x:c r="T315" s="10" t="n">
        <x:f>EOMONTH(J315-'Сводка'!$B$11,-1)</x:f>
        <x:v>46142</x:v>
      </x:c>
      <x:c r="U315" s="4" t="n">
        <x:f>MATCH(J315,'Сводка'!$R$3:$R$397,0)</x:f>
        <x:v>326</x:v>
      </x:c>
      <x:c r="V315" s="4" t="n">
        <x:f>MATCH(J315-'Сводка'!$B$11,'Сводка'!$R$3:$R$397,0)</x:f>
        <x:v>325</x:v>
      </x:c>
      <x:c r="W315" s="4" t="n">
        <x:f>MATCH(T315,$J$388:$J$400,0)</x:f>
        <x:v>11</x:v>
      </x:c>
      <x:c r="X315" s="3"/>
      <x:c r="Y315" s="3"/>
      <x:c r="Z315" s="3"/>
    </x:row>
    <x:row r="316" ht="15" customHeight="1">
      <x:c r="A316" s="3"/>
      <x:c r="B316" s="3"/>
      <x:c r="C316" s="3"/>
      <x:c r="D316" s="3"/>
      <x:c r="E316" s="3"/>
      <x:c r="F316" s="3"/>
      <x:c r="G316" s="3"/>
      <x:c r="H316" s="3"/>
      <x:c r="I316" s="3"/>
      <x:c r="J316" s="10" t="n">
        <x:v>46167</x:v>
      </x:c>
      <x:c r="K316" s="8" t="n">
        <x:f>INDEX('Сводка'!$S$3:$S$397,U316)</x:f>
        <x:v>114</x:v>
      </x:c>
      <x:c r="L316" s="8" t="n">
        <x:f>INDEX('Сводка'!$S$3:$S$397,V316)</x:f>
        <x:v>119</x:v>
      </x:c>
      <x:c r="M316" s="8" t="n">
        <x:f>INDEX($K$388:$N$400,W316,1)*EXP(INDEX($K$388:$N$400,W316,2)*((J316-$T$405+1)/1000))+INDEX($O$388:$Z$400,W316,MONTH(J316))</x:f>
        <x:v>208.27892428399144</x:v>
      </x:c>
      <x:c r="N316" s="8" t="n">
        <x:f>K316-M316</x:f>
        <x:v>-94.27892428399144</x:v>
      </x:c>
      <x:c r="O316" s="8" t="n">
        <x:f>ABS(N316)</x:f>
        <x:v>94.27892428399144</x:v>
      </x:c>
      <x:c r="P316" s="8" t="n">
        <x:f>N316^2</x:f>
        <x:v>8888.515564146592</x:v>
      </x:c>
      <x:c r="Q316" s="8" t="n">
        <x:f>K316-L316</x:f>
        <x:v>-5</x:v>
      </x:c>
      <x:c r="R316" s="9" t="n">
        <x:f>IF(AND(INDEX('Сводка'!$T$3:$T$397,U316)=0,INDEX('Сводка'!$T$3:$T$397,V316)=0),1,0)</x:f>
        <x:v>1</x:v>
      </x:c>
      <x:c r="S316" s="9" t="n">
        <x:f>IF(AND(R316=1,O316&lt;=$G$13),1,0)</x:f>
        <x:v>0</x:v>
      </x:c>
      <x:c r="T316" s="10" t="n">
        <x:f>EOMONTH(J316-'Сводка'!$B$11,-1)</x:f>
        <x:v>46142</x:v>
      </x:c>
      <x:c r="U316" s="4" t="n">
        <x:f>MATCH(J316,'Сводка'!$R$3:$R$397,0)</x:f>
        <x:v>327</x:v>
      </x:c>
      <x:c r="V316" s="4" t="n">
        <x:f>MATCH(J316-'Сводка'!$B$11,'Сводка'!$R$3:$R$397,0)</x:f>
        <x:v>326</x:v>
      </x:c>
      <x:c r="W316" s="4" t="n">
        <x:f>MATCH(T316,$J$388:$J$400,0)</x:f>
        <x:v>11</x:v>
      </x:c>
      <x:c r="X316" s="3"/>
      <x:c r="Y316" s="3"/>
      <x:c r="Z316" s="3"/>
    </x:row>
    <x:row r="317" ht="15" customHeight="1">
      <x:c r="A317" s="3"/>
      <x:c r="B317" s="3"/>
      <x:c r="C317" s="3"/>
      <x:c r="D317" s="3"/>
      <x:c r="E317" s="3"/>
      <x:c r="F317" s="3"/>
      <x:c r="G317" s="3"/>
      <x:c r="H317" s="3"/>
      <x:c r="I317" s="3"/>
      <x:c r="J317" s="10" t="n">
        <x:v>46168</x:v>
      </x:c>
      <x:c r="K317" s="8" t="n">
        <x:f>INDEX('Сводка'!$S$3:$S$397,U317)</x:f>
        <x:v>106</x:v>
      </x:c>
      <x:c r="L317" s="8" t="n">
        <x:f>INDEX('Сводка'!$S$3:$S$397,V317)</x:f>
        <x:v>114</x:v>
      </x:c>
      <x:c r="M317" s="8" t="n">
        <x:f>INDEX($K$388:$N$400,W317,1)*EXP(INDEX($K$388:$N$400,W317,2)*((J317-$T$405+1)/1000))+INDEX($O$388:$Z$400,W317,MONTH(J317))</x:f>
        <x:v>208.31154514595607</x:v>
      </x:c>
      <x:c r="N317" s="8" t="n">
        <x:f>K317-M317</x:f>
        <x:v>-102.31154514595607</x:v>
      </x:c>
      <x:c r="O317" s="8" t="n">
        <x:f>ABS(N317)</x:f>
        <x:v>102.31154514595607</x:v>
      </x:c>
      <x:c r="P317" s="8" t="n">
        <x:f>N317^2</x:f>
        <x:v>10467.652270153008</x:v>
      </x:c>
      <x:c r="Q317" s="8" t="n">
        <x:f>K317-L317</x:f>
        <x:v>-8</x:v>
      </x:c>
      <x:c r="R317" s="9" t="n">
        <x:f>IF(AND(INDEX('Сводка'!$T$3:$T$397,U317)=0,INDEX('Сводка'!$T$3:$T$397,V317)=0),1,0)</x:f>
        <x:v>1</x:v>
      </x:c>
      <x:c r="S317" s="9" t="n">
        <x:f>IF(AND(R317=1,O317&lt;=$G$13),1,0)</x:f>
        <x:v>0</x:v>
      </x:c>
      <x:c r="T317" s="10" t="n">
        <x:f>EOMONTH(J317-'Сводка'!$B$11,-1)</x:f>
        <x:v>46142</x:v>
      </x:c>
      <x:c r="U317" s="4" t="n">
        <x:f>MATCH(J317,'Сводка'!$R$3:$R$397,0)</x:f>
        <x:v>328</x:v>
      </x:c>
      <x:c r="V317" s="4" t="n">
        <x:f>MATCH(J317-'Сводка'!$B$11,'Сводка'!$R$3:$R$397,0)</x:f>
        <x:v>327</x:v>
      </x:c>
      <x:c r="W317" s="4" t="n">
        <x:f>MATCH(T317,$J$388:$J$400,0)</x:f>
        <x:v>11</x:v>
      </x:c>
      <x:c r="X317" s="3"/>
      <x:c r="Y317" s="3"/>
      <x:c r="Z317" s="3"/>
    </x:row>
    <x:row r="318" ht="15" customHeight="1">
      <x:c r="A318" s="3"/>
      <x:c r="B318" s="3"/>
      <x:c r="C318" s="3"/>
      <x:c r="D318" s="3"/>
      <x:c r="E318" s="3"/>
      <x:c r="F318" s="3"/>
      <x:c r="G318" s="3"/>
      <x:c r="H318" s="3"/>
      <x:c r="I318" s="3"/>
      <x:c r="J318" s="10" t="n">
        <x:v>46169</x:v>
      </x:c>
      <x:c r="K318" s="8" t="n">
        <x:f>INDEX('Сводка'!$S$3:$S$397,U318)</x:f>
        <x:v>101</x:v>
      </x:c>
      <x:c r="L318" s="8" t="n">
        <x:f>INDEX('Сводка'!$S$3:$S$397,V318)</x:f>
        <x:v>106</x:v>
      </x:c>
      <x:c r="M318" s="8" t="n">
        <x:f>INDEX($K$388:$N$400,W318,1)*EXP(INDEX($K$388:$N$400,W318,2)*((J318-$T$405+1)/1000))+INDEX($O$388:$Z$400,W318,MONTH(J318))</x:f>
        <x:v>208.34417291889838</x:v>
      </x:c>
      <x:c r="N318" s="8" t="n">
        <x:f>K318-M318</x:f>
        <x:v>-107.34417291889838</x:v>
      </x:c>
      <x:c r="O318" s="8" t="n">
        <x:f>ABS(N318)</x:f>
        <x:v>107.34417291889838</x:v>
      </x:c>
      <x:c r="P318" s="8" t="n">
        <x:f>N318^2</x:f>
        <x:v>11522.771459642356</x:v>
      </x:c>
      <x:c r="Q318" s="8" t="n">
        <x:f>K318-L318</x:f>
        <x:v>-5</x:v>
      </x:c>
      <x:c r="R318" s="9" t="n">
        <x:f>IF(AND(INDEX('Сводка'!$T$3:$T$397,U318)=0,INDEX('Сводка'!$T$3:$T$397,V318)=0),1,0)</x:f>
        <x:v>1</x:v>
      </x:c>
      <x:c r="S318" s="9" t="n">
        <x:f>IF(AND(R318=1,O318&lt;=$G$13),1,0)</x:f>
        <x:v>0</x:v>
      </x:c>
      <x:c r="T318" s="10" t="n">
        <x:f>EOMONTH(J318-'Сводка'!$B$11,-1)</x:f>
        <x:v>46142</x:v>
      </x:c>
      <x:c r="U318" s="4" t="n">
        <x:f>MATCH(J318,'Сводка'!$R$3:$R$397,0)</x:f>
        <x:v>329</x:v>
      </x:c>
      <x:c r="V318" s="4" t="n">
        <x:f>MATCH(J318-'Сводка'!$B$11,'Сводка'!$R$3:$R$397,0)</x:f>
        <x:v>328</x:v>
      </x:c>
      <x:c r="W318" s="4" t="n">
        <x:f>MATCH(T318,$J$388:$J$400,0)</x:f>
        <x:v>11</x:v>
      </x:c>
      <x:c r="X318" s="3"/>
      <x:c r="Y318" s="3"/>
      <x:c r="Z318" s="3"/>
    </x:row>
    <x:row r="319" ht="15" customHeight="1">
      <x:c r="A319" s="3"/>
      <x:c r="B319" s="3"/>
      <x:c r="C319" s="3"/>
      <x:c r="D319" s="3"/>
      <x:c r="E319" s="3"/>
      <x:c r="F319" s="3"/>
      <x:c r="G319" s="3"/>
      <x:c r="H319" s="3"/>
      <x:c r="I319" s="3"/>
      <x:c r="J319" s="10" t="n">
        <x:v>46170</x:v>
      </x:c>
      <x:c r="K319" s="8" t="n">
        <x:f>INDEX('Сводка'!$S$3:$S$397,U319)</x:f>
        <x:v>95</x:v>
      </x:c>
      <x:c r="L319" s="8" t="n">
        <x:f>INDEX('Сводка'!$S$3:$S$397,V319)</x:f>
        <x:v>101</x:v>
      </x:c>
      <x:c r="M319" s="8" t="n">
        <x:f>INDEX($K$388:$N$400,W319,1)*EXP(INDEX($K$388:$N$400,W319,2)*((J319-$T$405+1)/1000))+INDEX($O$388:$Z$400,W319,MONTH(J319))</x:f>
        <x:v>208.37680760428253</x:v>
      </x:c>
      <x:c r="N319" s="8" t="n">
        <x:f>K319-M319</x:f>
        <x:v>-113.37680760428253</x:v>
      </x:c>
      <x:c r="O319" s="8" t="n">
        <x:f>ABS(N319)</x:f>
        <x:v>113.37680760428253</x:v>
      </x:c>
      <x:c r="P319" s="8" t="n">
        <x:f>N319^2</x:f>
        <x:v>12854.300502538497</x:v>
      </x:c>
      <x:c r="Q319" s="8" t="n">
        <x:f>K319-L319</x:f>
        <x:v>-6</x:v>
      </x:c>
      <x:c r="R319" s="9" t="n">
        <x:f>IF(AND(INDEX('Сводка'!$T$3:$T$397,U319)=0,INDEX('Сводка'!$T$3:$T$397,V319)=0),1,0)</x:f>
        <x:v>1</x:v>
      </x:c>
      <x:c r="S319" s="9" t="n">
        <x:f>IF(AND(R319=1,O319&lt;=$G$13),1,0)</x:f>
        <x:v>0</x:v>
      </x:c>
      <x:c r="T319" s="10" t="n">
        <x:f>EOMONTH(J319-'Сводка'!$B$11,-1)</x:f>
        <x:v>46142</x:v>
      </x:c>
      <x:c r="U319" s="4" t="n">
        <x:f>MATCH(J319,'Сводка'!$R$3:$R$397,0)</x:f>
        <x:v>330</x:v>
      </x:c>
      <x:c r="V319" s="4" t="n">
        <x:f>MATCH(J319-'Сводка'!$B$11,'Сводка'!$R$3:$R$397,0)</x:f>
        <x:v>329</x:v>
      </x:c>
      <x:c r="W319" s="4" t="n">
        <x:f>MATCH(T319,$J$388:$J$400,0)</x:f>
        <x:v>11</x:v>
      </x:c>
      <x:c r="X319" s="3"/>
      <x:c r="Y319" s="3"/>
      <x:c r="Z319" s="3"/>
    </x:row>
    <x:row r="320" ht="15" customHeight="1">
      <x:c r="A320" s="3"/>
      <x:c r="B320" s="3"/>
      <x:c r="C320" s="3"/>
      <x:c r="D320" s="3"/>
      <x:c r="E320" s="3"/>
      <x:c r="F320" s="3"/>
      <x:c r="G320" s="3"/>
      <x:c r="H320" s="3"/>
      <x:c r="I320" s="3"/>
      <x:c r="J320" s="10" t="n">
        <x:v>46171</x:v>
      </x:c>
      <x:c r="K320" s="8" t="n">
        <x:f>INDEX('Сводка'!$S$3:$S$397,U320)</x:f>
        <x:v>85</x:v>
      </x:c>
      <x:c r="L320" s="8" t="n">
        <x:f>INDEX('Сводка'!$S$3:$S$397,V320)</x:f>
        <x:v>95</x:v>
      </x:c>
      <x:c r="M320" s="8" t="n">
        <x:f>INDEX($K$388:$N$400,W320,1)*EXP(INDEX($K$388:$N$400,W320,2)*((J320-$T$405+1)/1000))+INDEX($O$388:$Z$400,W320,MONTH(J320))</x:f>
        <x:v>208.40944920357305</x:v>
      </x:c>
      <x:c r="N320" s="8" t="n">
        <x:f>K320-M320</x:f>
        <x:v>-123.40944920357305</x:v>
      </x:c>
      <x:c r="O320" s="8" t="n">
        <x:f>ABS(N320)</x:f>
        <x:v>123.40944920357305</x:v>
      </x:c>
      <x:c r="P320" s="8" t="n">
        <x:f>N320^2</x:f>
        <x:v>15229.892152729277</x:v>
      </x:c>
      <x:c r="Q320" s="8" t="n">
        <x:f>K320-L320</x:f>
        <x:v>-10</x:v>
      </x:c>
      <x:c r="R320" s="9" t="n">
        <x:f>IF(AND(INDEX('Сводка'!$T$3:$T$397,U320)=0,INDEX('Сводка'!$T$3:$T$397,V320)=0),1,0)</x:f>
        <x:v>1</x:v>
      </x:c>
      <x:c r="S320" s="9" t="n">
        <x:f>IF(AND(R320=1,O320&lt;=$G$13),1,0)</x:f>
        <x:v>0</x:v>
      </x:c>
      <x:c r="T320" s="10" t="n">
        <x:f>EOMONTH(J320-'Сводка'!$B$11,-1)</x:f>
        <x:v>46142</x:v>
      </x:c>
      <x:c r="U320" s="4" t="n">
        <x:f>MATCH(J320,'Сводка'!$R$3:$R$397,0)</x:f>
        <x:v>331</x:v>
      </x:c>
      <x:c r="V320" s="4" t="n">
        <x:f>MATCH(J320-'Сводка'!$B$11,'Сводка'!$R$3:$R$397,0)</x:f>
        <x:v>330</x:v>
      </x:c>
      <x:c r="W320" s="4" t="n">
        <x:f>MATCH(T320,$J$388:$J$400,0)</x:f>
        <x:v>11</x:v>
      </x:c>
      <x:c r="X320" s="3"/>
      <x:c r="Y320" s="3"/>
      <x:c r="Z320" s="3"/>
    </x:row>
    <x:row r="321" ht="15" customHeight="1">
      <x:c r="A321" s="3"/>
      <x:c r="B321" s="3"/>
      <x:c r="C321" s="3"/>
      <x:c r="D321" s="3"/>
      <x:c r="E321" s="3"/>
      <x:c r="F321" s="3"/>
      <x:c r="G321" s="3"/>
      <x:c r="H321" s="3"/>
      <x:c r="I321" s="3"/>
      <x:c r="J321" s="10" t="n">
        <x:v>46172</x:v>
      </x:c>
      <x:c r="K321" s="8" t="n">
        <x:f>INDEX('Сводка'!$S$3:$S$397,U321)</x:f>
        <x:v>77</x:v>
      </x:c>
      <x:c r="L321" s="8" t="n">
        <x:f>INDEX('Сводка'!$S$3:$S$397,V321)</x:f>
        <x:v>85</x:v>
      </x:c>
      <x:c r="M321" s="8" t="n">
        <x:f>INDEX($K$388:$N$400,W321,1)*EXP(INDEX($K$388:$N$400,W321,2)*((J321-$T$405+1)/1000))+INDEX($O$388:$Z$400,W321,MONTH(J321))</x:f>
        <x:v>208.44209771823472</x:v>
      </x:c>
      <x:c r="N321" s="8" t="n">
        <x:f>K321-M321</x:f>
        <x:v>-131.44209771823472</x:v>
      </x:c>
      <x:c r="O321" s="8" t="n">
        <x:f>ABS(N321)</x:f>
        <x:v>131.44209771823472</x:v>
      </x:c>
      <x:c r="P321" s="8" t="n">
        <x:f>N321^2</x:f>
        <x:v>17277.025052569967</x:v>
      </x:c>
      <x:c r="Q321" s="8" t="n">
        <x:f>K321-L321</x:f>
        <x:v>-8</x:v>
      </x:c>
      <x:c r="R321" s="9" t="n">
        <x:f>IF(AND(INDEX('Сводка'!$T$3:$T$397,U321)=0,INDEX('Сводка'!$T$3:$T$397,V321)=0),1,0)</x:f>
        <x:v>1</x:v>
      </x:c>
      <x:c r="S321" s="9" t="n">
        <x:f>IF(AND(R321=1,O321&lt;=$G$13),1,0)</x:f>
        <x:v>0</x:v>
      </x:c>
      <x:c r="T321" s="10" t="n">
        <x:f>EOMONTH(J321-'Сводка'!$B$11,-1)</x:f>
        <x:v>46142</x:v>
      </x:c>
      <x:c r="U321" s="4" t="n">
        <x:f>MATCH(J321,'Сводка'!$R$3:$R$397,0)</x:f>
        <x:v>332</x:v>
      </x:c>
      <x:c r="V321" s="4" t="n">
        <x:f>MATCH(J321-'Сводка'!$B$11,'Сводка'!$R$3:$R$397,0)</x:f>
        <x:v>331</x:v>
      </x:c>
      <x:c r="W321" s="4" t="n">
        <x:f>MATCH(T321,$J$388:$J$400,0)</x:f>
        <x:v>11</x:v>
      </x:c>
      <x:c r="X321" s="3"/>
      <x:c r="Y321" s="3"/>
      <x:c r="Z321" s="3"/>
    </x:row>
    <x:row r="322" ht="15" customHeight="1">
      <x:c r="A322" s="3"/>
      <x:c r="B322" s="3"/>
      <x:c r="C322" s="3"/>
      <x:c r="D322" s="3"/>
      <x:c r="E322" s="3"/>
      <x:c r="F322" s="3"/>
      <x:c r="G322" s="3"/>
      <x:c r="H322" s="3"/>
      <x:c r="I322" s="3"/>
      <x:c r="J322" s="10" t="n">
        <x:v>46173</x:v>
      </x:c>
      <x:c r="K322" s="8" t="n">
        <x:f>INDEX('Сводка'!$S$3:$S$397,U322)</x:f>
        <x:v>70</x:v>
      </x:c>
      <x:c r="L322" s="8" t="n">
        <x:f>INDEX('Сводка'!$S$3:$S$397,V322)</x:f>
        <x:v>77</x:v>
      </x:c>
      <x:c r="M322" s="8" t="n">
        <x:f>INDEX($K$388:$N$400,W322,1)*EXP(INDEX($K$388:$N$400,W322,2)*((J322-$T$405+1)/1000))+INDEX($O$388:$Z$400,W322,MONTH(J322))</x:f>
        <x:v>208.47475314973246</x:v>
      </x:c>
      <x:c r="N322" s="8" t="n">
        <x:f>K322-M322</x:f>
        <x:v>-138.47475314973246</x:v>
      </x:c>
      <x:c r="O322" s="8" t="n">
        <x:f>ABS(N322)</x:f>
        <x:v>138.47475314973246</x:v>
      </x:c>
      <x:c r="P322" s="8" t="n">
        <x:f>N322^2</x:f>
        <x:v>19175.25725987934</x:v>
      </x:c>
      <x:c r="Q322" s="8" t="n">
        <x:f>K322-L322</x:f>
        <x:v>-7</x:v>
      </x:c>
      <x:c r="R322" s="9" t="n">
        <x:f>IF(AND(INDEX('Сводка'!$T$3:$T$397,U322)=0,INDEX('Сводка'!$T$3:$T$397,V322)=0),1,0)</x:f>
        <x:v>1</x:v>
      </x:c>
      <x:c r="S322" s="9" t="n">
        <x:f>IF(AND(R322=1,O322&lt;=$G$13),1,0)</x:f>
        <x:v>0</x:v>
      </x:c>
      <x:c r="T322" s="10" t="n">
        <x:f>EOMONTH(J322-'Сводка'!$B$11,-1)</x:f>
        <x:v>46142</x:v>
      </x:c>
      <x:c r="U322" s="4" t="n">
        <x:f>MATCH(J322,'Сводка'!$R$3:$R$397,0)</x:f>
        <x:v>333</x:v>
      </x:c>
      <x:c r="V322" s="4" t="n">
        <x:f>MATCH(J322-'Сводка'!$B$11,'Сводка'!$R$3:$R$397,0)</x:f>
        <x:v>332</x:v>
      </x:c>
      <x:c r="W322" s="4" t="n">
        <x:f>MATCH(T322,$J$388:$J$400,0)</x:f>
        <x:v>11</x:v>
      </x:c>
      <x:c r="X322" s="3"/>
      <x:c r="Y322" s="3"/>
      <x:c r="Z322" s="3"/>
    </x:row>
    <x:row r="323" ht="15" customHeight="1">
      <x:c r="A323" s="3"/>
      <x:c r="B323" s="3"/>
      <x:c r="C323" s="3"/>
      <x:c r="D323" s="3"/>
      <x:c r="E323" s="3"/>
      <x:c r="F323" s="3"/>
      <x:c r="G323" s="3"/>
      <x:c r="H323" s="3"/>
      <x:c r="I323" s="3"/>
      <x:c r="J323" s="10" t="n">
        <x:v>46174</x:v>
      </x:c>
      <x:c r="K323" s="8" t="n">
        <x:f>INDEX('Сводка'!$S$3:$S$397,U323)</x:f>
        <x:v>64</x:v>
      </x:c>
      <x:c r="L323" s="8" t="n">
        <x:f>INDEX('Сводка'!$S$3:$S$397,V323)</x:f>
        <x:v>70</x:v>
      </x:c>
      <x:c r="M323" s="8" t="n">
        <x:f>INDEX($K$388:$N$400,W323,1)*EXP(INDEX($K$388:$N$400,W323,2)*((J323-$T$405+1)/1000))+INDEX($O$388:$Z$400,W323,MONTH(J323))</x:f>
        <x:v>233.14162845949295</x:v>
      </x:c>
      <x:c r="N323" s="8" t="n">
        <x:f>K323-M323</x:f>
        <x:v>-169.14162845949295</x:v>
      </x:c>
      <x:c r="O323" s="8" t="n">
        <x:f>ABS(N323)</x:f>
        <x:v>169.14162845949295</x:v>
      </x:c>
      <x:c r="P323" s="8" t="n">
        <x:f>N323^2</x:f>
        <x:v>28608.890477929155</x:v>
      </x:c>
      <x:c r="Q323" s="8" t="n">
        <x:f>K323-L323</x:f>
        <x:v>-6</x:v>
      </x:c>
      <x:c r="R323" s="9" t="n">
        <x:f>IF(AND(INDEX('Сводка'!$T$3:$T$397,U323)=0,INDEX('Сводка'!$T$3:$T$397,V323)=0),1,0)</x:f>
        <x:v>1</x:v>
      </x:c>
      <x:c r="S323" s="9" t="n">
        <x:f>IF(AND(R323=1,O323&lt;=$G$13),1,0)</x:f>
        <x:v>0</x:v>
      </x:c>
      <x:c r="T323" s="10" t="n">
        <x:f>EOMONTH(J323-'Сводка'!$B$11,-1)</x:f>
        <x:v>46142</x:v>
      </x:c>
      <x:c r="U323" s="4" t="n">
        <x:f>MATCH(J323,'Сводка'!$R$3:$R$397,0)</x:f>
        <x:v>334</x:v>
      </x:c>
      <x:c r="V323" s="4" t="n">
        <x:f>MATCH(J323-'Сводка'!$B$11,'Сводка'!$R$3:$R$397,0)</x:f>
        <x:v>333</x:v>
      </x:c>
      <x:c r="W323" s="4" t="n">
        <x:f>MATCH(T323,$J$388:$J$400,0)</x:f>
        <x:v>11</x:v>
      </x:c>
      <x:c r="X323" s="3"/>
      <x:c r="Y323" s="3"/>
      <x:c r="Z323" s="3"/>
    </x:row>
    <x:row r="324" ht="15" customHeight="1">
      <x:c r="A324" s="3"/>
      <x:c r="B324" s="3"/>
      <x:c r="C324" s="3"/>
      <x:c r="D324" s="3"/>
      <x:c r="E324" s="3"/>
      <x:c r="F324" s="3"/>
      <x:c r="G324" s="3"/>
      <x:c r="H324" s="3"/>
      <x:c r="I324" s="3"/>
      <x:c r="J324" s="10" t="n">
        <x:v>46175</x:v>
      </x:c>
      <x:c r="K324" s="8" t="n">
        <x:f>INDEX('Сводка'!$S$3:$S$397,U324)</x:f>
        <x:v>62</x:v>
      </x:c>
      <x:c r="L324" s="8" t="n">
        <x:f>INDEX('Сводка'!$S$3:$S$397,V324)</x:f>
        <x:v>64</x:v>
      </x:c>
      <x:c r="M324" s="8" t="n">
        <x:f>INDEX($K$388:$N$400,W324,1)*EXP(INDEX($K$388:$N$400,W324,2)*((J324-$T$405+1)/1000))+INDEX($O$388:$Z$400,W324,MONTH(J324))</x:f>
        <x:v>231.09902065925036</x:v>
      </x:c>
      <x:c r="N324" s="8" t="n">
        <x:f>K324-M324</x:f>
        <x:v>-169.09902065925036</x:v>
      </x:c>
      <x:c r="O324" s="8" t="n">
        <x:f>ABS(N324)</x:f>
        <x:v>169.09902065925036</x:v>
      </x:c>
      <x:c r="P324" s="8" t="n">
        <x:f>N324^2</x:f>
        <x:v>28594.47878791758</x:v>
      </x:c>
      <x:c r="Q324" s="8" t="n">
        <x:f>K324-L324</x:f>
        <x:v>-2</x:v>
      </x:c>
      <x:c r="R324" s="9" t="n">
        <x:f>IF(AND(INDEX('Сводка'!$T$3:$T$397,U324)=0,INDEX('Сводка'!$T$3:$T$397,V324)=0),1,0)</x:f>
        <x:v>1</x:v>
      </x:c>
      <x:c r="S324" s="9" t="n">
        <x:f>IF(AND(R324=1,O324&lt;=$G$13),1,0)</x:f>
        <x:v>0</x:v>
      </x:c>
      <x:c r="T324" s="10" t="n">
        <x:f>EOMONTH(J324-'Сводка'!$B$11,-1)</x:f>
        <x:v>46173</x:v>
      </x:c>
      <x:c r="U324" s="4" t="n">
        <x:f>MATCH(J324,'Сводка'!$R$3:$R$397,0)</x:f>
        <x:v>335</x:v>
      </x:c>
      <x:c r="V324" s="4" t="n">
        <x:f>MATCH(J324-'Сводка'!$B$11,'Сводка'!$R$3:$R$397,0)</x:f>
        <x:v>334</x:v>
      </x:c>
      <x:c r="W324" s="4" t="n">
        <x:f>MATCH(T324,$J$388:$J$400,0)</x:f>
        <x:v>12</x:v>
      </x:c>
      <x:c r="X324" s="3"/>
      <x:c r="Y324" s="3"/>
      <x:c r="Z324" s="3"/>
    </x:row>
    <x:row r="325" ht="15" customHeight="1">
      <x:c r="A325" s="3"/>
      <x:c r="B325" s="3"/>
      <x:c r="C325" s="3"/>
      <x:c r="D325" s="3"/>
      <x:c r="E325" s="3"/>
      <x:c r="F325" s="3"/>
      <x:c r="G325" s="3"/>
      <x:c r="H325" s="3"/>
      <x:c r="I325" s="3"/>
      <x:c r="J325" s="10" t="n">
        <x:v>46176</x:v>
      </x:c>
      <x:c r="K325" s="8" t="n">
        <x:f>INDEX('Сводка'!$S$3:$S$397,U325)</x:f>
        <x:v>61</x:v>
      </x:c>
      <x:c r="L325" s="8" t="n">
        <x:f>INDEX('Сводка'!$S$3:$S$397,V325)</x:f>
        <x:v>62</x:v>
      </x:c>
      <x:c r="M325" s="8" t="n">
        <x:f>INDEX($K$388:$N$400,W325,1)*EXP(INDEX($K$388:$N$400,W325,2)*((J325-$T$405+1)/1000))+INDEX($O$388:$Z$400,W325,MONTH(J325))</x:f>
        <x:v>231.13069383256175</x:v>
      </x:c>
      <x:c r="N325" s="8" t="n">
        <x:f>K325-M325</x:f>
        <x:v>-170.13069383256175</x:v>
      </x:c>
      <x:c r="O325" s="8" t="n">
        <x:f>ABS(N325)</x:f>
        <x:v>170.13069383256175</x:v>
      </x:c>
      <x:c r="P325" s="8" t="n">
        <x:f>N325^2</x:f>
        <x:v>28944.452983948864</x:v>
      </x:c>
      <x:c r="Q325" s="8" t="n">
        <x:f>K325-L325</x:f>
        <x:v>-1</x:v>
      </x:c>
      <x:c r="R325" s="9" t="n">
        <x:f>IF(AND(INDEX('Сводка'!$T$3:$T$397,U325)=0,INDEX('Сводка'!$T$3:$T$397,V325)=0),1,0)</x:f>
        <x:v>1</x:v>
      </x:c>
      <x:c r="S325" s="9" t="n">
        <x:f>IF(AND(R325=1,O325&lt;=$G$13),1,0)</x:f>
        <x:v>0</x:v>
      </x:c>
      <x:c r="T325" s="10" t="n">
        <x:f>EOMONTH(J325-'Сводка'!$B$11,-1)</x:f>
        <x:v>46173</x:v>
      </x:c>
      <x:c r="U325" s="4" t="n">
        <x:f>MATCH(J325,'Сводка'!$R$3:$R$397,0)</x:f>
        <x:v>336</x:v>
      </x:c>
      <x:c r="V325" s="4" t="n">
        <x:f>MATCH(J325-'Сводка'!$B$11,'Сводка'!$R$3:$R$397,0)</x:f>
        <x:v>335</x:v>
      </x:c>
      <x:c r="W325" s="4" t="n">
        <x:f>MATCH(T325,$J$388:$J$400,0)</x:f>
        <x:v>12</x:v>
      </x:c>
      <x:c r="X325" s="3"/>
      <x:c r="Y325" s="3"/>
      <x:c r="Z325" s="3"/>
    </x:row>
    <x:row r="326" ht="15" customHeight="1">
      <x:c r="A326" s="3"/>
      <x:c r="B326" s="3"/>
      <x:c r="C326" s="3"/>
      <x:c r="D326" s="3"/>
      <x:c r="E326" s="3"/>
      <x:c r="F326" s="3"/>
      <x:c r="G326" s="3"/>
      <x:c r="H326" s="3"/>
      <x:c r="I326" s="3"/>
      <x:c r="J326" s="10" t="n">
        <x:v>46177</x:v>
      </x:c>
      <x:c r="K326" s="8" t="n">
        <x:f>INDEX('Сводка'!$S$3:$S$397,U326)</x:f>
        <x:v>75</x:v>
      </x:c>
      <x:c r="L326" s="8" t="n">
        <x:f>INDEX('Сводка'!$S$3:$S$397,V326)</x:f>
        <x:v>61</x:v>
      </x:c>
      <x:c r="M326" s="8" t="n">
        <x:f>INDEX($K$388:$N$400,W326,1)*EXP(INDEX($K$388:$N$400,W326,2)*((J326-$T$405+1)/1000))+INDEX($O$388:$Z$400,W326,MONTH(J326))</x:f>
        <x:v>231.1623736129539</x:v>
      </x:c>
      <x:c r="N326" s="8" t="n">
        <x:f>K326-M326</x:f>
        <x:v>-156.1623736129539</x:v>
      </x:c>
      <x:c r="O326" s="8" t="n">
        <x:f>ABS(N326)</x:f>
        <x:v>156.1623736129539</x:v>
      </x:c>
      <x:c r="P326" s="8" t="n">
        <x:f>N326^2</x:f>
        <x:v>24386.6869324318</x:v>
      </x:c>
      <x:c r="Q326" s="8" t="n">
        <x:f>K326-L326</x:f>
        <x:v>14</x:v>
      </x:c>
      <x:c r="R326" s="9" t="n">
        <x:f>IF(AND(INDEX('Сводка'!$T$3:$T$397,U326)=0,INDEX('Сводка'!$T$3:$T$397,V326)=0),1,0)</x:f>
        <x:v>1</x:v>
      </x:c>
      <x:c r="S326" s="9" t="n">
        <x:f>IF(AND(R326=1,O326&lt;=$G$13),1,0)</x:f>
        <x:v>0</x:v>
      </x:c>
      <x:c r="T326" s="10" t="n">
        <x:f>EOMONTH(J326-'Сводка'!$B$11,-1)</x:f>
        <x:v>46173</x:v>
      </x:c>
      <x:c r="U326" s="4" t="n">
        <x:f>MATCH(J326,'Сводка'!$R$3:$R$397,0)</x:f>
        <x:v>337</x:v>
      </x:c>
      <x:c r="V326" s="4" t="n">
        <x:f>MATCH(J326-'Сводка'!$B$11,'Сводка'!$R$3:$R$397,0)</x:f>
        <x:v>336</x:v>
      </x:c>
      <x:c r="W326" s="4" t="n">
        <x:f>MATCH(T326,$J$388:$J$400,0)</x:f>
        <x:v>12</x:v>
      </x:c>
      <x:c r="X326" s="3"/>
      <x:c r="Y326" s="3"/>
      <x:c r="Z326" s="3"/>
    </x:row>
    <x:row r="327" ht="15" customHeight="1">
      <x:c r="A327" s="3"/>
      <x:c r="B327" s="3"/>
      <x:c r="C327" s="3"/>
      <x:c r="D327" s="3"/>
      <x:c r="E327" s="3"/>
      <x:c r="F327" s="3"/>
      <x:c r="G327" s="3"/>
      <x:c r="H327" s="3"/>
      <x:c r="I327" s="3"/>
      <x:c r="J327" s="10" t="n">
        <x:v>46178</x:v>
      </x:c>
      <x:c r="K327" s="8" t="n">
        <x:f>INDEX('Сводка'!$S$3:$S$397,U327)</x:f>
        <x:v>94</x:v>
      </x:c>
      <x:c r="L327" s="8" t="n">
        <x:f>INDEX('Сводка'!$S$3:$S$397,V327)</x:f>
        <x:v>75</x:v>
      </x:c>
      <x:c r="M327" s="8" t="n">
        <x:f>INDEX($K$388:$N$400,W327,1)*EXP(INDEX($K$388:$N$400,W327,2)*((J327-$T$405+1)/1000))+INDEX($O$388:$Z$400,W327,MONTH(J327))</x:f>
        <x:v>231.1940600018051</x:v>
      </x:c>
      <x:c r="N327" s="8" t="n">
        <x:f>K327-M327</x:f>
        <x:v>-137.1940600018051</x:v>
      </x:c>
      <x:c r="O327" s="8" t="n">
        <x:f>ABS(N327)</x:f>
        <x:v>137.1940600018051</x:v>
      </x:c>
      <x:c r="P327" s="8" t="n">
        <x:f>N327^2</x:f>
        <x:v>18822.2100997789</x:v>
      </x:c>
      <x:c r="Q327" s="8" t="n">
        <x:f>K327-L327</x:f>
        <x:v>19</x:v>
      </x:c>
      <x:c r="R327" s="9" t="n">
        <x:f>IF(AND(INDEX('Сводка'!$T$3:$T$397,U327)=0,INDEX('Сводка'!$T$3:$T$397,V327)=0),1,0)</x:f>
        <x:v>1</x:v>
      </x:c>
      <x:c r="S327" s="9" t="n">
        <x:f>IF(AND(R327=1,O327&lt;=$G$13),1,0)</x:f>
        <x:v>0</x:v>
      </x:c>
      <x:c r="T327" s="10" t="n">
        <x:f>EOMONTH(J327-'Сводка'!$B$11,-1)</x:f>
        <x:v>46173</x:v>
      </x:c>
      <x:c r="U327" s="4" t="n">
        <x:f>MATCH(J327,'Сводка'!$R$3:$R$397,0)</x:f>
        <x:v>338</x:v>
      </x:c>
      <x:c r="V327" s="4" t="n">
        <x:f>MATCH(J327-'Сводка'!$B$11,'Сводка'!$R$3:$R$397,0)</x:f>
        <x:v>337</x:v>
      </x:c>
      <x:c r="W327" s="4" t="n">
        <x:f>MATCH(T327,$J$388:$J$400,0)</x:f>
        <x:v>12</x:v>
      </x:c>
      <x:c r="X327" s="3"/>
      <x:c r="Y327" s="3"/>
      <x:c r="Z327" s="3"/>
    </x:row>
    <x:row r="328" ht="15" customHeight="1">
      <x:c r="A328" s="3"/>
      <x:c r="B328" s="3"/>
      <x:c r="C328" s="3"/>
      <x:c r="D328" s="3"/>
      <x:c r="E328" s="3"/>
      <x:c r="F328" s="3"/>
      <x:c r="G328" s="3"/>
      <x:c r="H328" s="3"/>
      <x:c r="I328" s="3"/>
      <x:c r="J328" s="10" t="n">
        <x:v>46179</x:v>
      </x:c>
      <x:c r="K328" s="8" t="n">
        <x:f>INDEX('Сводка'!$S$3:$S$397,U328)</x:f>
        <x:v>116</x:v>
      </x:c>
      <x:c r="L328" s="8" t="n">
        <x:f>INDEX('Сводка'!$S$3:$S$397,V328)</x:f>
        <x:v>94</x:v>
      </x:c>
      <x:c r="M328" s="8" t="n">
        <x:f>INDEX($K$388:$N$400,W328,1)*EXP(INDEX($K$388:$N$400,W328,2)*((J328-$T$405+1)/1000))+INDEX($O$388:$Z$400,W328,MONTH(J328))</x:f>
        <x:v>231.22575300049368</x:v>
      </x:c>
      <x:c r="N328" s="8" t="n">
        <x:f>K328-M328</x:f>
        <x:v>-115.22575300049368</x:v>
      </x:c>
      <x:c r="O328" s="8" t="n">
        <x:f>ABS(N328)</x:f>
        <x:v>115.22575300049368</x:v>
      </x:c>
      <x:c r="P328" s="8" t="n">
        <x:f>N328^2</x:f>
        <x:v>13276.974154530779</x:v>
      </x:c>
      <x:c r="Q328" s="8" t="n">
        <x:f>K328-L328</x:f>
        <x:v>22</x:v>
      </x:c>
      <x:c r="R328" s="9" t="n">
        <x:f>IF(AND(INDEX('Сводка'!$T$3:$T$397,U328)=0,INDEX('Сводка'!$T$3:$T$397,V328)=0),1,0)</x:f>
        <x:v>1</x:v>
      </x:c>
      <x:c r="S328" s="9" t="n">
        <x:f>IF(AND(R328=1,O328&lt;=$G$13),1,0)</x:f>
        <x:v>0</x:v>
      </x:c>
      <x:c r="T328" s="10" t="n">
        <x:f>EOMONTH(J328-'Сводка'!$B$11,-1)</x:f>
        <x:v>46173</x:v>
      </x:c>
      <x:c r="U328" s="4" t="n">
        <x:f>MATCH(J328,'Сводка'!$R$3:$R$397,0)</x:f>
        <x:v>339</x:v>
      </x:c>
      <x:c r="V328" s="4" t="n">
        <x:f>MATCH(J328-'Сводка'!$B$11,'Сводка'!$R$3:$R$397,0)</x:f>
        <x:v>338</x:v>
      </x:c>
      <x:c r="W328" s="4" t="n">
        <x:f>MATCH(T328,$J$388:$J$400,0)</x:f>
        <x:v>12</x:v>
      </x:c>
      <x:c r="X328" s="3"/>
      <x:c r="Y328" s="3"/>
      <x:c r="Z328" s="3"/>
    </x:row>
    <x:row r="329" ht="15" customHeight="1">
      <x:c r="A329" s="3"/>
      <x:c r="B329" s="3"/>
      <x:c r="C329" s="3"/>
      <x:c r="D329" s="3"/>
      <x:c r="E329" s="3"/>
      <x:c r="F329" s="3"/>
      <x:c r="G329" s="3"/>
      <x:c r="H329" s="3"/>
      <x:c r="I329" s="3"/>
      <x:c r="J329" s="10" t="n">
        <x:v>46180</x:v>
      </x:c>
      <x:c r="K329" s="8" t="n">
        <x:f>INDEX('Сводка'!$S$3:$S$397,U329)</x:f>
        <x:v>128</x:v>
      </x:c>
      <x:c r="L329" s="8" t="n">
        <x:f>INDEX('Сводка'!$S$3:$S$397,V329)</x:f>
        <x:v>116</x:v>
      </x:c>
      <x:c r="M329" s="8" t="n">
        <x:f>INDEX($K$388:$N$400,W329,1)*EXP(INDEX($K$388:$N$400,W329,2)*((J329-$T$405+1)/1000))+INDEX($O$388:$Z$400,W329,MONTH(J329))</x:f>
        <x:v>231.25745261039862</x:v>
      </x:c>
      <x:c r="N329" s="8" t="n">
        <x:f>K329-M329</x:f>
        <x:v>-103.25745261039862</x:v>
      </x:c>
      <x:c r="O329" s="8" t="n">
        <x:f>ABS(N329)</x:f>
        <x:v>103.25745261039862</x:v>
      </x:c>
      <x:c r="P329" s="8" t="n">
        <x:f>N329^2</x:f>
        <x:v>10662.101519588716</x:v>
      </x:c>
      <x:c r="Q329" s="8" t="n">
        <x:f>K329-L329</x:f>
        <x:v>12</x:v>
      </x:c>
      <x:c r="R329" s="9" t="n">
        <x:f>IF(AND(INDEX('Сводка'!$T$3:$T$397,U329)=0,INDEX('Сводка'!$T$3:$T$397,V329)=0),1,0)</x:f>
        <x:v>1</x:v>
      </x:c>
      <x:c r="S329" s="9" t="n">
        <x:f>IF(AND(R329=1,O329&lt;=$G$13),1,0)</x:f>
        <x:v>0</x:v>
      </x:c>
      <x:c r="T329" s="10" t="n">
        <x:f>EOMONTH(J329-'Сводка'!$B$11,-1)</x:f>
        <x:v>46173</x:v>
      </x:c>
      <x:c r="U329" s="4" t="n">
        <x:f>MATCH(J329,'Сводка'!$R$3:$R$397,0)</x:f>
        <x:v>340</x:v>
      </x:c>
      <x:c r="V329" s="4" t="n">
        <x:f>MATCH(J329-'Сводка'!$B$11,'Сводка'!$R$3:$R$397,0)</x:f>
        <x:v>339</x:v>
      </x:c>
      <x:c r="W329" s="4" t="n">
        <x:f>MATCH(T329,$J$388:$J$400,0)</x:f>
        <x:v>12</x:v>
      </x:c>
      <x:c r="X329" s="3"/>
      <x:c r="Y329" s="3"/>
      <x:c r="Z329" s="3"/>
    </x:row>
    <x:row r="330" ht="15" customHeight="1">
      <x:c r="A330" s="3"/>
      <x:c r="B330" s="3"/>
      <x:c r="C330" s="3"/>
      <x:c r="D330" s="3"/>
      <x:c r="E330" s="3"/>
      <x:c r="F330" s="3"/>
      <x:c r="G330" s="3"/>
      <x:c r="H330" s="3"/>
      <x:c r="I330" s="3"/>
      <x:c r="J330" s="10" t="n">
        <x:v>46181</x:v>
      </x:c>
      <x:c r="K330" s="8" t="n">
        <x:f>INDEX('Сводка'!$S$3:$S$397,U330)</x:f>
        <x:v>132</x:v>
      </x:c>
      <x:c r="L330" s="8" t="n">
        <x:f>INDEX('Сводка'!$S$3:$S$397,V330)</x:f>
        <x:v>128</x:v>
      </x:c>
      <x:c r="M330" s="8" t="n">
        <x:f>INDEX($K$388:$N$400,W330,1)*EXP(INDEX($K$388:$N$400,W330,2)*((J330-$T$405+1)/1000))+INDEX($O$388:$Z$400,W330,MONTH(J330))</x:f>
        <x:v>231.28915883289903</x:v>
      </x:c>
      <x:c r="N330" s="8" t="n">
        <x:f>K330-M330</x:f>
        <x:v>-99.28915883289903</x:v>
      </x:c>
      <x:c r="O330" s="8" t="n">
        <x:f>ABS(N330)</x:f>
        <x:v>99.28915883289903</x:v>
      </x:c>
      <x:c r="P330" s="8" t="n">
        <x:f>N330^2</x:f>
        <x:v>9858.337061744653</x:v>
      </x:c>
      <x:c r="Q330" s="8" t="n">
        <x:f>K330-L330</x:f>
        <x:v>4</x:v>
      </x:c>
      <x:c r="R330" s="9" t="n">
        <x:f>IF(AND(INDEX('Сводка'!$T$3:$T$397,U330)=0,INDEX('Сводка'!$T$3:$T$397,V330)=0),1,0)</x:f>
        <x:v>1</x:v>
      </x:c>
      <x:c r="S330" s="9" t="n">
        <x:f>IF(AND(R330=1,O330&lt;=$G$13),1,0)</x:f>
        <x:v>0</x:v>
      </x:c>
      <x:c r="T330" s="10" t="n">
        <x:f>EOMONTH(J330-'Сводка'!$B$11,-1)</x:f>
        <x:v>46173</x:v>
      </x:c>
      <x:c r="U330" s="4" t="n">
        <x:f>MATCH(J330,'Сводка'!$R$3:$R$397,0)</x:f>
        <x:v>341</x:v>
      </x:c>
      <x:c r="V330" s="4" t="n">
        <x:f>MATCH(J330-'Сводка'!$B$11,'Сводка'!$R$3:$R$397,0)</x:f>
        <x:v>340</x:v>
      </x:c>
      <x:c r="W330" s="4" t="n">
        <x:f>MATCH(T330,$J$388:$J$400,0)</x:f>
        <x:v>12</x:v>
      </x:c>
      <x:c r="X330" s="3"/>
      <x:c r="Y330" s="3"/>
      <x:c r="Z330" s="3"/>
    </x:row>
    <x:row r="331" ht="15" customHeight="1">
      <x:c r="A331" s="3"/>
      <x:c r="B331" s="3"/>
      <x:c r="C331" s="3"/>
      <x:c r="D331" s="3"/>
      <x:c r="E331" s="3"/>
      <x:c r="F331" s="3"/>
      <x:c r="G331" s="3"/>
      <x:c r="H331" s="3"/>
      <x:c r="I331" s="3"/>
      <x:c r="J331" s="10" t="n">
        <x:v>46182</x:v>
      </x:c>
      <x:c r="K331" s="8" t="n">
        <x:f>INDEX('Сводка'!$S$3:$S$397,U331)</x:f>
        <x:v>131</x:v>
      </x:c>
      <x:c r="L331" s="8" t="n">
        <x:f>INDEX('Сводка'!$S$3:$S$397,V331)</x:f>
        <x:v>132</x:v>
      </x:c>
      <x:c r="M331" s="8" t="n">
        <x:f>INDEX($K$388:$N$400,W331,1)*EXP(INDEX($K$388:$N$400,W331,2)*((J331-$T$405+1)/1000))+INDEX($O$388:$Z$400,W331,MONTH(J331))</x:f>
        <x:v>231.32087166937424</x:v>
      </x:c>
      <x:c r="N331" s="8" t="n">
        <x:f>K331-M331</x:f>
        <x:v>-100.32087166937424</x:v>
      </x:c>
      <x:c r="O331" s="8" t="n">
        <x:f>ABS(N331)</x:f>
        <x:v>100.32087166937424</x:v>
      </x:c>
      <x:c r="P331" s="8" t="n">
        <x:f>N331^2</x:f>
        <x:v>10064.277292503055</x:v>
      </x:c>
      <x:c r="Q331" s="8" t="n">
        <x:f>K331-L331</x:f>
        <x:v>-1</x:v>
      </x:c>
      <x:c r="R331" s="9" t="n">
        <x:f>IF(AND(INDEX('Сводка'!$T$3:$T$397,U331)=0,INDEX('Сводка'!$T$3:$T$397,V331)=0),1,0)</x:f>
        <x:v>1</x:v>
      </x:c>
      <x:c r="S331" s="9" t="n">
        <x:f>IF(AND(R331=1,O331&lt;=$G$13),1,0)</x:f>
        <x:v>0</x:v>
      </x:c>
      <x:c r="T331" s="10" t="n">
        <x:f>EOMONTH(J331-'Сводка'!$B$11,-1)</x:f>
        <x:v>46173</x:v>
      </x:c>
      <x:c r="U331" s="4" t="n">
        <x:f>MATCH(J331,'Сводка'!$R$3:$R$397,0)</x:f>
        <x:v>342</x:v>
      </x:c>
      <x:c r="V331" s="4" t="n">
        <x:f>MATCH(J331-'Сводка'!$B$11,'Сводка'!$R$3:$R$397,0)</x:f>
        <x:v>341</x:v>
      </x:c>
      <x:c r="W331" s="4" t="n">
        <x:f>MATCH(T331,$J$388:$J$400,0)</x:f>
        <x:v>12</x:v>
      </x:c>
      <x:c r="X331" s="3"/>
      <x:c r="Y331" s="3"/>
      <x:c r="Z331" s="3"/>
    </x:row>
    <x:row r="332" ht="15" customHeight="1">
      <x:c r="A332" s="3"/>
      <x:c r="B332" s="3"/>
      <x:c r="C332" s="3"/>
      <x:c r="D332" s="3"/>
      <x:c r="E332" s="3"/>
      <x:c r="F332" s="3"/>
      <x:c r="G332" s="3"/>
      <x:c r="H332" s="3"/>
      <x:c r="I332" s="3"/>
      <x:c r="J332" s="10" t="n">
        <x:v>46183</x:v>
      </x:c>
      <x:c r="K332" s="8" t="n">
        <x:f>INDEX('Сводка'!$S$3:$S$397,U332)</x:f>
        <x:v>128</x:v>
      </x:c>
      <x:c r="L332" s="8" t="n">
        <x:f>INDEX('Сводка'!$S$3:$S$397,V332)</x:f>
        <x:v>131</x:v>
      </x:c>
      <x:c r="M332" s="8" t="n">
        <x:f>INDEX($K$388:$N$400,W332,1)*EXP(INDEX($K$388:$N$400,W332,2)*((J332-$T$405+1)/1000))+INDEX($O$388:$Z$400,W332,MONTH(J332))</x:f>
        <x:v>231.352591121204</x:v>
      </x:c>
      <x:c r="N332" s="8" t="n">
        <x:f>K332-M332</x:f>
        <x:v>-103.352591121204</x:v>
      </x:c>
      <x:c r="O332" s="8" t="n">
        <x:f>ABS(N332)</x:f>
        <x:v>103.352591121204</x:v>
      </x:c>
      <x:c r="P332" s="8" t="n">
        <x:f>N332^2</x:f>
        <x:v>10681.758091466776</x:v>
      </x:c>
      <x:c r="Q332" s="8" t="n">
        <x:f>K332-L332</x:f>
        <x:v>-3</x:v>
      </x:c>
      <x:c r="R332" s="9" t="n">
        <x:f>IF(AND(INDEX('Сводка'!$T$3:$T$397,U332)=0,INDEX('Сводка'!$T$3:$T$397,V332)=0),1,0)</x:f>
        <x:v>1</x:v>
      </x:c>
      <x:c r="S332" s="9" t="n">
        <x:f>IF(AND(R332=1,O332&lt;=$G$13),1,0)</x:f>
        <x:v>0</x:v>
      </x:c>
      <x:c r="T332" s="10" t="n">
        <x:f>EOMONTH(J332-'Сводка'!$B$11,-1)</x:f>
        <x:v>46173</x:v>
      </x:c>
      <x:c r="U332" s="4" t="n">
        <x:f>MATCH(J332,'Сводка'!$R$3:$R$397,0)</x:f>
        <x:v>343</x:v>
      </x:c>
      <x:c r="V332" s="4" t="n">
        <x:f>MATCH(J332-'Сводка'!$B$11,'Сводка'!$R$3:$R$397,0)</x:f>
        <x:v>342</x:v>
      </x:c>
      <x:c r="W332" s="4" t="n">
        <x:f>MATCH(T332,$J$388:$J$400,0)</x:f>
        <x:v>12</x:v>
      </x:c>
      <x:c r="X332" s="3"/>
      <x:c r="Y332" s="3"/>
      <x:c r="Z332" s="3"/>
    </x:row>
    <x:row r="333" ht="15" customHeight="1">
      <x:c r="A333" s="3"/>
      <x:c r="B333" s="3"/>
      <x:c r="C333" s="3"/>
      <x:c r="D333" s="3"/>
      <x:c r="E333" s="3"/>
      <x:c r="F333" s="3"/>
      <x:c r="G333" s="3"/>
      <x:c r="H333" s="3"/>
      <x:c r="I333" s="3"/>
      <x:c r="J333" s="10" t="n">
        <x:v>46184</x:v>
      </x:c>
      <x:c r="K333" s="8" t="n">
        <x:f>INDEX('Сводка'!$S$3:$S$397,U333)</x:f>
        <x:v>128</x:v>
      </x:c>
      <x:c r="L333" s="8" t="n">
        <x:f>INDEX('Сводка'!$S$3:$S$397,V333)</x:f>
        <x:v>128</x:v>
      </x:c>
      <x:c r="M333" s="8" t="n">
        <x:f>INDEX($K$388:$N$400,W333,1)*EXP(INDEX($K$388:$N$400,W333,2)*((J333-$T$405+1)/1000))+INDEX($O$388:$Z$400,W333,MONTH(J333))</x:f>
        <x:v>231.38431718976835</x:v>
      </x:c>
      <x:c r="N333" s="8" t="n">
        <x:f>K333-M333</x:f>
        <x:v>-103.38431718976835</x:v>
      </x:c>
      <x:c r="O333" s="8" t="n">
        <x:f>ABS(N333)</x:f>
        <x:v>103.38431718976835</x:v>
      </x:c>
      <x:c r="P333" s="8" t="n">
        <x:f>N333^2</x:f>
        <x:v>10688.317040794633</x:v>
      </x:c>
      <x:c r="Q333" s="8" t="n">
        <x:f>K333-L333</x:f>
        <x:v>0</x:v>
      </x:c>
      <x:c r="R333" s="9" t="n">
        <x:f>IF(AND(INDEX('Сводка'!$T$3:$T$397,U333)=0,INDEX('Сводка'!$T$3:$T$397,V333)=0),1,0)</x:f>
        <x:v>1</x:v>
      </x:c>
      <x:c r="S333" s="9" t="n">
        <x:f>IF(AND(R333=1,O333&lt;=$G$13),1,0)</x:f>
        <x:v>0</x:v>
      </x:c>
      <x:c r="T333" s="10" t="n">
        <x:f>EOMONTH(J333-'Сводка'!$B$11,-1)</x:f>
        <x:v>46173</x:v>
      </x:c>
      <x:c r="U333" s="4" t="n">
        <x:f>MATCH(J333,'Сводка'!$R$3:$R$397,0)</x:f>
        <x:v>344</x:v>
      </x:c>
      <x:c r="V333" s="4" t="n">
        <x:f>MATCH(J333-'Сводка'!$B$11,'Сводка'!$R$3:$R$397,0)</x:f>
        <x:v>343</x:v>
      </x:c>
      <x:c r="W333" s="4" t="n">
        <x:f>MATCH(T333,$J$388:$J$400,0)</x:f>
        <x:v>12</x:v>
      </x:c>
      <x:c r="X333" s="3"/>
      <x:c r="Y333" s="3"/>
      <x:c r="Z333" s="3"/>
    </x:row>
    <x:row r="334" ht="15" customHeight="1">
      <x:c r="A334" s="3"/>
      <x:c r="B334" s="3"/>
      <x:c r="C334" s="3"/>
      <x:c r="D334" s="3"/>
      <x:c r="E334" s="3"/>
      <x:c r="F334" s="3"/>
      <x:c r="G334" s="3"/>
      <x:c r="H334" s="3"/>
      <x:c r="I334" s="3"/>
      <x:c r="J334" s="10" t="n">
        <x:v>46185</x:v>
      </x:c>
      <x:c r="K334" s="8" t="n">
        <x:f>INDEX('Сводка'!$S$3:$S$397,U334)</x:f>
        <x:v>123</x:v>
      </x:c>
      <x:c r="L334" s="8" t="n">
        <x:f>INDEX('Сводка'!$S$3:$S$397,V334)</x:f>
        <x:v>128</x:v>
      </x:c>
      <x:c r="M334" s="8" t="n">
        <x:f>INDEX($K$388:$N$400,W334,1)*EXP(INDEX($K$388:$N$400,W334,2)*((J334-$T$405+1)/1000))+INDEX($O$388:$Z$400,W334,MONTH(J334))</x:f>
        <x:v>231.41604987644735</x:v>
      </x:c>
      <x:c r="N334" s="8" t="n">
        <x:f>K334-M334</x:f>
        <x:v>-108.41604987644735</x:v>
      </x:c>
      <x:c r="O334" s="8" t="n">
        <x:f>ABS(N334)</x:f>
        <x:v>108.41604987644735</x:v>
      </x:c>
      <x:c r="P334" s="8" t="n">
        <x:f>N334^2</x:f>
        <x:v>11754.03987081232</x:v>
      </x:c>
      <x:c r="Q334" s="8" t="n">
        <x:f>K334-L334</x:f>
        <x:v>-5</x:v>
      </x:c>
      <x:c r="R334" s="9" t="n">
        <x:f>IF(AND(INDEX('Сводка'!$T$3:$T$397,U334)=0,INDEX('Сводка'!$T$3:$T$397,V334)=0),1,0)</x:f>
        <x:v>1</x:v>
      </x:c>
      <x:c r="S334" s="9" t="n">
        <x:f>IF(AND(R334=1,O334&lt;=$G$13),1,0)</x:f>
        <x:v>0</x:v>
      </x:c>
      <x:c r="T334" s="10" t="n">
        <x:f>EOMONTH(J334-'Сводка'!$B$11,-1)</x:f>
        <x:v>46173</x:v>
      </x:c>
      <x:c r="U334" s="4" t="n">
        <x:f>MATCH(J334,'Сводка'!$R$3:$R$397,0)</x:f>
        <x:v>345</x:v>
      </x:c>
      <x:c r="V334" s="4" t="n">
        <x:f>MATCH(J334-'Сводка'!$B$11,'Сводка'!$R$3:$R$397,0)</x:f>
        <x:v>344</x:v>
      </x:c>
      <x:c r="W334" s="4" t="n">
        <x:f>MATCH(T334,$J$388:$J$400,0)</x:f>
        <x:v>12</x:v>
      </x:c>
      <x:c r="X334" s="3"/>
      <x:c r="Y334" s="3"/>
      <x:c r="Z334" s="3"/>
    </x:row>
    <x:row r="335" ht="15" customHeight="1">
      <x:c r="A335" s="3"/>
      <x:c r="B335" s="3"/>
      <x:c r="C335" s="3"/>
      <x:c r="D335" s="3"/>
      <x:c r="E335" s="3"/>
      <x:c r="F335" s="3"/>
      <x:c r="G335" s="3"/>
      <x:c r="H335" s="3"/>
      <x:c r="I335" s="3"/>
      <x:c r="J335" s="10" t="n">
        <x:v>46186</x:v>
      </x:c>
      <x:c r="K335" s="8" t="n">
        <x:f>INDEX('Сводка'!$S$3:$S$397,U335)</x:f>
        <x:v>128</x:v>
      </x:c>
      <x:c r="L335" s="8" t="n">
        <x:f>INDEX('Сводка'!$S$3:$S$397,V335)</x:f>
        <x:v>123</x:v>
      </x:c>
      <x:c r="M335" s="8" t="n">
        <x:f>INDEX($K$388:$N$400,W335,1)*EXP(INDEX($K$388:$N$400,W335,2)*((J335-$T$405+1)/1000))+INDEX($O$388:$Z$400,W335,MONTH(J335))</x:f>
        <x:v>231.44778918262165</x:v>
      </x:c>
      <x:c r="N335" s="8" t="n">
        <x:f>K335-M335</x:f>
        <x:v>-103.44778918262165</x:v>
      </x:c>
      <x:c r="O335" s="8" t="n">
        <x:f>ABS(N335)</x:f>
        <x:v>103.44778918262165</x:v>
      </x:c>
      <x:c r="P335" s="8" t="n">
        <x:f>N335^2</x:f>
        <x:v>10701.445086772132</x:v>
      </x:c>
      <x:c r="Q335" s="8" t="n">
        <x:f>K335-L335</x:f>
        <x:v>5</x:v>
      </x:c>
      <x:c r="R335" s="9" t="n">
        <x:f>IF(AND(INDEX('Сводка'!$T$3:$T$397,U335)=0,INDEX('Сводка'!$T$3:$T$397,V335)=0),1,0)</x:f>
        <x:v>1</x:v>
      </x:c>
      <x:c r="S335" s="9" t="n">
        <x:f>IF(AND(R335=1,O335&lt;=$G$13),1,0)</x:f>
        <x:v>0</x:v>
      </x:c>
      <x:c r="T335" s="10" t="n">
        <x:f>EOMONTH(J335-'Сводка'!$B$11,-1)</x:f>
        <x:v>46173</x:v>
      </x:c>
      <x:c r="U335" s="4" t="n">
        <x:f>MATCH(J335,'Сводка'!$R$3:$R$397,0)</x:f>
        <x:v>346</x:v>
      </x:c>
      <x:c r="V335" s="4" t="n">
        <x:f>MATCH(J335-'Сводка'!$B$11,'Сводка'!$R$3:$R$397,0)</x:f>
        <x:v>345</x:v>
      </x:c>
      <x:c r="W335" s="4" t="n">
        <x:f>MATCH(T335,$J$388:$J$400,0)</x:f>
        <x:v>12</x:v>
      </x:c>
      <x:c r="X335" s="3"/>
      <x:c r="Y335" s="3"/>
      <x:c r="Z335" s="3"/>
    </x:row>
    <x:row r="336" ht="15" customHeight="1">
      <x:c r="A336" s="3"/>
      <x:c r="B336" s="3"/>
      <x:c r="C336" s="3"/>
      <x:c r="D336" s="3"/>
      <x:c r="E336" s="3"/>
      <x:c r="F336" s="3"/>
      <x:c r="G336" s="3"/>
      <x:c r="H336" s="3"/>
      <x:c r="I336" s="3"/>
      <x:c r="J336" s="10" t="n">
        <x:v>46187</x:v>
      </x:c>
      <x:c r="K336" s="8" t="n">
        <x:f>INDEX('Сводка'!$S$3:$S$397,U336)</x:f>
        <x:v>138</x:v>
      </x:c>
      <x:c r="L336" s="8" t="n">
        <x:f>INDEX('Сводка'!$S$3:$S$397,V336)</x:f>
        <x:v>128</x:v>
      </x:c>
      <x:c r="M336" s="8" t="n">
        <x:f>INDEX($K$388:$N$400,W336,1)*EXP(INDEX($K$388:$N$400,W336,2)*((J336-$T$405+1)/1000))+INDEX($O$388:$Z$400,W336,MONTH(J336))</x:f>
        <x:v>231.4795351096721</x:v>
      </x:c>
      <x:c r="N336" s="8" t="n">
        <x:f>K336-M336</x:f>
        <x:v>-93.4795351096721</x:v>
      </x:c>
      <x:c r="O336" s="8" t="n">
        <x:f>ABS(N336)</x:f>
        <x:v>93.4795351096721</x:v>
      </x:c>
      <x:c r="P336" s="8" t="n">
        <x:f>N336^2</x:f>
        <x:v>8738.42348432042</x:v>
      </x:c>
      <x:c r="Q336" s="8" t="n">
        <x:f>K336-L336</x:f>
        <x:v>10</x:v>
      </x:c>
      <x:c r="R336" s="9" t="n">
        <x:f>IF(AND(INDEX('Сводка'!$T$3:$T$397,U336)=0,INDEX('Сводка'!$T$3:$T$397,V336)=0),1,0)</x:f>
        <x:v>1</x:v>
      </x:c>
      <x:c r="S336" s="9" t="n">
        <x:f>IF(AND(R336=1,O336&lt;=$G$13),1,0)</x:f>
        <x:v>0</x:v>
      </x:c>
      <x:c r="T336" s="10" t="n">
        <x:f>EOMONTH(J336-'Сводка'!$B$11,-1)</x:f>
        <x:v>46173</x:v>
      </x:c>
      <x:c r="U336" s="4" t="n">
        <x:f>MATCH(J336,'Сводка'!$R$3:$R$397,0)</x:f>
        <x:v>347</x:v>
      </x:c>
      <x:c r="V336" s="4" t="n">
        <x:f>MATCH(J336-'Сводка'!$B$11,'Сводка'!$R$3:$R$397,0)</x:f>
        <x:v>346</x:v>
      </x:c>
      <x:c r="W336" s="4" t="n">
        <x:f>MATCH(T336,$J$388:$J$400,0)</x:f>
        <x:v>12</x:v>
      </x:c>
      <x:c r="X336" s="3"/>
      <x:c r="Y336" s="3"/>
      <x:c r="Z336" s="3"/>
    </x:row>
    <x:row r="337" ht="15" customHeight="1">
      <x:c r="A337" s="3"/>
      <x:c r="B337" s="3"/>
      <x:c r="C337" s="3"/>
      <x:c r="D337" s="3"/>
      <x:c r="E337" s="3"/>
      <x:c r="F337" s="3"/>
      <x:c r="G337" s="3"/>
      <x:c r="H337" s="3"/>
      <x:c r="I337" s="3"/>
      <x:c r="J337" s="10" t="n">
        <x:v>46188</x:v>
      </x:c>
      <x:c r="K337" s="8" t="n">
        <x:f>INDEX('Сводка'!$S$3:$S$397,U337)</x:f>
        <x:v>147</x:v>
      </x:c>
      <x:c r="L337" s="8" t="n">
        <x:f>INDEX('Сводка'!$S$3:$S$397,V337)</x:f>
        <x:v>138</x:v>
      </x:c>
      <x:c r="M337" s="8" t="n">
        <x:f>INDEX($K$388:$N$400,W337,1)*EXP(INDEX($K$388:$N$400,W337,2)*((J337-$T$405+1)/1000))+INDEX($O$388:$Z$400,W337,MONTH(J337))</x:f>
        <x:v>231.51128765898</x:v>
      </x:c>
      <x:c r="N337" s="8" t="n">
        <x:f>K337-M337</x:f>
        <x:v>-84.51128765898</x:v>
      </x:c>
      <x:c r="O337" s="8" t="n">
        <x:f>ABS(N337)</x:f>
        <x:v>84.51128765898</x:v>
      </x:c>
      <x:c r="P337" s="8" t="n">
        <x:f>N337^2</x:f>
        <x:v>7142.157741778865</x:v>
      </x:c>
      <x:c r="Q337" s="8" t="n">
        <x:f>K337-L337</x:f>
        <x:v>9</x:v>
      </x:c>
      <x:c r="R337" s="9" t="n">
        <x:f>IF(AND(INDEX('Сводка'!$T$3:$T$397,U337)=0,INDEX('Сводка'!$T$3:$T$397,V337)=0),1,0)</x:f>
        <x:v>1</x:v>
      </x:c>
      <x:c r="S337" s="9" t="n">
        <x:f>IF(AND(R337=1,O337&lt;=$G$13),1,0)</x:f>
        <x:v>0</x:v>
      </x:c>
      <x:c r="T337" s="10" t="n">
        <x:f>EOMONTH(J337-'Сводка'!$B$11,-1)</x:f>
        <x:v>46173</x:v>
      </x:c>
      <x:c r="U337" s="4" t="n">
        <x:f>MATCH(J337,'Сводка'!$R$3:$R$397,0)</x:f>
        <x:v>348</x:v>
      </x:c>
      <x:c r="V337" s="4" t="n">
        <x:f>MATCH(J337-'Сводка'!$B$11,'Сводка'!$R$3:$R$397,0)</x:f>
        <x:v>347</x:v>
      </x:c>
      <x:c r="W337" s="4" t="n">
        <x:f>MATCH(T337,$J$388:$J$400,0)</x:f>
        <x:v>12</x:v>
      </x:c>
      <x:c r="X337" s="3"/>
      <x:c r="Y337" s="3"/>
      <x:c r="Z337" s="3"/>
    </x:row>
    <x:row r="338" ht="15" customHeight="1">
      <x:c r="A338" s="3"/>
      <x:c r="B338" s="3"/>
      <x:c r="C338" s="3"/>
      <x:c r="D338" s="3"/>
      <x:c r="E338" s="3"/>
      <x:c r="F338" s="3"/>
      <x:c r="G338" s="3"/>
      <x:c r="H338" s="3"/>
      <x:c r="I338" s="3"/>
      <x:c r="J338" s="10" t="n">
        <x:v>46189</x:v>
      </x:c>
      <x:c r="K338" s="8" t="n">
        <x:f>INDEX('Сводка'!$S$3:$S$397,U338)</x:f>
        <x:v>154</x:v>
      </x:c>
      <x:c r="L338" s="8" t="n">
        <x:f>INDEX('Сводка'!$S$3:$S$397,V338)</x:f>
        <x:v>147</x:v>
      </x:c>
      <x:c r="M338" s="8" t="n">
        <x:f>INDEX($K$388:$N$400,W338,1)*EXP(INDEX($K$388:$N$400,W338,2)*((J338-$T$405+1)/1000))+INDEX($O$388:$Z$400,W338,MONTH(J338))</x:f>
        <x:v>231.5430468319264</x:v>
      </x:c>
      <x:c r="N338" s="8" t="n">
        <x:f>K338-M338</x:f>
        <x:v>-77.5430468319264</x:v>
      </x:c>
      <x:c r="O338" s="8" t="n">
        <x:f>ABS(N338)</x:f>
        <x:v>77.5430468319264</x:v>
      </x:c>
      <x:c r="P338" s="8" t="n">
        <x:f>N338^2</x:f>
        <x:v>6012.924111978332</x:v>
      </x:c>
      <x:c r="Q338" s="8" t="n">
        <x:f>K338-L338</x:f>
        <x:v>7</x:v>
      </x:c>
      <x:c r="R338" s="9" t="n">
        <x:f>IF(AND(INDEX('Сводка'!$T$3:$T$397,U338)=0,INDEX('Сводка'!$T$3:$T$397,V338)=0),1,0)</x:f>
        <x:v>1</x:v>
      </x:c>
      <x:c r="S338" s="9" t="n">
        <x:f>IF(AND(R338=1,O338&lt;=$G$13),1,0)</x:f>
        <x:v>0</x:v>
      </x:c>
      <x:c r="T338" s="10" t="n">
        <x:f>EOMONTH(J338-'Сводка'!$B$11,-1)</x:f>
        <x:v>46173</x:v>
      </x:c>
      <x:c r="U338" s="4" t="n">
        <x:f>MATCH(J338,'Сводка'!$R$3:$R$397,0)</x:f>
        <x:v>349</x:v>
      </x:c>
      <x:c r="V338" s="4" t="n">
        <x:f>MATCH(J338-'Сводка'!$B$11,'Сводка'!$R$3:$R$397,0)</x:f>
        <x:v>348</x:v>
      </x:c>
      <x:c r="W338" s="4" t="n">
        <x:f>MATCH(T338,$J$388:$J$400,0)</x:f>
        <x:v>12</x:v>
      </x:c>
      <x:c r="X338" s="3"/>
      <x:c r="Y338" s="3"/>
      <x:c r="Z338" s="3"/>
    </x:row>
    <x:row r="339" ht="15" customHeight="1">
      <x:c r="A339" s="3"/>
      <x:c r="B339" s="3"/>
      <x:c r="C339" s="3"/>
      <x:c r="D339" s="3"/>
      <x:c r="E339" s="3"/>
      <x:c r="F339" s="3"/>
      <x:c r="G339" s="3"/>
      <x:c r="H339" s="3"/>
      <x:c r="I339" s="3"/>
      <x:c r="J339" s="10" t="n">
        <x:v>46190</x:v>
      </x:c>
      <x:c r="K339" s="8" t="n">
        <x:f>INDEX('Сводка'!$S$3:$S$397,U339)</x:f>
        <x:v>158</x:v>
      </x:c>
      <x:c r="L339" s="8" t="n">
        <x:f>INDEX('Сводка'!$S$3:$S$397,V339)</x:f>
        <x:v>154</x:v>
      </x:c>
      <x:c r="M339" s="8" t="n">
        <x:f>INDEX($K$388:$N$400,W339,1)*EXP(INDEX($K$388:$N$400,W339,2)*((J339-$T$405+1)/1000))+INDEX($O$388:$Z$400,W339,MONTH(J339))</x:f>
        <x:v>231.5748126298933</x:v>
      </x:c>
      <x:c r="N339" s="8" t="n">
        <x:f>K339-M339</x:f>
        <x:v>-73.5748126298933</x:v>
      </x:c>
      <x:c r="O339" s="8" t="n">
        <x:f>ABS(N339)</x:f>
        <x:v>73.5748126298933</x:v>
      </x:c>
      <x:c r="P339" s="8" t="n">
        <x:f>N339^2</x:f>
        <x:v>5413.253053523907</x:v>
      </x:c>
      <x:c r="Q339" s="8" t="n">
        <x:f>K339-L339</x:f>
        <x:v>4</x:v>
      </x:c>
      <x:c r="R339" s="9" t="n">
        <x:f>IF(AND(INDEX('Сводка'!$T$3:$T$397,U339)=0,INDEX('Сводка'!$T$3:$T$397,V339)=0),1,0)</x:f>
        <x:v>1</x:v>
      </x:c>
      <x:c r="S339" s="9" t="n">
        <x:f>IF(AND(R339=1,O339&lt;=$G$13),1,0)</x:f>
        <x:v>0</x:v>
      </x:c>
      <x:c r="T339" s="10" t="n">
        <x:f>EOMONTH(J339-'Сводка'!$B$11,-1)</x:f>
        <x:v>46173</x:v>
      </x:c>
      <x:c r="U339" s="4" t="n">
        <x:f>MATCH(J339,'Сводка'!$R$3:$R$397,0)</x:f>
        <x:v>350</x:v>
      </x:c>
      <x:c r="V339" s="4" t="n">
        <x:f>MATCH(J339-'Сводка'!$B$11,'Сводка'!$R$3:$R$397,0)</x:f>
        <x:v>349</x:v>
      </x:c>
      <x:c r="W339" s="4" t="n">
        <x:f>MATCH(T339,$J$388:$J$400,0)</x:f>
        <x:v>12</x:v>
      </x:c>
      <x:c r="X339" s="3"/>
      <x:c r="Y339" s="3"/>
      <x:c r="Z339" s="3"/>
    </x:row>
    <x:row r="340" ht="15" customHeight="1">
      <x:c r="A340" s="3"/>
      <x:c r="B340" s="3"/>
      <x:c r="C340" s="3"/>
      <x:c r="D340" s="3"/>
      <x:c r="E340" s="3"/>
      <x:c r="F340" s="3"/>
      <x:c r="G340" s="3"/>
      <x:c r="H340" s="3"/>
      <x:c r="I340" s="3"/>
      <x:c r="J340" s="10" t="n">
        <x:v>46191</x:v>
      </x:c>
      <x:c r="K340" s="8" t="n">
        <x:f>INDEX('Сводка'!$S$3:$S$397,U340)</x:f>
        <x:v>166</x:v>
      </x:c>
      <x:c r="L340" s="8" t="n">
        <x:f>INDEX('Сводка'!$S$3:$S$397,V340)</x:f>
        <x:v>158</x:v>
      </x:c>
      <x:c r="M340" s="8" t="n">
        <x:f>INDEX($K$388:$N$400,W340,1)*EXP(INDEX($K$388:$N$400,W340,2)*((J340-$T$405+1)/1000))+INDEX($O$388:$Z$400,W340,MONTH(J340))</x:f>
        <x:v>231.60658505426255</x:v>
      </x:c>
      <x:c r="N340" s="8" t="n">
        <x:f>K340-M340</x:f>
        <x:v>-65.60658505426255</x:v>
      </x:c>
      <x:c r="O340" s="8" t="n">
        <x:f>ABS(N340)</x:f>
        <x:v>65.60658505426255</x:v>
      </x:c>
      <x:c r="P340" s="8" t="n">
        <x:f>N340^2</x:f>
        <x:v>4304.224002482187</x:v>
      </x:c>
      <x:c r="Q340" s="8" t="n">
        <x:f>K340-L340</x:f>
        <x:v>8</x:v>
      </x:c>
      <x:c r="R340" s="9" t="n">
        <x:f>IF(AND(INDEX('Сводка'!$T$3:$T$397,U340)=0,INDEX('Сводка'!$T$3:$T$397,V340)=0),1,0)</x:f>
        <x:v>1</x:v>
      </x:c>
      <x:c r="S340" s="9" t="n">
        <x:f>IF(AND(R340=1,O340&lt;=$G$13),1,0)</x:f>
        <x:v>0</x:v>
      </x:c>
      <x:c r="T340" s="10" t="n">
        <x:f>EOMONTH(J340-'Сводка'!$B$11,-1)</x:f>
        <x:v>46173</x:v>
      </x:c>
      <x:c r="U340" s="4" t="n">
        <x:f>MATCH(J340,'Сводка'!$R$3:$R$397,0)</x:f>
        <x:v>351</x:v>
      </x:c>
      <x:c r="V340" s="4" t="n">
        <x:f>MATCH(J340-'Сводка'!$B$11,'Сводка'!$R$3:$R$397,0)</x:f>
        <x:v>350</x:v>
      </x:c>
      <x:c r="W340" s="4" t="n">
        <x:f>MATCH(T340,$J$388:$J$400,0)</x:f>
        <x:v>12</x:v>
      </x:c>
      <x:c r="X340" s="3"/>
      <x:c r="Y340" s="3"/>
      <x:c r="Z340" s="3"/>
    </x:row>
    <x:row r="341" ht="15" customHeight="1">
      <x:c r="A341" s="3"/>
      <x:c r="B341" s="3"/>
      <x:c r="C341" s="3"/>
      <x:c r="D341" s="3"/>
      <x:c r="E341" s="3"/>
      <x:c r="F341" s="3"/>
      <x:c r="G341" s="3"/>
      <x:c r="H341" s="3"/>
      <x:c r="I341" s="3"/>
      <x:c r="J341" s="10" t="n">
        <x:v>46192</x:v>
      </x:c>
      <x:c r="K341" s="8" t="n">
        <x:f>INDEX('Сводка'!$S$3:$S$397,U341)</x:f>
        <x:v>170</x:v>
      </x:c>
      <x:c r="L341" s="8" t="n">
        <x:f>INDEX('Сводка'!$S$3:$S$397,V341)</x:f>
        <x:v>166</x:v>
      </x:c>
      <x:c r="M341" s="8" t="n">
        <x:f>INDEX($K$388:$N$400,W341,1)*EXP(INDEX($K$388:$N$400,W341,2)*((J341-$T$405+1)/1000))+INDEX($O$388:$Z$400,W341,MONTH(J341))</x:f>
        <x:v>231.63836410641647</x:v>
      </x:c>
      <x:c r="N341" s="8" t="n">
        <x:f>K341-M341</x:f>
        <x:v>-61.638364106416475</x:v>
      </x:c>
      <x:c r="O341" s="8" t="n">
        <x:f>ABS(N341)</x:f>
        <x:v>61.638364106416475</x:v>
      </x:c>
      <x:c r="P341" s="8" t="n">
        <x:f>N341^2</x:f>
        <x:v>3799.287929715171</x:v>
      </x:c>
      <x:c r="Q341" s="8" t="n">
        <x:f>K341-L341</x:f>
        <x:v>4</x:v>
      </x:c>
      <x:c r="R341" s="9" t="n">
        <x:f>IF(AND(INDEX('Сводка'!$T$3:$T$397,U341)=0,INDEX('Сводка'!$T$3:$T$397,V341)=0),1,0)</x:f>
        <x:v>1</x:v>
      </x:c>
      <x:c r="S341" s="9" t="n">
        <x:f>IF(AND(R341=1,O341&lt;=$G$13),1,0)</x:f>
        <x:v>0</x:v>
      </x:c>
      <x:c r="T341" s="10" t="n">
        <x:f>EOMONTH(J341-'Сводка'!$B$11,-1)</x:f>
        <x:v>46173</x:v>
      </x:c>
      <x:c r="U341" s="4" t="n">
        <x:f>MATCH(J341,'Сводка'!$R$3:$R$397,0)</x:f>
        <x:v>352</x:v>
      </x:c>
      <x:c r="V341" s="4" t="n">
        <x:f>MATCH(J341-'Сводка'!$B$11,'Сводка'!$R$3:$R$397,0)</x:f>
        <x:v>351</x:v>
      </x:c>
      <x:c r="W341" s="4" t="n">
        <x:f>MATCH(T341,$J$388:$J$400,0)</x:f>
        <x:v>12</x:v>
      </x:c>
      <x:c r="X341" s="3"/>
      <x:c r="Y341" s="3"/>
      <x:c r="Z341" s="3"/>
    </x:row>
    <x:row r="342" ht="15" customHeight="1">
      <x:c r="A342" s="3"/>
      <x:c r="B342" s="3"/>
      <x:c r="C342" s="3"/>
      <x:c r="D342" s="3"/>
      <x:c r="E342" s="3"/>
      <x:c r="F342" s="3"/>
      <x:c r="G342" s="3"/>
      <x:c r="H342" s="3"/>
      <x:c r="I342" s="3"/>
      <x:c r="J342" s="10" t="n">
        <x:v>46193</x:v>
      </x:c>
      <x:c r="K342" s="8" t="n">
        <x:f>INDEX('Сводка'!$S$3:$S$397,U342)</x:f>
        <x:v>171</x:v>
      </x:c>
      <x:c r="L342" s="8" t="n">
        <x:f>INDEX('Сводка'!$S$3:$S$397,V342)</x:f>
        <x:v>170</x:v>
      </x:c>
      <x:c r="M342" s="8" t="n">
        <x:f>INDEX($K$388:$N$400,W342,1)*EXP(INDEX($K$388:$N$400,W342,2)*((J342-$T$405+1)/1000))+INDEX($O$388:$Z$400,W342,MONTH(J342))</x:f>
        <x:v>231.67014978773767</x:v>
      </x:c>
      <x:c r="N342" s="8" t="n">
        <x:f>K342-M342</x:f>
        <x:v>-60.67014978773767</x:v>
      </x:c>
      <x:c r="O342" s="8" t="n">
        <x:f>ABS(N342)</x:f>
        <x:v>60.67014978773767</x:v>
      </x:c>
      <x:c r="P342" s="8" t="n">
        <x:f>N342^2</x:f>
        <x:v>3680.8670752665253</x:v>
      </x:c>
      <x:c r="Q342" s="8" t="n">
        <x:f>K342-L342</x:f>
        <x:v>1</x:v>
      </x:c>
      <x:c r="R342" s="9" t="n">
        <x:f>IF(AND(INDEX('Сводка'!$T$3:$T$397,U342)=0,INDEX('Сводка'!$T$3:$T$397,V342)=0),1,0)</x:f>
        <x:v>1</x:v>
      </x:c>
      <x:c r="S342" s="9" t="n">
        <x:f>IF(AND(R342=1,O342&lt;=$G$13),1,0)</x:f>
        <x:v>0</x:v>
      </x:c>
      <x:c r="T342" s="10" t="n">
        <x:f>EOMONTH(J342-'Сводка'!$B$11,-1)</x:f>
        <x:v>46173</x:v>
      </x:c>
      <x:c r="U342" s="4" t="n">
        <x:f>MATCH(J342,'Сводка'!$R$3:$R$397,0)</x:f>
        <x:v>353</x:v>
      </x:c>
      <x:c r="V342" s="4" t="n">
        <x:f>MATCH(J342-'Сводка'!$B$11,'Сводка'!$R$3:$R$397,0)</x:f>
        <x:v>352</x:v>
      </x:c>
      <x:c r="W342" s="4" t="n">
        <x:f>MATCH(T342,$J$388:$J$400,0)</x:f>
        <x:v>12</x:v>
      </x:c>
      <x:c r="X342" s="3"/>
      <x:c r="Y342" s="3"/>
      <x:c r="Z342" s="3"/>
    </x:row>
    <x:row r="343" ht="15" customHeight="1">
      <x:c r="A343" s="3"/>
      <x:c r="B343" s="3"/>
      <x:c r="C343" s="3"/>
      <x:c r="D343" s="3"/>
      <x:c r="E343" s="3"/>
      <x:c r="F343" s="3"/>
      <x:c r="G343" s="3"/>
      <x:c r="H343" s="3"/>
      <x:c r="I343" s="3"/>
      <x:c r="J343" s="10" t="n">
        <x:v>46194</x:v>
      </x:c>
      <x:c r="K343" s="8" t="n">
        <x:f>INDEX('Сводка'!$S$3:$S$397,U343)</x:f>
        <x:v>169</x:v>
      </x:c>
      <x:c r="L343" s="8" t="n">
        <x:f>INDEX('Сводка'!$S$3:$S$397,V343)</x:f>
        <x:v>171</x:v>
      </x:c>
      <x:c r="M343" s="8" t="n">
        <x:f>INDEX($K$388:$N$400,W343,1)*EXP(INDEX($K$388:$N$400,W343,2)*((J343-$T$405+1)/1000))+INDEX($O$388:$Z$400,W343,MONTH(J343))</x:f>
        <x:v>231.70194209960897</x:v>
      </x:c>
      <x:c r="N343" s="8" t="n">
        <x:f>K343-M343</x:f>
        <x:v>-62.70194209960897</x:v>
      </x:c>
      <x:c r="O343" s="8" t="n">
        <x:f>ABS(N343)</x:f>
        <x:v>62.70194209960897</x:v>
      </x:c>
      <x:c r="P343" s="8" t="n">
        <x:f>N343^2</x:f>
        <x:v>3931.533543062716</x:v>
      </x:c>
      <x:c r="Q343" s="8" t="n">
        <x:f>K343-L343</x:f>
        <x:v>-2</x:v>
      </x:c>
      <x:c r="R343" s="9" t="n">
        <x:f>IF(AND(INDEX('Сводка'!$T$3:$T$397,U343)=0,INDEX('Сводка'!$T$3:$T$397,V343)=0),1,0)</x:f>
        <x:v>1</x:v>
      </x:c>
      <x:c r="S343" s="9" t="n">
        <x:f>IF(AND(R343=1,O343&lt;=$G$13),1,0)</x:f>
        <x:v>0</x:v>
      </x:c>
      <x:c r="T343" s="10" t="n">
        <x:f>EOMONTH(J343-'Сводка'!$B$11,-1)</x:f>
        <x:v>46173</x:v>
      </x:c>
      <x:c r="U343" s="4" t="n">
        <x:f>MATCH(J343,'Сводка'!$R$3:$R$397,0)</x:f>
        <x:v>354</x:v>
      </x:c>
      <x:c r="V343" s="4" t="n">
        <x:f>MATCH(J343-'Сводка'!$B$11,'Сводка'!$R$3:$R$397,0)</x:f>
        <x:v>353</x:v>
      </x:c>
      <x:c r="W343" s="4" t="n">
        <x:f>MATCH(T343,$J$388:$J$400,0)</x:f>
        <x:v>12</x:v>
      </x:c>
      <x:c r="X343" s="3"/>
      <x:c r="Y343" s="3"/>
      <x:c r="Z343" s="3"/>
    </x:row>
    <x:row r="344" ht="15" customHeight="1">
      <x:c r="A344" s="3"/>
      <x:c r="B344" s="3"/>
      <x:c r="C344" s="3"/>
      <x:c r="D344" s="3"/>
      <x:c r="E344" s="3"/>
      <x:c r="F344" s="3"/>
      <x:c r="G344" s="3"/>
      <x:c r="H344" s="3"/>
      <x:c r="I344" s="3"/>
      <x:c r="J344" s="10" t="n">
        <x:v>46195</x:v>
      </x:c>
      <x:c r="K344" s="8" t="n">
        <x:f>INDEX('Сводка'!$S$3:$S$397,U344)</x:f>
        <x:v>168</x:v>
      </x:c>
      <x:c r="L344" s="8" t="n">
        <x:f>INDEX('Сводка'!$S$3:$S$397,V344)</x:f>
        <x:v>169</x:v>
      </x:c>
      <x:c r="M344" s="8" t="n">
        <x:f>INDEX($K$388:$N$400,W344,1)*EXP(INDEX($K$388:$N$400,W344,2)*((J344-$T$405+1)/1000))+INDEX($O$388:$Z$400,W344,MONTH(J344))</x:f>
        <x:v>231.73374104341343</x:v>
      </x:c>
      <x:c r="N344" s="8" t="n">
        <x:f>K344-M344</x:f>
        <x:v>-63.73374104341343</x:v>
      </x:c>
      <x:c r="O344" s="8" t="n">
        <x:f>ABS(N344)</x:f>
        <x:v>63.73374104341343</x:v>
      </x:c>
      <x:c r="P344" s="8" t="n">
        <x:f>N344^2</x:f>
        <x:v>4061.989747388882</x:v>
      </x:c>
      <x:c r="Q344" s="8" t="n">
        <x:f>K344-L344</x:f>
        <x:v>-1</x:v>
      </x:c>
      <x:c r="R344" s="9" t="n">
        <x:f>IF(AND(INDEX('Сводка'!$T$3:$T$397,U344)=0,INDEX('Сводка'!$T$3:$T$397,V344)=0),1,0)</x:f>
        <x:v>1</x:v>
      </x:c>
      <x:c r="S344" s="9" t="n">
        <x:f>IF(AND(R344=1,O344&lt;=$G$13),1,0)</x:f>
        <x:v>0</x:v>
      </x:c>
      <x:c r="T344" s="10" t="n">
        <x:f>EOMONTH(J344-'Сводка'!$B$11,-1)</x:f>
        <x:v>46173</x:v>
      </x:c>
      <x:c r="U344" s="4" t="n">
        <x:f>MATCH(J344,'Сводка'!$R$3:$R$397,0)</x:f>
        <x:v>355</x:v>
      </x:c>
      <x:c r="V344" s="4" t="n">
        <x:f>MATCH(J344-'Сводка'!$B$11,'Сводка'!$R$3:$R$397,0)</x:f>
        <x:v>354</x:v>
      </x:c>
      <x:c r="W344" s="4" t="n">
        <x:f>MATCH(T344,$J$388:$J$400,0)</x:f>
        <x:v>12</x:v>
      </x:c>
      <x:c r="X344" s="3"/>
      <x:c r="Y344" s="3"/>
      <x:c r="Z344" s="3"/>
    </x:row>
    <x:row r="345" ht="15" customHeight="1">
      <x:c r="A345" s="3"/>
      <x:c r="B345" s="3"/>
      <x:c r="C345" s="3"/>
      <x:c r="D345" s="3"/>
      <x:c r="E345" s="3"/>
      <x:c r="F345" s="3"/>
      <x:c r="G345" s="3"/>
      <x:c r="H345" s="3"/>
      <x:c r="I345" s="3"/>
      <x:c r="J345" s="10" t="n">
        <x:v>46196</x:v>
      </x:c>
      <x:c r="K345" s="8" t="n">
        <x:f>INDEX('Сводка'!$S$3:$S$397,U345)</x:f>
        <x:v>159</x:v>
      </x:c>
      <x:c r="L345" s="8" t="n">
        <x:f>INDEX('Сводка'!$S$3:$S$397,V345)</x:f>
        <x:v>168</x:v>
      </x:c>
      <x:c r="M345" s="8" t="n">
        <x:f>INDEX($K$388:$N$400,W345,1)*EXP(INDEX($K$388:$N$400,W345,2)*((J345-$T$405+1)/1000))+INDEX($O$388:$Z$400,W345,MONTH(J345))</x:f>
        <x:v>231.76554662053462</x:v>
      </x:c>
      <x:c r="N345" s="8" t="n">
        <x:f>K345-M345</x:f>
        <x:v>-72.76554662053462</x:v>
      </x:c>
      <x:c r="O345" s="8" t="n">
        <x:f>ABS(N345)</x:f>
        <x:v>72.76554662053462</x:v>
      </x:c>
      <x:c r="P345" s="8" t="n">
        <x:f>N345^2</x:f>
        <x:v>5294.824774985197</x:v>
      </x:c>
      <x:c r="Q345" s="8" t="n">
        <x:f>K345-L345</x:f>
        <x:v>-9</x:v>
      </x:c>
      <x:c r="R345" s="9" t="n">
        <x:f>IF(AND(INDEX('Сводка'!$T$3:$T$397,U345)=0,INDEX('Сводка'!$T$3:$T$397,V345)=0),1,0)</x:f>
        <x:v>1</x:v>
      </x:c>
      <x:c r="S345" s="9" t="n">
        <x:f>IF(AND(R345=1,O345&lt;=$G$13),1,0)</x:f>
        <x:v>0</x:v>
      </x:c>
      <x:c r="T345" s="10" t="n">
        <x:f>EOMONTH(J345-'Сводка'!$B$11,-1)</x:f>
        <x:v>46173</x:v>
      </x:c>
      <x:c r="U345" s="4" t="n">
        <x:f>MATCH(J345,'Сводка'!$R$3:$R$397,0)</x:f>
        <x:v>356</x:v>
      </x:c>
      <x:c r="V345" s="4" t="n">
        <x:f>MATCH(J345-'Сводка'!$B$11,'Сводка'!$R$3:$R$397,0)</x:f>
        <x:v>355</x:v>
      </x:c>
      <x:c r="W345" s="4" t="n">
        <x:f>MATCH(T345,$J$388:$J$400,0)</x:f>
        <x:v>12</x:v>
      </x:c>
      <x:c r="X345" s="3"/>
      <x:c r="Y345" s="3"/>
      <x:c r="Z345" s="3"/>
    </x:row>
    <x:row r="346" ht="15" customHeight="1">
      <x:c r="A346" s="3"/>
      <x:c r="B346" s="3"/>
      <x:c r="C346" s="3"/>
      <x:c r="D346" s="3"/>
      <x:c r="E346" s="3"/>
      <x:c r="F346" s="3"/>
      <x:c r="G346" s="3"/>
      <x:c r="H346" s="3"/>
      <x:c r="I346" s="3"/>
      <x:c r="J346" s="10" t="n">
        <x:v>46197</x:v>
      </x:c>
      <x:c r="K346" s="8" t="n">
        <x:f>INDEX('Сводка'!$S$3:$S$397,U346)</x:f>
        <x:v>151</x:v>
      </x:c>
      <x:c r="L346" s="8" t="n">
        <x:f>INDEX('Сводка'!$S$3:$S$397,V346)</x:f>
        <x:v>159</x:v>
      </x:c>
      <x:c r="M346" s="8" t="n">
        <x:f>INDEX($K$388:$N$400,W346,1)*EXP(INDEX($K$388:$N$400,W346,2)*((J346-$T$405+1)/1000))+INDEX($O$388:$Z$400,W346,MONTH(J346))</x:f>
        <x:v>231.79735883235617</x:v>
      </x:c>
      <x:c r="N346" s="8" t="n">
        <x:f>K346-M346</x:f>
        <x:v>-80.79735883235617</x:v>
      </x:c>
      <x:c r="O346" s="8" t="n">
        <x:f>ABS(N346)</x:f>
        <x:v>80.79735883235617</x:v>
      </x:c>
      <x:c r="P346" s="8" t="n">
        <x:f>N346^2</x:f>
        <x:v>6528.2131942845235</x:v>
      </x:c>
      <x:c r="Q346" s="8" t="n">
        <x:f>K346-L346</x:f>
        <x:v>-8</x:v>
      </x:c>
      <x:c r="R346" s="9" t="n">
        <x:f>IF(AND(INDEX('Сводка'!$T$3:$T$397,U346)=0,INDEX('Сводка'!$T$3:$T$397,V346)=0),1,0)</x:f>
        <x:v>1</x:v>
      </x:c>
      <x:c r="S346" s="9" t="n">
        <x:f>IF(AND(R346=1,O346&lt;=$G$13),1,0)</x:f>
        <x:v>0</x:v>
      </x:c>
      <x:c r="T346" s="10" t="n">
        <x:f>EOMONTH(J346-'Сводка'!$B$11,-1)</x:f>
        <x:v>46173</x:v>
      </x:c>
      <x:c r="U346" s="4" t="n">
        <x:f>MATCH(J346,'Сводка'!$R$3:$R$397,0)</x:f>
        <x:v>357</x:v>
      </x:c>
      <x:c r="V346" s="4" t="n">
        <x:f>MATCH(J346-'Сводка'!$B$11,'Сводка'!$R$3:$R$397,0)</x:f>
        <x:v>356</x:v>
      </x:c>
      <x:c r="W346" s="4" t="n">
        <x:f>MATCH(T346,$J$388:$J$400,0)</x:f>
        <x:v>12</x:v>
      </x:c>
      <x:c r="X346" s="3"/>
      <x:c r="Y346" s="3"/>
      <x:c r="Z346" s="3"/>
    </x:row>
    <x:row r="347" ht="15" customHeight="1">
      <x:c r="A347" s="3"/>
      <x:c r="B347" s="3"/>
      <x:c r="C347" s="3"/>
      <x:c r="D347" s="3"/>
      <x:c r="E347" s="3"/>
      <x:c r="F347" s="3"/>
      <x:c r="G347" s="3"/>
      <x:c r="H347" s="3"/>
      <x:c r="I347" s="3"/>
      <x:c r="J347" s="10" t="n">
        <x:v>46198</x:v>
      </x:c>
      <x:c r="K347" s="8" t="n">
        <x:f>INDEX('Сводка'!$S$3:$S$397,U347)</x:f>
        <x:v>144</x:v>
      </x:c>
      <x:c r="L347" s="8" t="n">
        <x:f>INDEX('Сводка'!$S$3:$S$397,V347)</x:f>
        <x:v>151</x:v>
      </x:c>
      <x:c r="M347" s="8" t="n">
        <x:f>INDEX($K$388:$N$400,W347,1)*EXP(INDEX($K$388:$N$400,W347,2)*((J347-$T$405+1)/1000))+INDEX($O$388:$Z$400,W347,MONTH(J347))</x:f>
        <x:v>231.82917768026215</x:v>
      </x:c>
      <x:c r="N347" s="8" t="n">
        <x:f>K347-M347</x:f>
        <x:v>-87.82917768026215</x:v>
      </x:c>
      <x:c r="O347" s="8" t="n">
        <x:f>ABS(N347)</x:f>
        <x:v>87.82917768026215</x:v>
      </x:c>
      <x:c r="P347" s="8" t="n">
        <x:f>N347^2</x:f>
        <x:v>7713.964451991059</x:v>
      </x:c>
      <x:c r="Q347" s="8" t="n">
        <x:f>K347-L347</x:f>
        <x:v>-7</x:v>
      </x:c>
      <x:c r="R347" s="9" t="n">
        <x:f>IF(AND(INDEX('Сводка'!$T$3:$T$397,U347)=0,INDEX('Сводка'!$T$3:$T$397,V347)=0),1,0)</x:f>
        <x:v>1</x:v>
      </x:c>
      <x:c r="S347" s="9" t="n">
        <x:f>IF(AND(R347=1,O347&lt;=$G$13),1,0)</x:f>
        <x:v>0</x:v>
      </x:c>
      <x:c r="T347" s="10" t="n">
        <x:f>EOMONTH(J347-'Сводка'!$B$11,-1)</x:f>
        <x:v>46173</x:v>
      </x:c>
      <x:c r="U347" s="4" t="n">
        <x:f>MATCH(J347,'Сводка'!$R$3:$R$397,0)</x:f>
        <x:v>358</x:v>
      </x:c>
      <x:c r="V347" s="4" t="n">
        <x:f>MATCH(J347-'Сводка'!$B$11,'Сводка'!$R$3:$R$397,0)</x:f>
        <x:v>357</x:v>
      </x:c>
      <x:c r="W347" s="4" t="n">
        <x:f>MATCH(T347,$J$388:$J$400,0)</x:f>
        <x:v>12</x:v>
      </x:c>
      <x:c r="X347" s="3"/>
      <x:c r="Y347" s="3"/>
      <x:c r="Z347" s="3"/>
    </x:row>
    <x:row r="348" ht="15" customHeight="1">
      <x:c r="A348" s="3"/>
      <x:c r="B348" s="3"/>
      <x:c r="C348" s="3"/>
      <x:c r="D348" s="3"/>
      <x:c r="E348" s="3"/>
      <x:c r="F348" s="3"/>
      <x:c r="G348" s="3"/>
      <x:c r="H348" s="3"/>
      <x:c r="I348" s="3"/>
      <x:c r="J348" s="10" t="n">
        <x:v>46199</x:v>
      </x:c>
      <x:c r="K348" s="8" t="n">
        <x:f>INDEX('Сводка'!$S$3:$S$397,U348)</x:f>
        <x:v>139</x:v>
      </x:c>
      <x:c r="L348" s="8" t="n">
        <x:f>INDEX('Сводка'!$S$3:$S$397,V348)</x:f>
        <x:v>144</x:v>
      </x:c>
      <x:c r="M348" s="8" t="n">
        <x:f>INDEX($K$388:$N$400,W348,1)*EXP(INDEX($K$388:$N$400,W348,2)*((J348-$T$405+1)/1000))+INDEX($O$388:$Z$400,W348,MONTH(J348))</x:f>
        <x:v>231.86100316563682</x:v>
      </x:c>
      <x:c r="N348" s="8" t="n">
        <x:f>K348-M348</x:f>
        <x:v>-92.86100316563682</x:v>
      </x:c>
      <x:c r="O348" s="8" t="n">
        <x:f>ABS(N348)</x:f>
        <x:v>92.86100316563682</x:v>
      </x:c>
      <x:c r="P348" s="8" t="n">
        <x:f>N348^2</x:f>
        <x:v>8623.165908928411</x:v>
      </x:c>
      <x:c r="Q348" s="8" t="n">
        <x:f>K348-L348</x:f>
        <x:v>-5</x:v>
      </x:c>
      <x:c r="R348" s="9" t="n">
        <x:f>IF(AND(INDEX('Сводка'!$T$3:$T$397,U348)=0,INDEX('Сводка'!$T$3:$T$397,V348)=0),1,0)</x:f>
        <x:v>1</x:v>
      </x:c>
      <x:c r="S348" s="9" t="n">
        <x:f>IF(AND(R348=1,O348&lt;=$G$13),1,0)</x:f>
        <x:v>0</x:v>
      </x:c>
      <x:c r="T348" s="10" t="n">
        <x:f>EOMONTH(J348-'Сводка'!$B$11,-1)</x:f>
        <x:v>46173</x:v>
      </x:c>
      <x:c r="U348" s="4" t="n">
        <x:f>MATCH(J348,'Сводка'!$R$3:$R$397,0)</x:f>
        <x:v>359</x:v>
      </x:c>
      <x:c r="V348" s="4" t="n">
        <x:f>MATCH(J348-'Сводка'!$B$11,'Сводка'!$R$3:$R$397,0)</x:f>
        <x:v>358</x:v>
      </x:c>
      <x:c r="W348" s="4" t="n">
        <x:f>MATCH(T348,$J$388:$J$400,0)</x:f>
        <x:v>12</x:v>
      </x:c>
      <x:c r="X348" s="3"/>
      <x:c r="Y348" s="3"/>
      <x:c r="Z348" s="3"/>
    </x:row>
    <x:row r="349" ht="15" customHeight="1">
      <x:c r="A349" s="3"/>
      <x:c r="B349" s="3"/>
      <x:c r="C349" s="3"/>
      <x:c r="D349" s="3"/>
      <x:c r="E349" s="3"/>
      <x:c r="F349" s="3"/>
      <x:c r="G349" s="3"/>
      <x:c r="H349" s="3"/>
      <x:c r="I349" s="3"/>
      <x:c r="J349" s="10" t="n">
        <x:v>46200</x:v>
      </x:c>
      <x:c r="K349" s="8" t="n">
        <x:f>INDEX('Сводка'!$S$3:$S$397,U349)</x:f>
        <x:v>136</x:v>
      </x:c>
      <x:c r="L349" s="8" t="n">
        <x:f>INDEX('Сводка'!$S$3:$S$397,V349)</x:f>
        <x:v>139</x:v>
      </x:c>
      <x:c r="M349" s="8" t="n">
        <x:f>INDEX($K$388:$N$400,W349,1)*EXP(INDEX($K$388:$N$400,W349,2)*((J349-$T$405+1)/1000))+INDEX($O$388:$Z$400,W349,MONTH(J349))</x:f>
        <x:v>231.89283528986476</x:v>
      </x:c>
      <x:c r="N349" s="8" t="n">
        <x:f>K349-M349</x:f>
        <x:v>-95.89283528986476</x:v>
      </x:c>
      <x:c r="O349" s="8" t="n">
        <x:f>ABS(N349)</x:f>
        <x:v>95.89283528986476</x:v>
      </x:c>
      <x:c r="P349" s="8" t="n">
        <x:f>N349^2</x:f>
        <x:v>9195.435859929134</x:v>
      </x:c>
      <x:c r="Q349" s="8" t="n">
        <x:f>K349-L349</x:f>
        <x:v>-3</x:v>
      </x:c>
      <x:c r="R349" s="9" t="n">
        <x:f>IF(AND(INDEX('Сводка'!$T$3:$T$397,U349)=0,INDEX('Сводка'!$T$3:$T$397,V349)=0),1,0)</x:f>
        <x:v>1</x:v>
      </x:c>
      <x:c r="S349" s="9" t="n">
        <x:f>IF(AND(R349=1,O349&lt;=$G$13),1,0)</x:f>
        <x:v>0</x:v>
      </x:c>
      <x:c r="T349" s="10" t="n">
        <x:f>EOMONTH(J349-'Сводка'!$B$11,-1)</x:f>
        <x:v>46173</x:v>
      </x:c>
      <x:c r="U349" s="4" t="n">
        <x:f>MATCH(J349,'Сводка'!$R$3:$R$397,0)</x:f>
        <x:v>360</x:v>
      </x:c>
      <x:c r="V349" s="4" t="n">
        <x:f>MATCH(J349-'Сводка'!$B$11,'Сводка'!$R$3:$R$397,0)</x:f>
        <x:v>359</x:v>
      </x:c>
      <x:c r="W349" s="4" t="n">
        <x:f>MATCH(T349,$J$388:$J$400,0)</x:f>
        <x:v>12</x:v>
      </x:c>
      <x:c r="X349" s="3"/>
      <x:c r="Y349" s="3"/>
      <x:c r="Z349" s="3"/>
    </x:row>
    <x:row r="350" ht="15" customHeight="1">
      <x:c r="A350" s="3"/>
      <x:c r="B350" s="3"/>
      <x:c r="C350" s="3"/>
      <x:c r="D350" s="3"/>
      <x:c r="E350" s="3"/>
      <x:c r="F350" s="3"/>
      <x:c r="G350" s="3"/>
      <x:c r="H350" s="3"/>
      <x:c r="I350" s="3"/>
      <x:c r="J350" s="10" t="n">
        <x:v>46201</x:v>
      </x:c>
      <x:c r="K350" s="8" t="n">
        <x:f>INDEX('Сводка'!$S$3:$S$397,U350)</x:f>
        <x:v>127</x:v>
      </x:c>
      <x:c r="L350" s="8" t="n">
        <x:f>INDEX('Сводка'!$S$3:$S$397,V350)</x:f>
        <x:v>136</x:v>
      </x:c>
      <x:c r="M350" s="8" t="n">
        <x:f>INDEX($K$388:$N$400,W350,1)*EXP(INDEX($K$388:$N$400,W350,2)*((J350-$T$405+1)/1000))+INDEX($O$388:$Z$400,W350,MONTH(J350))</x:f>
        <x:v>231.92467405433086</x:v>
      </x:c>
      <x:c r="N350" s="8" t="n">
        <x:f>K350-M350</x:f>
        <x:v>-104.92467405433086</x:v>
      </x:c>
      <x:c r="O350" s="8" t="n">
        <x:f>ABS(N350)</x:f>
        <x:v>104.92467405433086</x:v>
      </x:c>
      <x:c r="P350" s="8" t="n">
        <x:f>N350^2</x:f>
        <x:v>11009.187225407573</x:v>
      </x:c>
      <x:c r="Q350" s="8" t="n">
        <x:f>K350-L350</x:f>
        <x:v>-9</x:v>
      </x:c>
      <x:c r="R350" s="9" t="n">
        <x:f>IF(AND(INDEX('Сводка'!$T$3:$T$397,U350)=0,INDEX('Сводка'!$T$3:$T$397,V350)=0),1,0)</x:f>
        <x:v>1</x:v>
      </x:c>
      <x:c r="S350" s="9" t="n">
        <x:f>IF(AND(R350=1,O350&lt;=$G$13),1,0)</x:f>
        <x:v>0</x:v>
      </x:c>
      <x:c r="T350" s="10" t="n">
        <x:f>EOMONTH(J350-'Сводка'!$B$11,-1)</x:f>
        <x:v>46173</x:v>
      </x:c>
      <x:c r="U350" s="4" t="n">
        <x:f>MATCH(J350,'Сводка'!$R$3:$R$397,0)</x:f>
        <x:v>361</x:v>
      </x:c>
      <x:c r="V350" s="4" t="n">
        <x:f>MATCH(J350-'Сводка'!$B$11,'Сводка'!$R$3:$R$397,0)</x:f>
        <x:v>360</x:v>
      </x:c>
      <x:c r="W350" s="4" t="n">
        <x:f>MATCH(T350,$J$388:$J$400,0)</x:f>
        <x:v>12</x:v>
      </x:c>
      <x:c r="X350" s="3"/>
      <x:c r="Y350" s="3"/>
      <x:c r="Z350" s="3"/>
    </x:row>
    <x:row r="351" ht="15" customHeight="1">
      <x:c r="A351" s="3"/>
      <x:c r="B351" s="3"/>
      <x:c r="C351" s="3"/>
      <x:c r="D351" s="3"/>
      <x:c r="E351" s="3"/>
      <x:c r="F351" s="3"/>
      <x:c r="G351" s="3"/>
      <x:c r="H351" s="3"/>
      <x:c r="I351" s="3"/>
      <x:c r="J351" s="10" t="n">
        <x:v>46202</x:v>
      </x:c>
      <x:c r="K351" s="8" t="n">
        <x:f>INDEX('Сводка'!$S$3:$S$397,U351)</x:f>
        <x:v>122</x:v>
      </x:c>
      <x:c r="L351" s="8" t="n">
        <x:f>INDEX('Сводка'!$S$3:$S$397,V351)</x:f>
        <x:v>127</x:v>
      </x:c>
      <x:c r="M351" s="8" t="n">
        <x:f>INDEX($K$388:$N$400,W351,1)*EXP(INDEX($K$388:$N$400,W351,2)*((J351-$T$405+1)/1000))+INDEX($O$388:$Z$400,W351,MONTH(J351))</x:f>
        <x:v>231.95651946042028</x:v>
      </x:c>
      <x:c r="N351" s="8" t="n">
        <x:f>K351-M351</x:f>
        <x:v>-109.95651946042028</x:v>
      </x:c>
      <x:c r="O351" s="8" t="n">
        <x:f>ABS(N351)</x:f>
        <x:v>109.95651946042028</x:v>
      </x:c>
      <x:c r="P351" s="8" t="n">
        <x:f>N351^2</x:f>
        <x:v>12090.436171849784</x:v>
      </x:c>
      <x:c r="Q351" s="8" t="n">
        <x:f>K351-L351</x:f>
        <x:v>-5</x:v>
      </x:c>
      <x:c r="R351" s="9" t="n">
        <x:f>IF(AND(INDEX('Сводка'!$T$3:$T$397,U351)=0,INDEX('Сводка'!$T$3:$T$397,V351)=0),1,0)</x:f>
        <x:v>1</x:v>
      </x:c>
      <x:c r="S351" s="9" t="n">
        <x:f>IF(AND(R351=1,O351&lt;=$G$13),1,0)</x:f>
        <x:v>0</x:v>
      </x:c>
      <x:c r="T351" s="10" t="n">
        <x:f>EOMONTH(J351-'Сводка'!$B$11,-1)</x:f>
        <x:v>46173</x:v>
      </x:c>
      <x:c r="U351" s="4" t="n">
        <x:f>MATCH(J351,'Сводка'!$R$3:$R$397,0)</x:f>
        <x:v>362</x:v>
      </x:c>
      <x:c r="V351" s="4" t="n">
        <x:f>MATCH(J351-'Сводка'!$B$11,'Сводка'!$R$3:$R$397,0)</x:f>
        <x:v>361</x:v>
      </x:c>
      <x:c r="W351" s="4" t="n">
        <x:f>MATCH(T351,$J$388:$J$400,0)</x:f>
        <x:v>12</x:v>
      </x:c>
      <x:c r="X351" s="3"/>
      <x:c r="Y351" s="3"/>
      <x:c r="Z351" s="3"/>
    </x:row>
    <x:row r="352" ht="15" customHeight="1">
      <x:c r="A352" s="3"/>
      <x:c r="B352" s="3"/>
      <x:c r="C352" s="3"/>
      <x:c r="D352" s="3"/>
      <x:c r="E352" s="3"/>
      <x:c r="F352" s="3"/>
      <x:c r="G352" s="3"/>
      <x:c r="H352" s="3"/>
      <x:c r="I352" s="3"/>
      <x:c r="J352" s="10" t="n">
        <x:v>46203</x:v>
      </x:c>
      <x:c r="K352" s="8" t="n">
        <x:f>INDEX('Сводка'!$S$3:$S$397,U352)</x:f>
        <x:v>116</x:v>
      </x:c>
      <x:c r="L352" s="8" t="n">
        <x:f>INDEX('Сводка'!$S$3:$S$397,V352)</x:f>
        <x:v>122</x:v>
      </x:c>
      <x:c r="M352" s="8" t="n">
        <x:f>INDEX($K$388:$N$400,W352,1)*EXP(INDEX($K$388:$N$400,W352,2)*((J352-$T$405+1)/1000))+INDEX($O$388:$Z$400,W352,MONTH(J352))</x:f>
        <x:v>231.98837150951857</x:v>
      </x:c>
      <x:c r="N352" s="8" t="n">
        <x:f>K352-M352</x:f>
        <x:v>-115.98837150951857</x:v>
      </x:c>
      <x:c r="O352" s="8" t="n">
        <x:f>ABS(N352)</x:f>
        <x:v>115.98837150951857</x:v>
      </x:c>
      <x:c r="P352" s="8" t="n">
        <x:f>N352^2</x:f>
        <x:v>13453.302325430099</x:v>
      </x:c>
      <x:c r="Q352" s="8" t="n">
        <x:f>K352-L352</x:f>
        <x:v>-6</x:v>
      </x:c>
      <x:c r="R352" s="9" t="n">
        <x:f>IF(AND(INDEX('Сводка'!$T$3:$T$397,U352)=0,INDEX('Сводка'!$T$3:$T$397,V352)=0),1,0)</x:f>
        <x:v>1</x:v>
      </x:c>
      <x:c r="S352" s="9" t="n">
        <x:f>IF(AND(R352=1,O352&lt;=$G$13),1,0)</x:f>
        <x:v>0</x:v>
      </x:c>
      <x:c r="T352" s="10" t="n">
        <x:f>EOMONTH(J352-'Сводка'!$B$11,-1)</x:f>
        <x:v>46173</x:v>
      </x:c>
      <x:c r="U352" s="4" t="n">
        <x:f>MATCH(J352,'Сводка'!$R$3:$R$397,0)</x:f>
        <x:v>363</x:v>
      </x:c>
      <x:c r="V352" s="4" t="n">
        <x:f>MATCH(J352-'Сводка'!$B$11,'Сводка'!$R$3:$R$397,0)</x:f>
        <x:v>362</x:v>
      </x:c>
      <x:c r="W352" s="4" t="n">
        <x:f>MATCH(T352,$J$388:$J$400,0)</x:f>
        <x:v>12</x:v>
      </x:c>
      <x:c r="X352" s="3"/>
      <x:c r="Y352" s="3"/>
      <x:c r="Z352" s="3"/>
    </x:row>
    <x:row r="353" ht="15" customHeight="1">
      <x:c r="A353" s="3"/>
      <x:c r="B353" s="3"/>
      <x:c r="C353" s="3"/>
      <x:c r="D353" s="3"/>
      <x:c r="E353" s="3"/>
      <x:c r="F353" s="3"/>
      <x:c r="G353" s="3"/>
      <x:c r="H353" s="3"/>
      <x:c r="I353" s="3"/>
      <x:c r="J353" s="10" t="n">
        <x:v>46204</x:v>
      </x:c>
      <x:c r="K353" s="8" t="n">
        <x:f>INDEX('Сводка'!$S$3:$S$397,U353)</x:f>
        <x:v>110</x:v>
      </x:c>
      <x:c r="L353" s="8" t="n">
        <x:f>INDEX('Сводка'!$S$3:$S$397,V353)</x:f>
        <x:v>116</x:v>
      </x:c>
      <x:c r="M353" s="8" t="n">
        <x:f>INDEX($K$388:$N$400,W353,1)*EXP(INDEX($K$388:$N$400,W353,2)*((J353-$T$405+1)/1000))+INDEX($O$388:$Z$400,W353,MONTH(J353))</x:f>
        <x:v>264.6801277107994</x:v>
      </x:c>
      <x:c r="N353" s="8" t="n">
        <x:f>K353-M353</x:f>
        <x:v>-154.6801277107994</x:v>
      </x:c>
      <x:c r="O353" s="8" t="n">
        <x:f>ABS(N353)</x:f>
        <x:v>154.6801277107994</x:v>
      </x:c>
      <x:c r="P353" s="8" t="n">
        <x:f>N353^2</x:f>
        <x:v>23925.941908629215</x:v>
      </x:c>
      <x:c r="Q353" s="8" t="n">
        <x:f>K353-L353</x:f>
        <x:v>-6</x:v>
      </x:c>
      <x:c r="R353" s="9" t="n">
        <x:f>IF(AND(INDEX('Сводка'!$T$3:$T$397,U353)=0,INDEX('Сводка'!$T$3:$T$397,V353)=0),1,0)</x:f>
        <x:v>1</x:v>
      </x:c>
      <x:c r="S353" s="9" t="n">
        <x:f>IF(AND(R353=1,O353&lt;=$G$13),1,0)</x:f>
        <x:v>0</x:v>
      </x:c>
      <x:c r="T353" s="10" t="n">
        <x:f>EOMONTH(J353-'Сводка'!$B$11,-1)</x:f>
        <x:v>46173</x:v>
      </x:c>
      <x:c r="U353" s="4" t="n">
        <x:f>MATCH(J353,'Сводка'!$R$3:$R$397,0)</x:f>
        <x:v>364</x:v>
      </x:c>
      <x:c r="V353" s="4" t="n">
        <x:f>MATCH(J353-'Сводка'!$B$11,'Сводка'!$R$3:$R$397,0)</x:f>
        <x:v>363</x:v>
      </x:c>
      <x:c r="W353" s="4" t="n">
        <x:f>MATCH(T353,$J$388:$J$400,0)</x:f>
        <x:v>12</x:v>
      </x:c>
      <x:c r="X353" s="3"/>
      <x:c r="Y353" s="3"/>
      <x:c r="Z353" s="3"/>
    </x:row>
    <x:row r="354" ht="15" customHeight="1">
      <x:c r="A354" s="3"/>
      <x:c r="B354" s="3"/>
      <x:c r="C354" s="3"/>
      <x:c r="D354" s="3"/>
      <x:c r="E354" s="3"/>
      <x:c r="F354" s="3"/>
      <x:c r="G354" s="3"/>
      <x:c r="H354" s="3"/>
      <x:c r="I354" s="3"/>
      <x:c r="J354" s="10" t="n">
        <x:v>46205</x:v>
      </x:c>
      <x:c r="K354" s="8" t="n">
        <x:f>INDEX('Сводка'!$S$3:$S$397,U354)</x:f>
        <x:v>105</x:v>
      </x:c>
      <x:c r="L354" s="8" t="n">
        <x:f>INDEX('Сводка'!$S$3:$S$397,V354)</x:f>
        <x:v>110</x:v>
      </x:c>
      <x:c r="M354" s="8" t="n">
        <x:f>INDEX($K$388:$N$400,W354,1)*EXP(INDEX($K$388:$N$400,W354,2)*((J354-$T$405+1)/1000))+INDEX($O$388:$Z$400,W354,MONTH(J354))</x:f>
        <x:v>262.5751190852101</x:v>
      </x:c>
      <x:c r="N354" s="8" t="n">
        <x:f>K354-M354</x:f>
        <x:v>-157.57511908521008</x:v>
      </x:c>
      <x:c r="O354" s="8" t="n">
        <x:f>ABS(N354)</x:f>
        <x:v>157.57511908521008</x:v>
      </x:c>
      <x:c r="P354" s="8" t="n">
        <x:f>N354^2</x:f>
        <x:v>24829.918154718136</x:v>
      </x:c>
      <x:c r="Q354" s="8" t="n">
        <x:f>K354-L354</x:f>
        <x:v>-5</x:v>
      </x:c>
      <x:c r="R354" s="9" t="n">
        <x:f>IF(AND(INDEX('Сводка'!$T$3:$T$397,U354)=0,INDEX('Сводка'!$T$3:$T$397,V354)=0),1,0)</x:f>
        <x:v>1</x:v>
      </x:c>
      <x:c r="S354" s="9" t="n">
        <x:f>IF(AND(R354=1,O354&lt;=$G$13),1,0)</x:f>
        <x:v>0</x:v>
      </x:c>
      <x:c r="T354" s="10" t="n">
        <x:f>EOMONTH(J354-'Сводка'!$B$11,-1)</x:f>
        <x:v>46203</x:v>
      </x:c>
      <x:c r="U354" s="4" t="n">
        <x:f>MATCH(J354,'Сводка'!$R$3:$R$397,0)</x:f>
        <x:v>365</x:v>
      </x:c>
      <x:c r="V354" s="4" t="n">
        <x:f>MATCH(J354-'Сводка'!$B$11,'Сводка'!$R$3:$R$397,0)</x:f>
        <x:v>364</x:v>
      </x:c>
      <x:c r="W354" s="4" t="n">
        <x:f>MATCH(T354,$J$388:$J$400,0)</x:f>
        <x:v>13</x:v>
      </x:c>
      <x:c r="X354" s="3"/>
      <x:c r="Y354" s="3"/>
      <x:c r="Z354" s="3"/>
    </x:row>
    <x:row r="355" ht="15" customHeight="1">
      <x:c r="A355" s="3"/>
      <x:c r="B355" s="3"/>
      <x:c r="C355" s="3"/>
      <x:c r="D355" s="3"/>
      <x:c r="E355" s="3"/>
      <x:c r="F355" s="3"/>
      <x:c r="G355" s="3"/>
      <x:c r="H355" s="3"/>
      <x:c r="I355" s="3"/>
      <x:c r="J355" s="10" t="n">
        <x:v>46206</x:v>
      </x:c>
      <x:c r="K355" s="8" t="n">
        <x:f>INDEX('Сводка'!$S$3:$S$397,U355)</x:f>
        <x:v>105</x:v>
      </x:c>
      <x:c r="L355" s="8" t="n">
        <x:f>INDEX('Сводка'!$S$3:$S$397,V355)</x:f>
        <x:v>105</x:v>
      </x:c>
      <x:c r="M355" s="8" t="n">
        <x:f>INDEX($K$388:$N$400,W355,1)*EXP(INDEX($K$388:$N$400,W355,2)*((J355-$T$405+1)/1000))+INDEX($O$388:$Z$400,W355,MONTH(J355))</x:f>
        <x:v>262.60597174664275</x:v>
      </x:c>
      <x:c r="N355" s="8" t="n">
        <x:f>K355-M355</x:f>
        <x:v>-157.60597174664275</x:v>
      </x:c>
      <x:c r="O355" s="8" t="n">
        <x:f>ABS(N355)</x:f>
        <x:v>157.60597174664275</x:v>
      </x:c>
      <x:c r="P355" s="8" t="n">
        <x:f>N355^2</x:f>
        <x:v>24839.642330203555</x:v>
      </x:c>
      <x:c r="Q355" s="8" t="n">
        <x:f>K355-L355</x:f>
        <x:v>0</x:v>
      </x:c>
      <x:c r="R355" s="9" t="n">
        <x:f>IF(AND(INDEX('Сводка'!$T$3:$T$397,U355)=0,INDEX('Сводка'!$T$3:$T$397,V355)=0),1,0)</x:f>
        <x:v>1</x:v>
      </x:c>
      <x:c r="S355" s="9" t="n">
        <x:f>IF(AND(R355=1,O355&lt;=$G$13),1,0)</x:f>
        <x:v>0</x:v>
      </x:c>
      <x:c r="T355" s="10" t="n">
        <x:f>EOMONTH(J355-'Сводка'!$B$11,-1)</x:f>
        <x:v>46203</x:v>
      </x:c>
      <x:c r="U355" s="4" t="n">
        <x:f>MATCH(J355,'Сводка'!$R$3:$R$397,0)</x:f>
        <x:v>366</x:v>
      </x:c>
      <x:c r="V355" s="4" t="n">
        <x:f>MATCH(J355-'Сводка'!$B$11,'Сводка'!$R$3:$R$397,0)</x:f>
        <x:v>365</x:v>
      </x:c>
      <x:c r="W355" s="4" t="n">
        <x:f>MATCH(T355,$J$388:$J$400,0)</x:f>
        <x:v>13</x:v>
      </x:c>
      <x:c r="X355" s="3"/>
      <x:c r="Y355" s="3"/>
      <x:c r="Z355" s="3"/>
    </x:row>
    <x:row r="356" ht="15" customHeight="1">
      <x:c r="A356" s="3"/>
      <x:c r="B356" s="3"/>
      <x:c r="C356" s="3"/>
      <x:c r="D356" s="3"/>
      <x:c r="E356" s="3"/>
      <x:c r="F356" s="3"/>
      <x:c r="G356" s="3"/>
      <x:c r="H356" s="3"/>
      <x:c r="I356" s="3"/>
      <x:c r="J356" s="10" t="n">
        <x:v>46207</x:v>
      </x:c>
      <x:c r="K356" s="8" t="n">
        <x:f>INDEX('Сводка'!$S$3:$S$397,U356)</x:f>
        <x:v>121</x:v>
      </x:c>
      <x:c r="L356" s="8" t="n">
        <x:f>INDEX('Сводка'!$S$3:$S$397,V356)</x:f>
        <x:v>105</x:v>
      </x:c>
      <x:c r="M356" s="8" t="n">
        <x:f>INDEX($K$388:$N$400,W356,1)*EXP(INDEX($K$388:$N$400,W356,2)*((J356-$T$405+1)/1000))+INDEX($O$388:$Z$400,W356,MONTH(J356))</x:f>
        <x:v>262.63683074142745</x:v>
      </x:c>
      <x:c r="N356" s="8" t="n">
        <x:f>K356-M356</x:f>
        <x:v>-141.63683074142745</x:v>
      </x:c>
      <x:c r="O356" s="8" t="n">
        <x:f>ABS(N356)</x:f>
        <x:v>141.63683074142745</x:v>
      </x:c>
      <x:c r="P356" s="8" t="n">
        <x:f>N356^2</x:f>
        <x:v>20060.991822475768</x:v>
      </x:c>
      <x:c r="Q356" s="8" t="n">
        <x:f>K356-L356</x:f>
        <x:v>16</x:v>
      </x:c>
      <x:c r="R356" s="9" t="n">
        <x:f>IF(AND(INDEX('Сводка'!$T$3:$T$397,U356)=0,INDEX('Сводка'!$T$3:$T$397,V356)=0),1,0)</x:f>
        <x:v>1</x:v>
      </x:c>
      <x:c r="S356" s="9" t="n">
        <x:f>IF(AND(R356=1,O356&lt;=$G$13),1,0)</x:f>
        <x:v>0</x:v>
      </x:c>
      <x:c r="T356" s="10" t="n">
        <x:f>EOMONTH(J356-'Сводка'!$B$11,-1)</x:f>
        <x:v>46203</x:v>
      </x:c>
      <x:c r="U356" s="4" t="n">
        <x:f>MATCH(J356,'Сводка'!$R$3:$R$397,0)</x:f>
        <x:v>367</x:v>
      </x:c>
      <x:c r="V356" s="4" t="n">
        <x:f>MATCH(J356-'Сводка'!$B$11,'Сводка'!$R$3:$R$397,0)</x:f>
        <x:v>366</x:v>
      </x:c>
      <x:c r="W356" s="4" t="n">
        <x:f>MATCH(T356,$J$388:$J$400,0)</x:f>
        <x:v>13</x:v>
      </x:c>
      <x:c r="X356" s="3"/>
      <x:c r="Y356" s="3"/>
      <x:c r="Z356" s="3"/>
    </x:row>
    <x:row r="357" ht="15" customHeight="1">
      <x:c r="A357" s="3"/>
      <x:c r="B357" s="3"/>
      <x:c r="C357" s="3"/>
      <x:c r="D357" s="3"/>
      <x:c r="E357" s="3"/>
      <x:c r="F357" s="3"/>
      <x:c r="G357" s="3"/>
      <x:c r="H357" s="3"/>
      <x:c r="I357" s="3"/>
      <x:c r="J357" s="10" t="n">
        <x:v>46208</x:v>
      </x:c>
      <x:c r="K357" s="8" t="n">
        <x:f>INDEX('Сводка'!$S$3:$S$397,U357)</x:f>
        <x:v>138</x:v>
      </x:c>
      <x:c r="L357" s="8" t="n">
        <x:f>INDEX('Сводка'!$S$3:$S$397,V357)</x:f>
        <x:v>121</x:v>
      </x:c>
      <x:c r="M357" s="8" t="n">
        <x:f>INDEX($K$388:$N$400,W357,1)*EXP(INDEX($K$388:$N$400,W357,2)*((J357-$T$405+1)/1000))+INDEX($O$388:$Z$400,W357,MONTH(J357))</x:f>
        <x:v>262.66769607086405</x:v>
      </x:c>
      <x:c r="N357" s="8" t="n">
        <x:f>K357-M357</x:f>
        <x:v>-124.66769607086405</x:v>
      </x:c>
      <x:c r="O357" s="8" t="n">
        <x:f>ABS(N357)</x:f>
        <x:v>124.66769607086405</x:v>
      </x:c>
      <x:c r="P357" s="8" t="n">
        <x:f>N357^2</x:f>
        <x:v>15542.034443617333</x:v>
      </x:c>
      <x:c r="Q357" s="8" t="n">
        <x:f>K357-L357</x:f>
        <x:v>17</x:v>
      </x:c>
      <x:c r="R357" s="9" t="n">
        <x:f>IF(AND(INDEX('Сводка'!$T$3:$T$397,U357)=0,INDEX('Сводка'!$T$3:$T$397,V357)=0),1,0)</x:f>
        <x:v>1</x:v>
      </x:c>
      <x:c r="S357" s="9" t="n">
        <x:f>IF(AND(R357=1,O357&lt;=$G$13),1,0)</x:f>
        <x:v>0</x:v>
      </x:c>
      <x:c r="T357" s="10" t="n">
        <x:f>EOMONTH(J357-'Сводка'!$B$11,-1)</x:f>
        <x:v>46203</x:v>
      </x:c>
      <x:c r="U357" s="4" t="n">
        <x:f>MATCH(J357,'Сводка'!$R$3:$R$397,0)</x:f>
        <x:v>368</x:v>
      </x:c>
      <x:c r="V357" s="4" t="n">
        <x:f>MATCH(J357-'Сводка'!$B$11,'Сводка'!$R$3:$R$397,0)</x:f>
        <x:v>367</x:v>
      </x:c>
      <x:c r="W357" s="4" t="n">
        <x:f>MATCH(T357,$J$388:$J$400,0)</x:f>
        <x:v>13</x:v>
      </x:c>
      <x:c r="X357" s="3"/>
      <x:c r="Y357" s="3"/>
      <x:c r="Z357" s="3"/>
    </x:row>
    <x:row r="358" ht="15" customHeight="1">
      <x:c r="A358" s="3"/>
      <x:c r="B358" s="3"/>
      <x:c r="C358" s="3"/>
      <x:c r="D358" s="3"/>
      <x:c r="E358" s="3"/>
      <x:c r="F358" s="3"/>
      <x:c r="G358" s="3"/>
      <x:c r="H358" s="3"/>
      <x:c r="I358" s="3"/>
      <x:c r="J358" s="10" t="n">
        <x:v>46209</x:v>
      </x:c>
      <x:c r="K358" s="8" t="n">
        <x:f>INDEX('Сводка'!$S$3:$S$397,U358)</x:f>
        <x:v>149</x:v>
      </x:c>
      <x:c r="L358" s="8" t="n">
        <x:f>INDEX('Сводка'!$S$3:$S$397,V358)</x:f>
        <x:v>138</x:v>
      </x:c>
      <x:c r="M358" s="8" t="n">
        <x:f>INDEX($K$388:$N$400,W358,1)*EXP(INDEX($K$388:$N$400,W358,2)*((J358-$T$405+1)/1000))+INDEX($O$388:$Z$400,W358,MONTH(J358))</x:f>
        <x:v>262.69856773625315</x:v>
      </x:c>
      <x:c r="N358" s="8" t="n">
        <x:f>K358-M358</x:f>
        <x:v>-113.69856773625315</x:v>
      </x:c>
      <x:c r="O358" s="8" t="n">
        <x:f>ABS(N358)</x:f>
        <x:v>113.69856773625315</x:v>
      </x:c>
      <x:c r="P358" s="8" t="n">
        <x:f>N358^2</x:f>
        <x:v>12927.364305275347</x:v>
      </x:c>
      <x:c r="Q358" s="8" t="n">
        <x:f>K358-L358</x:f>
        <x:v>11</x:v>
      </x:c>
      <x:c r="R358" s="9" t="n">
        <x:f>IF(AND(INDEX('Сводка'!$T$3:$T$397,U358)=0,INDEX('Сводка'!$T$3:$T$397,V358)=0),1,0)</x:f>
        <x:v>1</x:v>
      </x:c>
      <x:c r="S358" s="9" t="n">
        <x:f>IF(AND(R358=1,O358&lt;=$G$13),1,0)</x:f>
        <x:v>0</x:v>
      </x:c>
      <x:c r="T358" s="10" t="n">
        <x:f>EOMONTH(J358-'Сводка'!$B$11,-1)</x:f>
        <x:v>46203</x:v>
      </x:c>
      <x:c r="U358" s="4" t="n">
        <x:f>MATCH(J358,'Сводка'!$R$3:$R$397,0)</x:f>
        <x:v>369</x:v>
      </x:c>
      <x:c r="V358" s="4" t="n">
        <x:f>MATCH(J358-'Сводка'!$B$11,'Сводка'!$R$3:$R$397,0)</x:f>
        <x:v>368</x:v>
      </x:c>
      <x:c r="W358" s="4" t="n">
        <x:f>MATCH(T358,$J$388:$J$400,0)</x:f>
        <x:v>13</x:v>
      </x:c>
      <x:c r="X358" s="3"/>
      <x:c r="Y358" s="3"/>
      <x:c r="Z358" s="3"/>
    </x:row>
    <x:row r="359" ht="15" customHeight="1">
      <x:c r="A359" s="3"/>
      <x:c r="B359" s="3"/>
      <x:c r="C359" s="3"/>
      <x:c r="D359" s="3"/>
      <x:c r="E359" s="3"/>
      <x:c r="F359" s="3"/>
      <x:c r="G359" s="3"/>
      <x:c r="H359" s="3"/>
      <x:c r="I359" s="3"/>
      <x:c r="J359" s="10" t="n">
        <x:v>46210</x:v>
      </x:c>
      <x:c r="K359" s="8" t="n">
        <x:f>INDEX('Сводка'!$S$3:$S$397,U359)</x:f>
        <x:v>158</x:v>
      </x:c>
      <x:c r="L359" s="8" t="n">
        <x:f>INDEX('Сводка'!$S$3:$S$397,V359)</x:f>
        <x:v>149</x:v>
      </x:c>
      <x:c r="M359" s="8" t="n">
        <x:f>INDEX($K$388:$N$400,W359,1)*EXP(INDEX($K$388:$N$400,W359,2)*((J359-$T$405+1)/1000))+INDEX($O$388:$Z$400,W359,MONTH(J359))</x:f>
        <x:v>262.7294457388953</x:v>
      </x:c>
      <x:c r="N359" s="8" t="n">
        <x:f>K359-M359</x:f>
        <x:v>-104.72944573889532</x:v>
      </x:c>
      <x:c r="O359" s="8" t="n">
        <x:f>ABS(N359)</x:f>
        <x:v>104.72944573889532</x:v>
      </x:c>
      <x:c r="P359" s="8" t="n">
        <x:f>N359^2</x:f>
        <x:v>10968.25680477622</x:v>
      </x:c>
      <x:c r="Q359" s="8" t="n">
        <x:f>K359-L359</x:f>
        <x:v>9</x:v>
      </x:c>
      <x:c r="R359" s="9" t="n">
        <x:f>IF(AND(INDEX('Сводка'!$T$3:$T$397,U359)=0,INDEX('Сводка'!$T$3:$T$397,V359)=0),1,0)</x:f>
        <x:v>1</x:v>
      </x:c>
      <x:c r="S359" s="9" t="n">
        <x:f>IF(AND(R359=1,O359&lt;=$G$13),1,0)</x:f>
        <x:v>0</x:v>
      </x:c>
      <x:c r="T359" s="10" t="n">
        <x:f>EOMONTH(J359-'Сводка'!$B$11,-1)</x:f>
        <x:v>46203</x:v>
      </x:c>
      <x:c r="U359" s="4" t="n">
        <x:f>MATCH(J359,'Сводка'!$R$3:$R$397,0)</x:f>
        <x:v>370</x:v>
      </x:c>
      <x:c r="V359" s="4" t="n">
        <x:f>MATCH(J359-'Сводка'!$B$11,'Сводка'!$R$3:$R$397,0)</x:f>
        <x:v>369</x:v>
      </x:c>
      <x:c r="W359" s="4" t="n">
        <x:f>MATCH(T359,$J$388:$J$400,0)</x:f>
        <x:v>13</x:v>
      </x:c>
      <x:c r="X359" s="3"/>
      <x:c r="Y359" s="3"/>
      <x:c r="Z359" s="3"/>
    </x:row>
    <x:row r="360" ht="15" customHeight="1">
      <x:c r="A360" s="3"/>
      <x:c r="B360" s="3"/>
      <x:c r="C360" s="3"/>
      <x:c r="D360" s="3"/>
      <x:c r="E360" s="3"/>
      <x:c r="F360" s="3"/>
      <x:c r="G360" s="3"/>
      <x:c r="H360" s="3"/>
      <x:c r="I360" s="3"/>
      <x:c r="J360" s="10" t="n">
        <x:v>46211</x:v>
      </x:c>
      <x:c r="K360" s="8" t="n">
        <x:f>INDEX('Сводка'!$S$3:$S$397,U360)</x:f>
        <x:v>166</x:v>
      </x:c>
      <x:c r="L360" s="8" t="n">
        <x:f>INDEX('Сводка'!$S$3:$S$397,V360)</x:f>
        <x:v>158</x:v>
      </x:c>
      <x:c r="M360" s="8" t="n">
        <x:f>INDEX($K$388:$N$400,W360,1)*EXP(INDEX($K$388:$N$400,W360,2)*((J360-$T$405+1)/1000))+INDEX($O$388:$Z$400,W360,MONTH(J360))</x:f>
        <x:v>262.7603300800913</x:v>
      </x:c>
      <x:c r="N360" s="8" t="n">
        <x:f>K360-M360</x:f>
        <x:v>-96.76033008009131</x:v>
      </x:c>
      <x:c r="O360" s="8" t="n">
        <x:f>ABS(N360)</x:f>
        <x:v>96.76033008009131</x:v>
      </x:c>
      <x:c r="P360" s="8" t="n">
        <x:f>N360^2</x:f>
        <x:v>9362.561477208223</x:v>
      </x:c>
      <x:c r="Q360" s="8" t="n">
        <x:f>K360-L360</x:f>
        <x:v>8</x:v>
      </x:c>
      <x:c r="R360" s="9" t="n">
        <x:f>IF(AND(INDEX('Сводка'!$T$3:$T$397,U360)=0,INDEX('Сводка'!$T$3:$T$397,V360)=0),1,0)</x:f>
        <x:v>1</x:v>
      </x:c>
      <x:c r="S360" s="9" t="n">
        <x:f>IF(AND(R360=1,O360&lt;=$G$13),1,0)</x:f>
        <x:v>0</x:v>
      </x:c>
      <x:c r="T360" s="10" t="n">
        <x:f>EOMONTH(J360-'Сводка'!$B$11,-1)</x:f>
        <x:v>46203</x:v>
      </x:c>
      <x:c r="U360" s="4" t="n">
        <x:f>MATCH(J360,'Сводка'!$R$3:$R$397,0)</x:f>
        <x:v>371</x:v>
      </x:c>
      <x:c r="V360" s="4" t="n">
        <x:f>MATCH(J360-'Сводка'!$B$11,'Сводка'!$R$3:$R$397,0)</x:f>
        <x:v>370</x:v>
      </x:c>
      <x:c r="W360" s="4" t="n">
        <x:f>MATCH(T360,$J$388:$J$400,0)</x:f>
        <x:v>13</x:v>
      </x:c>
      <x:c r="X360" s="3"/>
      <x:c r="Y360" s="3"/>
      <x:c r="Z360" s="3"/>
    </x:row>
    <x:row r="361" ht="15" customHeight="1">
      <x:c r="A361" s="3"/>
      <x:c r="B361" s="3"/>
      <x:c r="C361" s="3"/>
      <x:c r="D361" s="3"/>
      <x:c r="E361" s="3"/>
      <x:c r="F361" s="3"/>
      <x:c r="G361" s="3"/>
      <x:c r="H361" s="3"/>
      <x:c r="I361" s="3"/>
      <x:c r="J361" s="10" t="n">
        <x:v>46212</x:v>
      </x:c>
      <x:c r="K361" s="8" t="n">
        <x:f>INDEX('Сводка'!$S$3:$S$397,U361)</x:f>
        <x:v>174</x:v>
      </x:c>
      <x:c r="L361" s="8" t="n">
        <x:f>INDEX('Сводка'!$S$3:$S$397,V361)</x:f>
        <x:v>166</x:v>
      </x:c>
      <x:c r="M361" s="8" t="n">
        <x:f>INDEX($K$388:$N$400,W361,1)*EXP(INDEX($K$388:$N$400,W361,2)*((J361-$T$405+1)/1000))+INDEX($O$388:$Z$400,W361,MONTH(J361))</x:f>
        <x:v>262.7912207611424</x:v>
      </x:c>
      <x:c r="N361" s="8" t="n">
        <x:f>K361-M361</x:f>
        <x:v>-88.79122076114243</x:v>
      </x:c>
      <x:c r="O361" s="8" t="n">
        <x:f>ABS(N361)</x:f>
        <x:v>88.79122076114243</x:v>
      </x:c>
      <x:c r="P361" s="8" t="n">
        <x:f>N361^2</x:f>
        <x:v>7883.88088425393</x:v>
      </x:c>
      <x:c r="Q361" s="8" t="n">
        <x:f>K361-L361</x:f>
        <x:v>8</x:v>
      </x:c>
      <x:c r="R361" s="9" t="n">
        <x:f>IF(AND(INDEX('Сводка'!$T$3:$T$397,U361)=0,INDEX('Сводка'!$T$3:$T$397,V361)=0),1,0)</x:f>
        <x:v>1</x:v>
      </x:c>
      <x:c r="S361" s="9" t="n">
        <x:f>IF(AND(R361=1,O361&lt;=$G$13),1,0)</x:f>
        <x:v>0</x:v>
      </x:c>
      <x:c r="T361" s="10" t="n">
        <x:f>EOMONTH(J361-'Сводка'!$B$11,-1)</x:f>
        <x:v>46203</x:v>
      </x:c>
      <x:c r="U361" s="4" t="n">
        <x:f>MATCH(J361,'Сводка'!$R$3:$R$397,0)</x:f>
        <x:v>372</x:v>
      </x:c>
      <x:c r="V361" s="4" t="n">
        <x:f>MATCH(J361-'Сводка'!$B$11,'Сводка'!$R$3:$R$397,0)</x:f>
        <x:v>371</x:v>
      </x:c>
      <x:c r="W361" s="4" t="n">
        <x:f>MATCH(T361,$J$388:$J$400,0)</x:f>
        <x:v>13</x:v>
      </x:c>
      <x:c r="X361" s="3"/>
      <x:c r="Y361" s="3"/>
      <x:c r="Z361" s="3"/>
    </x:row>
    <x:row r="362" ht="15" customHeight="1">
      <x:c r="A362" s="3"/>
      <x:c r="B362" s="3"/>
      <x:c r="C362" s="3"/>
      <x:c r="D362" s="3"/>
      <x:c r="E362" s="3"/>
      <x:c r="F362" s="3"/>
      <x:c r="G362" s="3"/>
      <x:c r="H362" s="3"/>
      <x:c r="I362" s="3"/>
      <x:c r="J362" s="10" t="n">
        <x:v>46213</x:v>
      </x:c>
      <x:c r="K362" s="8" t="n">
        <x:f>INDEX('Сводка'!$S$3:$S$397,U362)</x:f>
        <x:v>180</x:v>
      </x:c>
      <x:c r="L362" s="8" t="n">
        <x:f>INDEX('Сводка'!$S$3:$S$397,V362)</x:f>
        <x:v>174</x:v>
      </x:c>
      <x:c r="M362" s="8" t="n">
        <x:f>INDEX($K$388:$N$400,W362,1)*EXP(INDEX($K$388:$N$400,W362,2)*((J362-$T$405+1)/1000))+INDEX($O$388:$Z$400,W362,MONTH(J362))</x:f>
        <x:v>262.8221177833501</x:v>
      </x:c>
      <x:c r="N362" s="8" t="n">
        <x:f>K362-M362</x:f>
        <x:v>-82.82211778335011</x:v>
      </x:c>
      <x:c r="O362" s="8" t="n">
        <x:f>ABS(N362)</x:f>
        <x:v>82.82211778335011</x:v>
      </x:c>
      <x:c r="P362" s="8" t="n">
        <x:f>N362^2</x:f>
        <x:v>6859.503194119118</x:v>
      </x:c>
      <x:c r="Q362" s="8" t="n">
        <x:f>K362-L362</x:f>
        <x:v>6</x:v>
      </x:c>
      <x:c r="R362" s="9" t="n">
        <x:f>IF(AND(INDEX('Сводка'!$T$3:$T$397,U362)=0,INDEX('Сводка'!$T$3:$T$397,V362)=0),1,0)</x:f>
        <x:v>1</x:v>
      </x:c>
      <x:c r="S362" s="9" t="n">
        <x:f>IF(AND(R362=1,O362&lt;=$G$13),1,0)</x:f>
        <x:v>0</x:v>
      </x:c>
      <x:c r="T362" s="10" t="n">
        <x:f>EOMONTH(J362-'Сводка'!$B$11,-1)</x:f>
        <x:v>46203</x:v>
      </x:c>
      <x:c r="U362" s="4" t="n">
        <x:f>MATCH(J362,'Сводка'!$R$3:$R$397,0)</x:f>
        <x:v>373</x:v>
      </x:c>
      <x:c r="V362" s="4" t="n">
        <x:f>MATCH(J362-'Сводка'!$B$11,'Сводка'!$R$3:$R$397,0)</x:f>
        <x:v>372</x:v>
      </x:c>
      <x:c r="W362" s="4" t="n">
        <x:f>MATCH(T362,$J$388:$J$400,0)</x:f>
        <x:v>13</x:v>
      </x:c>
      <x:c r="X362" s="3"/>
      <x:c r="Y362" s="3"/>
      <x:c r="Z362" s="3"/>
    </x:row>
    <x:row r="363" ht="15" customHeight="1">
      <x:c r="A363" s="3"/>
      <x:c r="B363" s="3"/>
      <x:c r="C363" s="3"/>
      <x:c r="D363" s="3"/>
      <x:c r="E363" s="3"/>
      <x:c r="F363" s="3"/>
      <x:c r="G363" s="3"/>
      <x:c r="H363" s="3"/>
      <x:c r="I363" s="3"/>
      <x:c r="J363" s="10" t="n">
        <x:v>46214</x:v>
      </x:c>
      <x:c r="K363" s="8" t="n">
        <x:f>INDEX('Сводка'!$S$3:$S$397,U363)</x:f>
        <x:v>181</x:v>
      </x:c>
      <x:c r="L363" s="8" t="n">
        <x:f>INDEX('Сводка'!$S$3:$S$397,V363)</x:f>
        <x:v>180</x:v>
      </x:c>
      <x:c r="M363" s="8" t="n">
        <x:f>INDEX($K$388:$N$400,W363,1)*EXP(INDEX($K$388:$N$400,W363,2)*((J363-$T$405+1)/1000))+INDEX($O$388:$Z$400,W363,MONTH(J363))</x:f>
        <x:v>262.8530211480159</x:v>
      </x:c>
      <x:c r="N363" s="8" t="n">
        <x:f>K363-M363</x:f>
        <x:v>-81.8530211480159</x:v>
      </x:c>
      <x:c r="O363" s="8" t="n">
        <x:f>ABS(N363)</x:f>
        <x:v>81.8530211480159</x:v>
      </x:c>
      <x:c r="P363" s="8" t="n">
        <x:f>N363^2</x:f>
        <x:v>6699.917071057538</x:v>
      </x:c>
      <x:c r="Q363" s="8" t="n">
        <x:f>K363-L363</x:f>
        <x:v>1</x:v>
      </x:c>
      <x:c r="R363" s="9" t="n">
        <x:f>IF(AND(INDEX('Сводка'!$T$3:$T$397,U363)=0,INDEX('Сводка'!$T$3:$T$397,V363)=0),1,0)</x:f>
        <x:v>1</x:v>
      </x:c>
      <x:c r="S363" s="9" t="n">
        <x:f>IF(AND(R363=1,O363&lt;=$G$13),1,0)</x:f>
        <x:v>0</x:v>
      </x:c>
      <x:c r="T363" s="10" t="n">
        <x:f>EOMONTH(J363-'Сводка'!$B$11,-1)</x:f>
        <x:v>46203</x:v>
      </x:c>
      <x:c r="U363" s="4" t="n">
        <x:f>MATCH(J363,'Сводка'!$R$3:$R$397,0)</x:f>
        <x:v>374</x:v>
      </x:c>
      <x:c r="V363" s="4" t="n">
        <x:f>MATCH(J363-'Сводка'!$B$11,'Сводка'!$R$3:$R$397,0)</x:f>
        <x:v>373</x:v>
      </x:c>
      <x:c r="W363" s="4" t="n">
        <x:f>MATCH(T363,$J$388:$J$400,0)</x:f>
        <x:v>13</x:v>
      </x:c>
      <x:c r="X363" s="3"/>
      <x:c r="Y363" s="3"/>
      <x:c r="Z363" s="3"/>
    </x:row>
    <x:row r="364" ht="15" customHeight="1">
      <x:c r="A364" s="3"/>
      <x:c r="B364" s="3"/>
      <x:c r="C364" s="3"/>
      <x:c r="D364" s="3"/>
      <x:c r="E364" s="3"/>
      <x:c r="F364" s="3"/>
      <x:c r="G364" s="3"/>
      <x:c r="H364" s="3"/>
      <x:c r="I364" s="3"/>
      <x:c r="J364" s="10" t="n">
        <x:v>46215</x:v>
      </x:c>
      <x:c r="K364" s="8" t="n">
        <x:f>INDEX('Сводка'!$S$3:$S$397,U364)</x:f>
        <x:v>179</x:v>
      </x:c>
      <x:c r="L364" s="8" t="n">
        <x:f>INDEX('Сводка'!$S$3:$S$397,V364)</x:f>
        <x:v>181</x:v>
      </x:c>
      <x:c r="M364" s="8" t="n">
        <x:f>INDEX($K$388:$N$400,W364,1)*EXP(INDEX($K$388:$N$400,W364,2)*((J364-$T$405+1)/1000))+INDEX($O$388:$Z$400,W364,MONTH(J364))</x:f>
        <x:v>262.8839308564419</x:v>
      </x:c>
      <x:c r="N364" s="8" t="n">
        <x:f>K364-M364</x:f>
        <x:v>-83.8839308564419</x:v>
      </x:c>
      <x:c r="O364" s="8" t="n">
        <x:f>ABS(N364)</x:f>
        <x:v>83.8839308564419</x:v>
      </x:c>
      <x:c r="P364" s="8" t="n">
        <x:f>N364^2</x:f>
        <x:v>7036.513855928327</x:v>
      </x:c>
      <x:c r="Q364" s="8" t="n">
        <x:f>K364-L364</x:f>
        <x:v>-2</x:v>
      </x:c>
      <x:c r="R364" s="9" t="n">
        <x:f>IF(AND(INDEX('Сводка'!$T$3:$T$397,U364)=0,INDEX('Сводка'!$T$3:$T$397,V364)=0),1,0)</x:f>
        <x:v>1</x:v>
      </x:c>
      <x:c r="S364" s="9" t="n">
        <x:f>IF(AND(R364=1,O364&lt;=$G$13),1,0)</x:f>
        <x:v>0</x:v>
      </x:c>
      <x:c r="T364" s="10" t="n">
        <x:f>EOMONTH(J364-'Сводка'!$B$11,-1)</x:f>
        <x:v>46203</x:v>
      </x:c>
      <x:c r="U364" s="4" t="n">
        <x:f>MATCH(J364,'Сводка'!$R$3:$R$397,0)</x:f>
        <x:v>375</x:v>
      </x:c>
      <x:c r="V364" s="4" t="n">
        <x:f>MATCH(J364-'Сводка'!$B$11,'Сводка'!$R$3:$R$397,0)</x:f>
        <x:v>374</x:v>
      </x:c>
      <x:c r="W364" s="4" t="n">
        <x:f>MATCH(T364,$J$388:$J$400,0)</x:f>
        <x:v>13</x:v>
      </x:c>
      <x:c r="X364" s="3"/>
      <x:c r="Y364" s="3"/>
      <x:c r="Z364" s="3"/>
    </x:row>
    <x:row r="365" ht="15" customHeight="1">
      <x:c r="A365" s="3"/>
      <x:c r="B365" s="3"/>
      <x:c r="C365" s="3"/>
      <x:c r="D365" s="3"/>
      <x:c r="E365" s="3"/>
      <x:c r="F365" s="3"/>
      <x:c r="G365" s="3"/>
      <x:c r="H365" s="3"/>
      <x:c r="I365" s="3"/>
      <x:c r="J365" s="10" t="n">
        <x:v>46216</x:v>
      </x:c>
      <x:c r="K365" s="8" t="n">
        <x:f>INDEX('Сводка'!$S$3:$S$397,U365)</x:f>
        <x:v>182</x:v>
      </x:c>
      <x:c r="L365" s="8" t="n">
        <x:f>INDEX('Сводка'!$S$3:$S$397,V365)</x:f>
        <x:v>179</x:v>
      </x:c>
      <x:c r="M365" s="8" t="n">
        <x:f>INDEX($K$388:$N$400,W365,1)*EXP(INDEX($K$388:$N$400,W365,2)*((J365-$T$405+1)/1000))+INDEX($O$388:$Z$400,W365,MONTH(J365))</x:f>
        <x:v>262.91484690993036</x:v>
      </x:c>
      <x:c r="N365" s="8" t="n">
        <x:f>K365-M365</x:f>
        <x:v>-80.91484690993036</x:v>
      </x:c>
      <x:c r="O365" s="8" t="n">
        <x:f>ABS(N365)</x:f>
        <x:v>80.91484690993036</x:v>
      </x:c>
      <x:c r="P365" s="8" t="n">
        <x:f>N365^2</x:f>
        <x:v>6547.212450457467</x:v>
      </x:c>
      <x:c r="Q365" s="8" t="n">
        <x:f>K365-L365</x:f>
        <x:v>3</x:v>
      </x:c>
      <x:c r="R365" s="9" t="n">
        <x:f>IF(AND(INDEX('Сводка'!$T$3:$T$397,U365)=0,INDEX('Сводка'!$T$3:$T$397,V365)=0),1,0)</x:f>
        <x:v>1</x:v>
      </x:c>
      <x:c r="S365" s="9" t="n">
        <x:f>IF(AND(R365=1,O365&lt;=$G$13),1,0)</x:f>
        <x:v>0</x:v>
      </x:c>
      <x:c r="T365" s="10" t="n">
        <x:f>EOMONTH(J365-'Сводка'!$B$11,-1)</x:f>
        <x:v>46203</x:v>
      </x:c>
      <x:c r="U365" s="4" t="n">
        <x:f>MATCH(J365,'Сводка'!$R$3:$R$397,0)</x:f>
        <x:v>376</x:v>
      </x:c>
      <x:c r="V365" s="4" t="n">
        <x:f>MATCH(J365-'Сводка'!$B$11,'Сводка'!$R$3:$R$397,0)</x:f>
        <x:v>375</x:v>
      </x:c>
      <x:c r="W365" s="4" t="n">
        <x:f>MATCH(T365,$J$388:$J$400,0)</x:f>
        <x:v>13</x:v>
      </x:c>
      <x:c r="X365" s="3"/>
      <x:c r="Y365" s="3"/>
      <x:c r="Z365" s="3"/>
    </x:row>
    <x:row r="366" ht="15" customHeight="1">
      <x:c r="A366" s="3"/>
      <x:c r="B366" s="3"/>
      <x:c r="C366" s="3"/>
      <x:c r="D366" s="3"/>
      <x:c r="E366" s="3"/>
      <x:c r="F366" s="3"/>
      <x:c r="G366" s="3"/>
      <x:c r="H366" s="3"/>
      <x:c r="I366" s="3"/>
      <x:c r="J366" s="10" t="n">
        <x:v>46217</x:v>
      </x:c>
      <x:c r="K366" s="8" t="n">
        <x:f>INDEX('Сводка'!$S$3:$S$397,U366)</x:f>
        <x:v>191</x:v>
      </x:c>
      <x:c r="L366" s="8" t="n">
        <x:f>INDEX('Сводка'!$S$3:$S$397,V366)</x:f>
        <x:v>182</x:v>
      </x:c>
      <x:c r="M366" s="8" t="n">
        <x:f>INDEX($K$388:$N$400,W366,1)*EXP(INDEX($K$388:$N$400,W366,2)*((J366-$T$405+1)/1000))+INDEX($O$388:$Z$400,W366,MONTH(J366))</x:f>
        <x:v>262.94576930978366</x:v>
      </x:c>
      <x:c r="N366" s="8" t="n">
        <x:f>K366-M366</x:f>
        <x:v>-71.94576930978366</x:v>
      </x:c>
      <x:c r="O366" s="8" t="n">
        <x:f>ABS(N366)</x:f>
        <x:v>71.94576930978366</x:v>
      </x:c>
      <x:c r="P366" s="8" t="n">
        <x:f>N366^2</x:f>
        <x:v>5176.193721576608</x:v>
      </x:c>
      <x:c r="Q366" s="8" t="n">
        <x:f>K366-L366</x:f>
        <x:v>9</x:v>
      </x:c>
      <x:c r="R366" s="9" t="n">
        <x:f>IF(AND(INDEX('Сводка'!$T$3:$T$397,U366)=0,INDEX('Сводка'!$T$3:$T$397,V366)=0),1,0)</x:f>
        <x:v>1</x:v>
      </x:c>
      <x:c r="S366" s="9" t="n">
        <x:f>IF(AND(R366=1,O366&lt;=$G$13),1,0)</x:f>
        <x:v>0</x:v>
      </x:c>
      <x:c r="T366" s="10" t="n">
        <x:f>EOMONTH(J366-'Сводка'!$B$11,-1)</x:f>
        <x:v>46203</x:v>
      </x:c>
      <x:c r="U366" s="4" t="n">
        <x:f>MATCH(J366,'Сводка'!$R$3:$R$397,0)</x:f>
        <x:v>377</x:v>
      </x:c>
      <x:c r="V366" s="4" t="n">
        <x:f>MATCH(J366-'Сводка'!$B$11,'Сводка'!$R$3:$R$397,0)</x:f>
        <x:v>376</x:v>
      </x:c>
      <x:c r="W366" s="4" t="n">
        <x:f>MATCH(T366,$J$388:$J$400,0)</x:f>
        <x:v>13</x:v>
      </x:c>
      <x:c r="X366" s="3"/>
      <x:c r="Y366" s="3"/>
      <x:c r="Z366" s="3"/>
    </x:row>
    <x:row r="367" ht="15" customHeight="1">
      <x:c r="A367" s="3"/>
      <x:c r="B367" s="3"/>
      <x:c r="C367" s="3"/>
      <x:c r="D367" s="3"/>
      <x:c r="E367" s="3"/>
      <x:c r="F367" s="3"/>
      <x:c r="G367" s="3"/>
      <x:c r="H367" s="3"/>
      <x:c r="I367" s="3"/>
      <x:c r="J367" s="10" t="n">
        <x:v>46218</x:v>
      </x:c>
      <x:c r="K367" s="8" t="n">
        <x:f>INDEX('Сводка'!$S$3:$S$397,U367)</x:f>
        <x:v>206</x:v>
      </x:c>
      <x:c r="L367" s="8" t="n">
        <x:f>INDEX('Сводка'!$S$3:$S$397,V367)</x:f>
        <x:v>191</x:v>
      </x:c>
      <x:c r="M367" s="8" t="n">
        <x:f>INDEX($K$388:$N$400,W367,1)*EXP(INDEX($K$388:$N$400,W367,2)*((J367-$T$405+1)/1000))+INDEX($O$388:$Z$400,W367,MONTH(J367))</x:f>
        <x:v>262.9766980573046</x:v>
      </x:c>
      <x:c r="N367" s="8" t="n">
        <x:f>K367-M367</x:f>
        <x:v>-56.97669805730459</x:v>
      </x:c>
      <x:c r="O367" s="8" t="n">
        <x:f>ABS(N367)</x:f>
        <x:v>56.97669805730459</x:v>
      </x:c>
      <x:c r="P367" s="8" t="n">
        <x:f>N367^2</x:f>
        <x:v>3246.3441215132566</x:v>
      </x:c>
      <x:c r="Q367" s="8" t="n">
        <x:f>K367-L367</x:f>
        <x:v>15</x:v>
      </x:c>
      <x:c r="R367" s="9" t="n">
        <x:f>IF(AND(INDEX('Сводка'!$T$3:$T$397,U367)=0,INDEX('Сводка'!$T$3:$T$397,V367)=0),1,0)</x:f>
        <x:v>1</x:v>
      </x:c>
      <x:c r="S367" s="9" t="n">
        <x:f>IF(AND(R367=1,O367&lt;=$G$13),1,0)</x:f>
        <x:v>0</x:v>
      </x:c>
      <x:c r="T367" s="10" t="n">
        <x:f>EOMONTH(J367-'Сводка'!$B$11,-1)</x:f>
        <x:v>46203</x:v>
      </x:c>
      <x:c r="U367" s="4" t="n">
        <x:f>MATCH(J367,'Сводка'!$R$3:$R$397,0)</x:f>
        <x:v>378</x:v>
      </x:c>
      <x:c r="V367" s="4" t="n">
        <x:f>MATCH(J367-'Сводка'!$B$11,'Сводка'!$R$3:$R$397,0)</x:f>
        <x:v>377</x:v>
      </x:c>
      <x:c r="W367" s="4" t="n">
        <x:f>MATCH(T367,$J$388:$J$400,0)</x:f>
        <x:v>13</x:v>
      </x:c>
      <x:c r="X367" s="3"/>
      <x:c r="Y367" s="3"/>
      <x:c r="Z367" s="3"/>
    </x:row>
    <x:row r="368" ht="15" customHeight="1">
      <x:c r="A368" s="3"/>
      <x:c r="B368" s="3"/>
      <x:c r="C368" s="3"/>
      <x:c r="D368" s="3"/>
      <x:c r="E368" s="3"/>
      <x:c r="F368" s="3"/>
      <x:c r="G368" s="3"/>
      <x:c r="H368" s="3"/>
      <x:c r="I368" s="3"/>
      <x:c r="J368" s="10" t="n">
        <x:v>46219</x:v>
      </x:c>
      <x:c r="K368" s="8" t="n">
        <x:f>INDEX('Сводка'!$S$3:$S$397,U368)</x:f>
        <x:v>225</x:v>
      </x:c>
      <x:c r="L368" s="8" t="n">
        <x:f>INDEX('Сводка'!$S$3:$S$397,V368)</x:f>
        <x:v>206</x:v>
      </x:c>
      <x:c r="M368" s="8" t="n">
        <x:f>INDEX($K$388:$N$400,W368,1)*EXP(INDEX($K$388:$N$400,W368,2)*((J368-$T$405+1)/1000))+INDEX($O$388:$Z$400,W368,MONTH(J368))</x:f>
        <x:v>263.00763315379623</x:v>
      </x:c>
      <x:c r="N368" s="8" t="n">
        <x:f>K368-M368</x:f>
        <x:v>-38.007633153796235</x:v>
      </x:c>
      <x:c r="O368" s="8" t="n">
        <x:f>ABS(N368)</x:f>
        <x:v>38.007633153796235</x:v>
      </x:c>
      <x:c r="P368" s="8" t="n">
        <x:f>N368^2</x:f>
        <x:v>1444.5801779535507</x:v>
      </x:c>
      <x:c r="Q368" s="8" t="n">
        <x:f>K368-L368</x:f>
        <x:v>19</x:v>
      </x:c>
      <x:c r="R368" s="9" t="n">
        <x:f>IF(AND(INDEX('Сводка'!$T$3:$T$397,U368)=0,INDEX('Сводка'!$T$3:$T$397,V368)=0),1,0)</x:f>
        <x:v>1</x:v>
      </x:c>
      <x:c r="S368" s="9" t="n">
        <x:f>IF(AND(R368=1,O368&lt;=$G$13),1,0)</x:f>
        <x:v>0</x:v>
      </x:c>
      <x:c r="T368" s="10" t="n">
        <x:f>EOMONTH(J368-'Сводка'!$B$11,-1)</x:f>
        <x:v>46203</x:v>
      </x:c>
      <x:c r="U368" s="4" t="n">
        <x:f>MATCH(J368,'Сводка'!$R$3:$R$397,0)</x:f>
        <x:v>379</x:v>
      </x:c>
      <x:c r="V368" s="4" t="n">
        <x:f>MATCH(J368-'Сводка'!$B$11,'Сводка'!$R$3:$R$397,0)</x:f>
        <x:v>378</x:v>
      </x:c>
      <x:c r="W368" s="4" t="n">
        <x:f>MATCH(T368,$J$388:$J$400,0)</x:f>
        <x:v>13</x:v>
      </x:c>
      <x:c r="X368" s="3"/>
      <x:c r="Y368" s="3"/>
      <x:c r="Z368" s="3"/>
    </x:row>
    <x:row r="369" ht="15" customHeight="1">
      <x:c r="A369" s="3"/>
      <x:c r="B369" s="3"/>
      <x:c r="C369" s="3"/>
      <x:c r="D369" s="3"/>
      <x:c r="E369" s="3"/>
      <x:c r="F369" s="3"/>
      <x:c r="G369" s="3"/>
      <x:c r="H369" s="3"/>
      <x:c r="I369" s="3"/>
      <x:c r="J369" s="10" t="n">
        <x:v>46220</x:v>
      </x:c>
      <x:c r="K369" s="8" t="n">
        <x:f>INDEX('Сводка'!$S$3:$S$397,U369)</x:f>
        <x:v>245</x:v>
      </x:c>
      <x:c r="L369" s="8" t="n">
        <x:f>INDEX('Сводка'!$S$3:$S$397,V369)</x:f>
        <x:v>225</x:v>
      </x:c>
      <x:c r="M369" s="8" t="n">
        <x:f>INDEX($K$388:$N$400,W369,1)*EXP(INDEX($K$388:$N$400,W369,2)*((J369-$T$405+1)/1000))+INDEX($O$388:$Z$400,W369,MONTH(J369))</x:f>
        <x:v>263.03857460056196</x:v>
      </x:c>
      <x:c r="N369" s="8" t="n">
        <x:f>K369-M369</x:f>
        <x:v>-18.038574600561958</x:v>
      </x:c>
      <x:c r="O369" s="8" t="n">
        <x:f>ABS(N369)</x:f>
        <x:v>18.038574600561958</x:v>
      </x:c>
      <x:c r="P369" s="8" t="n">
        <x:f>N369^2</x:f>
        <x:v>325.390173620039</x:v>
      </x:c>
      <x:c r="Q369" s="8" t="n">
        <x:f>K369-L369</x:f>
        <x:v>20</x:v>
      </x:c>
      <x:c r="R369" s="9" t="n">
        <x:f>IF(AND(INDEX('Сводка'!$T$3:$T$397,U369)=0,INDEX('Сводка'!$T$3:$T$397,V369)=0),1,0)</x:f>
        <x:v>1</x:v>
      </x:c>
      <x:c r="S369" s="9" t="n">
        <x:f>IF(AND(R369=1,O369&lt;=$G$13),1,0)</x:f>
        <x:v>0</x:v>
      </x:c>
      <x:c r="T369" s="10" t="n">
        <x:f>EOMONTH(J369-'Сводка'!$B$11,-1)</x:f>
        <x:v>46203</x:v>
      </x:c>
      <x:c r="U369" s="4" t="n">
        <x:f>MATCH(J369,'Сводка'!$R$3:$R$397,0)</x:f>
        <x:v>380</x:v>
      </x:c>
      <x:c r="V369" s="4" t="n">
        <x:f>MATCH(J369-'Сводка'!$B$11,'Сводка'!$R$3:$R$397,0)</x:f>
        <x:v>379</x:v>
      </x:c>
      <x:c r="W369" s="4" t="n">
        <x:f>MATCH(T369,$J$388:$J$400,0)</x:f>
        <x:v>13</x:v>
      </x:c>
      <x:c r="X369" s="3"/>
      <x:c r="Y369" s="3"/>
      <x:c r="Z369" s="3"/>
    </x:row>
    <x:row r="370" ht="15" customHeight="1">
      <x:c r="A370" s="3"/>
      <x:c r="B370" s="3"/>
      <x:c r="C370" s="3"/>
      <x:c r="D370" s="3"/>
      <x:c r="E370" s="3"/>
      <x:c r="F370" s="3"/>
      <x:c r="G370" s="3"/>
      <x:c r="H370" s="3"/>
      <x:c r="I370" s="3"/>
      <x:c r="J370" s="10" t="n">
        <x:v>46221</x:v>
      </x:c>
      <x:c r="K370" s="8" t="n">
        <x:f>INDEX('Сводка'!$S$3:$S$397,U370)</x:f>
        <x:v>266</x:v>
      </x:c>
      <x:c r="L370" s="8" t="n">
        <x:f>INDEX('Сводка'!$S$3:$S$397,V370)</x:f>
        <x:v>245</x:v>
      </x:c>
      <x:c r="M370" s="8" t="n">
        <x:f>INDEX($K$388:$N$400,W370,1)*EXP(INDEX($K$388:$N$400,W370,2)*((J370-$T$405+1)/1000))+INDEX($O$388:$Z$400,W370,MONTH(J370))</x:f>
        <x:v>263.0695223989051</x:v>
      </x:c>
      <x:c r="N370" s="8" t="n">
        <x:f>K370-M370</x:f>
        <x:v>2.9304776010948785</x:v>
      </x:c>
      <x:c r="O370" s="8" t="n">
        <x:f>ABS(N370)</x:f>
        <x:v>2.9304776010948785</x:v>
      </x:c>
      <x:c r="P370" s="8" t="n">
        <x:f>N370^2</x:f>
        <x:v>8.587698970518794</x:v>
      </x:c>
      <x:c r="Q370" s="8" t="n">
        <x:f>K370-L370</x:f>
        <x:v>21</x:v>
      </x:c>
      <x:c r="R370" s="9" t="n">
        <x:f>IF(AND(INDEX('Сводка'!$T$3:$T$397,U370)=0,INDEX('Сводка'!$T$3:$T$397,V370)=0),1,0)</x:f>
        <x:v>1</x:v>
      </x:c>
      <x:c r="S370" s="9" t="n">
        <x:f>IF(AND(R370=1,O370&lt;=$G$13),1,0)</x:f>
        <x:v>1</x:v>
      </x:c>
      <x:c r="T370" s="10" t="n">
        <x:f>EOMONTH(J370-'Сводка'!$B$11,-1)</x:f>
        <x:v>46203</x:v>
      </x:c>
      <x:c r="U370" s="4" t="n">
        <x:f>MATCH(J370,'Сводка'!$R$3:$R$397,0)</x:f>
        <x:v>381</x:v>
      </x:c>
      <x:c r="V370" s="4" t="n">
        <x:f>MATCH(J370-'Сводка'!$B$11,'Сводка'!$R$3:$R$397,0)</x:f>
        <x:v>380</x:v>
      </x:c>
      <x:c r="W370" s="4" t="n">
        <x:f>MATCH(T370,$J$388:$J$400,0)</x:f>
        <x:v>13</x:v>
      </x:c>
      <x:c r="X370" s="3"/>
      <x:c r="Y370" s="3"/>
      <x:c r="Z370" s="3"/>
    </x:row>
    <x:row r="371" ht="15" customHeight="1">
      <x:c r="A371" s="3"/>
      <x:c r="B371" s="3"/>
      <x:c r="C371" s="3"/>
      <x:c r="D371" s="3"/>
      <x:c r="E371" s="3"/>
      <x:c r="F371" s="3"/>
      <x:c r="G371" s="3"/>
      <x:c r="H371" s="3"/>
      <x:c r="I371" s="3"/>
      <x:c r="J371" s="10" t="n">
        <x:v>46222</x:v>
      </x:c>
      <x:c r="K371" s="8" t="n">
        <x:f>INDEX('Сводка'!$S$3:$S$397,U371)</x:f>
        <x:v>281</x:v>
      </x:c>
      <x:c r="L371" s="8" t="n">
        <x:f>INDEX('Сводка'!$S$3:$S$397,V371)</x:f>
        <x:v>266</x:v>
      </x:c>
      <x:c r="M371" s="8" t="n">
        <x:f>INDEX($K$388:$N$400,W371,1)*EXP(INDEX($K$388:$N$400,W371,2)*((J371-$T$405+1)/1000))+INDEX($O$388:$Z$400,W371,MONTH(J371))</x:f>
        <x:v>263.10047655012977</x:v>
      </x:c>
      <x:c r="N371" s="8" t="n">
        <x:f>K371-M371</x:f>
        <x:v>17.89952344987023</x:v>
      </x:c>
      <x:c r="O371" s="8" t="n">
        <x:f>ABS(N371)</x:f>
        <x:v>17.89952344987023</x:v>
      </x:c>
      <x:c r="P371" s="8" t="n">
        <x:f>N371^2</x:f>
        <x:v>320.3929397324543</x:v>
      </x:c>
      <x:c r="Q371" s="8" t="n">
        <x:f>K371-L371</x:f>
        <x:v>15</x:v>
      </x:c>
      <x:c r="R371" s="9" t="n">
        <x:f>IF(AND(INDEX('Сводка'!$T$3:$T$397,U371)=0,INDEX('Сводка'!$T$3:$T$397,V371)=0),1,0)</x:f>
        <x:v>1</x:v>
      </x:c>
      <x:c r="S371" s="9" t="n">
        <x:f>IF(AND(R371=1,O371&lt;=$G$13),1,0)</x:f>
        <x:v>0</x:v>
      </x:c>
      <x:c r="T371" s="10" t="n">
        <x:f>EOMONTH(J371-'Сводка'!$B$11,-1)</x:f>
        <x:v>46203</x:v>
      </x:c>
      <x:c r="U371" s="4" t="n">
        <x:f>MATCH(J371,'Сводка'!$R$3:$R$397,0)</x:f>
        <x:v>382</x:v>
      </x:c>
      <x:c r="V371" s="4" t="n">
        <x:f>MATCH(J371-'Сводка'!$B$11,'Сводка'!$R$3:$R$397,0)</x:f>
        <x:v>381</x:v>
      </x:c>
      <x:c r="W371" s="4" t="n">
        <x:f>MATCH(T371,$J$388:$J$400,0)</x:f>
        <x:v>13</x:v>
      </x:c>
      <x:c r="X371" s="3"/>
      <x:c r="Y371" s="3"/>
      <x:c r="Z371" s="3"/>
    </x:row>
    <x:row r="372" ht="15" customHeight="1">
      <x:c r="A372" s="3"/>
      <x:c r="B372" s="3"/>
      <x:c r="C372" s="3"/>
      <x:c r="D372" s="3"/>
      <x:c r="E372" s="3"/>
      <x:c r="F372" s="3"/>
      <x:c r="G372" s="3"/>
      <x:c r="H372" s="3"/>
      <x:c r="I372" s="3"/>
      <x:c r="J372" s="10" t="n">
        <x:v>46223</x:v>
      </x:c>
      <x:c r="K372" s="8" t="n">
        <x:f>INDEX('Сводка'!$S$3:$S$397,U372)</x:f>
        <x:v>292</x:v>
      </x:c>
      <x:c r="L372" s="8" t="n">
        <x:f>INDEX('Сводка'!$S$3:$S$397,V372)</x:f>
        <x:v>281</x:v>
      </x:c>
      <x:c r="M372" s="8" t="n">
        <x:f>INDEX($K$388:$N$400,W372,1)*EXP(INDEX($K$388:$N$400,W372,2)*((J372-$T$405+1)/1000))+INDEX($O$388:$Z$400,W372,MONTH(J372))</x:f>
        <x:v>263.1314370555399</x:v>
      </x:c>
      <x:c r="N372" s="8" t="n">
        <x:f>K372-M372</x:f>
        <x:v>28.86856294446011</x:v>
      </x:c>
      <x:c r="O372" s="8" t="n">
        <x:f>ABS(N372)</x:f>
        <x:v>28.86856294446011</x:v>
      </x:c>
      <x:c r="P372" s="8" t="n">
        <x:f>N372^2</x:f>
        <x:v>833.3939264782554</x:v>
      </x:c>
      <x:c r="Q372" s="8" t="n">
        <x:f>K372-L372</x:f>
        <x:v>11</x:v>
      </x:c>
      <x:c r="R372" s="9" t="n">
        <x:f>IF(AND(INDEX('Сводка'!$T$3:$T$397,U372)=0,INDEX('Сводка'!$T$3:$T$397,V372)=0),1,0)</x:f>
        <x:v>1</x:v>
      </x:c>
      <x:c r="S372" s="9" t="n">
        <x:f>IF(AND(R372=1,O372&lt;=$G$13),1,0)</x:f>
        <x:v>0</x:v>
      </x:c>
      <x:c r="T372" s="10" t="n">
        <x:f>EOMONTH(J372-'Сводка'!$B$11,-1)</x:f>
        <x:v>46203</x:v>
      </x:c>
      <x:c r="U372" s="4" t="n">
        <x:f>MATCH(J372,'Сводка'!$R$3:$R$397,0)</x:f>
        <x:v>383</x:v>
      </x:c>
      <x:c r="V372" s="4" t="n">
        <x:f>MATCH(J372-'Сводка'!$B$11,'Сводка'!$R$3:$R$397,0)</x:f>
        <x:v>382</x:v>
      </x:c>
      <x:c r="W372" s="4" t="n">
        <x:f>MATCH(T372,$J$388:$J$400,0)</x:f>
        <x:v>13</x:v>
      </x:c>
      <x:c r="X372" s="3"/>
      <x:c r="Y372" s="3"/>
      <x:c r="Z372" s="3"/>
    </x:row>
    <x:row r="373" ht="15" customHeight="1">
      <x:c r="A373" s="3"/>
      <x:c r="B373" s="3"/>
      <x:c r="C373" s="3"/>
      <x:c r="D373" s="3"/>
      <x:c r="E373" s="3"/>
      <x:c r="F373" s="3"/>
      <x:c r="G373" s="3"/>
      <x:c r="H373" s="3"/>
      <x:c r="I373" s="3"/>
      <x:c r="J373" s="10" t="n">
        <x:v>46224</x:v>
      </x:c>
      <x:c r="K373" s="8" t="n">
        <x:f>INDEX('Сводка'!$S$3:$S$397,U373)</x:f>
        <x:v>303</x:v>
      </x:c>
      <x:c r="L373" s="8" t="n">
        <x:f>INDEX('Сводка'!$S$3:$S$397,V373)</x:f>
        <x:v>292</x:v>
      </x:c>
      <x:c r="M373" s="8" t="n">
        <x:f>INDEX($K$388:$N$400,W373,1)*EXP(INDEX($K$388:$N$400,W373,2)*((J373-$T$405+1)/1000))+INDEX($O$388:$Z$400,W373,MONTH(J373))</x:f>
        <x:v>263.16240391643987</x:v>
      </x:c>
      <x:c r="N373" s="8" t="n">
        <x:f>K373-M373</x:f>
        <x:v>39.83759608356013</x:v>
      </x:c>
      <x:c r="O373" s="8" t="n">
        <x:f>ABS(N373)</x:f>
        <x:v>39.83759608356013</x:v>
      </x:c>
      <x:c r="P373" s="8" t="n">
        <x:f>N373^2</x:f>
        <x:v>1587.0340617168854</x:v>
      </x:c>
      <x:c r="Q373" s="8" t="n">
        <x:f>K373-L373</x:f>
        <x:v>11</x:v>
      </x:c>
      <x:c r="R373" s="9" t="n">
        <x:f>IF(AND(INDEX('Сводка'!$T$3:$T$397,U373)=0,INDEX('Сводка'!$T$3:$T$397,V373)=0),1,0)</x:f>
        <x:v>1</x:v>
      </x:c>
      <x:c r="S373" s="9" t="n">
        <x:f>IF(AND(R373=1,O373&lt;=$G$13),1,0)</x:f>
        <x:v>0</x:v>
      </x:c>
      <x:c r="T373" s="10" t="n">
        <x:f>EOMONTH(J373-'Сводка'!$B$11,-1)</x:f>
        <x:v>46203</x:v>
      </x:c>
      <x:c r="U373" s="4" t="n">
        <x:f>MATCH(J373,'Сводка'!$R$3:$R$397,0)</x:f>
        <x:v>384</x:v>
      </x:c>
      <x:c r="V373" s="4" t="n">
        <x:f>MATCH(J373-'Сводка'!$B$11,'Сводка'!$R$3:$R$397,0)</x:f>
        <x:v>383</x:v>
      </x:c>
      <x:c r="W373" s="4" t="n">
        <x:f>MATCH(T373,$J$388:$J$400,0)</x:f>
        <x:v>13</x:v>
      </x:c>
      <x:c r="X373" s="3"/>
      <x:c r="Y373" s="3"/>
      <x:c r="Z373" s="3"/>
    </x:row>
    <x:row r="374" ht="15" customHeight="1">
      <x:c r="A374" s="3"/>
      <x:c r="B374" s="3"/>
      <x:c r="C374" s="3"/>
      <x:c r="D374" s="3"/>
      <x:c r="E374" s="3"/>
      <x:c r="F374" s="3"/>
      <x:c r="G374" s="3"/>
      <x:c r="H374" s="3"/>
      <x:c r="I374" s="3"/>
      <x:c r="J374" s="10" t="n">
        <x:v>46225</x:v>
      </x:c>
      <x:c r="K374" s="8" t="n">
        <x:f>INDEX('Сводка'!$S$3:$S$397,U374)</x:f>
        <x:v>311</x:v>
      </x:c>
      <x:c r="L374" s="8" t="n">
        <x:f>INDEX('Сводка'!$S$3:$S$397,V374)</x:f>
        <x:v>303</x:v>
      </x:c>
      <x:c r="M374" s="8" t="n">
        <x:f>INDEX($K$388:$N$400,W374,1)*EXP(INDEX($K$388:$N$400,W374,2)*((J374-$T$405+1)/1000))+INDEX($O$388:$Z$400,W374,MONTH(J374))</x:f>
        <x:v>263.1933771341344</x:v>
      </x:c>
      <x:c r="N374" s="8" t="n">
        <x:f>K374-M374</x:f>
        <x:v>47.80662286586562</x:v>
      </x:c>
      <x:c r="O374" s="8" t="n">
        <x:f>ABS(N374)</x:f>
        <x:v>47.80662286586562</x:v>
      </x:c>
      <x:c r="P374" s="8" t="n">
        <x:f>N374^2</x:f>
        <x:v>2285.4731898391055</x:v>
      </x:c>
      <x:c r="Q374" s="8" t="n">
        <x:f>K374-L374</x:f>
        <x:v>8</x:v>
      </x:c>
      <x:c r="R374" s="9" t="n">
        <x:f>IF(AND(INDEX('Сводка'!$T$3:$T$397,U374)=0,INDEX('Сводка'!$T$3:$T$397,V374)=0),1,0)</x:f>
        <x:v>1</x:v>
      </x:c>
      <x:c r="S374" s="9" t="n">
        <x:f>IF(AND(R374=1,O374&lt;=$G$13),1,0)</x:f>
        <x:v>0</x:v>
      </x:c>
      <x:c r="T374" s="10" t="n">
        <x:f>EOMONTH(J374-'Сводка'!$B$11,-1)</x:f>
        <x:v>46203</x:v>
      </x:c>
      <x:c r="U374" s="4" t="n">
        <x:f>MATCH(J374,'Сводка'!$R$3:$R$397,0)</x:f>
        <x:v>385</x:v>
      </x:c>
      <x:c r="V374" s="4" t="n">
        <x:f>MATCH(J374-'Сводка'!$B$11,'Сводка'!$R$3:$R$397,0)</x:f>
        <x:v>384</x:v>
      </x:c>
      <x:c r="W374" s="4" t="n">
        <x:f>MATCH(T374,$J$388:$J$400,0)</x:f>
        <x:v>13</x:v>
      </x:c>
      <x:c r="X374" s="3"/>
      <x:c r="Y374" s="3"/>
      <x:c r="Z374" s="3"/>
    </x:row>
    <x:row r="375" ht="15" customHeight="1">
      <x:c r="A375" s="3"/>
      <x:c r="B375" s="3"/>
      <x:c r="C375" s="3"/>
      <x:c r="D375" s="3"/>
      <x:c r="E375" s="3"/>
      <x:c r="F375" s="3"/>
      <x:c r="G375" s="3"/>
      <x:c r="H375" s="3"/>
      <x:c r="I375" s="3"/>
      <x:c r="J375" s="10" t="n">
        <x:v>46226</x:v>
      </x:c>
      <x:c r="K375" s="8" t="n">
        <x:f>INDEX('Сводка'!$S$3:$S$397,U375)</x:f>
        <x:v>328</x:v>
      </x:c>
      <x:c r="L375" s="8" t="n">
        <x:f>INDEX('Сводка'!$S$3:$S$397,V375)</x:f>
        <x:v>311</x:v>
      </x:c>
      <x:c r="M375" s="8" t="n">
        <x:f>INDEX($K$388:$N$400,W375,1)*EXP(INDEX($K$388:$N$400,W375,2)*((J375-$T$405+1)/1000))+INDEX($O$388:$Z$400,W375,MONTH(J375))</x:f>
        <x:v>263.2243567099283</x:v>
      </x:c>
      <x:c r="N375" s="8" t="n">
        <x:f>K375-M375</x:f>
        <x:v>64.77564329007168</x:v>
      </x:c>
      <x:c r="O375" s="8" t="n">
        <x:f>ABS(N375)</x:f>
        <x:v>64.77564329007168</x:v>
      </x:c>
      <x:c r="P375" s="8" t="n">
        <x:f>N375^2</x:f>
        <x:v>4195.883963642609</x:v>
      </x:c>
      <x:c r="Q375" s="8" t="n">
        <x:f>K375-L375</x:f>
        <x:v>17</x:v>
      </x:c>
      <x:c r="R375" s="9" t="n">
        <x:f>IF(AND(INDEX('Сводка'!$T$3:$T$397,U375)=0,INDEX('Сводка'!$T$3:$T$397,V375)=0),1,0)</x:f>
        <x:v>1</x:v>
      </x:c>
      <x:c r="S375" s="9" t="n">
        <x:f>IF(AND(R375=1,O375&lt;=$G$13),1,0)</x:f>
        <x:v>0</x:v>
      </x:c>
      <x:c r="T375" s="10" t="n">
        <x:f>EOMONTH(J375-'Сводка'!$B$11,-1)</x:f>
        <x:v>46203</x:v>
      </x:c>
      <x:c r="U375" s="4" t="n">
        <x:f>MATCH(J375,'Сводка'!$R$3:$R$397,0)</x:f>
        <x:v>386</x:v>
      </x:c>
      <x:c r="V375" s="4" t="n">
        <x:f>MATCH(J375-'Сводка'!$B$11,'Сводка'!$R$3:$R$397,0)</x:f>
        <x:v>385</x:v>
      </x:c>
      <x:c r="W375" s="4" t="n">
        <x:f>MATCH(T375,$J$388:$J$400,0)</x:f>
        <x:v>13</x:v>
      </x:c>
      <x:c r="X375" s="3"/>
      <x:c r="Y375" s="3"/>
      <x:c r="Z375" s="3"/>
    </x:row>
    <x:row r="376" ht="15" customHeight="1">
      <x:c r="A376" s="3"/>
      <x:c r="B376" s="3"/>
      <x:c r="C376" s="3"/>
      <x:c r="D376" s="3"/>
      <x:c r="E376" s="3"/>
      <x:c r="F376" s="3"/>
      <x:c r="G376" s="3"/>
      <x:c r="H376" s="3"/>
      <x:c r="I376" s="3"/>
      <x:c r="J376" s="10" t="n">
        <x:v>46227</x:v>
      </x:c>
      <x:c r="K376" s="8" t="n">
        <x:f>INDEX('Сводка'!$S$3:$S$397,U376)</x:f>
        <x:v>340</x:v>
      </x:c>
      <x:c r="L376" s="8" t="n">
        <x:f>INDEX('Сводка'!$S$3:$S$397,V376)</x:f>
        <x:v>328</x:v>
      </x:c>
      <x:c r="M376" s="8" t="n">
        <x:f>INDEX($K$388:$N$400,W376,1)*EXP(INDEX($K$388:$N$400,W376,2)*((J376-$T$405+1)/1000))+INDEX($O$388:$Z$400,W376,MONTH(J376))</x:f>
        <x:v>263.2553426451268</x:v>
      </x:c>
      <x:c r="N376" s="8" t="n">
        <x:f>K376-M376</x:f>
        <x:v>76.7446573548732</x:v>
      </x:c>
      <x:c r="O376" s="8" t="n">
        <x:f>ABS(N376)</x:f>
        <x:v>76.7446573548732</x:v>
      </x:c>
      <x:c r="P376" s="8" t="n">
        <x:f>N376^2</x:f>
        <x:v>5889.742432516893</x:v>
      </x:c>
      <x:c r="Q376" s="8" t="n">
        <x:f>K376-L376</x:f>
        <x:v>12</x:v>
      </x:c>
      <x:c r="R376" s="9" t="n">
        <x:f>IF(AND(INDEX('Сводка'!$T$3:$T$397,U376)=0,INDEX('Сводка'!$T$3:$T$397,V376)=0),1,0)</x:f>
        <x:v>1</x:v>
      </x:c>
      <x:c r="S376" s="9" t="n">
        <x:f>IF(AND(R376=1,O376&lt;=$G$13),1,0)</x:f>
        <x:v>0</x:v>
      </x:c>
      <x:c r="T376" s="10" t="n">
        <x:f>EOMONTH(J376-'Сводка'!$B$11,-1)</x:f>
        <x:v>46203</x:v>
      </x:c>
      <x:c r="U376" s="4" t="n">
        <x:f>MATCH(J376,'Сводка'!$R$3:$R$397,0)</x:f>
        <x:v>387</x:v>
      </x:c>
      <x:c r="V376" s="4" t="n">
        <x:f>MATCH(J376-'Сводка'!$B$11,'Сводка'!$R$3:$R$397,0)</x:f>
        <x:v>386</x:v>
      </x:c>
      <x:c r="W376" s="4" t="n">
        <x:f>MATCH(T376,$J$388:$J$400,0)</x:f>
        <x:v>13</x:v>
      </x:c>
      <x:c r="X376" s="3"/>
      <x:c r="Y376" s="3"/>
      <x:c r="Z376" s="3"/>
    </x:row>
    <x:row r="377" ht="15" customHeight="1">
      <x:c r="A377" s="3"/>
      <x:c r="B377" s="3"/>
      <x:c r="C377" s="3"/>
      <x:c r="D377" s="3"/>
      <x:c r="E377" s="3"/>
      <x:c r="F377" s="3"/>
      <x:c r="G377" s="3"/>
      <x:c r="H377" s="3"/>
      <x:c r="I377" s="3"/>
      <x:c r="J377" s="10" t="n">
        <x:v>46228</x:v>
      </x:c>
      <x:c r="K377" s="8" t="n">
        <x:f>INDEX('Сводка'!$S$3:$S$397,U377)</x:f>
        <x:v>350</x:v>
      </x:c>
      <x:c r="L377" s="8" t="n">
        <x:f>INDEX('Сводка'!$S$3:$S$397,V377)</x:f>
        <x:v>340</x:v>
      </x:c>
      <x:c r="M377" s="8" t="n">
        <x:f>INDEX($K$388:$N$400,W377,1)*EXP(INDEX($K$388:$N$400,W377,2)*((J377-$T$405+1)/1000))+INDEX($O$388:$Z$400,W377,MONTH(J377))</x:f>
        <x:v>263.2863349410353</x:v>
      </x:c>
      <x:c r="N377" s="8" t="n">
        <x:f>K377-M377</x:f>
        <x:v>86.7136650589647</x:v>
      </x:c>
      <x:c r="O377" s="8" t="n">
        <x:f>ABS(N377)</x:f>
        <x:v>86.7136650589647</x:v>
      </x:c>
      <x:c r="P377" s="8" t="n">
        <x:f>N377^2</x:f>
        <x:v>7519.259707958315</x:v>
      </x:c>
      <x:c r="Q377" s="8" t="n">
        <x:f>K377-L377</x:f>
        <x:v>10</x:v>
      </x:c>
      <x:c r="R377" s="9" t="n">
        <x:f>IF(AND(INDEX('Сводка'!$T$3:$T$397,U377)=0,INDEX('Сводка'!$T$3:$T$397,V377)=0),1,0)</x:f>
        <x:v>1</x:v>
      </x:c>
      <x:c r="S377" s="9" t="n">
        <x:f>IF(AND(R377=1,O377&lt;=$G$13),1,0)</x:f>
        <x:v>0</x:v>
      </x:c>
      <x:c r="T377" s="10" t="n">
        <x:f>EOMONTH(J377-'Сводка'!$B$11,-1)</x:f>
        <x:v>46203</x:v>
      </x:c>
      <x:c r="U377" s="4" t="n">
        <x:f>MATCH(J377,'Сводка'!$R$3:$R$397,0)</x:f>
        <x:v>388</x:v>
      </x:c>
      <x:c r="V377" s="4" t="n">
        <x:f>MATCH(J377-'Сводка'!$B$11,'Сводка'!$R$3:$R$397,0)</x:f>
        <x:v>387</x:v>
      </x:c>
      <x:c r="W377" s="4" t="n">
        <x:f>MATCH(T377,$J$388:$J$400,0)</x:f>
        <x:v>13</x:v>
      </x:c>
      <x:c r="X377" s="3"/>
      <x:c r="Y377" s="3"/>
      <x:c r="Z377" s="3"/>
    </x:row>
    <x:row r="378" ht="15" customHeight="1">
      <x:c r="A378" s="3"/>
      <x:c r="B378" s="3"/>
      <x:c r="C378" s="3"/>
      <x:c r="D378" s="3"/>
      <x:c r="E378" s="3"/>
      <x:c r="F378" s="3"/>
      <x:c r="G378" s="3"/>
      <x:c r="H378" s="3"/>
      <x:c r="I378" s="3"/>
      <x:c r="J378" s="10" t="n">
        <x:v>46229</x:v>
      </x:c>
      <x:c r="K378" s="8" t="n">
        <x:f>INDEX('Сводка'!$S$3:$S$397,U378)</x:f>
        <x:v>361</x:v>
      </x:c>
      <x:c r="L378" s="8" t="n">
        <x:f>INDEX('Сводка'!$S$3:$S$397,V378)</x:f>
        <x:v>350</x:v>
      </x:c>
      <x:c r="M378" s="8" t="n">
        <x:f>INDEX($K$388:$N$400,W378,1)*EXP(INDEX($K$388:$N$400,W378,2)*((J378-$T$405+1)/1000))+INDEX($O$388:$Z$400,W378,MONTH(J378))</x:f>
        <x:v>263.31733359895964</x:v>
      </x:c>
      <x:c r="N378" s="8" t="n">
        <x:f>K378-M378</x:f>
        <x:v>97.68266640104036</x:v>
      </x:c>
      <x:c r="O378" s="8" t="n">
        <x:f>ABS(N378)</x:f>
        <x:v>97.68266640104036</x:v>
      </x:c>
      <x:c r="P378" s="8" t="n">
        <x:f>N378^2</x:f>
        <x:v>9541.90331521694</x:v>
      </x:c>
      <x:c r="Q378" s="8" t="n">
        <x:f>K378-L378</x:f>
        <x:v>11</x:v>
      </x:c>
      <x:c r="R378" s="9" t="n">
        <x:f>IF(AND(INDEX('Сводка'!$T$3:$T$397,U378)=0,INDEX('Сводка'!$T$3:$T$397,V378)=0),1,0)</x:f>
        <x:v>1</x:v>
      </x:c>
      <x:c r="S378" s="9" t="n">
        <x:f>IF(AND(R378=1,O378&lt;=$G$13),1,0)</x:f>
        <x:v>0</x:v>
      </x:c>
      <x:c r="T378" s="10" t="n">
        <x:f>EOMONTH(J378-'Сводка'!$B$11,-1)</x:f>
        <x:v>46203</x:v>
      </x:c>
      <x:c r="U378" s="4" t="n">
        <x:f>MATCH(J378,'Сводка'!$R$3:$R$397,0)</x:f>
        <x:v>389</x:v>
      </x:c>
      <x:c r="V378" s="4" t="n">
        <x:f>MATCH(J378-'Сводка'!$B$11,'Сводка'!$R$3:$R$397,0)</x:f>
        <x:v>388</x:v>
      </x:c>
      <x:c r="W378" s="4" t="n">
        <x:f>MATCH(T378,$J$388:$J$400,0)</x:f>
        <x:v>13</x:v>
      </x:c>
      <x:c r="X378" s="3"/>
      <x:c r="Y378" s="3"/>
      <x:c r="Z378" s="3"/>
    </x:row>
    <x:row r="379" ht="15" customHeight="1">
      <x:c r="A379" s="3"/>
      <x:c r="B379" s="3"/>
      <x:c r="C379" s="3"/>
      <x:c r="D379" s="3"/>
      <x:c r="E379" s="3"/>
      <x:c r="F379" s="3"/>
      <x:c r="G379" s="3"/>
      <x:c r="H379" s="3"/>
      <x:c r="I379" s="3"/>
      <x:c r="J379" s="10" t="n">
        <x:v>46230</x:v>
      </x:c>
      <x:c r="K379" s="8" t="n">
        <x:f>INDEX('Сводка'!$S$3:$S$397,U379)</x:f>
        <x:v>369</x:v>
      </x:c>
      <x:c r="L379" s="8" t="n">
        <x:f>INDEX('Сводка'!$S$3:$S$397,V379)</x:f>
        <x:v>361</x:v>
      </x:c>
      <x:c r="M379" s="8" t="n">
        <x:f>INDEX($K$388:$N$400,W379,1)*EXP(INDEX($K$388:$N$400,W379,2)*((J379-$T$405+1)/1000))+INDEX($O$388:$Z$400,W379,MONTH(J379))</x:f>
        <x:v>263.3483386202056</x:v>
      </x:c>
      <x:c r="N379" s="8" t="n">
        <x:f>K379-M379</x:f>
        <x:v>105.6516613797944</x:v>
      </x:c>
      <x:c r="O379" s="8" t="n">
        <x:f>ABS(N379)</x:f>
        <x:v>105.6516613797944</x:v>
      </x:c>
      <x:c r="P379" s="8" t="n">
        <x:f>N379^2</x:f>
        <x:v>11162.27355231074</x:v>
      </x:c>
      <x:c r="Q379" s="8" t="n">
        <x:f>K379-L379</x:f>
        <x:v>8</x:v>
      </x:c>
      <x:c r="R379" s="9" t="n">
        <x:f>IF(AND(INDEX('Сводка'!$T$3:$T$397,U379)=0,INDEX('Сводка'!$T$3:$T$397,V379)=0),1,0)</x:f>
        <x:v>1</x:v>
      </x:c>
      <x:c r="S379" s="9" t="n">
        <x:f>IF(AND(R379=1,O379&lt;=$G$13),1,0)</x:f>
        <x:v>0</x:v>
      </x:c>
      <x:c r="T379" s="10" t="n">
        <x:f>EOMONTH(J379-'Сводка'!$B$11,-1)</x:f>
        <x:v>46203</x:v>
      </x:c>
      <x:c r="U379" s="4" t="n">
        <x:f>MATCH(J379,'Сводка'!$R$3:$R$397,0)</x:f>
        <x:v>390</x:v>
      </x:c>
      <x:c r="V379" s="4" t="n">
        <x:f>MATCH(J379-'Сводка'!$B$11,'Сводка'!$R$3:$R$397,0)</x:f>
        <x:v>389</x:v>
      </x:c>
      <x:c r="W379" s="4" t="n">
        <x:f>MATCH(T379,$J$388:$J$400,0)</x:f>
        <x:v>13</x:v>
      </x:c>
      <x:c r="X379" s="3"/>
      <x:c r="Y379" s="3"/>
      <x:c r="Z379" s="3"/>
    </x:row>
    <x:row r="380" ht="15" customHeight="1">
      <x:c r="A380" s="3"/>
      <x:c r="B380" s="3"/>
      <x:c r="C380" s="3"/>
      <x:c r="D380" s="3"/>
      <x:c r="E380" s="3"/>
      <x:c r="F380" s="3"/>
      <x:c r="G380" s="3"/>
      <x:c r="H380" s="3"/>
      <x:c r="I380" s="3"/>
      <x:c r="J380" s="10" t="n">
        <x:v>46231</x:v>
      </x:c>
      <x:c r="K380" s="8" t="n">
        <x:f>INDEX('Сводка'!$S$3:$S$397,U380)</x:f>
        <x:v>377</x:v>
      </x:c>
      <x:c r="L380" s="8" t="n">
        <x:f>INDEX('Сводка'!$S$3:$S$397,V380)</x:f>
        <x:v>369</x:v>
      </x:c>
      <x:c r="M380" s="8" t="n">
        <x:f>INDEX($K$388:$N$400,W380,1)*EXP(INDEX($K$388:$N$400,W380,2)*((J380-$T$405+1)/1000))+INDEX($O$388:$Z$400,W380,MONTH(J380))</x:f>
        <x:v>263.3793500060795</x:v>
      </x:c>
      <x:c r="N380" s="8" t="n">
        <x:f>K380-M380</x:f>
        <x:v>113.6206499939205</x:v>
      </x:c>
      <x:c r="O380" s="8" t="n">
        <x:f>ABS(N380)</x:f>
        <x:v>113.6206499939205</x:v>
      </x:c>
      <x:c r="P380" s="8" t="n">
        <x:f>N380^2</x:f>
        <x:v>12909.652105040985</x:v>
      </x:c>
      <x:c r="Q380" s="8" t="n">
        <x:f>K380-L380</x:f>
        <x:v>8</x:v>
      </x:c>
      <x:c r="R380" s="9" t="n">
        <x:f>IF(AND(INDEX('Сводка'!$T$3:$T$397,U380)=0,INDEX('Сводка'!$T$3:$T$397,V380)=0),1,0)</x:f>
        <x:v>1</x:v>
      </x:c>
      <x:c r="S380" s="9" t="n">
        <x:f>IF(AND(R380=1,O380&lt;=$G$13),1,0)</x:f>
        <x:v>0</x:v>
      </x:c>
      <x:c r="T380" s="10" t="n">
        <x:f>EOMONTH(J380-'Сводка'!$B$11,-1)</x:f>
        <x:v>46203</x:v>
      </x:c>
      <x:c r="U380" s="4" t="n">
        <x:f>MATCH(J380,'Сводка'!$R$3:$R$397,0)</x:f>
        <x:v>391</x:v>
      </x:c>
      <x:c r="V380" s="4" t="n">
        <x:f>MATCH(J380-'Сводка'!$B$11,'Сводка'!$R$3:$R$397,0)</x:f>
        <x:v>390</x:v>
      </x:c>
      <x:c r="W380" s="4" t="n">
        <x:f>MATCH(T380,$J$388:$J$400,0)</x:f>
        <x:v>13</x:v>
      </x:c>
      <x:c r="X380" s="3"/>
      <x:c r="Y380" s="3"/>
      <x:c r="Z380" s="3"/>
    </x:row>
    <x:row r="381" ht="15" customHeight="1">
      <x:c r="A381" s="3"/>
      <x:c r="B381" s="3"/>
      <x:c r="C381" s="3"/>
      <x:c r="D381" s="3"/>
      <x:c r="E381" s="3"/>
      <x:c r="F381" s="3"/>
      <x:c r="G381" s="3"/>
      <x:c r="H381" s="3"/>
      <x:c r="I381" s="3"/>
      <x:c r="J381" s="10" t="n">
        <x:v>46232</x:v>
      </x:c>
      <x:c r="K381" s="8" t="n">
        <x:f>INDEX('Сводка'!$S$3:$S$397,U381)</x:f>
        <x:v>385</x:v>
      </x:c>
      <x:c r="L381" s="8" t="n">
        <x:f>INDEX('Сводка'!$S$3:$S$397,V381)</x:f>
        <x:v>377</x:v>
      </x:c>
      <x:c r="M381" s="8" t="n">
        <x:f>INDEX($K$388:$N$400,W381,1)*EXP(INDEX($K$388:$N$400,W381,2)*((J381-$T$405+1)/1000))+INDEX($O$388:$Z$400,W381,MONTH(J381))</x:f>
        <x:v>263.41036775788797</x:v>
      </x:c>
      <x:c r="N381" s="8" t="n">
        <x:f>K381-M381</x:f>
        <x:v>121.58963224211203</x:v>
      </x:c>
      <x:c r="O381" s="8" t="n">
        <x:f>ABS(N381)</x:f>
        <x:v>121.58963224211203</x:v>
      </x:c>
      <x:c r="P381" s="8" t="n">
        <x:f>N381^2</x:f>
        <x:v>14784.03866877205</x:v>
      </x:c>
      <x:c r="Q381" s="8" t="n">
        <x:f>K381-L381</x:f>
        <x:v>8</x:v>
      </x:c>
      <x:c r="R381" s="9" t="n">
        <x:f>IF(AND(INDEX('Сводка'!$T$3:$T$397,U381)=0,INDEX('Сводка'!$T$3:$T$397,V381)=0),1,0)</x:f>
        <x:v>1</x:v>
      </x:c>
      <x:c r="S381" s="9" t="n">
        <x:f>IF(AND(R381=1,O381&lt;=$G$13),1,0)</x:f>
        <x:v>0</x:v>
      </x:c>
      <x:c r="T381" s="10" t="n">
        <x:f>EOMONTH(J381-'Сводка'!$B$11,-1)</x:f>
        <x:v>46203</x:v>
      </x:c>
      <x:c r="U381" s="4" t="n">
        <x:f>MATCH(J381,'Сводка'!$R$3:$R$397,0)</x:f>
        <x:v>392</x:v>
      </x:c>
      <x:c r="V381" s="4" t="n">
        <x:f>MATCH(J381-'Сводка'!$B$11,'Сводка'!$R$3:$R$397,0)</x:f>
        <x:v>391</x:v>
      </x:c>
      <x:c r="W381" s="4" t="n">
        <x:f>MATCH(T381,$J$388:$J$400,0)</x:f>
        <x:v>13</x:v>
      </x:c>
      <x:c r="X381" s="3"/>
      <x:c r="Y381" s="3"/>
      <x:c r="Z381" s="3"/>
    </x:row>
    <x:row r="382" ht="15" customHeight="1">
      <x:c r="A382" s="3"/>
      <x:c r="B382" s="3"/>
      <x:c r="C382" s="3"/>
      <x:c r="D382" s="3"/>
      <x:c r="E382" s="3"/>
      <x:c r="F382" s="3"/>
      <x:c r="G382" s="3"/>
      <x:c r="H382" s="3"/>
      <x:c r="I382" s="3"/>
      <x:c r="J382" s="10" t="n">
        <x:v>46233</x:v>
      </x:c>
      <x:c r="K382" s="8" t="n">
        <x:f>INDEX('Сводка'!$S$3:$S$397,U382)</x:f>
        <x:v>389</x:v>
      </x:c>
      <x:c r="L382" s="8" t="n">
        <x:f>INDEX('Сводка'!$S$3:$S$397,V382)</x:f>
        <x:v>385</x:v>
      </x:c>
      <x:c r="M382" s="8" t="n">
        <x:f>INDEX($K$388:$N$400,W382,1)*EXP(INDEX($K$388:$N$400,W382,2)*((J382-$T$405+1)/1000))+INDEX($O$388:$Z$400,W382,MONTH(J382))</x:f>
        <x:v>263.44139187693764</x:v>
      </x:c>
      <x:c r="N382" s="8" t="n">
        <x:f>K382-M382</x:f>
        <x:v>125.55860812306236</x:v>
      </x:c>
      <x:c r="O382" s="8" t="n">
        <x:f>ABS(N382)</x:f>
        <x:v>125.55860812306236</x:v>
      </x:c>
      <x:c r="P382" s="8" t="n">
        <x:f>N382^2</x:f>
        <x:v>15764.96407380074</x:v>
      </x:c>
      <x:c r="Q382" s="8" t="n">
        <x:f>K382-L382</x:f>
        <x:v>4</x:v>
      </x:c>
      <x:c r="R382" s="9" t="n">
        <x:f>IF(AND(INDEX('Сводка'!$T$3:$T$397,U382)=0,INDEX('Сводка'!$T$3:$T$397,V382)=0),1,0)</x:f>
        <x:v>1</x:v>
      </x:c>
      <x:c r="S382" s="9" t="n">
        <x:f>IF(AND(R382=1,O382&lt;=$G$13),1,0)</x:f>
        <x:v>0</x:v>
      </x:c>
      <x:c r="T382" s="10" t="n">
        <x:f>EOMONTH(J382-'Сводка'!$B$11,-1)</x:f>
        <x:v>46203</x:v>
      </x:c>
      <x:c r="U382" s="4" t="n">
        <x:f>MATCH(J382,'Сводка'!$R$3:$R$397,0)</x:f>
        <x:v>393</x:v>
      </x:c>
      <x:c r="V382" s="4" t="n">
        <x:f>MATCH(J382-'Сводка'!$B$11,'Сводка'!$R$3:$R$397,0)</x:f>
        <x:v>392</x:v>
      </x:c>
      <x:c r="W382" s="4" t="n">
        <x:f>MATCH(T382,$J$388:$J$400,0)</x:f>
        <x:v>13</x:v>
      </x:c>
      <x:c r="X382" s="3"/>
      <x:c r="Y382" s="3"/>
      <x:c r="Z382" s="3"/>
    </x:row>
    <x:row r="383" ht="15" customHeight="1">
      <x:c r="A383" s="3"/>
      <x:c r="B383" s="3"/>
      <x:c r="C383" s="3"/>
      <x:c r="D383" s="3"/>
      <x:c r="E383" s="3"/>
      <x:c r="F383" s="3"/>
      <x:c r="G383" s="3"/>
      <x:c r="H383" s="3"/>
      <x:c r="I383" s="3"/>
      <x:c r="J383" s="10" t="n">
        <x:v>46234</x:v>
      </x:c>
      <x:c r="K383" s="8" t="n">
        <x:f>INDEX('Сводка'!$S$3:$S$397,U383)</x:f>
        <x:v>399</x:v>
      </x:c>
      <x:c r="L383" s="8" t="n">
        <x:f>INDEX('Сводка'!$S$3:$S$397,V383)</x:f>
        <x:v>389</x:v>
      </x:c>
      <x:c r="M383" s="8" t="n">
        <x:f>INDEX($K$388:$N$400,W383,1)*EXP(INDEX($K$388:$N$400,W383,2)*((J383-$T$405+1)/1000))+INDEX($O$388:$Z$400,W383,MONTH(J383))</x:f>
        <x:v>263.47242236453565</x:v>
      </x:c>
      <x:c r="N383" s="8" t="n">
        <x:f>K383-M383</x:f>
        <x:v>135.52757763546435</x:v>
      </x:c>
      <x:c r="O383" s="8" t="n">
        <x:f>ABS(N383)</x:f>
        <x:v>135.52757763546435</x:v>
      </x:c>
      <x:c r="P383" s="8" t="n">
        <x:f>N383^2</x:f>
        <x:v>18367.72429973682</x:v>
      </x:c>
      <x:c r="Q383" s="8" t="n">
        <x:f>K383-L383</x:f>
        <x:v>10</x:v>
      </x:c>
      <x:c r="R383" s="9" t="n">
        <x:f>IF(AND(INDEX('Сводка'!$T$3:$T$397,U383)=0,INDEX('Сводка'!$T$3:$T$397,V383)=0),1,0)</x:f>
        <x:v>1</x:v>
      </x:c>
      <x:c r="S383" s="9" t="n">
        <x:f>IF(AND(R383=1,O383&lt;=$G$13),1,0)</x:f>
        <x:v>0</x:v>
      </x:c>
      <x:c r="T383" s="10" t="n">
        <x:f>EOMONTH(J383-'Сводка'!$B$11,-1)</x:f>
        <x:v>46203</x:v>
      </x:c>
      <x:c r="U383" s="4" t="n">
        <x:f>MATCH(J383,'Сводка'!$R$3:$R$397,0)</x:f>
        <x:v>394</x:v>
      </x:c>
      <x:c r="V383" s="4" t="n">
        <x:f>MATCH(J383-'Сводка'!$B$11,'Сводка'!$R$3:$R$397,0)</x:f>
        <x:v>393</x:v>
      </x:c>
      <x:c r="W383" s="4" t="n">
        <x:f>MATCH(T383,$J$388:$J$400,0)</x:f>
        <x:v>13</x:v>
      </x:c>
      <x:c r="X383" s="3"/>
      <x:c r="Y383" s="3"/>
      <x:c r="Z383" s="3"/>
    </x:row>
    <x:row r="384" ht="15" customHeight="1">
      <x:c r="A384" s="3"/>
      <x:c r="B384" s="3"/>
      <x:c r="C384" s="3"/>
      <x:c r="D384" s="3"/>
      <x:c r="E384" s="3"/>
      <x:c r="F384" s="3"/>
      <x:c r="G384" s="3"/>
      <x:c r="H384" s="3"/>
      <x:c r="I384" s="3"/>
      <x:c r="J384" s="10" t="n">
        <x:v>46235</x:v>
      </x:c>
      <x:c r="K384" s="8" t="n">
        <x:f>INDEX('Сводка'!$S$3:$S$397,U384)</x:f>
        <x:v>405</x:v>
      </x:c>
      <x:c r="L384" s="8" t="n">
        <x:f>INDEX('Сводка'!$S$3:$S$397,V384)</x:f>
        <x:v>399</x:v>
      </x:c>
      <x:c r="M384" s="8" t="n">
        <x:f>INDEX($K$388:$N$400,W384,1)*EXP(INDEX($K$388:$N$400,W384,2)*((J384-$T$405+1)/1000))+INDEX($O$388:$Z$400,W384,MONTH(J384))</x:f>
        <x:v>364.16756396993793</x:v>
      </x:c>
      <x:c r="N384" s="8" t="n">
        <x:f>K384-M384</x:f>
        <x:v>40.83243603006207</x:v>
      </x:c>
      <x:c r="O384" s="8" t="n">
        <x:f>ABS(N384)</x:f>
        <x:v>40.83243603006207</x:v>
      </x:c>
      <x:c r="P384" s="8" t="n">
        <x:f>N384^2</x:f>
        <x:v>1667.2878321491112</x:v>
      </x:c>
      <x:c r="Q384" s="8" t="n">
        <x:f>K384-L384</x:f>
        <x:v>6</x:v>
      </x:c>
      <x:c r="R384" s="9" t="n">
        <x:f>IF(AND(INDEX('Сводка'!$T$3:$T$397,U384)=0,INDEX('Сводка'!$T$3:$T$397,V384)=0),1,0)</x:f>
        <x:v>1</x:v>
      </x:c>
      <x:c r="S384" s="9" t="n">
        <x:f>IF(AND(R384=1,O384&lt;=$G$13),1,0)</x:f>
        <x:v>0</x:v>
      </x:c>
      <x:c r="T384" s="10" t="n">
        <x:f>EOMONTH(J384-'Сводка'!$B$11,-1)</x:f>
        <x:v>46203</x:v>
      </x:c>
      <x:c r="U384" s="4" t="n">
        <x:f>MATCH(J384,'Сводка'!$R$3:$R$397,0)</x:f>
        <x:v>395</x:v>
      </x:c>
      <x:c r="V384" s="4" t="n">
        <x:f>MATCH(J384-'Сводка'!$B$11,'Сводка'!$R$3:$R$397,0)</x:f>
        <x:v>394</x:v>
      </x:c>
      <x:c r="W384" s="4" t="n">
        <x:f>MATCH(T384,$J$388:$J$400,0)</x:f>
        <x:v>13</x:v>
      </x:c>
      <x:c r="X384" s="3"/>
      <x:c r="Y384" s="3"/>
      <x:c r="Z384" s="3"/>
    </x:row>
    <x:row r="385" ht="15" customHeight="1">
      <x:c r="A385" s="3"/>
      <x:c r="B385" s="3"/>
      <x:c r="C385" s="3"/>
      <x:c r="D385" s="3"/>
      <x:c r="E385" s="3"/>
      <x:c r="F385" s="3"/>
      <x:c r="G385" s="3"/>
      <x:c r="H385" s="3"/>
      <x:c r="I385" s="3"/>
      <x:c r="J385" s="3"/>
      <x:c r="K385" s="3"/>
      <x:c r="L385" s="3"/>
      <x:c r="M385" s="3"/>
      <x:c r="N385" s="3"/>
      <x:c r="O385" s="3"/>
      <x:c r="P385" s="3"/>
      <x:c r="Q385" s="3"/>
      <x:c r="R385" s="3"/>
      <x:c r="S385" s="3"/>
      <x:c r="T385" s="3"/>
      <x:c r="U385" s="3"/>
      <x:c r="V385" s="3"/>
      <x:c r="W385" s="3"/>
      <x:c r="X385" s="3"/>
      <x:c r="Y385" s="3"/>
      <x:c r="Z385" s="3"/>
    </x:row>
    <x:row r="386" ht="15" customHeight="1">
      <x:c r="A386" s="3"/>
      <x:c r="B386" s="3"/>
      <x:c r="C386" s="3"/>
      <x:c r="D386" s="3"/>
      <x:c r="E386" s="3"/>
      <x:c r="F386" s="3"/>
      <x:c r="G386" s="3"/>
      <x:c r="H386" s="3"/>
      <x:c r="I386" s="3"/>
      <x:c r="J386" s="3"/>
      <x:c r="K386" s="3"/>
      <x:c r="L386" s="3"/>
      <x:c r="M386" s="3"/>
      <x:c r="N386" s="3"/>
      <x:c r="O386" s="3"/>
      <x:c r="P386" s="3"/>
      <x:c r="Q386" s="3"/>
      <x:c r="R386" s="3"/>
      <x:c r="S386" s="3"/>
      <x:c r="T386" s="3"/>
      <x:c r="U386" s="3"/>
      <x:c r="V386" s="3"/>
      <x:c r="W386" s="3"/>
      <x:c r="X386" s="3"/>
      <x:c r="Y386" s="3"/>
      <x:c r="Z386" s="3"/>
    </x:row>
    <x:row r="387" ht="30" customHeight="1">
      <x:c r="A387" s="3"/>
      <x:c r="B387" s="3"/>
      <x:c r="C387" s="3"/>
      <x:c r="D387" s="3"/>
      <x:c r="E387" s="3"/>
      <x:c r="F387" s="3"/>
      <x:c r="G387" s="3"/>
      <x:c r="H387" s="3"/>
      <x:c r="I387" s="3"/>
      <x:c r="J387" s="14" t="str">
        <x:v>Обучение до</x:v>
      </x:c>
      <x:c r="K387" s="14" t="str">
        <x:v>a0/a</x:v>
      </x:c>
      <x:c r="L387" s="14" t="str">
        <x:v>a1/b</x:v>
      </x:c>
      <x:c r="M387" s="14" t="str">
        <x:v>a2</x:v>
      </x:c>
      <x:c r="N387" s="14" t="str">
        <x:v>a3</x:v>
      </x:c>
      <x:c r="O387" s="14" t="str">
        <x:v>c1</x:v>
      </x:c>
      <x:c r="P387" s="14" t="str">
        <x:v>c2</x:v>
      </x:c>
      <x:c r="Q387" s="14" t="str">
        <x:v>c3</x:v>
      </x:c>
      <x:c r="R387" s="14" t="str">
        <x:v>c4</x:v>
      </x:c>
      <x:c r="S387" s="14" t="str">
        <x:v>c5</x:v>
      </x:c>
      <x:c r="T387" s="14" t="str">
        <x:v>c6</x:v>
      </x:c>
      <x:c r="U387" s="14" t="str">
        <x:v>c7</x:v>
      </x:c>
      <x:c r="V387" s="14" t="str">
        <x:v>c8</x:v>
      </x:c>
      <x:c r="W387" s="14" t="str">
        <x:v>c9</x:v>
      </x:c>
      <x:c r="X387" s="14" t="str">
        <x:v>c10</x:v>
      </x:c>
      <x:c r="Y387" s="14" t="str">
        <x:v>c11</x:v>
      </x:c>
      <x:c r="Z387" s="14" t="str">
        <x:v>c12</x:v>
      </x:c>
    </x:row>
    <x:row r="388" ht="15" customHeight="1">
      <x:c r="A388" s="3"/>
      <x:c r="B388" s="3"/>
      <x:c r="C388" s="3"/>
      <x:c r="D388" s="3"/>
      <x:c r="E388" s="3"/>
      <x:c r="F388" s="3"/>
      <x:c r="G388" s="3"/>
      <x:c r="H388" s="3"/>
      <x:c r="I388" s="3"/>
      <x:c r="J388" s="7" t="n">
        <x:v>45838</x:v>
      </x:c>
      <x:c r="K388" s="3" t="n">
        <x:v>20.29344983971901</x:v>
      </x:c>
      <x:c r="L388" s="3" t="n">
        <x:v>0.245243457616521</x:v>
      </x:c>
      <x:c r="M388" s="3" t="n">
        <x:v>0</x:v>
      </x:c>
      <x:c r="N388" s="3" t="n">
        <x:v>0</x:v>
      </x:c>
      <x:c r="O388" s="3" t="n">
        <x:v>-95.2207174450693</x:v>
      </x:c>
      <x:c r="P388" s="3" t="n">
        <x:v>-146.27032293453044</x:v>
      </x:c>
      <x:c r="Q388" s="3" t="n">
        <x:v>-158.96404150053945</x:v>
      </x:c>
      <x:c r="R388" s="3" t="n">
        <x:v>-43.939058786503</x:v>
      </x:c>
      <x:c r="S388" s="3" t="n">
        <x:v>50.81151781051643</x:v>
      </x:c>
      <x:c r="T388" s="3" t="n">
        <x:v>75.320060956652</x:v>
      </x:c>
      <x:c r="U388" s="3" t="n">
        <x:v>111.6865010310954</x:v>
      </x:c>
      <x:c r="V388" s="3" t="n">
        <x:v>213.32456263419957</x:v>
      </x:c>
      <x:c r="W388" s="3" t="n">
        <x:v>173.4415638354082</x:v>
      </x:c>
      <x:c r="X388" s="3" t="n">
        <x:v>19.725815514840704</x:v>
      </x:c>
      <x:c r="Y388" s="3" t="n">
        <x:v>-118.4828141831256</x:v>
      </x:c>
      <x:c r="Z388" s="3" t="n">
        <x:v>-81.43306693294458</x:v>
      </x:c>
    </x:row>
    <x:row r="389" ht="15" customHeight="1">
      <x:c r="A389" s="3"/>
      <x:c r="B389" s="3"/>
      <x:c r="C389" s="3"/>
      <x:c r="D389" s="3"/>
      <x:c r="E389" s="3"/>
      <x:c r="F389" s="3"/>
      <x:c r="G389" s="3"/>
      <x:c r="H389" s="3"/>
      <x:c r="I389" s="3"/>
      <x:c r="J389" s="7" t="n">
        <x:v>45869</x:v>
      </x:c>
      <x:c r="K389" s="3" t="n">
        <x:v>20.618961768392722</x:v>
      </x:c>
      <x:c r="L389" s="3" t="n">
        <x:v>0.24153772398138862</x:v>
      </x:c>
      <x:c r="M389" s="3" t="n">
        <x:v>0</x:v>
      </x:c>
      <x:c r="N389" s="3" t="n">
        <x:v>0</x:v>
      </x:c>
      <x:c r="O389" s="3" t="n">
        <x:v>-95.04630014599465</x:v>
      </x:c>
      <x:c r="P389" s="3" t="n">
        <x:v>-146.0791084773341</x:v>
      </x:c>
      <x:c r="Q389" s="3" t="n">
        <x:v>-158.6915497848214</x:v>
      </x:c>
      <x:c r="R389" s="3" t="n">
        <x:v>-43.58951483312309</x:v>
      </x:c>
      <x:c r="S389" s="3" t="n">
        <x:v>51.203486792502346</x:v>
      </x:c>
      <x:c r="T389" s="3" t="n">
        <x:v>75.72653193447577</x:v>
      </x:c>
      <x:c r="U389" s="3" t="n">
        <x:v>108.3272214956551</x:v>
      </x:c>
      <x:c r="V389" s="3" t="n">
        <x:v>213.63742998547866</x:v>
      </x:c>
      <x:c r="W389" s="3" t="n">
        <x:v>173.76648143348746</x:v>
      </x:c>
      <x:c r="X389" s="3" t="n">
        <x:v>20.060466290675194</x:v>
      </x:c>
      <x:c r="Y389" s="3" t="n">
        <x:v>-118.13809145773833</x:v>
      </x:c>
      <x:c r="Z389" s="3" t="n">
        <x:v>-81.17705323326297</x:v>
      </x:c>
    </x:row>
    <x:row r="390" ht="15" customHeight="1">
      <x:c r="A390" s="3"/>
      <x:c r="B390" s="3"/>
      <x:c r="C390" s="3"/>
      <x:c r="D390" s="3"/>
      <x:c r="E390" s="3"/>
      <x:c r="F390" s="3"/>
      <x:c r="G390" s="3"/>
      <x:c r="H390" s="3"/>
      <x:c r="I390" s="3"/>
      <x:c r="J390" s="7" t="n">
        <x:v>45900</x:v>
      </x:c>
      <x:c r="K390" s="3" t="n">
        <x:v>21.025768965299186</x:v>
      </x:c>
      <x:c r="L390" s="3" t="n">
        <x:v>0.23697658621955225</x:v>
      </x:c>
      <x:c r="M390" s="3" t="n">
        <x:v>0</x:v>
      </x:c>
      <x:c r="N390" s="3" t="n">
        <x:v>0</x:v>
      </x:c>
      <x:c r="O390" s="3" t="n">
        <x:v>-94.8416860418948</x:v>
      </x:c>
      <x:c r="P390" s="3" t="n">
        <x:v>-145.8545413280845</x:v>
      </x:c>
      <x:c r="Q390" s="3" t="n">
        <x:v>-158.36701583584187</x:v>
      </x:c>
      <x:c r="R390" s="3" t="n">
        <x:v>-43.17099189628623</x:v>
      </x:c>
      <x:c r="S390" s="3" t="n">
        <x:v>51.67390450111717</x:v>
      </x:c>
      <x:c r="T390" s="3" t="n">
        <x:v>76.2144380743648</x:v>
      </x:c>
      <x:c r="U390" s="3" t="n">
        <x:v>108.82327748195759</x:v>
      </x:c>
      <x:c r="V390" s="3" t="n">
        <x:v>209.50363270261093</x:v>
      </x:c>
      <x:c r="W390" s="3" t="n">
        <x:v>174.15536305956542</x:v>
      </x:c>
      <x:c r="X390" s="3" t="n">
        <x:v>20.461384491882328</x:v>
      </x:c>
      <x:c r="Y390" s="3" t="n">
        <x:v>-117.7251138473741</x:v>
      </x:c>
      <x:c r="Z390" s="3" t="n">
        <x:v>-80.87265136201671</x:v>
      </x:c>
    </x:row>
    <x:row r="391" ht="15" customHeight="1">
      <x:c r="A391" s="3"/>
      <x:c r="B391" s="3"/>
      <x:c r="C391" s="3"/>
      <x:c r="D391" s="3"/>
      <x:c r="E391" s="3"/>
      <x:c r="F391" s="3"/>
      <x:c r="G391" s="3"/>
      <x:c r="H391" s="3"/>
      <x:c r="I391" s="3"/>
      <x:c r="J391" s="7" t="n">
        <x:v>45930</x:v>
      </x:c>
      <x:c r="K391" s="3" t="n">
        <x:v>21.354865217722473</x:v>
      </x:c>
      <x:c r="L391" s="3" t="n">
        <x:v>0.2332777087377846</x:v>
      </x:c>
      <x:c r="M391" s="3" t="n">
        <x:v>0</x:v>
      </x:c>
      <x:c r="N391" s="3" t="n">
        <x:v>0</x:v>
      </x:c>
      <x:c r="O391" s="3" t="n">
        <x:v>-94.66377527274517</x:v>
      </x:c>
      <x:c r="P391" s="3" t="n">
        <x:v>-145.66048918187872</x:v>
      </x:c>
      <x:c r="Q391" s="3" t="n">
        <x:v>-158.09143478288541</x:v>
      </x:c>
      <x:c r="R391" s="3" t="n">
        <x:v>-42.81899776889503</x:v>
      </x:c>
      <x:c r="S391" s="3" t="n">
        <x:v>52.068259424404005</x:v>
      </x:c>
      <x:c r="T391" s="3" t="n">
        <x:v>76.62304308489031</x:v>
      </x:c>
      <x:c r="U391" s="3" t="n">
        <x:v>109.23845807313391</x:v>
      </x:c>
      <x:c r="V391" s="3" t="n">
        <x:v>209.91731543127224</x:v>
      </x:c>
      <x:c r="W391" s="3" t="n">
        <x:v>170.57804789379577</x:v>
      </x:c>
      <x:c r="X391" s="3" t="n">
        <x:v>20.799651573686873</x:v>
      </x:c>
      <x:c r="Y391" s="3" t="n">
        <x:v>-117.37709363570553</x:v>
      </x:c>
      <x:c r="Z391" s="3" t="n">
        <x:v>-80.61298483907325</x:v>
      </x:c>
    </x:row>
    <x:row r="392" ht="15" customHeight="1">
      <x:c r="A392" s="3"/>
      <x:c r="B392" s="3"/>
      <x:c r="C392" s="3"/>
      <x:c r="D392" s="3"/>
      <x:c r="E392" s="3"/>
      <x:c r="F392" s="3"/>
      <x:c r="G392" s="3"/>
      <x:c r="H392" s="3"/>
      <x:c r="I392" s="3"/>
      <x:c r="J392" s="7" t="n">
        <x:v>45961</x:v>
      </x:c>
      <x:c r="K392" s="3" t="n">
        <x:v>21.636904747822573</x:v>
      </x:c>
      <x:c r="L392" s="3" t="n">
        <x:v>0.23018345434102236</x:v>
      </x:c>
      <x:c r="M392" s="3" t="n">
        <x:v>0</x:v>
      </x:c>
      <x:c r="N392" s="3" t="n">
        <x:v>0</x:v>
      </x:c>
      <x:c r="O392" s="3" t="n">
        <x:v>-94.52809213690448</x:v>
      </x:c>
      <x:c r="P392" s="3" t="n">
        <x:v>-145.51168891599386</x:v>
      </x:c>
      <x:c r="Q392" s="3" t="n">
        <x:v>-157.87533347905992</x:v>
      </x:c>
      <x:c r="R392" s="3" t="n">
        <x:v>-42.540051697381166</x:v>
      </x:c>
      <x:c r="S392" s="3" t="n">
        <x:v>52.382091487550724</x:v>
      </x:c>
      <x:c r="T392" s="3" t="n">
        <x:v>76.94853388228742</x:v>
      </x:c>
      <x:c r="U392" s="3" t="n">
        <x:v>109.56939888469995</x:v>
      </x:c>
      <x:c r="V392" s="3" t="n">
        <x:v>210.24698146371722</x:v>
      </x:c>
      <x:c r="W392" s="3" t="n">
        <x:v>170.91818719551196</x:v>
      </x:c>
      <x:c r="X392" s="3" t="n">
        <x:v>17.90121294209621</x:v>
      </x:c>
      <x:c r="Y392" s="3" t="n">
        <x:v>-117.10128156341045</x:v>
      </x:c>
      <x:c r="Z392" s="3" t="n">
        <x:v>-80.40995806311362</x:v>
      </x:c>
    </x:row>
    <x:row r="393" ht="15" customHeight="1">
      <x:c r="A393" s="3"/>
      <x:c r="B393" s="3"/>
      <x:c r="C393" s="3"/>
      <x:c r="D393" s="3"/>
      <x:c r="E393" s="3"/>
      <x:c r="F393" s="3"/>
      <x:c r="G393" s="3"/>
      <x:c r="H393" s="3"/>
      <x:c r="I393" s="3"/>
      <x:c r="J393" s="7" t="n">
        <x:v>45991</x:v>
      </x:c>
      <x:c r="K393" s="3" t="n">
        <x:v>22.03905337524112</x:v>
      </x:c>
      <x:c r="L393" s="3" t="n">
        <x:v>0.22574297948842373</x:v>
      </x:c>
      <x:c r="M393" s="3" t="n">
        <x:v>0</x:v>
      </x:c>
      <x:c r="N393" s="3" t="n">
        <x:v>0</x:v>
      </x:c>
      <x:c r="O393" s="3" t="n">
        <x:v>-94.31690194064822</x:v>
      </x:c>
      <x:c r="P393" s="3" t="n">
        <x:v>-145.28172977005394</x:v>
      </x:c>
      <x:c r="Q393" s="3" t="n">
        <x:v>-157.5479837261339</x:v>
      </x:c>
      <x:c r="R393" s="3" t="n">
        <x:v>-42.12209875323839</x:v>
      </x:c>
      <x:c r="S393" s="3" t="n">
        <x:v>52.85054265512122</x:v>
      </x:c>
      <x:c r="T393" s="3" t="n">
        <x:v>77.43381258613033</x:v>
      </x:c>
      <x:c r="U393" s="3" t="n">
        <x:v>110.06250630093915</x:v>
      </x:c>
      <x:c r="V393" s="3" t="n">
        <x:v>210.73800560830017</x:v>
      </x:c>
      <x:c r="W393" s="3" t="n">
        <x:v>171.42422969490747</x:v>
      </x:c>
      <x:c r="X393" s="3" t="n">
        <x:v>18.42015368470345</x:v>
      </x:c>
      <x:c r="Y393" s="3" t="n">
        <x:v>-121.55956388951392</x:v>
      </x:c>
      <x:c r="Z393" s="3" t="n">
        <x:v>-80.10097245051332</x:v>
      </x:c>
    </x:row>
    <x:row r="394" ht="15" customHeight="1">
      <x:c r="A394" s="3"/>
      <x:c r="B394" s="3"/>
      <x:c r="C394" s="3"/>
      <x:c r="D394" s="3"/>
      <x:c r="E394" s="3"/>
      <x:c r="F394" s="3"/>
      <x:c r="G394" s="3"/>
      <x:c r="H394" s="3"/>
      <x:c r="I394" s="3"/>
      <x:c r="J394" s="7" t="n">
        <x:v>46022</x:v>
      </x:c>
      <x:c r="K394" s="3" t="n">
        <x:v>22.343459171449155</x:v>
      </x:c>
      <x:c r="L394" s="3" t="n">
        <x:v>0.2223360425770868</x:v>
      </x:c>
      <x:c r="M394" s="3" t="n">
        <x:v>0</x:v>
      </x:c>
      <x:c r="N394" s="3" t="n">
        <x:v>0</x:v>
      </x:c>
      <x:c r="O394" s="3" t="n">
        <x:v>-94.13951971686411</x:v>
      </x:c>
      <x:c r="P394" s="3" t="n">
        <x:v>-145.09014496380144</x:v>
      </x:c>
      <x:c r="Q394" s="3" t="n">
        <x:v>-157.28045626378054</x:v>
      </x:c>
      <x:c r="R394" s="3" t="n">
        <x:v>-41.78445704362893</x:v>
      </x:c>
      <x:c r="S394" s="3" t="n">
        <x:v>53.22744585610092</x:v>
      </x:c>
      <x:c r="T394" s="3" t="n">
        <x:v>77.82366504553744</x:v>
      </x:c>
      <x:c r="U394" s="3" t="n">
        <x:v>110.45849586052395</x:v>
      </x:c>
      <x:c r="V394" s="3" t="n">
        <x:v>211.13221080926755</x:v>
      </x:c>
      <x:c r="W394" s="3" t="n">
        <x:v>171.82991418967336</x:v>
      </x:c>
      <x:c r="X394" s="3" t="n">
        <x:v>18.835890958214065</x:v>
      </x:c>
      <x:c r="Y394" s="3" t="n">
        <x:v>-121.13704119983409</x:v>
      </x:c>
      <x:c r="Z394" s="3" t="n">
        <x:v>-83.87600353140813</x:v>
      </x:c>
    </x:row>
    <x:row r="395" ht="15" customHeight="1">
      <x:c r="A395" s="3"/>
      <x:c r="B395" s="3"/>
      <x:c r="C395" s="3"/>
      <x:c r="D395" s="3"/>
      <x:c r="E395" s="3"/>
      <x:c r="F395" s="3"/>
      <x:c r="G395" s="3"/>
      <x:c r="H395" s="3"/>
      <x:c r="I395" s="3"/>
      <x:c r="J395" s="7" t="n">
        <x:v>46053</x:v>
      </x:c>
      <x:c r="K395" s="3" t="n">
        <x:v>22.648778202740996</x:v>
      </x:c>
      <x:c r="L395" s="3" t="n">
        <x:v>0.21899338567007393</x:v>
      </x:c>
      <x:c r="M395" s="3" t="n">
        <x:v>0</x:v>
      </x:c>
      <x:c r="N395" s="3" t="n">
        <x:v>0</x:v>
      </x:c>
      <x:c r="O395" s="3" t="n">
        <x:v>-97.75295948846423</x:v>
      </x:c>
      <x:c r="P395" s="3" t="n">
        <x:v>-144.92406463647526</x:v>
      </x:c>
      <x:c r="Q395" s="3" t="n">
        <x:v>-157.03961595893026</x:v>
      </x:c>
      <x:c r="R395" s="3" t="n">
        <x:v>-41.4757209589683</x:v>
      </x:c>
      <x:c r="S395" s="3" t="n">
        <x:v>53.57427909508027</x:v>
      </x:c>
      <x:c r="T395" s="3" t="n">
        <x:v>78.18264412735633</x:v>
      </x:c>
      <x:c r="U395" s="3" t="n">
        <x:v>110.82382489180512</x:v>
      </x:c>
      <x:c r="V395" s="3" t="n">
        <x:v>211.4958977376081</x:v>
      </x:c>
      <x:c r="W395" s="3" t="n">
        <x:v>172.204367321368</x:v>
      </x:c>
      <x:c r="X395" s="3" t="n">
        <x:v>19.22033361019848</x:v>
      </x:c>
      <x:c r="Y395" s="3" t="n">
        <x:v>-120.74637282883322</x:v>
      </x:c>
      <x:c r="Z395" s="3" t="n">
        <x:v>-83.56261291174496</x:v>
      </x:c>
    </x:row>
    <x:row r="396" ht="15" customHeight="1">
      <x:c r="A396" s="3"/>
      <x:c r="B396" s="3"/>
      <x:c r="C396" s="3"/>
      <x:c r="D396" s="3"/>
      <x:c r="E396" s="3"/>
      <x:c r="F396" s="3"/>
      <x:c r="G396" s="3"/>
      <x:c r="H396" s="3"/>
      <x:c r="I396" s="3"/>
      <x:c r="J396" s="7" t="n">
        <x:v>46081</x:v>
      </x:c>
      <x:c r="K396" s="3" t="n">
        <x:v>22.808525871009266</x:v>
      </x:c>
      <x:c r="L396" s="3" t="n">
        <x:v>0.21719422307134514</x:v>
      </x:c>
      <x:c r="M396" s="3" t="n">
        <x:v>0</x:v>
      </x:c>
      <x:c r="N396" s="3" t="n">
        <x:v>0</x:v>
      </x:c>
      <x:c r="O396" s="3" t="n">
        <x:v>-97.59781321014161</x:v>
      </x:c>
      <x:c r="P396" s="3" t="n">
        <x:v>-147.1070822564749</x:v>
      </x:c>
      <x:c r="Q396" s="3" t="n">
        <x:v>-156.8936231654465</x:v>
      </x:c>
      <x:c r="R396" s="3" t="n">
        <x:v>-41.292629203067776</x:v>
      </x:c>
      <x:c r="S396" s="3" t="n">
        <x:v>53.77827062608882</x:v>
      </x:c>
      <x:c r="T396" s="3" t="n">
        <x:v>78.39337207917363</x:v>
      </x:c>
      <x:c r="U396" s="3" t="n">
        <x:v>111.03792210672154</x:v>
      </x:c>
      <x:c r="V396" s="3" t="n">
        <x:v>211.70896197041918</x:v>
      </x:c>
      <x:c r="W396" s="3" t="n">
        <x:v>172.42335562806602</x:v>
      </x:c>
      <x:c r="X396" s="3" t="n">
        <x:v>19.44473100548663</x:v>
      </x:c>
      <x:c r="Y396" s="3" t="n">
        <x:v>-120.51853385509247</x:v>
      </x:c>
      <x:c r="Z396" s="3" t="n">
        <x:v>-83.37693172573246</x:v>
      </x:c>
    </x:row>
    <x:row r="397" ht="15" customHeight="1">
      <x:c r="A397" s="3"/>
      <x:c r="B397" s="3"/>
      <x:c r="C397" s="3"/>
      <x:c r="D397" s="3"/>
      <x:c r="E397" s="3"/>
      <x:c r="F397" s="3"/>
      <x:c r="G397" s="3"/>
      <x:c r="H397" s="3"/>
      <x:c r="I397" s="3"/>
      <x:c r="J397" s="7" t="n">
        <x:v>46112</x:v>
      </x:c>
      <x:c r="K397" s="3" t="n">
        <x:v>23.04147594879617</x:v>
      </x:c>
      <x:c r="L397" s="3" t="n">
        <x:v>0.21472089731040023</x:v>
      </x:c>
      <x:c r="M397" s="3" t="n">
        <x:v>0</x:v>
      </x:c>
      <x:c r="N397" s="3" t="n">
        <x:v>0</x:v>
      </x:c>
      <x:c r="O397" s="3" t="n">
        <x:v>-97.41909759976568</x:v>
      </x:c>
      <x:c r="P397" s="3" t="n">
        <x:v>-146.91998809260363</x:v>
      </x:c>
      <x:c r="Q397" s="3" t="n">
        <x:v>-159.5085881324346</x:v>
      </x:c>
      <x:c r="R397" s="3" t="n">
        <x:v>-41.07705989578365</x:v>
      </x:c>
      <x:c r="S397" s="3" t="n">
        <x:v>54.021430425001505</x:v>
      </x:c>
      <x:c r="T397" s="3" t="n">
        <x:v>78.64535872647247</x:v>
      </x:c>
      <x:c r="U397" s="3" t="n">
        <x:v>111.29442513761565</x:v>
      </x:c>
      <x:c r="V397" s="3" t="n">
        <x:v>211.96417296964535</x:v>
      </x:c>
      <x:c r="W397" s="3" t="n">
        <x:v>172.68635537463388</x:v>
      </x:c>
      <x:c r="X397" s="3" t="n">
        <x:v>19.714912740909384</x:v>
      </x:c>
      <x:c r="Y397" s="3" t="n">
        <x:v>-120.24384425749109</x:v>
      </x:c>
      <x:c r="Z397" s="3" t="n">
        <x:v>-83.15807739619953</x:v>
      </x:c>
    </x:row>
    <x:row r="398" ht="15" customHeight="1">
      <x:c r="A398" s="3"/>
      <x:c r="B398" s="3"/>
      <x:c r="C398" s="3"/>
      <x:c r="D398" s="3"/>
      <x:c r="E398" s="3"/>
      <x:c r="F398" s="3"/>
      <x:c r="G398" s="3"/>
      <x:c r="H398" s="3"/>
      <x:c r="I398" s="3"/>
      <x:c r="J398" s="7" t="n">
        <x:v>46142</x:v>
      </x:c>
      <x:c r="K398" s="3" t="n">
        <x:v>23.315764949788676</x:v>
      </x:c>
      <x:c r="L398" s="3" t="n">
        <x:v>0.21183516776966194</x:v>
      </x:c>
      <x:c r="M398" s="3" t="n">
        <x:v>0</x:v>
      </x:c>
      <x:c r="N398" s="3" t="n">
        <x:v>0</x:v>
      </x:c>
      <x:c r="O398" s="3" t="n">
        <x:v>-97.21203069603045</x:v>
      </x:c>
      <x:c r="P398" s="3" t="n">
        <x:v>-146.70314287441656</x:v>
      </x:c>
      <x:c r="Q398" s="3" t="n">
        <x:v>-159.23389636431693</x:v>
      </x:c>
      <x:c r="R398" s="3" t="n">
        <x:v>-44.134111022791124</x:v>
      </x:c>
      <x:c r="S398" s="3" t="n">
        <x:v>54.30351355735458</x:v>
      </x:c>
      <x:c r="T398" s="3" t="n">
        <x:v>78.93772651731572</x:v>
      </x:c>
      <x:c r="U398" s="3" t="n">
        <x:v>111.59194515085382</x:v>
      </x:c>
      <x:c r="V398" s="3" t="n">
        <x:v>212.2600950913343</x:v>
      </x:c>
      <x:c r="W398" s="3" t="n">
        <x:v>172.99131837714071</x:v>
      </x:c>
      <x:c r="X398" s="3" t="n">
        <x:v>20.02815201712417</x:v>
      </x:c>
      <x:c r="Y398" s="3" t="n">
        <x:v>-119.92536314644062</x:v>
      </x:c>
      <x:c r="Z398" s="3" t="n">
        <x:v>-82.90420660712765</x:v>
      </x:c>
    </x:row>
    <x:row r="399" ht="15" customHeight="1">
      <x:c r="A399" s="3"/>
      <x:c r="B399" s="3"/>
      <x:c r="C399" s="3"/>
      <x:c r="D399" s="3"/>
      <x:c r="E399" s="3"/>
      <x:c r="F399" s="3"/>
      <x:c r="G399" s="3"/>
      <x:c r="H399" s="3"/>
      <x:c r="I399" s="3"/>
      <x:c r="J399" s="7" t="n">
        <x:v>46173</x:v>
      </x:c>
      <x:c r="K399" s="3" t="n">
        <x:v>23.62895438413863</x:v>
      </x:c>
      <x:c r="L399" s="3" t="n">
        <x:v>0.2085800379604098</x:v>
      </x:c>
      <x:c r="M399" s="3" t="n">
        <x:v>0</x:v>
      </x:c>
      <x:c r="N399" s="3" t="n">
        <x:v>0</x:v>
      </x:c>
      <x:c r="O399" s="3" t="n">
        <x:v>-96.98216811908593</x:v>
      </x:c>
      <x:c r="P399" s="3" t="n">
        <x:v>-146.46229711875543</x:v>
      </x:c>
      <x:c r="Q399" s="3" t="n">
        <x:v>-158.92845843287</x:v>
      </x:c>
      <x:c r="R399" s="3" t="n">
        <x:v>-43.77151534514692</x:v>
      </x:c>
      <x:c r="S399" s="3" t="n">
        <x:v>50.8525223058223</x:v>
      </x:c>
      <x:c r="T399" s="3" t="n">
        <x:v>79.26344454133304</x:v>
      </x:c>
      <x:c r="U399" s="3" t="n">
        <x:v>111.92334204912108</x:v>
      </x:c>
      <x:c r="V399" s="3" t="n">
        <x:v>212.58958839854486</x:v>
      </x:c>
      <x:c r="W399" s="3" t="n">
        <x:v>173.33092539560099</x:v>
      </x:c>
      <x:c r="X399" s="3" t="n">
        <x:v>20.376967209788376</x:v>
      </x:c>
      <x:c r="Y399" s="3" t="n">
        <x:v>-119.57067835734989</x:v>
      </x:c>
      <x:c r="Z399" s="3" t="n">
        <x:v>-82.62167252700245</x:v>
      </x:c>
    </x:row>
    <x:row r="400" ht="15" customHeight="1">
      <x:c r="A400" s="3"/>
      <x:c r="B400" s="3"/>
      <x:c r="C400" s="3"/>
      <x:c r="D400" s="3"/>
      <x:c r="E400" s="3"/>
      <x:c r="F400" s="3"/>
      <x:c r="G400" s="3"/>
      <x:c r="H400" s="3"/>
      <x:c r="I400" s="3"/>
      <x:c r="J400" s="7" t="n">
        <x:v>46203</x:v>
      </x:c>
      <x:c r="K400" s="3" t="n">
        <x:v>23.945444731815652</x:v>
      </x:c>
      <x:c r="L400" s="3" t="n">
        <x:v>0.20525626297758642</x:v>
      </x:c>
      <x:c r="M400" s="3" t="n">
        <x:v>0</x:v>
      </x:c>
      <x:c r="N400" s="3" t="n">
        <x:v>0</x:v>
      </x:c>
      <x:c r="O400" s="3" t="n">
        <x:v>-96.7328010624409</x:v>
      </x:c>
      <x:c r="P400" s="3" t="n">
        <x:v>-146.20163153670873</x:v>
      </x:c>
      <x:c r="Q400" s="3" t="n">
        <x:v>-158.6015072371387</x:v>
      </x:c>
      <x:c r="R400" s="3" t="n">
        <x:v>-43.38594412367563</x:v>
      </x:c>
      <x:c r="S400" s="3" t="n">
        <x:v>51.27602713129635</x:v>
      </x:c>
      <x:c r="T400" s="3" t="n">
        <x:v>75.49439135480797</x:v>
      </x:c>
      <x:c r="U400" s="3" t="n">
        <x:v>112.27765803579976</x:v>
      </x:c>
      <x:c r="V400" s="3" t="n">
        <x:v>212.9417627837485</x:v>
      </x:c>
      <x:c r="W400" s="3" t="n">
        <x:v>173.69347520488367</x:v>
      </x:c>
      <x:c r="X400" s="3" t="n">
        <x:v>20.74892680516932</x:v>
      </x:c>
      <x:c r="Y400" s="3" t="n">
        <x:v>-119.19269674762867</x:v>
      </x:c>
      <x:c r="Z400" s="3" t="n">
        <x:v>-82.31766060811302</x:v>
      </x:c>
    </x:row>
    <x:row r="401" ht="15" customHeight="1">
      <x:c r="A401" s="3"/>
      <x:c r="B401" s="3"/>
      <x:c r="C401" s="3"/>
      <x:c r="D401" s="3"/>
      <x:c r="E401" s="3"/>
      <x:c r="F401" s="3"/>
      <x:c r="G401" s="3"/>
      <x:c r="H401" s="3"/>
      <x:c r="I401" s="3"/>
      <x:c r="J401" s="3"/>
      <x:c r="K401" s="3"/>
      <x:c r="L401" s="3"/>
      <x:c r="M401" s="3"/>
      <x:c r="N401" s="3"/>
      <x:c r="O401" s="3"/>
      <x:c r="P401" s="3"/>
      <x:c r="Q401" s="3"/>
      <x:c r="R401" s="3"/>
      <x:c r="S401" s="3"/>
      <x:c r="T401" s="3"/>
      <x:c r="U401" s="3"/>
      <x:c r="V401" s="3"/>
      <x:c r="W401" s="3"/>
      <x:c r="X401" s="3"/>
      <x:c r="Y401" s="3"/>
      <x:c r="Z401" s="3"/>
    </x:row>
    <x:row r="402" ht="15" customHeight="1">
      <x:c r="A402" s="3"/>
      <x:c r="B402" s="3"/>
      <x:c r="C402" s="3"/>
      <x:c r="D402" s="3"/>
      <x:c r="E402" s="3"/>
      <x:c r="F402" s="3"/>
      <x:c r="G402" s="3"/>
      <x:c r="H402" s="3"/>
      <x:c r="I402" s="3"/>
      <x:c r="J402" s="3"/>
      <x:c r="K402" s="3"/>
      <x:c r="L402" s="3"/>
      <x:c r="M402" s="3"/>
      <x:c r="N402" s="3"/>
      <x:c r="O402" s="3"/>
      <x:c r="P402" s="3"/>
      <x:c r="Q402" s="3"/>
      <x:c r="R402" s="3"/>
      <x:c r="S402" s="3"/>
      <x:c r="T402" s="3"/>
      <x:c r="U402" s="3"/>
      <x:c r="V402" s="3"/>
      <x:c r="W402" s="3"/>
      <x:c r="X402" s="3"/>
      <x:c r="Y402" s="3"/>
      <x:c r="Z402" s="3"/>
    </x:row>
    <x:row r="403" ht="15" customHeight="1">
      <x:c r="A403" s="3"/>
      <x:c r="B403" s="3"/>
      <x:c r="C403" s="3"/>
      <x:c r="D403" s="3"/>
      <x:c r="E403" s="3"/>
      <x:c r="F403" s="3"/>
      <x:c r="G403" s="3"/>
      <x:c r="H403" s="3"/>
      <x:c r="I403" s="3"/>
      <x:c r="J403" s="3" t="str">
        <x:v>n</x:v>
      </x:c>
      <x:c r="K403" s="3" t="n">
        <x:f>G11</x:f>
        <x:v>355</x:v>
      </x:c>
      <x:c r="L403" s="3"/>
      <x:c r="M403" s="3"/>
      <x:c r="N403" s="3"/>
      <x:c r="O403" s="3"/>
      <x:c r="P403" s="3"/>
      <x:c r="Q403" s="3"/>
      <x:c r="R403" s="3"/>
      <x:c r="S403" s="3" t="str">
        <x:v>s остатков</x:v>
      </x:c>
      <x:c r="T403" s="3" t="n">
        <x:v>113.51168370035708</x:v>
      </x:c>
      <x:c r="U403" s="3"/>
      <x:c r="V403" s="3"/>
      <x:c r="W403" s="3"/>
      <x:c r="X403" s="3"/>
      <x:c r="Y403" s="3"/>
      <x:c r="Z403" s="3"/>
    </x:row>
    <x:row r="404" ht="15" customHeight="1">
      <x:c r="A404" s="3"/>
      <x:c r="B404" s="3"/>
      <x:c r="C404" s="3"/>
      <x:c r="D404" s="3"/>
      <x:c r="E404" s="3"/>
      <x:c r="F404" s="3"/>
      <x:c r="G404" s="3"/>
      <x:c r="H404" s="3"/>
      <x:c r="I404" s="3"/>
      <x:c r="J404" s="3" t="str">
        <x:v>ΣH</x:v>
      </x:c>
      <x:c r="K404" s="3" t="n">
        <x:f>SUMPRODUCT($R$20:$R$384,$K$20:$K$384)</x:f>
        <x:v>28150</x:v>
      </x:c>
      <x:c r="L404" s="3"/>
      <x:c r="M404" s="3"/>
      <x:c r="N404" s="3"/>
      <x:c r="O404" s="3"/>
      <x:c r="P404" s="3"/>
      <x:c r="Q404" s="3"/>
      <x:c r="R404" s="3"/>
      <x:c r="S404" s="3" t="str">
        <x:v>t95</x:v>
      </x:c>
      <x:c r="T404" s="3" t="n">
        <x:v>1.9602404469207206</x:v>
      </x:c>
      <x:c r="U404" s="3"/>
      <x:c r="V404" s="3"/>
      <x:c r="W404" s="3"/>
      <x:c r="X404" s="3"/>
      <x:c r="Y404" s="3"/>
      <x:c r="Z404" s="3"/>
    </x:row>
    <x:row r="405" ht="15" customHeight="1">
      <x:c r="A405" s="3"/>
      <x:c r="B405" s="3"/>
      <x:c r="C405" s="3"/>
      <x:c r="D405" s="3"/>
      <x:c r="E405" s="3"/>
      <x:c r="F405" s="3"/>
      <x:c r="G405" s="3"/>
      <x:c r="H405" s="3"/>
      <x:c r="I405" s="3"/>
      <x:c r="J405" s="3" t="str">
        <x:v>SST</x:v>
      </x:c>
      <x:c r="K405" s="3" t="n">
        <x:f>SUMPRODUCT($R$20:$R$384,$K$20:$K$384,$K$20:$K$384)-K404^2/G11</x:f>
        <x:v>6276929.943661972</x:v>
      </x:c>
      <x:c r="L405" s="3"/>
      <x:c r="M405" s="3"/>
      <x:c r="N405" s="3"/>
      <x:c r="O405" s="3"/>
      <x:c r="P405" s="3"/>
      <x:c r="Q405" s="3"/>
      <x:c r="R405" s="3"/>
      <x:c r="S405" s="3" t="str">
        <x:v>Начало ряда</x:v>
      </x:c>
      <x:c r="T405" s="7" t="n">
        <x:v>37257</x:v>
      </x:c>
      <x:c r="U405" s="3"/>
      <x:c r="V405" s="3"/>
      <x:c r="W405" s="3"/>
      <x:c r="X405" s="3"/>
      <x:c r="Y405" s="3"/>
      <x:c r="Z405" s="3"/>
    </x:row>
    <x:row r="406" ht="15" customHeight="1">
      <x:c r="A406" s="3"/>
      <x:c r="B406" s="3"/>
      <x:c r="C406" s="3"/>
      <x:c r="D406" s="3"/>
      <x:c r="E406" s="3"/>
      <x:c r="F406" s="3"/>
      <x:c r="G406" s="3"/>
      <x:c r="H406" s="3"/>
      <x:c r="I406" s="3"/>
      <x:c r="J406" s="3" t="str">
        <x:v>ΣΔ</x:v>
      </x:c>
      <x:c r="K406" s="3" t="n">
        <x:f>SUMPRODUCT($R$20:$R$384,$Q$20:$Q$384)</x:f>
        <x:v>137</x:v>
      </x:c>
      <x:c r="L406" s="3"/>
      <x:c r="M406" s="3"/>
      <x:c r="N406" s="3"/>
      <x:c r="O406" s="3"/>
      <x:c r="P406" s="3"/>
      <x:c r="Q406" s="3"/>
      <x:c r="R406" s="3"/>
      <x:c r="S406" s="3" t="str">
        <x:v>Длина ряда</x:v>
      </x:c>
      <x:c r="T406" s="3" t="n">
        <x:v>8978</x:v>
      </x:c>
      <x:c r="U406" s="3"/>
      <x:c r="V406" s="3"/>
      <x:c r="W406" s="3"/>
      <x:c r="X406" s="3"/>
      <x:c r="Y406" s="3"/>
      <x:c r="Z406" s="3"/>
    </x:row>
    <x:row r="407" ht="15" customHeight="1">
      <x:c r="A407" s="3"/>
      <x:c r="B407" s="3"/>
      <x:c r="C407" s="3"/>
      <x:c r="D407" s="3"/>
      <x:c r="E407" s="3"/>
      <x:c r="F407" s="3"/>
      <x:c r="G407" s="3"/>
      <x:c r="H407" s="3"/>
      <x:c r="I407" s="3"/>
      <x:c r="J407" s="3" t="str">
        <x:v>SSΔ</x:v>
      </x:c>
      <x:c r="K407" s="3" t="n">
        <x:f>SUMPRODUCT($R$20:$R$384,$Q$20:$Q$384,$Q$20:$Q$384)-K406^2/G11</x:f>
        <x:v>42404.12957746479</x:v>
      </x:c>
      <x:c r="L407" s="3"/>
      <x:c r="M407" s="3"/>
      <x:c r="N407" s="3"/>
      <x:c r="O407" s="3"/>
      <x:c r="P407" s="3"/>
      <x:c r="Q407" s="3"/>
      <x:c r="R407" s="3"/>
      <x:c r="S407" s="3"/>
      <x:c r="T407" s="3"/>
      <x:c r="U407" s="3"/>
      <x:c r="V407" s="3"/>
      <x:c r="W407" s="3"/>
      <x:c r="X407" s="3"/>
      <x:c r="Y407" s="3"/>
      <x:c r="Z407" s="3"/>
    </x:row>
    <x:row r="408" ht="15" customHeight="1">
      <x:c r="A408" s="3"/>
      <x:c r="B408" s="3"/>
      <x:c r="C408" s="3"/>
      <x:c r="D408" s="3"/>
      <x:c r="E408" s="3"/>
      <x:c r="F408" s="3"/>
      <x:c r="G408" s="3"/>
      <x:c r="H408" s="3"/>
      <x:c r="I408" s="3"/>
      <x:c r="J408" s="3" t="str">
        <x:v>SSE</x:v>
      </x:c>
      <x:c r="K408" s="3" t="n">
        <x:f>SUMPRODUCT($R$20:$R$384,$P$20:$P$384)</x:f>
        <x:v>3608210.1030598455</x:v>
      </x:c>
      <x:c r="L408" s="3"/>
      <x:c r="M408" s="3"/>
      <x:c r="N408" s="3"/>
      <x:c r="O408" s="3"/>
      <x:c r="P408" s="3"/>
      <x:c r="Q408" s="3"/>
      <x:c r="R408" s="3"/>
      <x:c r="S408" s="3" t="str">
        <x:v>Cov базовых коэффициентов</x:v>
      </x:c>
      <x:c r="T408" s="3"/>
      <x:c r="U408" s="3"/>
      <x:c r="V408" s="3"/>
      <x:c r="W408" s="3"/>
      <x:c r="X408" s="3"/>
      <x:c r="Y408" s="3"/>
      <x:c r="Z408" s="3"/>
    </x:row>
    <x:row r="409" ht="15" customHeight="1">
      <x:c r="A409" s="3"/>
      <x:c r="B409" s="3"/>
      <x:c r="C409" s="3"/>
      <x:c r="D409" s="3"/>
      <x:c r="E409" s="3"/>
      <x:c r="F409" s="3"/>
      <x:c r="G409" s="3"/>
      <x:c r="H409" s="3"/>
      <x:c r="I409" s="3"/>
      <x:c r="J409" s="3"/>
      <x:c r="K409" s="3"/>
      <x:c r="L409" s="3"/>
      <x:c r="M409" s="3"/>
      <x:c r="N409" s="3"/>
      <x:c r="O409" s="3"/>
      <x:c r="P409" s="3"/>
      <x:c r="Q409" s="3"/>
      <x:c r="R409" s="3"/>
      <x:c r="S409" s="3" t="n">
        <x:v>1.8201152064111248</x:v>
      </x:c>
      <x:c r="T409" s="3" t="n">
        <x:v>-0.010387810769668323</x:v>
      </x:c>
      <x:c r="U409" s="3"/>
      <x:c r="V409" s="3"/>
      <x:c r="W409" s="3"/>
      <x:c r="X409" s="3"/>
      <x:c r="Y409" s="3"/>
      <x:c r="Z409" s="3"/>
    </x:row>
    <x:row r="410" ht="15" customHeight="1">
      <x:c r="A410" s="3"/>
      <x:c r="B410" s="3"/>
      <x:c r="C410" s="3"/>
      <x:c r="D410" s="3"/>
      <x:c r="E410" s="3"/>
      <x:c r="F410" s="3"/>
      <x:c r="G410" s="3"/>
      <x:c r="H410" s="3"/>
      <x:c r="I410" s="3"/>
      <x:c r="J410" s="3"/>
      <x:c r="K410" s="3"/>
      <x:c r="L410" s="3"/>
      <x:c r="M410" s="3"/>
      <x:c r="N410" s="3"/>
      <x:c r="O410" s="3"/>
      <x:c r="P410" s="3"/>
      <x:c r="Q410" s="3"/>
      <x:c r="R410" s="3"/>
      <x:c r="S410" s="3" t="n">
        <x:v>-0.01038781076966832</x:v>
      </x:c>
      <x:c r="T410" s="3" t="n">
        <x:v>0.00006457072888465545</x:v>
      </x:c>
      <x:c r="U410" s="3"/>
      <x:c r="V410" s="3"/>
      <x:c r="W410" s="3"/>
      <x:c r="X410" s="3"/>
      <x:c r="Y410" s="3"/>
      <x:c r="Z410" s="3"/>
    </x:row>
    <x:row r="411" ht="15" customHeight="1">
      <x:c r="A411" s="3"/>
      <x:c r="B411" s="3"/>
      <x:c r="C411" s="3"/>
      <x:c r="D411" s="3"/>
      <x:c r="E411" s="3"/>
      <x:c r="F411" s="3"/>
      <x:c r="G411" s="3"/>
      <x:c r="H411" s="3"/>
      <x:c r="I411" s="3"/>
      <x:c r="J411" s="3"/>
      <x:c r="K411" s="3"/>
      <x:c r="L411" s="3"/>
      <x:c r="M411" s="3"/>
      <x:c r="N411" s="3"/>
      <x:c r="O411" s="3"/>
      <x:c r="P411" s="3"/>
      <x:c r="Q411" s="3"/>
      <x:c r="R411" s="3"/>
      <x:c r="S411" s="3"/>
      <x:c r="T411" s="3"/>
      <x:c r="U411" s="3"/>
      <x:c r="V411" s="3"/>
      <x:c r="W411" s="3"/>
      <x:c r="X411" s="3"/>
      <x:c r="Y411" s="3"/>
      <x:c r="Z411" s="3"/>
    </x:row>
    <x:row r="412" ht="15" customHeight="1">
      <x:c r="A412" s="3"/>
      <x:c r="B412" s="3"/>
      <x:c r="C412" s="3"/>
      <x:c r="D412" s="3"/>
      <x:c r="E412" s="3"/>
      <x:c r="F412" s="3"/>
      <x:c r="G412" s="3"/>
      <x:c r="H412" s="3"/>
      <x:c r="I412" s="3"/>
      <x:c r="J412" s="3"/>
      <x:c r="K412" s="3"/>
      <x:c r="L412" s="3"/>
      <x:c r="M412" s="3"/>
      <x:c r="N412" s="3"/>
      <x:c r="O412" s="3"/>
      <x:c r="P412" s="3"/>
      <x:c r="Q412" s="3"/>
      <x:c r="R412" s="3"/>
      <x:c r="S412" s="3"/>
      <x:c r="T412" s="3"/>
      <x:c r="U412" s="3"/>
      <x:c r="V412" s="3"/>
      <x:c r="W412" s="3"/>
      <x:c r="X412" s="3"/>
      <x:c r="Y412" s="3"/>
      <x:c r="Z412" s="3"/>
    </x:row>
    <x:row r="413" ht="15" customHeight="1">
      <x:c r="A413" s="3"/>
      <x:c r="B413" s="3"/>
      <x:c r="C413" s="3"/>
      <x:c r="D413" s="3"/>
      <x:c r="E413" s="3"/>
      <x:c r="F413" s="3"/>
      <x:c r="G413" s="3"/>
      <x:c r="H413" s="3"/>
      <x:c r="I413" s="3"/>
      <x:c r="J413" s="3"/>
      <x:c r="K413" s="3"/>
      <x:c r="L413" s="3"/>
      <x:c r="M413" s="3"/>
      <x:c r="N413" s="3"/>
      <x:c r="O413" s="3"/>
      <x:c r="P413" s="3"/>
      <x:c r="Q413" s="3"/>
      <x:c r="R413" s="3"/>
      <x:c r="S413" s="3"/>
      <x:c r="T413" s="3"/>
      <x:c r="U413" s="3"/>
      <x:c r="V413" s="3"/>
      <x:c r="W413" s="3"/>
      <x:c r="X413" s="3"/>
      <x:c r="Y413" s="3"/>
      <x:c r="Z413" s="3"/>
    </x:row>
    <x:row r="414" ht="15" customHeight="1">
      <x:c r="A414" s="3"/>
      <x:c r="B414" s="3"/>
      <x:c r="C414" s="3"/>
      <x:c r="D414" s="3"/>
      <x:c r="E414" s="3"/>
      <x:c r="F414" s="3"/>
      <x:c r="G414" s="3"/>
      <x:c r="H414" s="3"/>
      <x:c r="I414" s="3"/>
      <x:c r="J414" s="3"/>
      <x:c r="K414" s="3"/>
      <x:c r="L414" s="3"/>
      <x:c r="M414" s="3"/>
      <x:c r="N414" s="3"/>
      <x:c r="O414" s="3"/>
      <x:c r="P414" s="3"/>
      <x:c r="Q414" s="3"/>
      <x:c r="R414" s="3"/>
      <x:c r="S414" s="3"/>
      <x:c r="T414" s="3"/>
      <x:c r="U414" s="3"/>
      <x:c r="V414" s="3"/>
      <x:c r="W414" s="3"/>
      <x:c r="X414" s="3"/>
      <x:c r="Y414" s="3"/>
      <x:c r="Z414" s="3"/>
    </x:row>
    <x:row r="415" ht="30" customHeight="1">
      <x:c r="A415" s="3"/>
      <x:c r="B415" s="3"/>
      <x:c r="C415" s="3"/>
      <x:c r="D415" s="3"/>
      <x:c r="E415" s="3"/>
      <x:c r="F415" s="3"/>
      <x:c r="G415" s="3"/>
      <x:c r="H415" s="3"/>
      <x:c r="I415" s="3"/>
      <x:c r="J415" s="3"/>
      <x:c r="K415" s="3"/>
      <x:c r="L415" s="3"/>
      <x:c r="M415" s="3"/>
      <x:c r="N415" s="3"/>
      <x:c r="O415" s="3"/>
      <x:c r="P415" s="3"/>
      <x:c r="Q415" s="3"/>
      <x:c r="R415" s="3"/>
      <x:c r="S415" s="14" t="str">
        <x:v>Cov a0,cₘ</x:v>
      </x:c>
      <x:c r="T415" s="14" t="str">
        <x:v>Cov a1,cₘ</x:v>
      </x:c>
      <x:c r="U415" s="14" t="str">
        <x:v>Cov a2,cₘ</x:v>
      </x:c>
      <x:c r="V415" s="14" t="str">
        <x:v>Cov a3,cₘ</x:v>
      </x:c>
      <x:c r="W415" s="14" t="str">
        <x:v>Var cₘ</x:v>
      </x:c>
      <x:c r="X415" s="3"/>
      <x:c r="Y415" s="3"/>
      <x:c r="Z415" s="3"/>
    </x:row>
    <x:row r="416" ht="15" customHeight="1">
      <x:c r="A416" s="3"/>
      <x:c r="B416" s="3"/>
      <x:c r="C416" s="3"/>
      <x:c r="D416" s="3"/>
      <x:c r="E416" s="3"/>
      <x:c r="F416" s="3"/>
      <x:c r="G416" s="3"/>
      <x:c r="H416" s="3"/>
      <x:c r="I416" s="3"/>
      <x:c r="J416" s="3"/>
      <x:c r="K416" s="3"/>
      <x:c r="L416" s="3"/>
      <x:c r="M416" s="3"/>
      <x:c r="N416" s="3"/>
      <x:c r="O416" s="3"/>
      <x:c r="P416" s="3"/>
      <x:c r="Q416" s="3"/>
      <x:c r="R416" s="3"/>
      <x:c r="S416" s="3" t="n">
        <x:v>-0.09937540701454127</x:v>
      </x:c>
      <x:c r="T416" s="3" t="n">
        <x:v>0.0009447565498776379</x:v>
      </x:c>
      <x:c r="U416" s="3" t="n">
        <x:v>0</x:v>
      </x:c>
      <x:c r="V416" s="3" t="n">
        <x:v>0</x:v>
      </x:c>
      <x:c r="W416" s="3" t="n">
        <x:v>17.276623584186197</x:v>
      </x:c>
      <x:c r="X416" s="3"/>
      <x:c r="Y416" s="3"/>
      <x:c r="Z416" s="3"/>
    </x:row>
    <x:row r="417" ht="15" customHeight="1">
      <x:c r="A417" s="3"/>
      <x:c r="B417" s="3"/>
      <x:c r="C417" s="3"/>
      <x:c r="D417" s="3"/>
      <x:c r="E417" s="3"/>
      <x:c r="F417" s="3"/>
      <x:c r="G417" s="3"/>
      <x:c r="H417" s="3"/>
      <x:c r="I417" s="3"/>
      <x:c r="J417" s="3"/>
      <x:c r="K417" s="3"/>
      <x:c r="L417" s="3"/>
      <x:c r="M417" s="3"/>
      <x:c r="N417" s="3"/>
      <x:c r="O417" s="3"/>
      <x:c r="P417" s="3"/>
      <x:c r="Q417" s="3"/>
      <x:c r="R417" s="3"/>
      <x:c r="S417" s="3" t="n">
        <x:v>0.020113067877921064</x:v>
      </x:c>
      <x:c r="T417" s="3" t="n">
        <x:v>0.0004070278961073463</x:v>
      </x:c>
      <x:c r="U417" s="3" t="n">
        <x:v>0</x:v>
      </x:c>
      <x:c r="V417" s="3" t="n">
        <x:v>0</x:v>
      </x:c>
      <x:c r="W417" s="3" t="n">
        <x:v>18.598356762192505</x:v>
      </x:c>
      <x:c r="X417" s="3"/>
      <x:c r="Y417" s="3"/>
      <x:c r="Z417" s="3"/>
    </x:row>
    <x:row r="418" ht="15" customHeight="1">
      <x:c r="A418" s="3"/>
      <x:c r="B418" s="3"/>
      <x:c r="C418" s="3"/>
      <x:c r="D418" s="3"/>
      <x:c r="E418" s="3"/>
      <x:c r="F418" s="3"/>
      <x:c r="G418" s="3"/>
      <x:c r="H418" s="3"/>
      <x:c r="I418" s="3"/>
      <x:c r="J418" s="3"/>
      <x:c r="K418" s="3"/>
      <x:c r="L418" s="3"/>
      <x:c r="M418" s="3"/>
      <x:c r="N418" s="3"/>
      <x:c r="O418" s="3"/>
      <x:c r="P418" s="3"/>
      <x:c r="Q418" s="3"/>
      <x:c r="R418" s="3"/>
      <x:c r="S418" s="3" t="n">
        <x:v>-0.05193464760377191</x:v>
      </x:c>
      <x:c r="T418" s="3" t="n">
        <x:v>0.0003597778843681563</x:v>
      </x:c>
      <x:c r="U418" s="3" t="n">
        <x:v>0</x:v>
      </x:c>
      <x:c r="V418" s="3" t="n">
        <x:v>0</x:v>
      </x:c>
      <x:c r="W418" s="3" t="n">
        <x:v>16.377378518966978</x:v>
      </x:c>
      <x:c r="X418" s="3"/>
      <x:c r="Y418" s="3"/>
      <x:c r="Z418" s="3"/>
    </x:row>
    <x:row r="419" ht="15" customHeight="1">
      <x:c r="A419" s="3"/>
      <x:c r="B419" s="3"/>
      <x:c r="C419" s="3"/>
      <x:c r="D419" s="3"/>
      <x:c r="E419" s="3"/>
      <x:c r="F419" s="3"/>
      <x:c r="G419" s="3"/>
      <x:c r="H419" s="3"/>
      <x:c r="I419" s="3"/>
      <x:c r="J419" s="3"/>
      <x:c r="K419" s="3"/>
      <x:c r="L419" s="3"/>
      <x:c r="M419" s="3"/>
      <x:c r="N419" s="3"/>
      <x:c r="O419" s="3"/>
      <x:c r="P419" s="3"/>
      <x:c r="Q419" s="3"/>
      <x:c r="R419" s="3"/>
      <x:c r="S419" s="3" t="n">
        <x:v>0.011142472730864914</x:v>
      </x:c>
      <x:c r="T419" s="3" t="n">
        <x:v>-0.00019446760265173847</x:v>
      </x:c>
      <x:c r="U419" s="3" t="n">
        <x:v>0</x:v>
      </x:c>
      <x:c r="V419" s="3" t="n">
        <x:v>0</x:v>
      </x:c>
      <x:c r="W419" s="3" t="n">
        <x:v>16.034811396604862</x:v>
      </x:c>
      <x:c r="X419" s="3"/>
      <x:c r="Y419" s="3"/>
      <x:c r="Z419" s="3"/>
    </x:row>
    <x:row r="420" ht="15" customHeight="1">
      <x:c r="A420" s="3"/>
      <x:c r="B420" s="3"/>
      <x:c r="C420" s="3"/>
      <x:c r="D420" s="3"/>
      <x:c r="E420" s="3"/>
      <x:c r="F420" s="3"/>
      <x:c r="G420" s="3"/>
      <x:c r="H420" s="3"/>
      <x:c r="I420" s="3"/>
      <x:c r="J420" s="3"/>
      <x:c r="K420" s="3"/>
      <x:c r="L420" s="3"/>
      <x:c r="M420" s="3"/>
      <x:c r="N420" s="3"/>
      <x:c r="O420" s="3"/>
      <x:c r="P420" s="3"/>
      <x:c r="Q420" s="3"/>
      <x:c r="R420" s="3"/>
      <x:c r="S420" s="3" t="n">
        <x:v>0.04533074504360509</x:v>
      </x:c>
      <x:c r="T420" s="3" t="n">
        <x:v>-0.0005219780678582308</x:v>
      </x:c>
      <x:c r="U420" s="3" t="n">
        <x:v>0</x:v>
      </x:c>
      <x:c r="V420" s="3" t="n">
        <x:v>0</x:v>
      </x:c>
      <x:c r="W420" s="3" t="n">
        <x:v>15.792458079977175</x:v>
      </x:c>
      <x:c r="X420" s="3"/>
      <x:c r="Y420" s="3"/>
      <x:c r="Z420" s="3"/>
    </x:row>
    <x:row r="421" ht="15" customHeight="1">
      <x:c r="A421" s="3"/>
      <x:c r="B421" s="3"/>
      <x:c r="C421" s="3"/>
      <x:c r="D421" s="3"/>
      <x:c r="E421" s="3"/>
      <x:c r="F421" s="3"/>
      <x:c r="G421" s="3"/>
      <x:c r="H421" s="3"/>
      <x:c r="I421" s="3"/>
      <x:c r="J421" s="3"/>
      <x:c r="K421" s="3"/>
      <x:c r="L421" s="3"/>
      <x:c r="M421" s="3"/>
      <x:c r="N421" s="3"/>
      <x:c r="O421" s="3"/>
      <x:c r="P421" s="3"/>
      <x:c r="Q421" s="3"/>
      <x:c r="R421" s="3"/>
      <x:c r="S421" s="3" t="n">
        <x:v>0.10759935370574193</x:v>
      </x:c>
      <x:c r="T421" s="3" t="n">
        <x:v>-0.0008379088952386675</x:v>
      </x:c>
      <x:c r="U421" s="3" t="n">
        <x:v>0</x:v>
      </x:c>
      <x:c r="V421" s="3" t="n">
        <x:v>0</x:v>
      </x:c>
      <x:c r="W421" s="3" t="n">
        <x:v>16.37035860808577</x:v>
      </x:c>
      <x:c r="X421" s="3"/>
      <x:c r="Y421" s="3"/>
      <x:c r="Z421" s="3"/>
    </x:row>
    <x:row r="422" ht="15" customHeight="1">
      <x:c r="A422" s="3"/>
      <x:c r="B422" s="3"/>
      <x:c r="C422" s="3"/>
      <x:c r="D422" s="3"/>
      <x:c r="E422" s="3"/>
      <x:c r="F422" s="3"/>
      <x:c r="G422" s="3"/>
      <x:c r="H422" s="3"/>
      <x:c r="I422" s="3"/>
      <x:c r="J422" s="3"/>
      <x:c r="K422" s="3"/>
      <x:c r="L422" s="3"/>
      <x:c r="M422" s="3"/>
      <x:c r="N422" s="3"/>
      <x:c r="O422" s="3"/>
      <x:c r="P422" s="3"/>
      <x:c r="Q422" s="3"/>
      <x:c r="R422" s="3"/>
      <x:c r="S422" s="3" t="n">
        <x:v>0.06190846821244383</x:v>
      </x:c>
      <x:c r="T422" s="3" t="n">
        <x:v>-0.0006835608959968012</x:v>
      </x:c>
      <x:c r="U422" s="3" t="n">
        <x:v>0</x:v>
      </x:c>
      <x:c r="V422" s="3" t="n">
        <x:v>0</x:v>
      </x:c>
      <x:c r="W422" s="3" t="n">
        <x:v>15.648991874795472</x:v>
      </x:c>
      <x:c r="X422" s="3"/>
      <x:c r="Y422" s="3"/>
      <x:c r="Z422" s="3"/>
    </x:row>
    <x:row r="423" ht="15" customHeight="1">
      <x:c r="A423" s="3"/>
      <x:c r="B423" s="3"/>
      <x:c r="C423" s="3"/>
      <x:c r="D423" s="3"/>
      <x:c r="E423" s="3"/>
      <x:c r="F423" s="3"/>
      <x:c r="G423" s="3"/>
      <x:c r="H423" s="3"/>
      <x:c r="I423" s="3"/>
      <x:c r="J423" s="3"/>
      <x:c r="K423" s="3"/>
      <x:c r="L423" s="3"/>
      <x:c r="M423" s="3"/>
      <x:c r="N423" s="3"/>
      <x:c r="O423" s="3"/>
      <x:c r="P423" s="3"/>
      <x:c r="Q423" s="3"/>
      <x:c r="R423" s="3"/>
      <x:c r="S423" s="3" t="n">
        <x:v>-0.06022005823796771</x:v>
      </x:c>
      <x:c r="T423" s="3" t="n">
        <x:v>0.00026630899769759016</x:v>
      </x:c>
      <x:c r="U423" s="3" t="n">
        <x:v>0</x:v>
      </x:c>
      <x:c r="V423" s="3" t="n">
        <x:v>0</x:v>
      </x:c>
      <x:c r="W423" s="3" t="n">
        <x:v>15.936261799601093</x:v>
      </x:c>
      <x:c r="X423" s="3"/>
      <x:c r="Y423" s="3"/>
      <x:c r="Z423" s="3"/>
    </x:row>
    <x:row r="424" ht="15" customHeight="1">
      <x:c r="A424" s="3"/>
      <x:c r="B424" s="3"/>
      <x:c r="C424" s="3"/>
      <x:c r="D424" s="3"/>
      <x:c r="E424" s="3"/>
      <x:c r="F424" s="3"/>
      <x:c r="G424" s="3"/>
      <x:c r="H424" s="3"/>
      <x:c r="I424" s="3"/>
      <x:c r="J424" s="3"/>
      <x:c r="K424" s="3"/>
      <x:c r="L424" s="3"/>
      <x:c r="M424" s="3"/>
      <x:c r="N424" s="3"/>
      <x:c r="O424" s="3"/>
      <x:c r="P424" s="3"/>
      <x:c r="Q424" s="3"/>
      <x:c r="R424" s="3"/>
      <x:c r="S424" s="3" t="n">
        <x:v>-0.010823065151907065</x:v>
      </x:c>
      <x:c r="T424" s="3" t="n">
        <x:v>0.000030388654650106037</x:v>
      </x:c>
      <x:c r="U424" s="3" t="n">
        <x:v>0</x:v>
      </x:c>
      <x:c r="V424" s="3" t="n">
        <x:v>0</x:v>
      </x:c>
      <x:c r="W424" s="3" t="n">
        <x:v>16.43754875359196</x:v>
      </x:c>
      <x:c r="X424" s="3"/>
      <x:c r="Y424" s="3"/>
      <x:c r="Z424" s="3"/>
    </x:row>
    <x:row r="425" ht="15" customHeight="1">
      <x:c r="A425" s="3"/>
      <x:c r="B425" s="3"/>
      <x:c r="C425" s="3"/>
      <x:c r="D425" s="3"/>
      <x:c r="E425" s="3"/>
      <x:c r="F425" s="3"/>
      <x:c r="G425" s="3"/>
      <x:c r="H425" s="3"/>
      <x:c r="I425" s="3"/>
      <x:c r="J425" s="3"/>
      <x:c r="K425" s="3"/>
      <x:c r="L425" s="3"/>
      <x:c r="M425" s="3"/>
      <x:c r="N425" s="3"/>
      <x:c r="O425" s="3"/>
      <x:c r="P425" s="3"/>
      <x:c r="Q425" s="3"/>
      <x:c r="R425" s="3"/>
      <x:c r="S425" s="3" t="n">
        <x:v>-0.034896949157731935</x:v>
      </x:c>
      <x:c r="T425" s="3" t="n">
        <x:v>0.00007850269316433362</x:v>
      </x:c>
      <x:c r="U425" s="3" t="n">
        <x:v>0</x:v>
      </x:c>
      <x:c r="V425" s="3" t="n">
        <x:v>0</x:v>
      </x:c>
      <x:c r="W425" s="3" t="n">
        <x:v>15.936560276372038</x:v>
      </x:c>
      <x:c r="X425" s="3"/>
      <x:c r="Y425" s="3"/>
      <x:c r="Z425" s="3"/>
    </x:row>
    <x:row r="426" ht="15" customHeight="1">
      <x:c r="A426" s="3"/>
      <x:c r="B426" s="3"/>
      <x:c r="C426" s="3"/>
      <x:c r="D426" s="3"/>
      <x:c r="E426" s="3"/>
      <x:c r="F426" s="3"/>
      <x:c r="G426" s="3"/>
      <x:c r="H426" s="3"/>
      <x:c r="I426" s="3"/>
      <x:c r="J426" s="3"/>
      <x:c r="K426" s="3"/>
      <x:c r="L426" s="3"/>
      <x:c r="M426" s="3"/>
      <x:c r="N426" s="3"/>
      <x:c r="O426" s="3"/>
      <x:c r="P426" s="3"/>
      <x:c r="Q426" s="3"/>
      <x:c r="R426" s="3"/>
      <x:c r="S426" s="3" t="n">
        <x:v>0.013066244688374928</x:v>
      </x:c>
      <x:c r="T426" s="3" t="n">
        <x:v>-0.00014506007101281154</x:v>
      </x:c>
      <x:c r="U426" s="3" t="n">
        <x:v>0</x:v>
      </x:c>
      <x:c r="V426" s="3" t="n">
        <x:v>0</x:v>
      </x:c>
      <x:c r="W426" s="3" t="n">
        <x:v>16.43833196940799</x:v>
      </x:c>
      <x:c r="X426" s="3"/>
      <x:c r="Y426" s="3"/>
      <x:c r="Z426" s="3"/>
    </x:row>
    <x:row r="427" ht="15" customHeight="1">
      <x:c r="A427" s="3"/>
      <x:c r="B427" s="3"/>
      <x:c r="C427" s="3"/>
      <x:c r="D427" s="3"/>
      <x:c r="E427" s="3"/>
      <x:c r="F427" s="3"/>
      <x:c r="G427" s="3"/>
      <x:c r="H427" s="3"/>
      <x:c r="I427" s="3"/>
      <x:c r="J427" s="3"/>
      <x:c r="K427" s="3"/>
      <x:c r="L427" s="3"/>
      <x:c r="M427" s="3"/>
      <x:c r="N427" s="3"/>
      <x:c r="O427" s="3"/>
      <x:c r="P427" s="3"/>
      <x:c r="Q427" s="3"/>
      <x:c r="R427" s="3"/>
      <x:c r="S427" s="3" t="n">
        <x:v>-0.001910225093031893</x:v>
      </x:c>
      <x:c r="T427" s="3" t="n">
        <x:v>0.00029621285689307924</x:v>
      </x:c>
      <x:c r="U427" s="3" t="n">
        <x:v>0</x:v>
      </x:c>
      <x:c r="V427" s="3" t="n">
        <x:v>0</x:v>
      </x:c>
      <x:c r="W427" s="3" t="n">
        <x:v>17.72928636896513</x:v>
      </x:c>
      <x:c r="X427" s="3"/>
      <x:c r="Y427" s="3"/>
      <x:c r="Z427" s="3"/>
    </x:row>
  </x:sheetData>
  <x:pageMargins left="0.7" right="0.7" top="0.75" bottom="0.75" header="0.3" footer="0.3"/>
  <x:drawing xmlns:r="http://schemas.openxmlformats.org/officeDocument/2006/relationships" r:id="R09506159b9e54b12"/>
</x:worksheet>
</file>